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filterPrivacy="1" updateLinks="always" hidePivotFieldList="1"/>
  <xr:revisionPtr revIDLastSave="18655" documentId="11_CDAFA09B87F4C556032690E9E0E4413CE432390A" xr6:coauthVersionLast="47" xr6:coauthVersionMax="47" xr10:uidLastSave="{B1B9D063-2652-4EF8-9B12-07EDA540B097}"/>
  <bookViews>
    <workbookView xWindow="-120" yWindow="-120" windowWidth="29040" windowHeight="15720" tabRatio="615" firstSheet="4" xr2:uid="{00000000-000D-0000-FFFF-FFFF00000000}"/>
  </bookViews>
  <sheets>
    <sheet name="Data" sheetId="1" r:id="rId1"/>
    <sheet name="Dérangements N1 - LC" sheetId="5" r:id="rId2"/>
    <sheet name="Liste" sheetId="3" state="hidden" r:id="rId3"/>
    <sheet name="Retard train" sheetId="4" state="hidden" r:id="rId4"/>
    <sheet name="Synthèse Hebdo" sheetId="2" r:id="rId5"/>
    <sheet name="Historique zones &amp; rames" sheetId="6" r:id="rId6"/>
  </sheets>
  <externalReferences>
    <externalReference r:id="rId7"/>
  </externalReferences>
  <definedNames>
    <definedName name="_xlnm._FilterDatabase" localSheetId="0" hidden="1">Data!$A$1:$AI$1593</definedName>
    <definedName name="_xlnm._FilterDatabase" localSheetId="1" hidden="1">'Dérangements N1 - LC'!$A$1:$AX$1</definedName>
    <definedName name="_xlnm._FilterDatabase" localSheetId="3" hidden="1">'Retard train'!$A$1:$AJ$1</definedName>
    <definedName name="datapivot">INDIRECT(CONCATENATE("Data!","$A$1:$AH$",COUNTA([1]Data!$A:$A)))</definedName>
    <definedName name="Intervalle">Liste!$N$2:$N$33</definedName>
    <definedName name="Parcours">Liste!$G$2:$G$3</definedName>
    <definedName name="Rame">Liste!$B$2:$B$13</definedName>
  </definedNames>
  <calcPr calcId="191028"/>
  <pivotCaches>
    <pivotCache cacheId="69" r:id="rId8"/>
    <pivotCache cacheId="7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95" i="1" l="1"/>
  <c r="L1595" i="1"/>
  <c r="L1594" i="1"/>
  <c r="B1594" i="1"/>
  <c r="N17" i="3"/>
  <c r="L1593" i="1"/>
  <c r="B1593" i="1"/>
  <c r="L1592" i="1" l="1"/>
  <c r="B1592" i="1"/>
  <c r="L1591" i="1" l="1"/>
  <c r="B1591" i="1"/>
  <c r="L1590" i="1"/>
  <c r="B1590" i="1"/>
  <c r="L1589" i="1" l="1"/>
  <c r="B1589" i="1"/>
  <c r="L1588" i="1"/>
  <c r="B1588" i="1"/>
  <c r="L1587" i="1" l="1"/>
  <c r="B1587" i="1"/>
  <c r="L1586" i="1"/>
  <c r="B1586" i="1"/>
  <c r="L1585" i="1" l="1"/>
  <c r="B1585" i="1"/>
  <c r="B1582" i="1"/>
  <c r="L1582" i="1"/>
  <c r="L1584" i="1"/>
  <c r="B1584" i="1"/>
  <c r="L1583" i="1"/>
  <c r="B1583" i="1"/>
  <c r="L1581" i="1" l="1"/>
  <c r="B1581" i="1"/>
  <c r="L1580" i="1"/>
  <c r="B1580" i="1"/>
  <c r="L1579" i="1"/>
  <c r="B1579" i="1"/>
  <c r="L1578" i="1" l="1"/>
  <c r="B1578" i="1"/>
  <c r="B1577" i="1" l="1"/>
  <c r="L1577" i="1"/>
  <c r="L1576" i="1"/>
  <c r="B1576" i="1"/>
  <c r="L1575" i="1" l="1"/>
  <c r="B1575" i="1"/>
  <c r="L1574" i="1"/>
  <c r="B1574" i="1"/>
  <c r="L1573" i="1"/>
  <c r="B1573" i="1"/>
  <c r="L1572" i="1"/>
  <c r="B1572" i="1"/>
  <c r="L1571" i="1"/>
  <c r="B1571" i="1"/>
  <c r="L1570" i="1" l="1"/>
  <c r="B1570" i="1"/>
  <c r="B1569" i="1"/>
  <c r="L1569" i="1"/>
  <c r="L1568" i="1"/>
  <c r="B1568" i="1"/>
  <c r="L1567" i="1"/>
  <c r="B1567" i="1"/>
  <c r="L1566" i="1"/>
  <c r="B1566" i="1"/>
  <c r="L1565" i="1"/>
  <c r="B1565" i="1"/>
  <c r="L1564" i="1" l="1"/>
  <c r="B1564" i="1"/>
  <c r="L1563" i="1" l="1"/>
  <c r="B1563" i="1"/>
  <c r="L1559" i="1"/>
  <c r="L1562" i="1" l="1"/>
  <c r="B1562" i="1"/>
  <c r="L1560" i="1"/>
  <c r="B1560" i="1"/>
  <c r="L1561" i="1"/>
  <c r="B1561" i="1"/>
  <c r="B1559" i="1"/>
  <c r="L1558" i="1" l="1"/>
  <c r="B1558" i="1"/>
  <c r="L1557" i="1"/>
  <c r="B1557" i="1"/>
  <c r="L1556" i="1" l="1"/>
  <c r="B1556" i="1"/>
  <c r="L1555" i="1"/>
  <c r="B1555" i="1"/>
  <c r="B1554" i="1"/>
  <c r="L1554" i="1"/>
  <c r="L1553" i="1"/>
  <c r="B1553" i="1"/>
  <c r="L1552" i="1" l="1"/>
  <c r="B1552" i="1"/>
  <c r="L1551" i="1"/>
  <c r="B1551" i="1"/>
  <c r="L1550" i="1"/>
  <c r="B1549" i="1"/>
  <c r="B1550" i="1"/>
  <c r="L1549" i="1"/>
  <c r="L1546" i="1"/>
  <c r="B1546" i="1"/>
  <c r="B1547" i="1"/>
  <c r="L1547" i="1"/>
  <c r="B1548" i="1"/>
  <c r="L1548" i="1"/>
  <c r="L1545" i="1"/>
  <c r="B1545" i="1"/>
  <c r="L1544" i="1" l="1"/>
  <c r="B1544" i="1"/>
  <c r="L1543" i="1"/>
  <c r="B1543" i="1"/>
  <c r="B1542" i="1"/>
  <c r="L1542" i="1"/>
  <c r="L1541" i="1" l="1"/>
  <c r="B1541" i="1"/>
  <c r="L1540" i="1" l="1"/>
  <c r="B1540" i="1"/>
  <c r="L1539" i="1"/>
  <c r="B1539" i="1"/>
  <c r="B1538" i="1"/>
  <c r="L1538" i="1"/>
  <c r="L1537" i="1"/>
  <c r="B1537" i="1"/>
  <c r="L1536" i="1" l="1"/>
  <c r="B1536" i="1"/>
  <c r="B1535" i="1" l="1"/>
  <c r="L1535" i="1"/>
  <c r="L1534" i="1"/>
  <c r="B1534" i="1"/>
  <c r="L1533" i="1"/>
  <c r="B1533" i="1"/>
  <c r="L1532" i="1"/>
  <c r="B1532" i="1"/>
  <c r="L1531" i="1"/>
  <c r="B1531" i="1"/>
  <c r="L1530" i="1"/>
  <c r="B1530" i="1"/>
  <c r="L1529" i="1"/>
  <c r="B1529" i="1"/>
  <c r="L1528" i="1"/>
  <c r="B1528" i="1"/>
  <c r="L1527" i="1"/>
  <c r="B1527" i="1"/>
  <c r="L1526" i="1"/>
  <c r="B1526" i="1"/>
  <c r="L1525" i="1"/>
  <c r="B1525" i="1"/>
  <c r="L1524" i="1" l="1"/>
  <c r="B1524" i="1"/>
  <c r="L1523" i="1" l="1"/>
  <c r="B1523" i="1"/>
  <c r="L1522" i="1"/>
  <c r="B1522" i="1"/>
  <c r="B1521" i="1"/>
  <c r="L1521" i="1"/>
  <c r="L1520" i="1"/>
  <c r="B1520" i="1"/>
  <c r="B1519" i="1"/>
  <c r="L1519" i="1"/>
  <c r="L1518" i="1"/>
  <c r="B1518" i="1"/>
  <c r="L1517" i="1"/>
  <c r="B1517" i="1"/>
  <c r="L1516" i="1"/>
  <c r="B1516" i="1"/>
  <c r="L1515" i="1"/>
  <c r="B1515" i="1"/>
  <c r="L1514" i="1"/>
  <c r="B1514" i="1"/>
  <c r="L1513" i="1"/>
  <c r="B1513" i="1"/>
  <c r="L1512" i="1"/>
  <c r="B1512" i="1"/>
  <c r="B1497" i="1" l="1"/>
  <c r="B1498" i="1"/>
  <c r="B1499" i="1"/>
  <c r="B1500" i="1"/>
  <c r="L1511" i="1"/>
  <c r="B1511" i="1"/>
  <c r="L1510" i="1"/>
  <c r="B1510" i="1"/>
  <c r="L1509" i="1"/>
  <c r="B1509" i="1"/>
  <c r="L1508" i="1"/>
  <c r="B1508" i="1"/>
  <c r="L1507" i="1"/>
  <c r="B1507" i="1"/>
  <c r="B3" i="5"/>
  <c r="B4" i="5"/>
  <c r="B5" i="5"/>
  <c r="B6" i="5"/>
  <c r="B7" i="5"/>
  <c r="B8" i="5"/>
  <c r="B9" i="5"/>
  <c r="B10" i="5"/>
  <c r="B11" i="5"/>
  <c r="B12" i="5"/>
  <c r="B13" i="5"/>
  <c r="B14" i="5"/>
  <c r="B15" i="5"/>
  <c r="B16" i="5"/>
  <c r="B17" i="5"/>
  <c r="B18" i="5"/>
  <c r="B19" i="5"/>
  <c r="B20" i="5"/>
  <c r="B21" i="5"/>
  <c r="B22" i="5"/>
  <c r="B23" i="5"/>
  <c r="B24" i="5"/>
  <c r="B25" i="5"/>
  <c r="B26" i="5"/>
  <c r="B27" i="5"/>
  <c r="B28" i="5"/>
  <c r="B29" i="5"/>
  <c r="B2" i="5"/>
  <c r="L1506" i="1"/>
  <c r="B1506" i="1"/>
  <c r="B1505" i="1"/>
  <c r="L1504" i="1"/>
  <c r="B1504" i="1"/>
  <c r="L1503" i="1"/>
  <c r="B1503" i="1"/>
  <c r="B1502" i="1"/>
  <c r="L1502" i="1"/>
  <c r="L1501" i="1"/>
  <c r="B1501" i="1"/>
  <c r="L1500" i="1"/>
  <c r="L1499" i="1"/>
  <c r="L1498" i="1"/>
  <c r="L1497" i="1"/>
  <c r="L1496" i="1"/>
  <c r="B1496" i="1"/>
  <c r="B1493" i="1"/>
  <c r="B1494" i="1"/>
  <c r="B1495" i="1"/>
  <c r="L1495" i="1"/>
  <c r="L1494" i="1"/>
  <c r="L1493" i="1"/>
  <c r="L1492" i="1" l="1"/>
  <c r="B1492" i="1"/>
  <c r="L1491" i="1"/>
  <c r="B1491" i="1"/>
  <c r="L1490" i="1" l="1"/>
  <c r="B1490" i="1"/>
  <c r="B1489" i="1"/>
  <c r="L1489" i="1"/>
  <c r="B1488" i="1"/>
  <c r="B1487" i="1"/>
  <c r="L1487" i="1"/>
  <c r="L1488" i="1"/>
  <c r="B1486" i="1"/>
  <c r="L1485" i="1"/>
  <c r="B1485" i="1"/>
  <c r="L1482" i="1"/>
  <c r="B1482" i="1"/>
  <c r="L1484" i="1"/>
  <c r="B1484" i="1"/>
  <c r="L1483" i="1"/>
  <c r="B1483" i="1"/>
  <c r="B1481" i="1"/>
  <c r="L1481" i="1"/>
  <c r="L1479" i="1"/>
  <c r="L1480" i="1"/>
  <c r="B1480" i="1"/>
  <c r="B1479" i="1"/>
  <c r="B1478" i="1"/>
  <c r="B1477" i="1"/>
  <c r="L1477" i="1"/>
  <c r="B1476" i="1"/>
  <c r="L1476" i="1"/>
  <c r="L1475" i="1"/>
  <c r="B1475" i="1"/>
  <c r="L1467" i="1"/>
  <c r="L1474" i="1"/>
  <c r="B1474" i="1"/>
  <c r="B1473" i="1"/>
  <c r="L1473" i="1"/>
  <c r="B1472" i="1"/>
  <c r="L1472" i="1"/>
  <c r="B1471" i="1"/>
  <c r="L1471" i="1"/>
  <c r="B1470" i="1"/>
  <c r="L1470" i="1"/>
  <c r="L1469" i="1"/>
  <c r="B1469" i="1"/>
  <c r="L1468" i="1"/>
  <c r="B1468" i="1"/>
  <c r="B1467" i="1"/>
  <c r="L1466" i="1"/>
  <c r="B1466" i="1"/>
  <c r="L1465" i="1"/>
  <c r="B1465" i="1"/>
  <c r="L1464" i="1"/>
  <c r="B1464" i="1"/>
  <c r="L1463" i="1"/>
  <c r="L1462" i="1"/>
  <c r="B1463" i="1"/>
  <c r="B1462" i="1"/>
  <c r="L1461" i="1"/>
  <c r="B1461" i="1"/>
  <c r="L1460" i="1" l="1"/>
  <c r="B1460" i="1"/>
  <c r="L1459" i="1"/>
  <c r="B1459" i="1"/>
  <c r="L1458" i="1"/>
  <c r="B1458" i="1"/>
  <c r="B1457" i="1"/>
  <c r="L1457" i="1"/>
  <c r="B1456" i="1"/>
  <c r="L1456" i="1"/>
  <c r="L1455" i="1"/>
  <c r="B1455" i="1"/>
  <c r="L1453" i="1"/>
  <c r="B1453" i="1"/>
  <c r="B1454" i="1" l="1"/>
  <c r="L1454" i="1"/>
  <c r="B1452" i="1"/>
  <c r="L1452" i="1"/>
  <c r="L1451" i="1"/>
  <c r="B1451" i="1"/>
  <c r="L1450" i="1" l="1"/>
  <c r="B1450" i="1"/>
  <c r="B1449" i="1"/>
  <c r="B1448" i="1"/>
  <c r="L1449" i="1"/>
  <c r="L1448" i="1"/>
  <c r="B1447" i="1"/>
  <c r="L1447" i="1"/>
  <c r="B1446" i="1"/>
  <c r="L1446" i="1"/>
  <c r="B1445" i="1"/>
  <c r="L1445" i="1"/>
  <c r="B1444" i="1"/>
  <c r="L1444" i="1"/>
  <c r="B1443" i="1"/>
  <c r="L1443" i="1"/>
  <c r="L1442" i="1"/>
  <c r="B1442" i="1"/>
  <c r="B1441" i="1"/>
  <c r="L1441" i="1"/>
  <c r="B1440" i="1"/>
  <c r="L1440" i="1"/>
  <c r="L1439" i="1"/>
  <c r="B1439" i="1"/>
  <c r="L1438" i="1" l="1"/>
  <c r="B1438" i="1"/>
  <c r="B1437" i="1"/>
  <c r="L1437" i="1"/>
  <c r="L1436" i="1" l="1"/>
  <c r="B1436" i="1"/>
  <c r="B1435" i="1" l="1"/>
  <c r="L1435" i="1"/>
  <c r="L1434" i="1"/>
  <c r="B1434" i="1"/>
  <c r="L1433" i="1"/>
  <c r="B1433" i="1"/>
  <c r="B1432" i="1"/>
  <c r="L1432" i="1"/>
  <c r="L1431" i="1"/>
  <c r="B1431" i="1"/>
  <c r="B1430" i="1"/>
  <c r="L1430" i="1"/>
  <c r="L1429" i="1"/>
  <c r="B1429" i="1"/>
  <c r="L1428" i="1"/>
  <c r="B1428" i="1"/>
  <c r="B1426" i="1"/>
  <c r="L1426" i="1"/>
  <c r="B1427" i="1"/>
  <c r="L1427" i="1"/>
  <c r="L1425" i="1"/>
  <c r="B1425" i="1"/>
  <c r="B1424" i="1"/>
  <c r="B1423" i="1"/>
  <c r="L1424" i="1"/>
  <c r="L1423" i="1"/>
  <c r="B1422" i="1"/>
  <c r="L1422" i="1"/>
  <c r="L1421" i="1"/>
  <c r="B1421" i="1"/>
  <c r="B1420" i="1"/>
  <c r="L1420" i="1"/>
  <c r="L1419" i="1"/>
  <c r="B1419" i="1"/>
  <c r="L1418" i="1"/>
  <c r="B1418" i="1"/>
  <c r="L1417" i="1"/>
  <c r="B1417" i="1"/>
  <c r="L1416" i="1"/>
  <c r="B1416" i="1"/>
  <c r="L1415" i="1"/>
  <c r="B1415" i="1"/>
  <c r="L1414" i="1"/>
  <c r="B1414" i="1"/>
  <c r="L1413" i="1"/>
  <c r="B1413" i="1"/>
  <c r="L1412" i="1"/>
  <c r="B1412" i="1"/>
  <c r="L1411" i="1"/>
  <c r="B1411" i="1"/>
  <c r="L1409" i="1" l="1"/>
  <c r="B1409" i="1"/>
  <c r="L1410" i="1"/>
  <c r="B1410" i="1"/>
  <c r="L1408" i="1"/>
  <c r="B1408" i="1"/>
  <c r="L1407" i="1"/>
  <c r="B1407" i="1"/>
  <c r="B1406" i="1"/>
  <c r="B1394" i="1"/>
  <c r="L1406" i="1"/>
  <c r="L1405" i="1"/>
  <c r="B1405" i="1"/>
  <c r="L1404" i="1" l="1"/>
  <c r="B1404" i="1"/>
  <c r="L1403" i="1"/>
  <c r="B1403" i="1"/>
  <c r="L1402" i="1"/>
  <c r="B1402" i="1"/>
  <c r="B1401" i="1" l="1"/>
  <c r="L1401" i="1"/>
  <c r="L1400" i="1"/>
  <c r="B1400" i="1"/>
  <c r="B1399" i="1"/>
  <c r="L1399" i="1"/>
  <c r="L1397" i="1"/>
  <c r="B1397" i="1"/>
  <c r="L1398" i="1"/>
  <c r="B1398" i="1"/>
  <c r="B1396" i="1"/>
  <c r="L1396" i="1"/>
  <c r="L1395" i="1"/>
  <c r="B1395" i="1"/>
  <c r="L1394" i="1" l="1"/>
  <c r="L1393" i="1"/>
  <c r="B1393" i="1"/>
  <c r="B1392" i="1"/>
  <c r="L1392" i="1"/>
  <c r="L1391" i="1"/>
  <c r="B1391" i="1"/>
  <c r="L1390" i="1"/>
  <c r="B1390" i="1"/>
  <c r="L1389" i="1"/>
  <c r="B1389" i="1"/>
  <c r="L1388" i="1"/>
  <c r="B1388" i="1"/>
  <c r="L1387" i="1"/>
  <c r="B1387" i="1"/>
  <c r="L1386" i="1"/>
  <c r="L1385" i="1"/>
  <c r="B1385" i="1"/>
  <c r="L1384" i="1"/>
  <c r="B1384" i="1"/>
  <c r="L1383" i="1"/>
  <c r="B1383" i="1"/>
  <c r="L1382" i="1"/>
  <c r="B1382" i="1"/>
  <c r="B1376" i="1"/>
  <c r="B1377" i="1"/>
  <c r="B1378" i="1"/>
  <c r="B1379" i="1"/>
  <c r="B1380" i="1"/>
  <c r="B1381" i="1"/>
  <c r="L1381" i="1"/>
  <c r="L1380" i="1"/>
  <c r="L1379" i="1"/>
  <c r="L1376" i="1"/>
  <c r="L1377" i="1"/>
  <c r="L1378" i="1"/>
  <c r="L1375" i="1"/>
  <c r="B1375" i="1"/>
  <c r="L1374" i="1"/>
  <c r="B1374" i="1"/>
  <c r="L1373" i="1"/>
  <c r="B1373" i="1"/>
  <c r="B1371" i="1"/>
  <c r="B1372" i="1"/>
  <c r="L1372" i="1"/>
  <c r="L1371" i="1"/>
  <c r="L1370" i="1"/>
  <c r="B1370" i="1"/>
  <c r="L1369" i="1"/>
  <c r="B1369" i="1"/>
  <c r="L1368" i="1" l="1"/>
  <c r="B1368" i="1"/>
  <c r="L1367" i="1"/>
  <c r="B1367"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86" i="1"/>
  <c r="L1346" i="1"/>
  <c r="L1365" i="1"/>
  <c r="L1364" i="1"/>
  <c r="L1363" i="1"/>
  <c r="L1362" i="1"/>
  <c r="L1361" i="1"/>
  <c r="L1356" i="1"/>
  <c r="L1355" i="1"/>
  <c r="L1354" i="1"/>
  <c r="L1353" i="1"/>
  <c r="L1352" i="1"/>
  <c r="L1351" i="1"/>
  <c r="L1350" i="1"/>
  <c r="L1341" i="1"/>
  <c r="L1317" i="1"/>
  <c r="L1349" i="1"/>
  <c r="L1348" i="1"/>
  <c r="L1347" i="1"/>
  <c r="L1345" i="1"/>
  <c r="L1344" i="1"/>
  <c r="L1343" i="1"/>
  <c r="L1342" i="1"/>
  <c r="L1340" i="1"/>
  <c r="L1339" i="1"/>
  <c r="L1338" i="1"/>
  <c r="L1337" i="1"/>
  <c r="L1336" i="1"/>
  <c r="L1335" i="1"/>
  <c r="L1334" i="1"/>
  <c r="L1333" i="1"/>
  <c r="L1332" i="1"/>
  <c r="L1330" i="1"/>
  <c r="L1328" i="1"/>
  <c r="L1329" i="1"/>
  <c r="L1327" i="1"/>
  <c r="B2" i="1"/>
  <c r="B3" i="1"/>
  <c r="B4" i="1"/>
  <c r="L1326" i="1"/>
  <c r="L1323" i="1"/>
  <c r="L1322" i="1"/>
  <c r="L1320" i="1"/>
  <c r="L1319" i="1"/>
  <c r="L1318" i="1"/>
  <c r="L1316" i="1"/>
  <c r="L1315" i="1"/>
  <c r="L1313" i="1"/>
  <c r="L1312" i="1"/>
  <c r="L1314" i="1"/>
  <c r="L1311" i="1"/>
  <c r="L1310" i="1"/>
  <c r="L1321" i="1"/>
  <c r="L1325" i="1"/>
  <c r="L1331" i="1"/>
  <c r="L1357" i="1"/>
  <c r="L1358" i="1"/>
  <c r="L1359" i="1"/>
  <c r="L1360" i="1"/>
  <c r="L1309" i="1"/>
  <c r="L1308" i="1"/>
  <c r="L1307" i="1"/>
  <c r="L1305" i="1"/>
  <c r="L1306" i="1"/>
  <c r="L1304" i="1"/>
  <c r="L1303" i="1"/>
  <c r="L1302" i="1"/>
  <c r="L1301" i="1"/>
  <c r="L1300" i="1"/>
  <c r="L1299" i="1"/>
  <c r="L1298" i="1"/>
  <c r="L1297" i="1"/>
  <c r="L1296" i="1"/>
  <c r="L1295" i="1"/>
  <c r="L1294" i="1"/>
  <c r="L1293" i="1"/>
  <c r="L1292" i="1"/>
  <c r="L1291" i="1"/>
  <c r="L1290" i="1"/>
  <c r="L1289" i="1"/>
  <c r="L1288" i="1"/>
  <c r="L1287" i="1"/>
  <c r="L1285" i="1"/>
  <c r="L1286" i="1"/>
  <c r="L1284" i="1"/>
  <c r="L1283" i="1"/>
  <c r="L1282" i="1"/>
  <c r="L1281" i="1"/>
  <c r="L1280" i="1"/>
  <c r="L1278" i="1"/>
  <c r="L1279" i="1"/>
  <c r="L1277" i="1"/>
  <c r="L1276" i="1"/>
  <c r="L1275" i="1"/>
  <c r="L1274" i="1"/>
  <c r="L1272" i="1"/>
  <c r="L1273" i="1"/>
  <c r="L1271" i="1"/>
  <c r="L1270" i="1"/>
  <c r="L1269" i="1"/>
  <c r="L1268" i="1"/>
  <c r="L1267" i="1"/>
  <c r="L1266" i="1"/>
  <c r="L1265" i="1"/>
  <c r="L1264" i="1"/>
  <c r="L1263" i="1"/>
  <c r="L1262" i="1"/>
  <c r="L1260" i="1"/>
  <c r="L1261" i="1"/>
  <c r="L1259" i="1"/>
  <c r="L1258" i="1"/>
  <c r="L1257" i="1"/>
  <c r="L1256" i="1"/>
  <c r="L1255" i="1"/>
  <c r="L1247" i="1"/>
  <c r="L1254" i="1"/>
  <c r="L1253" i="1"/>
  <c r="L1252" i="1"/>
  <c r="L1251" i="1"/>
  <c r="L1250" i="1"/>
  <c r="L1249" i="1"/>
  <c r="L1246" i="1"/>
  <c r="L1245" i="1"/>
  <c r="L1244" i="1"/>
  <c r="L1243" i="1"/>
  <c r="L1242" i="1"/>
  <c r="L1241" i="1"/>
  <c r="L1240" i="1"/>
  <c r="L1233" i="1"/>
  <c r="L1239" i="1"/>
  <c r="L1238" i="1"/>
  <c r="L1237" i="1"/>
  <c r="L1236" i="1"/>
  <c r="L1235" i="1"/>
  <c r="L1234" i="1"/>
  <c r="L1232" i="1"/>
  <c r="L1231" i="1"/>
  <c r="L1230" i="1"/>
  <c r="L1229" i="1"/>
  <c r="L1228" i="1"/>
  <c r="L1227" i="1"/>
  <c r="L1226" i="1"/>
  <c r="L1225" i="1"/>
  <c r="L1223" i="1"/>
  <c r="L1224" i="1"/>
  <c r="L1222" i="1"/>
  <c r="L1221" i="1"/>
  <c r="L1220" i="1"/>
  <c r="L1219" i="1"/>
  <c r="L1218" i="1"/>
  <c r="L1217" i="1"/>
  <c r="L1216" i="1"/>
  <c r="L1215" i="1"/>
  <c r="L1214" i="1"/>
  <c r="L1213" i="1"/>
  <c r="L1212" i="1"/>
  <c r="L1211" i="1"/>
  <c r="L1210" i="1"/>
  <c r="L1209" i="1"/>
  <c r="L1208" i="1"/>
  <c r="L1207" i="1"/>
  <c r="L1206" i="1"/>
  <c r="L1205" i="1"/>
  <c r="L1204" i="1"/>
  <c r="L1203" i="1"/>
  <c r="L1202" i="1"/>
  <c r="L1190" i="1"/>
  <c r="L1201" i="1"/>
  <c r="L1200" i="1"/>
  <c r="L1199" i="1"/>
  <c r="L1198" i="1"/>
  <c r="L1197" i="1"/>
  <c r="L1196" i="1"/>
  <c r="L1195" i="1"/>
  <c r="L1194" i="1"/>
  <c r="L1193" i="1"/>
  <c r="L1192" i="1"/>
  <c r="L1191" i="1"/>
  <c r="L1189" i="1"/>
  <c r="L1188" i="1" l="1"/>
  <c r="L1185" i="1"/>
  <c r="L1187" i="1"/>
  <c r="L1186"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38" i="1"/>
  <c r="L1143" i="1"/>
  <c r="L1142" i="1"/>
  <c r="L1141" i="1"/>
  <c r="L1140" i="1"/>
  <c r="L1139" i="1"/>
  <c r="L1137" i="1"/>
  <c r="L1136" i="1"/>
  <c r="L1135" i="1"/>
  <c r="L1134" i="1"/>
  <c r="L1133" i="1"/>
  <c r="L1132" i="1"/>
  <c r="L1131" i="1"/>
  <c r="L1123" i="1"/>
  <c r="L1130" i="1"/>
  <c r="L1129" i="1"/>
  <c r="L1128" i="1"/>
  <c r="L1126" i="1"/>
  <c r="L1127" i="1"/>
  <c r="L1125" i="1"/>
  <c r="L1124" i="1"/>
  <c r="L1121" i="1"/>
  <c r="L1122" i="1"/>
  <c r="L1120" i="1"/>
  <c r="L1119" i="1"/>
  <c r="L1118" i="1"/>
  <c r="L1117" i="1"/>
  <c r="L1116" i="1"/>
  <c r="L1115" i="1"/>
  <c r="L1114" i="1"/>
  <c r="L1113" i="1"/>
  <c r="L1112" i="1"/>
  <c r="L1111" i="1"/>
  <c r="L1110" i="1"/>
  <c r="L1109" i="1"/>
  <c r="L1108" i="1"/>
  <c r="L1107" i="1"/>
  <c r="L1106" i="1"/>
  <c r="L1099" i="1"/>
  <c r="L1105" i="1"/>
  <c r="L1104" i="1"/>
  <c r="L1103" i="1"/>
  <c r="L1100" i="1"/>
  <c r="L1101" i="1"/>
  <c r="L1102" i="1"/>
  <c r="L1098" i="1"/>
  <c r="L1097" i="1"/>
  <c r="L1096" i="1"/>
  <c r="L1095" i="1"/>
  <c r="L1094" i="1"/>
  <c r="L1093" i="1"/>
  <c r="L1092" i="1"/>
  <c r="L1091" i="1"/>
  <c r="L1090" i="1"/>
  <c r="L1089" i="1"/>
  <c r="L1088" i="1"/>
  <c r="L1087" i="1"/>
  <c r="L1086" i="1"/>
  <c r="L1085" i="1"/>
  <c r="L1084" i="1"/>
  <c r="L1083" i="1"/>
  <c r="L1082" i="1"/>
  <c r="L1081" i="1"/>
  <c r="L1080" i="1"/>
  <c r="L1079" i="1"/>
  <c r="L1078" i="1"/>
  <c r="L1076" i="1"/>
  <c r="L1077" i="1"/>
  <c r="L1075" i="1"/>
  <c r="L1074" i="1"/>
  <c r="L1073" i="1"/>
  <c r="L1072" i="1"/>
  <c r="L1070" i="1"/>
  <c r="L1071" i="1"/>
  <c r="L1069" i="1"/>
  <c r="L1068" i="1"/>
  <c r="L1066" i="1"/>
  <c r="L1067" i="1"/>
  <c r="L1065" i="1"/>
  <c r="L1064" i="1"/>
  <c r="L1062" i="1"/>
  <c r="L1063" i="1"/>
  <c r="L1061" i="1"/>
  <c r="L1057" i="1"/>
  <c r="L1060" i="1"/>
  <c r="L1059" i="1"/>
  <c r="L1058"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07" i="1"/>
  <c r="L1020" i="1"/>
  <c r="L1019" i="1"/>
  <c r="L1018" i="1"/>
  <c r="L1017" i="1"/>
  <c r="L1016" i="1"/>
  <c r="L1015" i="1"/>
  <c r="L1014" i="1"/>
  <c r="L1013" i="1"/>
  <c r="L1012" i="1"/>
  <c r="L1011" i="1"/>
  <c r="L1010" i="1"/>
  <c r="L1008" i="1"/>
  <c r="L1009" i="1"/>
  <c r="L1006" i="1"/>
  <c r="L1003" i="1"/>
  <c r="L1005" i="1"/>
  <c r="L1004" i="1"/>
  <c r="L1002" i="1"/>
  <c r="L1001" i="1"/>
  <c r="L1000" i="1"/>
  <c r="L999" i="1"/>
  <c r="L998" i="1"/>
  <c r="L993" i="1"/>
  <c r="L997" i="1"/>
  <c r="L996" i="1"/>
  <c r="L995" i="1"/>
  <c r="L992" i="1"/>
  <c r="L991" i="1"/>
  <c r="L994"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4" i="1"/>
  <c r="L929" i="1"/>
  <c r="L928" i="1"/>
  <c r="L927" i="1"/>
  <c r="L926" i="1"/>
  <c r="L925"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23" i="1"/>
  <c r="L824" i="1"/>
  <c r="L825" i="1"/>
  <c r="L826" i="1"/>
  <c r="L827" i="1"/>
  <c r="L828" i="1"/>
  <c r="L829" i="1"/>
  <c r="L830" i="1"/>
  <c r="L831" i="1"/>
  <c r="L832" i="1"/>
  <c r="L833" i="1"/>
  <c r="L834" i="1"/>
  <c r="L835" i="1"/>
  <c r="L819" i="1"/>
  <c r="L818" i="1"/>
  <c r="L817" i="1"/>
  <c r="L816" i="1"/>
  <c r="L815" i="1"/>
  <c r="L814" i="1"/>
  <c r="L813" i="1"/>
  <c r="L812" i="1"/>
  <c r="L811" i="1"/>
  <c r="L810" i="1"/>
  <c r="L809" i="1"/>
  <c r="L808" i="1"/>
  <c r="L807" i="1"/>
  <c r="L806" i="1"/>
  <c r="L805" i="1"/>
  <c r="L804" i="1"/>
  <c r="L803" i="1"/>
  <c r="L802" i="1"/>
  <c r="L801" i="1"/>
  <c r="L799" i="1"/>
  <c r="L798" i="1"/>
  <c r="L797" i="1"/>
  <c r="L796" i="1"/>
  <c r="L795" i="1"/>
  <c r="L794"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4" i="1"/>
  <c r="L765"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7" i="1"/>
  <c r="L726" i="1"/>
  <c r="L725" i="1"/>
  <c r="L724" i="1"/>
  <c r="L723" i="1"/>
  <c r="L722" i="1"/>
  <c r="L721" i="1"/>
  <c r="L719" i="1"/>
  <c r="L718" i="1"/>
  <c r="L720"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68" i="1"/>
  <c r="L669" i="1"/>
  <c r="L670" i="1"/>
  <c r="L671" i="1"/>
  <c r="L672" i="1"/>
  <c r="L673" i="1"/>
  <c r="L674" i="1"/>
  <c r="L667" i="1"/>
  <c r="L665" i="1"/>
  <c r="L666" i="1"/>
  <c r="L664" i="1"/>
  <c r="L663" i="1"/>
  <c r="L662" i="1"/>
  <c r="L661" i="1"/>
  <c r="L660" i="1"/>
  <c r="L659" i="1"/>
  <c r="L657" i="1"/>
  <c r="L656" i="1"/>
  <c r="L655" i="1"/>
  <c r="L654" i="1"/>
  <c r="L653" i="1"/>
  <c r="L652" i="1"/>
  <c r="L651" i="1"/>
  <c r="L650" i="1"/>
  <c r="L649" i="1"/>
  <c r="L648" i="1"/>
  <c r="L645" i="1"/>
  <c r="L646" i="1"/>
  <c r="L647" i="1"/>
  <c r="L640" i="1"/>
  <c r="L644" i="1"/>
  <c r="L643" i="1"/>
  <c r="L642" i="1"/>
  <c r="L641" i="1"/>
  <c r="L639" i="1"/>
  <c r="L638" i="1"/>
  <c r="L637" i="1"/>
  <c r="L636" i="1"/>
  <c r="L634" i="1"/>
  <c r="L635" i="1"/>
  <c r="L633" i="1"/>
  <c r="L632" i="1"/>
  <c r="L628" i="1"/>
  <c r="L631" i="1"/>
  <c r="L630" i="1"/>
  <c r="L629" i="1"/>
  <c r="L627" i="1"/>
  <c r="L626" i="1"/>
  <c r="L625" i="1"/>
  <c r="L624" i="1"/>
  <c r="L620" i="1"/>
  <c r="L623" i="1"/>
  <c r="L622" i="1"/>
  <c r="L621" i="1"/>
  <c r="L618" i="1"/>
  <c r="L619" i="1"/>
  <c r="L617" i="1"/>
  <c r="L616" i="1"/>
  <c r="L614" i="1"/>
  <c r="L615" i="1"/>
  <c r="L612" i="1"/>
  <c r="L613" i="1"/>
  <c r="L611" i="1"/>
  <c r="L610" i="1"/>
  <c r="L609" i="1"/>
  <c r="L608" i="1"/>
  <c r="L607" i="1"/>
  <c r="L606" i="1"/>
  <c r="L605" i="1"/>
  <c r="L604" i="1"/>
  <c r="L603" i="1"/>
  <c r="J82" i="4"/>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5" i="1"/>
  <c r="L576" i="1"/>
  <c r="L574" i="1"/>
  <c r="L573" i="1"/>
  <c r="L572" i="1"/>
  <c r="L571" i="1"/>
  <c r="L570" i="1"/>
  <c r="L569" i="1"/>
  <c r="L568" i="1"/>
  <c r="L560" i="1"/>
  <c r="L561"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489" i="1"/>
  <c r="L490" i="1"/>
  <c r="L503" i="1"/>
  <c r="L504" i="1"/>
  <c r="L505" i="1"/>
  <c r="L506" i="1"/>
  <c r="L507" i="1"/>
  <c r="L508" i="1"/>
  <c r="L509" i="1"/>
  <c r="L510" i="1"/>
  <c r="L511" i="1"/>
  <c r="L512" i="1"/>
  <c r="L513" i="1"/>
  <c r="L514" i="1"/>
  <c r="L515" i="1"/>
  <c r="L516" i="1"/>
  <c r="L517" i="1"/>
  <c r="L502" i="1"/>
  <c r="L501" i="1"/>
  <c r="L500" i="1"/>
  <c r="L499" i="1"/>
  <c r="L498" i="1"/>
  <c r="L497" i="1"/>
  <c r="L496" i="1"/>
  <c r="L495" i="1"/>
  <c r="L494" i="1"/>
  <c r="L493" i="1"/>
  <c r="L492" i="1"/>
  <c r="L491" i="1"/>
  <c r="L488" i="1"/>
  <c r="L487" i="1"/>
  <c r="L486" i="1"/>
  <c r="L485"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59" i="1"/>
  <c r="L458" i="1"/>
  <c r="L443" i="1"/>
  <c r="L444" i="1"/>
  <c r="L445" i="1"/>
  <c r="L446" i="1"/>
  <c r="L447" i="1"/>
  <c r="L448" i="1"/>
  <c r="L449" i="1"/>
  <c r="L450" i="1"/>
  <c r="L451" i="1"/>
  <c r="L452" i="1"/>
  <c r="L453" i="1"/>
  <c r="L454" i="1"/>
  <c r="L455" i="1"/>
  <c r="L456" i="1"/>
  <c r="L457" i="1"/>
  <c r="L442" i="1"/>
  <c r="L441" i="1"/>
  <c r="L440" i="1"/>
  <c r="L439" i="1"/>
  <c r="L438"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383" i="1"/>
  <c r="L384" i="1"/>
  <c r="L385" i="1"/>
  <c r="J78" i="4"/>
  <c r="J77" i="4"/>
  <c r="J76" i="4"/>
  <c r="J75" i="4"/>
  <c r="J74" i="4"/>
  <c r="J73" i="4"/>
  <c r="L372" i="1"/>
  <c r="L382" i="1"/>
  <c r="L381" i="1"/>
  <c r="L380" i="1"/>
  <c r="L379" i="1"/>
  <c r="L378" i="1"/>
  <c r="L377" i="1"/>
  <c r="L376" i="1"/>
  <c r="L375" i="1"/>
  <c r="L374" i="1"/>
  <c r="L373" i="1"/>
  <c r="L371" i="1"/>
  <c r="L370" i="1"/>
  <c r="L369" i="1"/>
  <c r="L368" i="1"/>
  <c r="L367" i="1"/>
  <c r="L366" i="1"/>
  <c r="L365" i="1"/>
  <c r="L364" i="1"/>
  <c r="L363" i="1"/>
  <c r="L362" i="1"/>
  <c r="L361" i="1"/>
  <c r="L360" i="1"/>
  <c r="L359" i="1"/>
  <c r="L358" i="1"/>
  <c r="L357" i="1"/>
  <c r="L356" i="1"/>
  <c r="L355" i="1"/>
  <c r="L354" i="1"/>
  <c r="L353" i="1"/>
  <c r="L352" i="1"/>
  <c r="L351" i="1"/>
  <c r="J72" i="4"/>
  <c r="J67" i="4"/>
  <c r="J66" i="4"/>
  <c r="J65" i="4"/>
  <c r="J64" i="4"/>
  <c r="J63" i="4"/>
  <c r="J62" i="4"/>
  <c r="J61" i="4"/>
  <c r="J60" i="4"/>
  <c r="J59" i="4"/>
  <c r="J58" i="4"/>
  <c r="J57" i="4"/>
  <c r="J56" i="4"/>
  <c r="J55" i="4"/>
  <c r="J54" i="4"/>
  <c r="J53" i="4"/>
  <c r="J52" i="4"/>
  <c r="J51" i="4"/>
  <c r="J50" i="4"/>
  <c r="J49" i="4"/>
  <c r="L350" i="1"/>
  <c r="L340" i="1"/>
  <c r="L339" i="1"/>
  <c r="L338" i="1"/>
  <c r="L337" i="1"/>
  <c r="L330" i="1"/>
  <c r="L336" i="1"/>
  <c r="L335" i="1"/>
  <c r="L334" i="1"/>
  <c r="L333" i="1"/>
  <c r="L332" i="1"/>
  <c r="L331" i="1"/>
  <c r="L327" i="1"/>
  <c r="L329" i="1"/>
  <c r="L326" i="1"/>
  <c r="L322" i="1"/>
  <c r="L323" i="1"/>
  <c r="L324" i="1"/>
  <c r="L325"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224" i="1"/>
  <c r="L225" i="1"/>
  <c r="L226" i="1"/>
  <c r="L227" i="1"/>
  <c r="J44" i="4"/>
  <c r="J43" i="4"/>
  <c r="J8" i="4"/>
  <c r="J7" i="4"/>
  <c r="J6" i="4"/>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J2" i="4" l="1"/>
  <c r="J3" i="4"/>
  <c r="J4" i="4"/>
  <c r="J5" i="4"/>
  <c r="N2" i="3"/>
  <c r="N3" i="3"/>
  <c r="N4" i="3"/>
  <c r="N5" i="3"/>
  <c r="N6" i="3"/>
  <c r="N7" i="3"/>
  <c r="N8" i="3"/>
  <c r="N9" i="3"/>
  <c r="N10" i="3"/>
  <c r="N11" i="3"/>
  <c r="N12" i="3"/>
  <c r="N13" i="3"/>
  <c r="N14" i="3"/>
  <c r="N15" i="3"/>
  <c r="N16" i="3"/>
  <c r="N18" i="3"/>
  <c r="N19" i="3"/>
  <c r="N20" i="3"/>
  <c r="N21" i="3"/>
  <c r="N22" i="3"/>
  <c r="N23" i="3"/>
  <c r="N24" i="3"/>
  <c r="N25" i="3"/>
  <c r="N26" i="3"/>
  <c r="N27" i="3"/>
  <c r="N28" i="3"/>
  <c r="N29" i="3"/>
  <c r="N30" i="3"/>
  <c r="N31" i="3"/>
  <c r="N32" i="3"/>
  <c r="N33" i="3"/>
  <c r="N34" i="3"/>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<sst xmlns="http://schemas.openxmlformats.org/spreadsheetml/2006/main" count="25930" uniqueCount="3598">
  <si>
    <t>N° ordre</t>
  </si>
  <si>
    <t>7 derniers jours?</t>
  </si>
  <si>
    <t>Date</t>
  </si>
  <si>
    <t>Heure</t>
  </si>
  <si>
    <t>N° Train</t>
  </si>
  <si>
    <t>Rame</t>
  </si>
  <si>
    <t>Motrice / Cab</t>
  </si>
  <si>
    <t>MRM</t>
  </si>
  <si>
    <t>IMEI</t>
  </si>
  <si>
    <t>Sens</t>
  </si>
  <si>
    <t>Km</t>
  </si>
  <si>
    <t>Intervalle</t>
  </si>
  <si>
    <t>Niveau ETCS</t>
  </si>
  <si>
    <t xml:space="preserve">Evénement </t>
  </si>
  <si>
    <t>Cause_racine</t>
  </si>
  <si>
    <t>Analyse SMMRGV</t>
  </si>
  <si>
    <t>Sous Système mis en cause</t>
  </si>
  <si>
    <t>Action</t>
  </si>
  <si>
    <t>Execution HO</t>
  </si>
  <si>
    <t>RxQual</t>
  </si>
  <si>
    <t>RxLev</t>
  </si>
  <si>
    <t>Voisinage (10sec)</t>
  </si>
  <si>
    <t>Com DTE-DCE</t>
  </si>
  <si>
    <t>Ecart</t>
  </si>
  <si>
    <t>Retransmission trames HDLC/T.70</t>
  </si>
  <si>
    <t>Alarmes BTS</t>
  </si>
  <si>
    <t>Traité par</t>
  </si>
  <si>
    <t>CIRE</t>
  </si>
  <si>
    <t>CIERS</t>
  </si>
  <si>
    <t>Acquittement AUC</t>
  </si>
  <si>
    <t>BUG RBC</t>
  </si>
  <si>
    <t>Liens PAI</t>
  </si>
  <si>
    <t>Pilote</t>
  </si>
  <si>
    <t>Échéance</t>
  </si>
  <si>
    <t>M1</t>
  </si>
  <si>
    <t>Tanger/Casa</t>
  </si>
  <si>
    <t>N2</t>
  </si>
  <si>
    <t>Ralentissement du train</t>
  </si>
  <si>
    <t>H.O non finalisé entre 212 et 213,bonne qualité / niveau de signal Requête de déconnexion a été envoyé par le RBC</t>
  </si>
  <si>
    <t>BORD</t>
  </si>
  <si>
    <t>H.O non finalisé entre 212 et 213</t>
  </si>
  <si>
    <t>dl Rxqual=3</t>
  </si>
  <si>
    <t>dl rx level= -63 dbm</t>
  </si>
  <si>
    <t>NOK</t>
  </si>
  <si>
    <t>moyenne</t>
  </si>
  <si>
    <t>retransmission des trames HDLC*5</t>
  </si>
  <si>
    <t>H.O non finalisé entre 219 et 220,bonne qualité / niveau de signal Requête de déconnexion a été envoyé par le RBC</t>
  </si>
  <si>
    <t>GSMR</t>
  </si>
  <si>
    <t xml:space="preserve">dans l'attente des mesures radio </t>
  </si>
  <si>
    <t>recule non reussi entre 219 et 220</t>
  </si>
  <si>
    <t>dl rx level= -78 dbm</t>
  </si>
  <si>
    <t>OK</t>
  </si>
  <si>
    <t>Mauvais</t>
  </si>
  <si>
    <t>recule non reussi  202 et 201,Mauvaise qualité de signal Requête de déconnexion a été envoyé par le RBC</t>
  </si>
  <si>
    <t>BORD/GSMR</t>
  </si>
  <si>
    <t>recule non reussi entre 202 et 201</t>
  </si>
  <si>
    <t>dl Rxqual=7</t>
  </si>
  <si>
    <t>dl rx level= -53 dbm</t>
  </si>
  <si>
    <t>Arrêt du train</t>
  </si>
  <si>
    <t>H.O non finalisé entre 202 et 203,Mauvaise qualité  de signal Requête de déconnexion a été envoyé par le RBC</t>
  </si>
  <si>
    <t xml:space="preserve">Le 14/01 Changement de cable coaxial  de la rame 1207 M1 </t>
  </si>
  <si>
    <t>H.O non finalisé entre 202 et 203</t>
  </si>
  <si>
    <t>enchainement 325-&gt;226-&gt;228-&gt;227 ; mauvaise  qualité de signal , requête déconnexion envoyé par le RBC</t>
  </si>
  <si>
    <t>le 09/01  verification de VSWR de l'antenne de la rame 1209 M1</t>
  </si>
  <si>
    <t>325-&gt;226-&gt;228-&gt;227</t>
  </si>
  <si>
    <t>dl rx level= -97 dbm</t>
  </si>
  <si>
    <t>retransmission des trames HDLC*3</t>
  </si>
  <si>
    <t>recule de la cellule 327 vers la cellule 325 , bonne qualité/niveau de signal , requête déconnexion envoyé par le RBC</t>
  </si>
  <si>
    <t>recule 327 vers 325</t>
  </si>
  <si>
    <t>dl Rxqual=0</t>
  </si>
  <si>
    <t>dl rx level= -79 dbm</t>
  </si>
  <si>
    <t>M2</t>
  </si>
  <si>
    <t>Casa/Tanger</t>
  </si>
  <si>
    <t>H.O complet  entre 303 et 202,Mauvaise qualité  de signal Requête de déconnexion a été envoyé par le Bord</t>
  </si>
  <si>
    <t>H.O Complet entre 303 et 202</t>
  </si>
  <si>
    <t>dl rx level= -57 dbm</t>
  </si>
  <si>
    <t>H.O non finalisé entre 230 et 231,bonne qualité / niveau de signal Requête de déconnexion a été envoyé par le RBC</t>
  </si>
  <si>
    <t>H.O non finalisé entre 230 et 231</t>
  </si>
  <si>
    <t>dl Rxqual=2</t>
  </si>
  <si>
    <t>dl rx level= -69 dbm</t>
  </si>
  <si>
    <t>H.O complet  entre 234 et 333,Mauvaise qualité  de signal Requête de déconnexion a été envoyé par le RBC</t>
  </si>
  <si>
    <t>H.O Complet entre 234 et 333</t>
  </si>
  <si>
    <t>dl rx level= -65 dbm</t>
  </si>
  <si>
    <t>H.O non finalisé entre 223 et 222,Mauvaise qualité de signal Requête de déconnexion a été envoyé par le RBC</t>
  </si>
  <si>
    <t>H.O non finalisé entre 223 et 222</t>
  </si>
  <si>
    <t>dl rx level= -66 dbm</t>
  </si>
  <si>
    <t>mauvais</t>
  </si>
  <si>
    <t>H.O complet  entre 303 et 202,Mauvaise qualité  de signal Requête de déconnexion a été envoyé par le RBC</t>
  </si>
  <si>
    <t>H.O complet  entre 219 et 320,Mauvaise qualité de signal Requête de déconnexion a été envoyé par le Bord</t>
  </si>
  <si>
    <t>H.O Complet entre 219 et 320</t>
  </si>
  <si>
    <t>dl rx level= -70 dbm</t>
  </si>
  <si>
    <t>H.O non finalisé entre 205 et 206,Mauvaise qualité de signal Requête de déconnexion a été envoyé par le RBC</t>
  </si>
  <si>
    <t>H.O non finalisé entre 205 et 206</t>
  </si>
  <si>
    <t>dl Rxqual=6</t>
  </si>
  <si>
    <t>dl rx level= -87 dbm</t>
  </si>
  <si>
    <t>recule  de la cellule 330vers la cellue 331,Mauvaise qualité de signal Requête de déconnexion a été envoyé par le RBC</t>
  </si>
  <si>
    <t>Recule de 330  vers 331</t>
  </si>
  <si>
    <t>dl rx level= -68 dbm</t>
  </si>
  <si>
    <t>Bon</t>
  </si>
  <si>
    <t>H.O complet  entre 224 et 225,Bonne  qualité  de signal Requête de déconnexion a été envoyé par le RBC</t>
  </si>
  <si>
    <t>H.O Complet entre 224 et 225</t>
  </si>
  <si>
    <t>dl Rxqual=1</t>
  </si>
  <si>
    <t>dl rx level= -64 dbm</t>
  </si>
  <si>
    <t>pas de retransmission des trames HDLC</t>
  </si>
  <si>
    <t>H.O complet  entre 319 et 318,Bonne  qualité /niveau  de signal Requête de déconnexion a été envoyé a travers la BTS</t>
  </si>
  <si>
    <t>RBC</t>
  </si>
  <si>
    <t>En attente de verification des traces RBC</t>
  </si>
  <si>
    <t>H.O Complet entre 319 et318</t>
  </si>
  <si>
    <t>dl rx level= -56 dbm</t>
  </si>
  <si>
    <t>deux tentative de H.O nn reussi entre 323 et 322 ,mauvaise qualité de signal , requête déconnexion envoyé par le RBC</t>
  </si>
  <si>
    <t xml:space="preserve"> Permutation des cartes radio active / stand by au niveau de la cellule 22 le 05/02</t>
  </si>
  <si>
    <t>H.O non finalisé entre 323 et 22</t>
  </si>
  <si>
    <t>dl rx level= -77 dbm</t>
  </si>
  <si>
    <t>ping pong / recule non reussi entre 331 eeet 232 ,Mauvaise qualité   de signal Requête de déconnexion a été envoyé par le Bord</t>
  </si>
  <si>
    <t>Attente reponse ingenieurie  SMM-RGV</t>
  </si>
  <si>
    <t>Ping pong entre 330 et 331</t>
  </si>
  <si>
    <t>dl Rxqual=5</t>
  </si>
  <si>
    <t>H.O complet  entre 327 et 328,Bonne  qualité /niveau  de signal Requête de déconnexion a été envoyé a travers la BTS</t>
  </si>
  <si>
    <t>Signalisation</t>
  </si>
  <si>
    <t>H.O Complet entre 327et328</t>
  </si>
  <si>
    <t>dl rx level= -48 dbm</t>
  </si>
  <si>
    <t>H.O complet  entre 324 et 323,Bonne  qualité /niveau  de signal Requête de déconnexion a été envoyé a travers la BTS</t>
  </si>
  <si>
    <t>H.O Complet entre 324 et323</t>
  </si>
  <si>
    <t>H.O complet  entre 315 et 314,Bonne  qualité /niveau  de signal Requête de déconnexion a été envoyé par RBC</t>
  </si>
  <si>
    <t>H.O Complet entre 315 et314</t>
  </si>
  <si>
    <t>dl rx level= -59 dbm</t>
  </si>
  <si>
    <t>H.O complet  entre 303 et 202,Bonne  qualité /niveau  de signal Requête de déconnexion a été envoyé par RBC</t>
  </si>
  <si>
    <t>Non specifie</t>
  </si>
  <si>
    <t xml:space="preserve">Programmer une reunion afin d'analyser les traces </t>
  </si>
  <si>
    <t>H.O Complet entre 303 et202</t>
  </si>
  <si>
    <t>H.O complet  entre 216 et 217,Bonne  qualité /niveau  de signal Requête de déconnexion a été envoyé par RBC</t>
  </si>
  <si>
    <t>H.O Complet entre 216 et217</t>
  </si>
  <si>
    <t>ping pong entre 201 et 302 ,Bonne qualité de signal Requête de déconnexion a été envoyé par le RBC</t>
  </si>
  <si>
    <t>Ping pong entre 201 et 302</t>
  </si>
  <si>
    <t>probléme de communication entre Bord et RBC , 4 requête train position envoyé par Bord Ho complèt entre 214 et 313</t>
  </si>
  <si>
    <t>Remplacement de balise 510442-1 la nuit du 06-02 au 07/02</t>
  </si>
  <si>
    <t>H.O Complet entre 314 et 213</t>
  </si>
  <si>
    <t>dl rx level= -60 dbm</t>
  </si>
  <si>
    <t>défaut de lecture Balise au point d'information 510442-1, HO non finalisé entre 314 et 313</t>
  </si>
  <si>
    <t>H.O non finalisé entre 314 et 313</t>
  </si>
  <si>
    <t>dl rx level= -71 dbm</t>
  </si>
  <si>
    <t>H.O non finalisé entre 308 et 307 , Bonne qualité/ niveau de signal , une requête déconnexion envoyé par le Bord</t>
  </si>
  <si>
    <t>H.O non finalisé entre 308 et 307</t>
  </si>
  <si>
    <t>H.O complet  entre 312 et 213,Bonne  qualité /niveau  de signal Requête de déconnexion a été envoyé par RBC</t>
  </si>
  <si>
    <t>Remplacement de  l'ensemble du circuit antennaire du GSM-R3/4 qui se compose de : IHM MONOMODE (Version 1M3)  ;Tiroir Radio MONODE(Version 1M3);Cable Coaxial neuf ;Antenne GSM-R3/4 neuve&lt;=&gt; S08</t>
  </si>
  <si>
    <t>H.O Complet entre 312 et 213</t>
  </si>
  <si>
    <t>retransmission des trames HDLC*4</t>
  </si>
  <si>
    <t>H.O complet  entre 324 et 323,moyenne qualité de signal Requête de déconnexion a été envoyé par RBC</t>
  </si>
  <si>
    <t>H.O Complet entre 324 et 323</t>
  </si>
  <si>
    <t>H.O complet  entre 215 et 216,Bonne  qualité /niveau  de signal Requête de déconnexion a été envoyé par RBC</t>
  </si>
  <si>
    <t>RBC/BORD</t>
  </si>
  <si>
    <t>Rame verifié  durant la semaine S06 par smmrgv ; vswr bon ; puissance 37 ; 33</t>
  </si>
  <si>
    <t>H.O Complet entre 215 et 216</t>
  </si>
  <si>
    <t>H.O complet  entre 207 et 208,Bonne  qualité /niveau  de signal Requête de déconnexion a été envoyé par RBC</t>
  </si>
  <si>
    <t xml:space="preserve">rame verifié Puissance 32,9 ; vswr bon </t>
  </si>
  <si>
    <t>H.O Complet entre 207 et 208</t>
  </si>
  <si>
    <t>dl rx level= -51 dbm</t>
  </si>
  <si>
    <t xml:space="preserve">Mauvais </t>
  </si>
  <si>
    <t>H.O complet  entre 321 et 320,Bonne  qualité /niveau  de signal Requête de déconnexion a été envoyé par RBC</t>
  </si>
  <si>
    <t xml:space="preserve">En attente de verification de la chaine antennaire de la rame </t>
  </si>
  <si>
    <t>H.O Complet entre 321 et 320</t>
  </si>
  <si>
    <t>H.O complet  entre 323 et 222,Bonne  qualité /niveau  de signal Requête de déconnexion a été envoyé par RBC</t>
  </si>
  <si>
    <t xml:space="preserve">Rame verifié par SMMRGV " Puissance 36,68 ; VSWR bon . Verification des tilts mecanique "bon" , switching des cartes radio " aucune amélioration" ;   </t>
  </si>
  <si>
    <t>H.O Complet entre 323 et 222</t>
  </si>
  <si>
    <t>H.O complet  entre 205 et 206,Bonne  qualité /niveau  de signal Requête de déconnexion a été envoyé par RBC</t>
  </si>
  <si>
    <t>H.O Complet entre 205 et 206</t>
  </si>
  <si>
    <t>dl rx level= -62 dbm</t>
  </si>
  <si>
    <t>H.O Failure  entre 330 et 331,Bonne  qualité /niveau  de signal Requête de déconnexion a été envoyé par le Bord</t>
  </si>
  <si>
    <t>H.O non finalisé entre 330 et 231</t>
  </si>
  <si>
    <t>H.O complet  entre 211 et 212,Bonne  qualité /niveau  de signal Requête de déconnexion a été envoyé par RBC</t>
  </si>
  <si>
    <t xml:space="preserve">dans l'attente de verification de la rame 1209 </t>
  </si>
  <si>
    <t>H.O Complet entre 211 et 212</t>
  </si>
  <si>
    <t>dl rx level= -47 dbm</t>
  </si>
  <si>
    <t>H.O Failure  entre 327 et 326,Bonne  qualité /niveau  de signal Requête de déconnexion a été envoyé par le RBC</t>
  </si>
  <si>
    <t>reverification de la rame 1212 M2</t>
  </si>
  <si>
    <t>H.O non finalisé entre 327 et 326</t>
  </si>
  <si>
    <t>H.O complet  entre 234 et 233,Bonne  qualité /niveau  de signal Requête de déconnexion a été envoyé par RBC</t>
  </si>
  <si>
    <t>Des requêtes envoyé par le bord , aucune reponse cote RBC</t>
  </si>
  <si>
    <t>H.O Complet entre 234 et 233</t>
  </si>
  <si>
    <t>Ecart de la rame mauvais ; à verifier</t>
  </si>
  <si>
    <t>H.O complet  entre 324 et 223,Bonne  qualité /niveau  de signal Requête de déconnexion a été envoyé par RBC</t>
  </si>
  <si>
    <t>H.O Complet entre 324 et 223</t>
  </si>
  <si>
    <t>H.O Complet entre 315 et 314</t>
  </si>
  <si>
    <t>dl rx level= -52 dbm</t>
  </si>
  <si>
    <t>H.O complet  entre 216 et 315,Bonne  qualité /niveau  de signal Requête de déconnexion a été envoyé par le RBC</t>
  </si>
  <si>
    <t>H.O Complet entre 216 et 315</t>
  </si>
  <si>
    <t>H.O complet  entre 204 et 205,Bonne  qualité /niveau  de signal Requête de déconnexion a été envoyé par le RBC</t>
  </si>
  <si>
    <t>Puissance de la rame 1208 M1 dégradé</t>
  </si>
  <si>
    <t>H.O Complet entre 204 et 205</t>
  </si>
  <si>
    <t>H.O complet  entre 317 et 316,Bonne  qualité /niveau  de signal Requête de déconnexion a été envoyé par le RBC , absence de réponse coté bord , dans l'attente d'analyse des traces JRU</t>
  </si>
  <si>
    <t>H.O Complet entre 317 et 316</t>
  </si>
  <si>
    <t>H.O Failure  entre 211 et 212,Bonne  qualité /niveau  de signal Requête de déconnexion a été envoyé par le RBC</t>
  </si>
  <si>
    <t xml:space="preserve">H.O non finalisé entre 211 et 212 </t>
  </si>
  <si>
    <t>H.O complet  entre 234 et 233,Bonne  qualité /niveau  de signal Requête de déconnexion a été envoyé par le RBC</t>
  </si>
  <si>
    <t>verification de la chaine antennaire</t>
  </si>
  <si>
    <t>H.O complet  entre 333 et 332,Bonne  qualité /niveau  de signal Requête de déconnexion a été envoyé a travers la BTS</t>
  </si>
  <si>
    <t>H.O Complet entre 333 et 332</t>
  </si>
  <si>
    <t>dl rx level= -50 dbm</t>
  </si>
  <si>
    <t>H.O complet  entre 303 et 202,Bonne  qualité /niveau  de signal Requête de déconnexion a été envoyé par le Bord</t>
  </si>
  <si>
    <t>H.O complet  entre 303 et 204,Bonne  qualité /niveau  de signal Requête de déconnexion a été envoyé par RBC</t>
  </si>
  <si>
    <t>H.O Complet entre 303 et 204</t>
  </si>
  <si>
    <t>Moyenne</t>
  </si>
  <si>
    <t>H.O non finalisé entre 323 et 222,Bonne  qualité /niveau  de signal Requête de déconnexion a été envoyé par RBC</t>
  </si>
  <si>
    <t>experimentation coté bord le 15/02/2024</t>
  </si>
  <si>
    <t>H.O Complet entre 210 et 211</t>
  </si>
  <si>
    <t>dl rx level= -67 dbm</t>
  </si>
  <si>
    <t>fonctionement anormal du RBC "AUI non justifié" ; attente reception de rapport de conduite</t>
  </si>
  <si>
    <t>H.O complet  entre 319 et 318,  qualité de signal moyenne ,Requête de déconnexion a été envoyé par RBC</t>
  </si>
  <si>
    <t>H.O Complet entre 319 et 318</t>
  </si>
  <si>
    <t>dl Rxqual=4</t>
  </si>
  <si>
    <t>H.O Failure  entre 223 et 321,Mauvaise qualité /niveau  de signal Requête de déconnexion a été envoyé par le Bord</t>
  </si>
  <si>
    <t>saut de la cellule 22</t>
  </si>
  <si>
    <t>H.O non finalisé entre 318 et 217,Mauvaise qualité /niveau  de signal Requête de déconnexion a été envoyé par Bord</t>
  </si>
  <si>
    <t>H.O non finalisé entre 318 et 217</t>
  </si>
  <si>
    <t>dl rx level= -85 dbm</t>
  </si>
  <si>
    <t>H.O Failure  entre 307 et 306,Bonne qualité /niveau  de signal Requête de déconnexion a été envoyé par le Bord</t>
  </si>
  <si>
    <t>H.O non finalisé entre 307 et 306</t>
  </si>
  <si>
    <t>H.O complet  entre 224 et 225,Bonne  qualité /niveau  de signal Requête de déconnexion a été envoyé par RBC</t>
  </si>
  <si>
    <t>H.O complet  entre 215 et 216, qualité de signal moyenne  ,Requête de déconnexion a été envoyé par RBC</t>
  </si>
  <si>
    <t>H.O complet  entre 216 et 217,Bonne qualité de signal   ,Requête de déconnexion a été envoyé par RBC</t>
  </si>
  <si>
    <t>H.O Complet entre 216 et 217</t>
  </si>
  <si>
    <t>H.O complet  entre 203 et 204,qualité de signal moyenne  ,Requête de déconnexion a été envoyé par RBC</t>
  </si>
  <si>
    <t>H.O Complet entre 203 et 204</t>
  </si>
  <si>
    <t>dl rx level= -81 dbm</t>
  </si>
  <si>
    <t>H.O Failure  entre 318 et 217,mauvaise   qualité /niveau  de signal Requête de déconnexion a été envoyé par le Bord</t>
  </si>
  <si>
    <t>Tiroir remplacé  de la 1205 motrice 2 le 21/02/2024</t>
  </si>
  <si>
    <t>dl rx level= -80 dbm</t>
  </si>
  <si>
    <t>Pas de retransmission des trames HDLC</t>
  </si>
  <si>
    <t>H.O complet  entre 327 et 326,Bonne  qualité de signal  ,Requête de déconnexion a été envoyé par RBC</t>
  </si>
  <si>
    <t>H.O Complet entre 327 et 326</t>
  </si>
  <si>
    <t>dl rx level= -61 dbm</t>
  </si>
  <si>
    <t>H.O complet  entre 205 et 206,  Bonne qualité de signal  ,Requête de déconnexion a été envoyé par RBC</t>
  </si>
  <si>
    <t>H.O Failure  entre 222 et 323,mauvaise   qualité /niveau  de signal Requête de déconnexion a été envoyé par le Bord</t>
  </si>
  <si>
    <t>H.O non finalisé entre 222 et 323</t>
  </si>
  <si>
    <t>dl rx level= -110 dbm</t>
  </si>
  <si>
    <t>H.O complet  entre 330 et 329,  Bonne qualité de signal  ,Requête de déconnexion a été envoyé par RBC</t>
  </si>
  <si>
    <t>A planifier apres</t>
  </si>
  <si>
    <t>H.O Complet entre 330 et 329</t>
  </si>
  <si>
    <t>H.O Failure  entre 313 et 212,mauvaise   qualité /niveau  de signal Requête de déconnexion a été envoyé par le Bord</t>
  </si>
  <si>
    <t>Planification Urgent pour verification par la SMMRGV</t>
  </si>
  <si>
    <t>H.O non finalisé entre 313 et 212</t>
  </si>
  <si>
    <t>H.O complet  entre 224 et 323,  Bonne qualité de signal  ,Requête de déconnexion a été envoyé par RBC</t>
  </si>
  <si>
    <t>H.O Complet entre 224 et 323</t>
  </si>
  <si>
    <t>H.O complet  entre 305 et 204,  qualité de signal moyenne   ,Requête de déconnexion a été envoyé par RBC</t>
  </si>
  <si>
    <t>H.O Complet entre 305 et 204</t>
  </si>
  <si>
    <t>ping pong entre 227 et 228 ,Bonne qualité de signal Requête de déconnexion a été envoyé par le RBC</t>
  </si>
  <si>
    <t>Ping pong  entre 227 et 228</t>
  </si>
  <si>
    <t>H.O complet  entre 317 et 216,  Bonne qualité de signal  ,Requête de déconnexion a été envoyé par RBC</t>
  </si>
  <si>
    <t>H.O Complet entre 317 et 216</t>
  </si>
  <si>
    <t>H.O complet  entre 303 et 204,  Bonne qualité de signal  ,Requête de déconnexion a été envoyé par RBC</t>
  </si>
  <si>
    <t>dl rx level= -58 dbm</t>
  </si>
  <si>
    <t>H.O complet  entre 209 et 210,  Bonne qualité de signal  ,Requête de déconnexion a été envoyé par RBC</t>
  </si>
  <si>
    <t>H.O Complet entre 209 et 210</t>
  </si>
  <si>
    <t>H.O complet  entre 314 et 313,  Bonne qualité de signal  ,Requête de déconnexion a été envoyé par RBC</t>
  </si>
  <si>
    <t>H.O Complet entre 314 et 313</t>
  </si>
  <si>
    <t>H.O complet  entre 211 et 212,  Bonne qualité de signal  ,Requête de déconnexion a été envoyé par RBC</t>
  </si>
  <si>
    <t>H.O complet  entre 214 et 215,  Bonne qualité de signal  ,Requête de déconnexion a été envoyé par RBC</t>
  </si>
  <si>
    <t xml:space="preserve">dans l'attente de verification de la rame </t>
  </si>
  <si>
    <t>H.O Complet entre 214 et 215</t>
  </si>
  <si>
    <t>H.O complet  entre 303 et 202,  Bonne qualité de signal  ,Requête de déconnexion a été envoyé par RBC</t>
  </si>
  <si>
    <t>H.O non finalisé entre  303 et 202,  Mauvaise qualité de signal  ,Requête de déconnexion a été envoyé par Bord</t>
  </si>
  <si>
    <t>H.O Non Finalisé entre 303 et 202</t>
  </si>
  <si>
    <t>H.O complet  entre 222 et 323,  Bonne qualité de signal  ,Requête de déconnexion a été envoyé par RBC</t>
  </si>
  <si>
    <t>H.O Complet entre 222 et 323</t>
  </si>
  <si>
    <t>H.O complet  entre 202 et 303,  Bonne qualité de signal  ,Requête de déconnexion a été envoyé par RBC</t>
  </si>
  <si>
    <t>H.O Complet entre 202 et 303</t>
  </si>
  <si>
    <t>H.O complet  entre 330 et 329,  Mauvaise qualité de signal  ,Requête de déconnexion a été envoyé par RBC</t>
  </si>
  <si>
    <t>H.O complet  entre 222 et 321,  Bonne qualité de signal  ,Requête de déconnexion a été envoyé par Bord</t>
  </si>
  <si>
    <t>H.O Complet entre 222 et 321</t>
  </si>
  <si>
    <t>dl rx level= -76 dbm</t>
  </si>
  <si>
    <t>H.O non finalisé entre  222 et 223,  Bonne qualité de signal  ,Requête de déconnexion a été envoyé par RBC</t>
  </si>
  <si>
    <t>H.O Non Finalisé entre 222 et 223</t>
  </si>
  <si>
    <t>H.O complet  entre 307 et 306,  Bonne qualité de signal  ,Requête de déconnexion a été envoyé par RBC</t>
  </si>
  <si>
    <t>H.O Complet entre 307 et 306</t>
  </si>
  <si>
    <t>H.O non finalisé entre 212 et 213,  Bonne qualité de signal  ,Requête de déconnexion a été envoyé par RBC</t>
  </si>
  <si>
    <t>rame a été verifié ; vswr 1,73</t>
  </si>
  <si>
    <t>H.O complet  entre 309 et 308,  Bonne qualité de signal  ,Requête de déconnexion a été envoyé par RBC</t>
  </si>
  <si>
    <t>H.O Complet entre 309 et 308</t>
  </si>
  <si>
    <t>H.O complet  entre 305 et 204,  Bonne qualité de signal  ,Requête de déconnexion a été envoyé par RBC</t>
  </si>
  <si>
    <t>accrochage au nouveau secteur 591 ,</t>
  </si>
  <si>
    <t>H.O non finalisé entre 303 et 202,  Bonne qualité de signal  ,Requête de déconnexion a été envoyé par RBC</t>
  </si>
  <si>
    <t>H.O complet entre 215 et 216;  Bonne qualité de signal  ,Requête de déconnexion a été envoyé par RBC</t>
  </si>
  <si>
    <t>H.O complet entre 215 et 216</t>
  </si>
  <si>
    <t>H.O complet entre 222 et 223,  Bonne qualité de signal  ,Requête de déconnexion a été envoyé par RBC</t>
  </si>
  <si>
    <t>H.O complet entre 222 et 223</t>
  </si>
  <si>
    <t>H.O comple entre 321 et 320,  Bonne qualité de signal  ,Requête de déconnexion a été envoyé par RBC</t>
  </si>
  <si>
    <t>H.O complet entre 321 et 320</t>
  </si>
  <si>
    <t>H.O comple entre 331 et 330,  Bonne qualité de signal  ,Requête de déconnexion a été envoyé par RBC</t>
  </si>
  <si>
    <t>H.O complet entre 331 et 330</t>
  </si>
  <si>
    <t>dl rx level= -62dbm</t>
  </si>
  <si>
    <t>H.O comple entre 204 et 303,  mauvaise qualité de signal  ,Requête de déconnexion a été envoyé par RBC</t>
  </si>
  <si>
    <t>H.O complet entre 204 et 303</t>
  </si>
  <si>
    <t>H.O comple entre 213 et 214,  Bonne qualité de signal  ,Requête de déconnexion a été envoyé par RBC</t>
  </si>
  <si>
    <t>Dans l'attente de la vérification de la rame</t>
  </si>
  <si>
    <t>H.O complet entre 213 et 214</t>
  </si>
  <si>
    <t>H.O Non Finalisé entre 326 et 227,  Bonne qualité de signal  ,Requête de déconnexion a été envoyé par RBC</t>
  </si>
  <si>
    <t xml:space="preserve"> 
Analyse des statistiques HO</t>
  </si>
  <si>
    <t>H.O Non Finalisé entre 326 et 227</t>
  </si>
  <si>
    <t>H.O Complet entre 332 et 331,  Bonne qualité de signal  ,Requête de déconnexion a été envoyé par RBC</t>
  </si>
  <si>
    <t>Vérification de la chaine antennaire durant la s11</t>
  </si>
  <si>
    <t>H.O complet entre 332 et 331</t>
  </si>
  <si>
    <t>H.O Complet entre 330 et 329,  Moyenne qualité de signal  ,Requête de déconnexion a été envoyé par RBC</t>
  </si>
  <si>
    <t>Replanification de vérification de la rame</t>
  </si>
  <si>
    <t>H.O complet entre 330 et 329</t>
  </si>
  <si>
    <t>H.O Complet entre 217 et 218,  Bonne qualité de signal  ,Requête de déconnexion a été envoyé par RBC</t>
  </si>
  <si>
    <t xml:space="preserve"> 
Demande de remplacement cab radio</t>
  </si>
  <si>
    <t>H.O complet entre 217 et 218</t>
  </si>
  <si>
    <t>dl rx level= -83 dbm</t>
  </si>
  <si>
    <t>H.O Non Finalisé entre 232 et 233,  Bonne qualité de signal  ,Requête de déconnexion a été envoyé par RBC</t>
  </si>
  <si>
    <t>Demande de remplacement cab radio suite à une puissance dégradée</t>
  </si>
  <si>
    <t>H.O Non Finalisé entre 232 et 233</t>
  </si>
  <si>
    <t>H.O Complet entre 206 et 207,  Bonne qualité de signal  ,Requête de déconnexion a été envoyé par RBC</t>
  </si>
  <si>
    <t>H.O complet entre 206 et 207</t>
  </si>
  <si>
    <t>H.O Complet entre 324 et 225,  Bonne qualité de signal  ,Requête de déconnexion a été envoyé par RBC</t>
  </si>
  <si>
    <t xml:space="preserve"> 
Replanification de vérification de la rame</t>
  </si>
  <si>
    <t>H.O complet entre 324 et 225</t>
  </si>
  <si>
    <t>H.O Complet entre 321 et 320,  Bonne qualité de signal  ,Requête de déconnexion a été envoyé par RBC</t>
  </si>
  <si>
    <t xml:space="preserve"> 
Dans l'attente de vérification de la rame</t>
  </si>
  <si>
    <t>dl rx level= -73 dbm</t>
  </si>
  <si>
    <t>H.O Complet entre 221 et 222,  Bonne qualité de signal  ,Requête de déconnexion a été envoyé par RBC</t>
  </si>
  <si>
    <t>H.O complet entre 221 et 222</t>
  </si>
  <si>
    <t>H.O Complet entre 331 et 330,  Mauvaise qualité de signal  ,Requête de déconnexion a été envoyé par RBC</t>
  </si>
  <si>
    <t>Zone Sous surveillance</t>
  </si>
  <si>
    <t>dl rx level= -58dbm</t>
  </si>
  <si>
    <t>H.O non finalisé entre 223 et 222,  Mauvaise qualité de signal  ,Requête de déconnexion a été envoyé par RBC</t>
  </si>
  <si>
    <t>H.O non Finalisé entre 223 et 222</t>
  </si>
  <si>
    <t>dl rx level= -95 dbm</t>
  </si>
  <si>
    <t>H.O non finalisé entre 203 et 302, Mauvaise qualité de signal  ,Requête de déconnexion a été envoyé par RBC</t>
  </si>
  <si>
    <t>H.O non Finalisé entre 203 et 302</t>
  </si>
  <si>
    <t xml:space="preserve"> 15:21:17</t>
  </si>
  <si>
    <t>H.O non finalisé entre 213 et 214,  Mauvaise qualité de signal  ,Requête de déconnexion a été envoyé par RBC</t>
  </si>
  <si>
    <t>H.O non finalisé entre 213 et 214</t>
  </si>
  <si>
    <t>moyen</t>
  </si>
  <si>
    <t>H.O non finalisé entre 202 et 203,  Bonne qualité de signal  ,Requête de déconnexion a été envoyé par RBC</t>
  </si>
  <si>
    <t>Rame Sous surveillance</t>
  </si>
  <si>
    <t>H.O Complet entre 304 et 303,  Bonne qualité de signal  ,Requête de déconnexion a été envoyé par RBC</t>
  </si>
  <si>
    <t>H.O complet entre 304 et 303</t>
  </si>
  <si>
    <t>H.O Complet entre 319 et 318,  Bonne qualité de signal  ,Requête de déconnexion a été envoyé par RBC</t>
  </si>
  <si>
    <t>H.O complet entre 319 et 318</t>
  </si>
  <si>
    <t>dl rx level= -72 dbm</t>
  </si>
  <si>
    <t>H.O Complet entre 303 et 302,  Bonne qualité de signal  ,Requête de déconnexion a été envoyé par RBC</t>
  </si>
  <si>
    <t>H.O complet entre 303 et 302</t>
  </si>
  <si>
    <t>H.O Complet entre 223 et 224,  Bonne qualité de signal  ,Requête de déconnexion a été envoyé par RBC</t>
  </si>
  <si>
    <t>vérification de la Rame plannififé la semaine 15/04/2024</t>
  </si>
  <si>
    <t>H.O complet entre 223 et 224</t>
  </si>
  <si>
    <t>H.O Complet entre 303 et 302,  mauvaise qualité de signal  ,Requête de déconnexion a été envoyé par RBC</t>
  </si>
  <si>
    <t>Rame sous surveillance</t>
  </si>
  <si>
    <t>H.O Complet entre 230 et 231,  Bonne qualité de signal  ,Requête de déconnexion a été envoyé par RBC</t>
  </si>
  <si>
    <t xml:space="preserve">en attente de croisement des traces GRU </t>
  </si>
  <si>
    <t>H.O complet entre 230 et 231</t>
  </si>
  <si>
    <t>H.O Complet entre 201 et 302,  mauvaise qualité de signal  ,Requête de déconnexion a été envoyé par RBC</t>
  </si>
  <si>
    <t>Analyse Spéctrale Prévu le 16/04/2024</t>
  </si>
  <si>
    <t>H.O complet entre 201 et 302</t>
  </si>
  <si>
    <t>H.O non finalisé entre 323 et 324  bonne qualité de signal  ,Requête de déconnexion a été envoyé par RBC</t>
  </si>
  <si>
    <t>vérification de la chaine antennaire prévu</t>
  </si>
  <si>
    <t>H.O complet entre 323 et 324</t>
  </si>
  <si>
    <t>H.O non finalisé entre 306 et 205  bonne qualité de signal  ,Requête de déconnexion a été envoyé par le MSC</t>
  </si>
  <si>
    <t>rame SS</t>
  </si>
  <si>
    <t>H.O non Finalisé entre 306 et 205</t>
  </si>
  <si>
    <t>dl rx level= -92 dbm</t>
  </si>
  <si>
    <t>H.O non finalisé entre 204 et  303 bonne qualité de signal  ,Requête de déconnexion a été envoyé par le RBC</t>
  </si>
  <si>
    <t>analyse Spéctrale Prévu le 16/04/2024</t>
  </si>
  <si>
    <t>H.O non Finalisé entre  204 et 303</t>
  </si>
  <si>
    <t>H.O non finalisé entre 223 et 222 Mauvaise qualité de signal  ,Requête de déconnexion a été envoyé par le RBC</t>
  </si>
  <si>
    <t>rame ss</t>
  </si>
  <si>
    <t>H.O non Finalisé entre  223 et 222</t>
  </si>
  <si>
    <t>dl rx level= -84 dbm</t>
  </si>
  <si>
    <t>H.O non finalisé entre 213 et 214 Mauvaise qualité de signal  ,Requête de déconnexion a été envoyé par le RBC</t>
  </si>
  <si>
    <t>H.O non Finalisé entre  213 et 214</t>
  </si>
  <si>
    <t>dl rx level= -82 dbm</t>
  </si>
  <si>
    <t>H.O non finalisé entre 330 et 329 Mauvaise qualité de signal  ,Requête de déconnexion a été envoyé par le Bord</t>
  </si>
  <si>
    <t>H.O non Finalisé entre  330 et 329</t>
  </si>
  <si>
    <t>H.O Complet entre 226 et 227 Bonne qualité de signal  ,Requête de déconnexion a été envoyé par le RBC</t>
  </si>
  <si>
    <t>VSWR en attente d'atteindre 1,8 pour lancer une vérification</t>
  </si>
  <si>
    <t>H.O Complet entre  226 et 227</t>
  </si>
  <si>
    <t>H.O Complet entre 323 et 324 Bonne qualité de signal  ,Requête de déconnexion a été envoyé par le RBC</t>
  </si>
  <si>
    <t>H.O Complet entre 323 et 324</t>
  </si>
  <si>
    <t>H.O Complet entre 211 et 312 Bonne qualité de signal  ,Requête de déconnexion a été envoyé par le RBC</t>
  </si>
  <si>
    <t xml:space="preserve">planification de la vérification en cours </t>
  </si>
  <si>
    <t>H.O Complet entre 211 et 312</t>
  </si>
  <si>
    <t>H.O Complet entre 332 et 331,  mauvaise qualité de signal  ,Requête de déconnexion a été envoyé par RBC</t>
  </si>
  <si>
    <t>dl rx level= -42 dbm</t>
  </si>
  <si>
    <t>H.O Complet entre 213 et 214,  bonne qualité de signal  ,Requête de déconnexion a été envoyé par RBC</t>
  </si>
  <si>
    <t>H.O Complet entre 215 et 216,  bonne qualité de signal  ,Requête de déconnexion a été envoyé par RBC</t>
  </si>
  <si>
    <t>H.O non finalisé entre 303 et 202 Mauvaise qualité de signal  ,Requête de déconnexion a été envoyé par le Bord</t>
  </si>
  <si>
    <t xml:space="preserve">analyse Spéctrale Prévu </t>
  </si>
  <si>
    <t>H.O non Finalisé entre  303 et 202</t>
  </si>
  <si>
    <t>dl rx level= -55 dbm</t>
  </si>
  <si>
    <t>H.O non finalisé entre 318 et 217 Mauvaise qualité de signal  ,Requête de déconnexion a été envoyé par le Bord</t>
  </si>
  <si>
    <t>H.O non Finalisé entre  318 et 217</t>
  </si>
  <si>
    <t>H.O Complet entre 315 et 314,  bonne qualité de signal  ,Requête de déconnexion a été envoyé par RBC</t>
  </si>
  <si>
    <t>H.O complet entre 315 et 314</t>
  </si>
  <si>
    <t>H.O Complet entre 224 et 323,  bonne qualité de signal  ,Requête de déconnexion a été envoyé par RBC</t>
  </si>
  <si>
    <t>Vérification plannifié la semaine du 22</t>
  </si>
  <si>
    <t>H.O complet entre 224 et 323</t>
  </si>
  <si>
    <t>H.O non finalisé entre 309 et 210 bonne qualité de signal  ,Requête de déconnexion a été envoyé par le Bord</t>
  </si>
  <si>
    <t>H.O non Finalisé entre  309 et 210</t>
  </si>
  <si>
    <t>H.O non finalisé entre 323 et 224 mauvaise qualité de signal  ,Requête de déconnexion a été envoyé par RBC</t>
  </si>
  <si>
    <t>H.O non Finalisé entre  323 et 324</t>
  </si>
  <si>
    <t>H.O Complet entre 229 et 230  bonne qualité de signal  ,Requête de déconnexion a été envoyé par RBC</t>
  </si>
  <si>
    <t>Moyen</t>
  </si>
  <si>
    <t>H.O Complet entre 328 et 327  bonne qualité de signal  ,Requête de déconnexion a été envoyé par RBC</t>
  </si>
  <si>
    <t>H.O complet entre 328 et 327</t>
  </si>
  <si>
    <t>H.O Complet entre 309 et 210  bonne qualité de signal  ,Requête de déconnexion a été envoyé par RBC</t>
  </si>
  <si>
    <t xml:space="preserve">Planification de la vérification en cours </t>
  </si>
  <si>
    <t>H.O complet entre 309 et 210</t>
  </si>
  <si>
    <t>H.O Complet entre 231 et 232  bonne qualité de signal  ,Requête de déconnexion a été envoyé par RBC</t>
  </si>
  <si>
    <t>H.O complet entre 231 et 232</t>
  </si>
  <si>
    <t>dl rx level= -54 dbm</t>
  </si>
  <si>
    <t>H.O Complet entre 223 et 322  bonne qualité de signal  ,Requête de déconnexion a été envoyé par RBC</t>
  </si>
  <si>
    <t>en attendant croisement des traces JRU</t>
  </si>
  <si>
    <t>H.O complet entre 223 et 322</t>
  </si>
  <si>
    <t>H.O Complet entre 217 et 218  bonne qualité de signal  ,Requête de déconnexion a été envoyé par RBC</t>
  </si>
  <si>
    <t>GSMR_03/04</t>
  </si>
  <si>
    <t>Ho complet entre  203 et 204 bonne qualité de signal  ,Requête de déconnexion a été envoyé par RBC</t>
  </si>
  <si>
    <t>Ho complet entre  203 et 204</t>
  </si>
  <si>
    <t>GSMR_20/21</t>
  </si>
  <si>
    <t>Ho Complet entre 321 et 320 bonne qualité de signal  ,Requête de déconnexion a été envoyé par RBC</t>
  </si>
  <si>
    <t>Ho Complet entre 321 et 320</t>
  </si>
  <si>
    <t>GSMR_13/14</t>
  </si>
  <si>
    <t>Ho non complet entre  213 et 214 mauvaise qualité de signal  ,Requête de déconnexion a été envoyé par RBC</t>
  </si>
  <si>
    <t>Ho non complet entre  213 et 214</t>
  </si>
  <si>
    <t>Ho complet entre  314 et 213 mauvaise qualité de signal  ,Requête de déconnexion a été envoyé par RBC</t>
  </si>
  <si>
    <t xml:space="preserve">Statistique HO zone 13-14 </t>
  </si>
  <si>
    <t>Ho complet entre  314 et 213</t>
  </si>
  <si>
    <t>dl rx level= -49 dbm</t>
  </si>
  <si>
    <t>-</t>
  </si>
  <si>
    <t>H.O non finalisé entre 303 et 302 Mauvaise qualité de signal  ,Requête de déconnexion a été envoyé par RBC</t>
  </si>
  <si>
    <t>Attente analyse spectrale</t>
  </si>
  <si>
    <t>H.O non Finalisé entre  303 et 302</t>
  </si>
  <si>
    <t>H.O Complet entre 323 et 324  bonne qualité de signal  ,Requête de déconnexion a été envoyé par RBC</t>
  </si>
  <si>
    <t>H.O Complet entre 225 et 226  bonne qualité de signal  ,Requête de déconnexion a été envoyé par RBC</t>
  </si>
  <si>
    <t>H.O complet entre 225 et 226</t>
  </si>
  <si>
    <t>H.O Complet entre 209 et 210  bonne qualité de signal  ,Requête de déconnexion a été envoyé par RBC</t>
  </si>
  <si>
    <t>H.O complet entre 209 et 210</t>
  </si>
  <si>
    <t>H.O Complet entre 303 et 204  bonne qualité de signal  ,Requête de déconnexion a été envoyé par RBC</t>
  </si>
  <si>
    <t>H.O complet entre 303 et 204</t>
  </si>
  <si>
    <t>H.O Complet entre 208 et 307  bonne qualité de signal  ,Requête de déconnexion a été envoyé par RBC</t>
  </si>
  <si>
    <t>H.O complet entre 208 et 307</t>
  </si>
  <si>
    <t>H.O Complet entre 214 et 215 bonne qualité de signal ,Requête de déconnexion a été envoyé par RBC</t>
  </si>
  <si>
    <t>H.O complet entre 214 et 215</t>
  </si>
  <si>
    <t>H.O Complet entre 315 et 314 bonne qualité de signal ,Requête de déconnexion a été envoyé par RBC</t>
  </si>
  <si>
    <t>H.O non finalisé entre 222 et 321 Mauvaise qualité de signal  ,Requête de déconnexion a été envoyé par le Bord</t>
  </si>
  <si>
    <t>H.O non Finalisé entre  222 et 321</t>
  </si>
  <si>
    <t>H.O non finalisé entre 328 et 327 Mauvaise qualité de signal  ,Requête de déconnexion a été envoyé par le Bord</t>
  </si>
  <si>
    <t>H.O non Finalisé entre  328 et 327</t>
  </si>
  <si>
    <t>H.O non finalisé entre 326 et 325 bonne qualité de signal  ,Requête de déconnexion a été envoyé par le Bord</t>
  </si>
  <si>
    <t>H.O non Finalisé entre  326  et 325</t>
  </si>
  <si>
    <t>H.O Complet entre 303 et 202  Mauvaise qualité de signal  ,Requête de déconnexion a été envoyé par RBC</t>
  </si>
  <si>
    <t>dl rx level= -75 dbm</t>
  </si>
  <si>
    <t>H.O Complet entre 323 et 222 bonne qualité de signal ,Requête de déconnexion a été envoyé par RBC</t>
  </si>
  <si>
    <t>H.O Complet entre 303 et 302 Mauvaise qualité de signal ,Requête de déconnexion a été envoyé par RBC</t>
  </si>
  <si>
    <t>H.O Complet entre 303 et 302</t>
  </si>
  <si>
    <t>H.O Complet entre 206 et 207 bonne qualité de signal ,Requête de déconnexion a été envoyé par RBC</t>
  </si>
  <si>
    <t>H.O Complet entre 206 et 207</t>
  </si>
  <si>
    <t>H.O Complet entre 326 et 325 bonne qualité de signal ,Requête de déconnexion a été envoyé par RBC</t>
  </si>
  <si>
    <t>H.O Complet entre 326 et 325</t>
  </si>
  <si>
    <t>H.O Complet entre 319 et 318 bonne qualité de signal ,Requête de déconnexion a été envoyé par RBC</t>
  </si>
  <si>
    <t>H.O Complet entre 329 et 328 bonne qualité de signal ,Requête de déconnexion a été envoyé par RBC</t>
  </si>
  <si>
    <t>H.O Complet entre 329 et 328</t>
  </si>
  <si>
    <t>H.O Complet entre 330 et 329 Mauvaise qualité de signal ,Requête de déconnexion a été envoyé par MSC</t>
  </si>
  <si>
    <t>H.O Complet entre 301 et 302 bonne qualité de signal ,Requête de déconnexion a été envoyé par RBC</t>
  </si>
  <si>
    <t xml:space="preserve">action à plannifier </t>
  </si>
  <si>
    <t>H.O Complet entre 301 et 302</t>
  </si>
  <si>
    <t>H.O non finalisé 219 et 220 bonne qualité de signal ,Requête de déconnexion a été envoyé par RBC</t>
  </si>
  <si>
    <t>H.O non finalisé entre 219 et 220</t>
  </si>
  <si>
    <t>H.O Complet entre 318 et 217  bonne qualité de signal ,Requête de déconnexion a été envoyé par RBC</t>
  </si>
  <si>
    <t xml:space="preserve">H.O Complet entre 318 et 217 </t>
  </si>
  <si>
    <t>H.O Complet entre 301 et 202</t>
  </si>
  <si>
    <t>H.O Complet entre 208 et 307 bonne qualité de signal ,Requête de déconnexion a été envoyé par RBC</t>
  </si>
  <si>
    <t>H.O Complet entre 208 et 307</t>
  </si>
  <si>
    <t>H.O Complet entre 221 et 222 bonne qualité de signal ,Requête de déconnexion a été envoyé par RBC</t>
  </si>
  <si>
    <t xml:space="preserve">Attente vérification de la rame + zone sous surveillance </t>
  </si>
  <si>
    <t>H.O Complet entre 221 et 222</t>
  </si>
  <si>
    <t>H.O non finalisé entre 216 et 217 bonne qualité de signal ,Requête de déconnexion a été envoyé par RBC</t>
  </si>
  <si>
    <t xml:space="preserve">en attente d'instoration des filtres </t>
  </si>
  <si>
    <t>H.O non finalisé entre 216 et 217</t>
  </si>
  <si>
    <t>H.O Complet entre 318 et 319 bonne qualité de signal ,Requête de déconnexion a été envoyé par RBC</t>
  </si>
  <si>
    <t>H.O Complet entre 318 et 319</t>
  </si>
  <si>
    <t>H.O Complet entre 234 et 233 mauvaise qualité de signal ,Requête de déconnexion a été envoyé par RBC</t>
  </si>
  <si>
    <t>en attente d'instoration des filtres /chantier d'optimisation en cours</t>
  </si>
  <si>
    <t>H.O non finalisé entre 230 et 232 mauvaise qualité de signal ,Requête de déconnexion a été envoyé par le Bord</t>
  </si>
  <si>
    <t>en attente d'instoration des filtres /chantier d'optimisation sur le GSM-R 34</t>
  </si>
  <si>
    <t>H.O non finalisé entre 230 et 232</t>
  </si>
  <si>
    <t>H.O non finalisé entre 328 et 327 bonne qualité de signal ,Requête de déconnexion a été envoyé par RBC</t>
  </si>
  <si>
    <t>H.O non finalisé entre 328 et 327</t>
  </si>
  <si>
    <t xml:space="preserve">en attente rapport du conducteur </t>
  </si>
  <si>
    <t>H.O Complet entre 327 et 326 bonne qualité de signal ,Requête de déconnexion a été envoyé par RBC</t>
  </si>
  <si>
    <t>H.O Complet entre 311 et 310 bonne qualité de signal ,Requête de déconnexion a été envoyé par RBC</t>
  </si>
  <si>
    <t>H.O Complet entre 311 et 310</t>
  </si>
  <si>
    <t>dl rx level= -89 dbm</t>
  </si>
  <si>
    <t>H.O non finalisé entre 202 et 303 mauvaise qualité de signal ,Requête de déconnexion a été envoyé par RBC</t>
  </si>
  <si>
    <t>H.O non finalisé entre 231 et 232 mauvaise qualité de signal ,Requête de déconnexion a été envoyé par RBC</t>
  </si>
  <si>
    <t>H.O non finalisé entre 231 et 332</t>
  </si>
  <si>
    <t>H.O non finalisé entre 303 et 202 mauvaise qualité de signal ,Requête de déconnexion a été envoyé par RBC</t>
  </si>
  <si>
    <t>H.O non finalisé entre 303 et 202</t>
  </si>
  <si>
    <t>H.O finalisé entre 302 et 203 Bonne qualité de signal ,Requête de déconnexion a été envoyé à travers la BTS</t>
  </si>
  <si>
    <t>H.O Complet entre 302 et 203</t>
  </si>
  <si>
    <t>H.O non finalisé entre 302 et 203 mauvaise qualité de signal ,Requête de déconnexion a été envoyé par RBC</t>
  </si>
  <si>
    <t>H.O non finalisé entre 302 et 203</t>
  </si>
  <si>
    <t>H.O finalisé entre 202 et 303 mauvaise qualité de signal ,Requête de déconnexion a été envoyé par RBC</t>
  </si>
  <si>
    <t>H.O non finalisé entre 301 et 302 mauvaise qualité de signal ,Requête de déconnexion a été envoyé par RBC</t>
  </si>
  <si>
    <t>en attente décision de remplacement CAB Radio</t>
  </si>
  <si>
    <t>H.O non finalisé entre 301 et 302</t>
  </si>
  <si>
    <t>H.O finalisé entre 224 et 225 bonne qualité de signal ,Requête de déconnexion a été envoyé par RBC</t>
  </si>
  <si>
    <t>H.O finalisé entre 315 et 314 bonne qualité de signal ,Requête de déconnexion a été envoyé par RBC</t>
  </si>
  <si>
    <t>H.O finalisé entre 314 et 313 bonne qualité de signal ,Requête de déconnexion a été envoyé par le Bord</t>
  </si>
  <si>
    <t>H.O Complet entre 313 et 314</t>
  </si>
  <si>
    <t>H.O non finalisé entre 327 et 326  qualité de signal moyenne ,Requête de déconnexion a été envoyé par RBC</t>
  </si>
  <si>
    <t>H.O non finalisé entre 201 et 202  mauvaise qualité de signal  ,Requête de déconnexion a été envoyé par RBC</t>
  </si>
  <si>
    <t>H.O non finalisé entre 201et 202</t>
  </si>
  <si>
    <t>H.O non finalisé entre 228 et 229 qualité de signal moyenne  ,Requête de déconnexion a été envoyé par RBC</t>
  </si>
  <si>
    <t>H.O non finalisé entre 228 et 229</t>
  </si>
  <si>
    <t>H.O finalisé entre 226 et 327 bonne qualité de signal ,Requête de déconnexion a été envoyé par RBC</t>
  </si>
  <si>
    <t>H.O Complet entre 226 et 327</t>
  </si>
  <si>
    <t>H.O non finalisé entre 203 et 301  mauvaise qualité de signal  ,Requête de déconnexion a été envoyé par RBC</t>
  </si>
  <si>
    <t>H.O non finalisé entre 203 et 301</t>
  </si>
  <si>
    <t>H.O finalisé entre 323 et 324 bonne qualité de signal ,Requête de déconnexion a été envoyé par RBC</t>
  </si>
  <si>
    <t>H.O finalisé entre 202 et 203 bonne qualité de signal ,Requête de déconnexion a été envoyé par RBC</t>
  </si>
  <si>
    <t>H.O Complet entre 202 et 203</t>
  </si>
  <si>
    <t>H.O finalisé entre 321 et 322 bonne qualité de signal ,Requête de déconnexion a été envoyé par RBC</t>
  </si>
  <si>
    <t>H.O Complet entre 321 et 322</t>
  </si>
  <si>
    <t>H.O finalisé entre 309 et 208 bonne qualité de signal ,Requête de déconnexion a été envoyé par RBC</t>
  </si>
  <si>
    <t>H.O Complet entre 309 et 208</t>
  </si>
  <si>
    <t>dl rx level= -88 dbm</t>
  </si>
  <si>
    <t>H.O finalisé entre 309 et 310 bonne qualité de signal ,Requête de déconnexion a été envoyé par RBC</t>
  </si>
  <si>
    <t>H.O Complet entre 309 et 310</t>
  </si>
  <si>
    <t>H.O finalisé entre 305 et 204 bonne qualité de signal ,Requête de déconnexion a été envoyé par RBC</t>
  </si>
  <si>
    <t>H.O finalisé entre 208 et 209 bonne qualité de signal ,Requête de déconnexion a été envoyé par RBC</t>
  </si>
  <si>
    <t>H.O Complet entre 208 et 209</t>
  </si>
  <si>
    <t>H.O finalisé entre 328 et 327 bonne qualité de signal ,Requête de déconnexion a été envoyé par RBC</t>
  </si>
  <si>
    <t>Bord</t>
  </si>
  <si>
    <t>H.O Complet entre 328 et 327</t>
  </si>
  <si>
    <t>H.O non finalisé entre 226 et 227 bonne qualité de signal ,Requête de déconnexion a été envoyé par RBC</t>
  </si>
  <si>
    <t>H.O non finalisé entre 226 et 227</t>
  </si>
  <si>
    <t>H.O non finalisé entre 234 et 99 Mauvaise qualité de signal ,Requête de déconnexion a été envoyé par RBC</t>
  </si>
  <si>
    <t>un chantier d'optimisation est en cours</t>
  </si>
  <si>
    <t>H.O non finalisé entre 234 et 99</t>
  </si>
  <si>
    <t>H.O non finalisé entre 331 et 332 bonne qualité de signal ,Requête de déconnexion a été envoyé par le Bord</t>
  </si>
  <si>
    <t>H.O non finalisé entre 331 et 332</t>
  </si>
  <si>
    <t>H.O non finalisé entre 303 et 202 mauvaise qualité de signal ,Requête de déconnexion a été envoyé par le Bord</t>
  </si>
  <si>
    <t>retransmission des trames HDLC*2</t>
  </si>
  <si>
    <t>H.O non finalisé entre 302 et 201 mauvaise qualité de signal ,Requête de déconnexion a été envoyé par le Bord</t>
  </si>
  <si>
    <t>H.O non finalisé entre 302 et 201</t>
  </si>
  <si>
    <t>H.O non finalisé entre 302 et 203 mauvaise qualité de signal ,Requête de déconnexion a été envoyé par le RBC</t>
  </si>
  <si>
    <t>H.O non finalisé entre 321 et 222 bonne qualité de signal ,Requête de déconnexion a été envoyé par le RBC</t>
  </si>
  <si>
    <t>H.O non finalisé entre 321 et 222</t>
  </si>
  <si>
    <t>H.O non finalisé entre 202 et 201 bonne qualité de signal ,Requête de déconnexion a été envoyé par le RBC</t>
  </si>
  <si>
    <t>H.O non finalisé entre 202 et 201</t>
  </si>
  <si>
    <t>H.O finalisé entre 219 et 220 bonne qualité de signal ,Requête de déconnexion a été envoyé par RBC</t>
  </si>
  <si>
    <t>H.O Complet entre 219 et 220</t>
  </si>
  <si>
    <t>H.O non finalisé entre 202 et 303 mauvaise qualité de signal ,Requête de déconnexion a été envoyé par le RBC</t>
  </si>
  <si>
    <t>H.O non finalisé entre 202 et 303</t>
  </si>
  <si>
    <t>H.O non finalisé entre 220 et 222 Saut de cellule x21 Mauvaise qualité de signal ,Requête de déconnexion a été envoyé par RBC</t>
  </si>
  <si>
    <t>H.O non finalisé entre 220 et 222</t>
  </si>
  <si>
    <t>H.O non finalisé entre 233 et 332 Bonne qualité de signal ,Requête de déconnexion a été envoyé par le Bord</t>
  </si>
  <si>
    <t>H.O non finalisé entre 233 et 332</t>
  </si>
  <si>
    <t>H.O Compler entre 316 et 315 Bonne qualité de signal ,Requête de déconnexion a été envoyé par le RBC</t>
  </si>
  <si>
    <t>H.O Compler entre 316 et 315</t>
  </si>
  <si>
    <t>H.O Compler entre 330 et 329 Bonne qualité de signal ,Requête de déconnexion a été envoyé par le RBC</t>
  </si>
  <si>
    <t>H.O Compler entre 330 et 329</t>
  </si>
  <si>
    <t>H.O non finalisé entre 302 et 203 Mauvaise qualité de signal ,Requête de déconnexion a été envoyé par le Bord</t>
  </si>
  <si>
    <t>H.O non finalisé entre 208 et 307 Bonne qualité de signal ,Requête de déconnexion a été envoyé par le RBC</t>
  </si>
  <si>
    <t>en attente décision de remplacement CAB Radio / Zone Sous surveillance</t>
  </si>
  <si>
    <t xml:space="preserve">H.O non finalisé entre 208 et 307 </t>
  </si>
  <si>
    <t>H.O Complet 208 et 209 bonne qualité de signal ,Requête de déconnexion a été envoyé par RBC</t>
  </si>
  <si>
    <t xml:space="preserve"> 16:20:40</t>
  </si>
  <si>
    <t>H.O Complet 209 et 310 bonne qualité de signal ,Requête de déconnexion a été envoyé par Bord</t>
  </si>
  <si>
    <t>H.O Complet entre 209 et 310</t>
  </si>
  <si>
    <t>H.O Complet entre 202 et 203 Mauvaise qualité de signal ,Requête de déconnexion a été envoyé par le RBC</t>
  </si>
  <si>
    <t>H.O Complet entre 202 et 20</t>
  </si>
  <si>
    <t>H.O non finalisé entre 216 et 217 Bonne qualité de signal ,Requête de déconnexion a été envoyé par le RBC</t>
  </si>
  <si>
    <t>dl rx level= -74 dbm</t>
  </si>
  <si>
    <t>H.O Complet entre 306 et 207 Mauvaise qualité de signal ,Requête de déconnexion a été envoyé par le RBC</t>
  </si>
  <si>
    <t>H.O Complet entre 306 et 207</t>
  </si>
  <si>
    <t xml:space="preserve"> 14:05:00</t>
  </si>
  <si>
    <t>H.O non finalisé entre 207 et 305 Saut de cellule x06 mauvaise qualité de signal ,Requête de déconnexion a été envoyé par le Bord</t>
  </si>
  <si>
    <t>H.O non finalisé entre 207 et 305</t>
  </si>
  <si>
    <t>dl rx level= -93 dbm</t>
  </si>
  <si>
    <t>H.O non finalisé entre 229 et 230 Bonne qualité de signal ,Requête de déconnexion a été envoyé par le RBC</t>
  </si>
  <si>
    <t>H.O non finalisé entre 229 et 230</t>
  </si>
  <si>
    <t>H.O Complet entre 204 et 303 Bonne qualité de signal ,Requête de déconnexion a été envoyé par le RBC</t>
  </si>
  <si>
    <t>H.O Complet entre 204 et 303</t>
  </si>
  <si>
    <t>H.O non finalisé entre 202 et 303 mauvaise qualité de signal ,Requête de déconnexion a été envoyé par le Bord</t>
  </si>
  <si>
    <t>H.O Complet entre 203 et 204 Bonne qualité de signal ,Requête de déconnexion a été envoyé par le RBC</t>
  </si>
  <si>
    <t>H.O Complet entre 231 et 332 mauvaise qualité de signal ,Requête de déconnexion a été envoyé par le RBC</t>
  </si>
  <si>
    <t>H.O Complet entre 231 et 332</t>
  </si>
  <si>
    <t>H.O Complet entre 217 et 218 Bonne qualité de signal ,Requête de déconnexion a été envoyé par le RBC</t>
  </si>
  <si>
    <t>H.O Complet entre 217 et 218</t>
  </si>
  <si>
    <t>H.O Complet entre 305 et 304 Bonne qualité de signal ,Requête de déconnexion a été envoyé par le RBC</t>
  </si>
  <si>
    <t>H.O Complet entre 305 et 304</t>
  </si>
  <si>
    <t>H.O non finalisé entre 219 et 320 mauvaise qualité de signal ,Requête de déconnexion a été envoyé par le Bord</t>
  </si>
  <si>
    <t>H.O non finalisé entre 219 et 320</t>
  </si>
  <si>
    <t>H.O Complet entre 305 et 204 Bonne qualité de signal ,Requête de déconnexion a été envoyé par le RBC</t>
  </si>
  <si>
    <t>H.O non finalisé entre 302 et 201 Bonne qualité de signal ,Requête de déconnexion a été envoyé par le Bord</t>
  </si>
  <si>
    <t xml:space="preserve">                                                                                                                                                                                            </t>
  </si>
  <si>
    <t>H.O Complet entre 214 et 215 Bonne qualité de signal ,Requête de déconnexion a été envoyé par le RBC</t>
  </si>
  <si>
    <t>Dans l'attente de la mise en place des tiroires monomode</t>
  </si>
  <si>
    <t>H.O Complet entre 214 et 216</t>
  </si>
  <si>
    <t>H.O Complet entre 99 et 233 mauvaise qualité de signal ,Requête de déconnexion a été envoyé à travers la BTS</t>
  </si>
  <si>
    <t>H.O Complet entre 99 et 233</t>
  </si>
  <si>
    <t>H.O non finalisé entre 202 et 201 mauvaise qualité de signal ,Requête de déconnexion a été envoyé par le RBC</t>
  </si>
  <si>
    <t>H.O Complet entre 318 et 217 mauvaise qualité de signal ,Requête de déconnexion a été envoyé par le RBC</t>
  </si>
  <si>
    <t>H.O non finalisé entre 202 et 303 bonne qualité de signal ,Requête de déconnexion a été envoyé par le Bord</t>
  </si>
  <si>
    <t>H.O Complet entre 303 et 302 mauvaise qualité de signal ,Requête de déconnexion a été envoyé par le RBC</t>
  </si>
  <si>
    <t xml:space="preserve"> 08:11:12</t>
  </si>
  <si>
    <t>H.O non finalisé entre 303 et 205 Bonne qualité de signal ,Requête de déconnexion a été envoyé par le RBC</t>
  </si>
  <si>
    <t>H.O non finalisé entre 303 et 205</t>
  </si>
  <si>
    <t xml:space="preserve"> 19:39:07</t>
  </si>
  <si>
    <t>H.O Complet entre 324 et 223 mauvaise qualité de signal ,Requête de déconnexion a été envoyé par le RBC</t>
  </si>
  <si>
    <t>H.O non finalisé entre 322 et 321 Bonne qualité de signal ,Requête de déconnexion a été envoyé par le RBC</t>
  </si>
  <si>
    <t>H.O non finalisé entre 322 et 321</t>
  </si>
  <si>
    <t>H.O Complet entre 303 et 302 Bonne qualité de signal ,Requête de déconnexion a été envoyé par le RBC</t>
  </si>
  <si>
    <t>H.O non finalisé entre 312 et 311 Bonne qualité de signal ,Requête de déconnexion a été envoyé par le RBC</t>
  </si>
  <si>
    <t xml:space="preserve">En attente les resultats du drive test </t>
  </si>
  <si>
    <t>H.O non finalisé entre 312 et 211</t>
  </si>
  <si>
    <t>H.O Complet entre 307 et 306 Bonne qualité de signal ,Requête de déconnexion a été envoyé par le RBC</t>
  </si>
  <si>
    <t>H.O finalisé entre 214 et 215 bonne qualité de signal, Requête de déconnexion a été envoyé à travers la BTS</t>
  </si>
  <si>
    <t>H.O finalisé entre 214 et 215</t>
  </si>
  <si>
    <t>H.O non finalisé entre 309 et 308  bonne qualité de signal, Requête de déconnexion a été envoyé par le RBC</t>
  </si>
  <si>
    <t>Zone Sous Surveillance / attente de la mise en place des tiroires monomode</t>
  </si>
  <si>
    <t xml:space="preserve">H.O non finalisé entre 309 et 308 </t>
  </si>
  <si>
    <t>Retransmission des trames HDLC*5</t>
  </si>
  <si>
    <t>H.O non finalisé entre 303 et 202  bonne qualité de signal, Requête de déconnexion a été envoyé par le RBC</t>
  </si>
  <si>
    <t xml:space="preserve">H.O non finalisé entre 303 et 202 </t>
  </si>
  <si>
    <t>H.O Complet entre 318 et 217 Mauvaise qualité de signal ,Requête de déconnexion a été envoyé par le BORD</t>
  </si>
  <si>
    <t>H.O Complet entre 318 et 217</t>
  </si>
  <si>
    <t>H.O non finalisé entre 303 et 202  Mauvaise qualité de signal, Requête de déconnexion a été envoyé par le BORD</t>
  </si>
  <si>
    <t>H.O non finalisé entre 303 et 202  Mauvaise qualité de signal, Requête de déconnexion a été envoyé par le MSC</t>
  </si>
  <si>
    <t xml:space="preserve">Pas de Retransmission des trames HDLC </t>
  </si>
  <si>
    <t>H.O  finalisée entre  308 et 307 qualité /niveau de signal : dl rx-qual=2 , dl rx level = -65 dbm. ,Requête de déconnexion a été envoyé par le RBC</t>
  </si>
  <si>
    <t>H.O non finalisé entre 308et 307</t>
  </si>
  <si>
    <t>H.O non finalisé entre  318 et 217qualité /niveau de signal : dl rx-qual=6 , dl rx level = -81dbm. ,Requête de déconnexion a été envoyée par le MSC</t>
  </si>
  <si>
    <t>Ho non finalisé entre  318 et 217</t>
  </si>
  <si>
    <t>H.O non finalisé entre 303 et 202  qualité /niveau de signal : dl rx-qual=7 , dl rx level = -59 dbm. ,Requête de déconnexion a été envoyée par le MSC</t>
  </si>
  <si>
    <t>H.O non finalisé entre 303 et 202  qualité /niveau de signal : dl rx-qual=7 , dl rx level = -65 dbm. ,Requête de déconnexion a été envoyée par le MSC</t>
  </si>
  <si>
    <t>H.O Complete entre 303 et 202  qualité /niveau de signal : dl rx-qual=0 , dl rx level = -50 dbm. ,Requête de déconnexion a été envoyée par le RBC</t>
  </si>
  <si>
    <t xml:space="preserve">H.O : Complet  entre 303 et 302 </t>
  </si>
  <si>
    <t>H.O non finalisé entre 303 et 202  qualité /niveau de signal : dl rx-qual=7 , dl rx level = -57 dbm. ,Requête de déconnexion a été envoyée par le MSC</t>
  </si>
  <si>
    <t>H.O non finalisé entre 302et 303  qualité /niveau de signal : dl rx-qual=7 , dl rx level = -55dbm. ,Requête de déconnexion a été envoyée par le RBC</t>
  </si>
  <si>
    <t>H.O non finalisé entre 302 et 303</t>
  </si>
  <si>
    <t>dl rx level= -55dbm</t>
  </si>
  <si>
    <t>H.O Complete entre 303 et 302  qualité /niveau de signal : dl rx-qual=7 , dl rx level = -66 dbm. ,Requête de déconnexion a été envoyée par le RBC</t>
  </si>
  <si>
    <t>dl rx level= -66dbm</t>
  </si>
  <si>
    <t>H.O non finalisé entre 330 et 229 qualité /niveau de signal : dl rx-qual=0 , dl rx level = -60 dbm. ,Requête de déconnexion a été envoyée par le RBC</t>
  </si>
  <si>
    <t>H.O non finalisé entre 330 et 229</t>
  </si>
  <si>
    <t>dl rx level= -60dbm</t>
  </si>
  <si>
    <t>H.O Complete entre 303 et 302  qualité /niveau de signal : dl rx-qual=7 , dl rx level = -68dbm. ,Requête de déconnexion a été envoyée par le RBC</t>
  </si>
  <si>
    <t>dl rx level= -68dbm</t>
  </si>
  <si>
    <t>H.O non finalisé entre 219 et 320  qualité /niveau de signal : dl rx-qual=7 , dl rx level = -62dbm. ,Requête de déconnexion a été envoyée par le RBC</t>
  </si>
  <si>
    <t>H.O Complete entre 303 et 302  qualité /niveau de signal : dl rx-qual=7 , dl rx level = -57dbm. ,Requête de déconnexion a été envoyée par le MSC</t>
  </si>
  <si>
    <t xml:space="preserve">Dans l'attente de la mise en place des tiroires monomode / Attente Analyse spectrale </t>
  </si>
  <si>
    <t>dl rx level= -57dbm</t>
  </si>
  <si>
    <t>H.O Non finalise entre 223 et 324  qualité /niveau de signal : dl rx-qual=7 , dl rx level = -82 dbm. ,Requête de déconnexion a été envoyée par le RBC</t>
  </si>
  <si>
    <t>H.O : Non finalise entre 223 et 324</t>
  </si>
  <si>
    <t>dl rx level= -82dbm</t>
  </si>
  <si>
    <t>H.O Non finalise entre 231 et 232  qualité /niveau de signal : dl rx-qual=5 , dl rx level = -75 dbm. ,Requête de déconnexion a été envoyée par le RBC</t>
  </si>
  <si>
    <t>Dans l'attente de la mise en place des tiroires monomode /</t>
  </si>
  <si>
    <t>H.O : Non finalise entre 231 et 232</t>
  </si>
  <si>
    <t>dl rx level= -75dbm</t>
  </si>
  <si>
    <t>H.O non finalisé entre 303 et 202  qualité /niveau de signal : dl rx-qual=7 , dl rx level = -58 dbm. ,Requête de déconnexion a été envoyée par le MSC</t>
  </si>
  <si>
    <t>H.O : Non finalise entre 303 et 202</t>
  </si>
  <si>
    <t>H.O non finalisé entre 234 et 233  qualité /niveau de signal : dl rx-qual=7 , dl rx level = -63 dbm. ,Requête de déconnexion a été envoyée par le MSC</t>
  </si>
  <si>
    <t>Dans l'attente de la mise en place des tiroires monomode / Attente Analyse spectrale</t>
  </si>
  <si>
    <t>H.O : Non finalise entre 234 et 233</t>
  </si>
  <si>
    <t>dl rx level= -63dbm</t>
  </si>
  <si>
    <t>H.O non finalisé entre 219 et 320  qualité /niveau de signal : dl rx-qual=6 , dl rx level = -70 dbm. ,Requête de déconnexion a été envoyée par le MSC</t>
  </si>
  <si>
    <t>H.O : Non finalise entre 219 et 320</t>
  </si>
  <si>
    <t>dl rx level= -70dbm</t>
  </si>
  <si>
    <t>H.O non finalisé entre 220 et 219 qualité /niveau de signal : dl rx-qual=7 , dl rx level = -62 dbm. ,Requête de déconnexion a été envoyée par le RBC</t>
  </si>
  <si>
    <t xml:space="preserve">Dans l'attente de la mise en place des tiroires monomode / chantier optimisation en cours </t>
  </si>
  <si>
    <t>H.O : Non finalise entre 220 et 219</t>
  </si>
  <si>
    <t>H.O non finalisé entre 303 et 202 qualité /niveau de signal : dl rx-qual=7 , dl rx level = -54 dbm. ,Requête de déconnexion a été envoyée par le MSC</t>
  </si>
  <si>
    <t>dl rx level= -54dbm</t>
  </si>
  <si>
    <t>H.O Complete entre 304 et 303 qualité /niveau de signal : dl rx-qual=0 , dl rx level = -60 dbm. ,Requête de déconnexion a été envoyée par le RBC</t>
  </si>
  <si>
    <t>H.O : Complet  entre 304 et 303</t>
  </si>
  <si>
    <t>H.O non finalisé entre 303 et 202 qualité /niveau de signal : dl rx-qual=7 , dl rx level = -62 dbm. ,Requête de déconnexion a été envoyée par le MSC</t>
  </si>
  <si>
    <t>H.O non finalisé entre 205 et 206 qualité /niveau de signal : dl rx-qual=0 , dl rx level = -96 dbm. ,Requête de déconnexion a été envoyée par le MSC</t>
  </si>
  <si>
    <t xml:space="preserve">attente plan d'action optimisation </t>
  </si>
  <si>
    <t>H.O : Non finalise entre 205 et 206</t>
  </si>
  <si>
    <t>dl rx level= 96 dbm</t>
  </si>
  <si>
    <t>H.O non finalisé entre 318 et 217 qualité /niveau de signal : dl rx-qual=7 , dl rx level = -75 dbm. ,Requête de déconnexion a été envoyée par le MSC</t>
  </si>
  <si>
    <t>H.O : Non finalise entre 318 et 217</t>
  </si>
  <si>
    <t>dl rx level= 75 dbm</t>
  </si>
  <si>
    <t>H.O non finalisé entre 301 et 202 qualité /niveau de signal : dl rx-qual=7 , dl rx level = -54 dbm. ,Requête de déconnexion a été envoyée par le RBC</t>
  </si>
  <si>
    <t>H.O : Non finalise entre 301 et 202</t>
  </si>
  <si>
    <t>H.O Complet entre 229 et 230 qualité /niveau de signal : dl rx-qual=6 , dl rx level = -64 dbm. ,Requête de déconnexion a été envoyée par le RBC</t>
  </si>
  <si>
    <t>Analyse approfondie en cours</t>
  </si>
  <si>
    <t>H.O : Complet entre 229 et 230</t>
  </si>
  <si>
    <t>H.O non finalisé entre 202 et 303 qualité /niveau de signal : dl rx-qual=7 , dl rx level = -52 dbm. ,Requête de déconnexion a été envoyée par le MSC</t>
  </si>
  <si>
    <t>H.O : Non finalise entre 202 et 303</t>
  </si>
  <si>
    <t>H.O non finalisé entre 228 et 229 qualité /niveau de signal : dl rx-qual=4 , dl rx level = -79 dbm. ,Requête de déconnexion a été envoyée par le RBC</t>
  </si>
  <si>
    <t>Attente Croisement des donnees</t>
  </si>
  <si>
    <t>H.O : non finalisé entre 228 et 229</t>
  </si>
  <si>
    <t>H.O : non finalisé entre 303 et 2023</t>
  </si>
  <si>
    <t>H.O non finalisé entre 315 et 314 qualité /niveau de signal : dl rx-qual=3 , dl rx level = -68 dbm. ,Requête de déconnexion a été envoyée par le RBC</t>
  </si>
  <si>
    <t>H.O : COMPLET entre 315 et 314</t>
  </si>
  <si>
    <t>H.O non finalisé entre 303 et 302 qualité /niveau de signal : dl rx-qual=7 , dl rx level = -58 dbm. ,Requête de déconnexion a été envoyée par le RBC</t>
  </si>
  <si>
    <t>H.O : COMPLET entre 303 et 302</t>
  </si>
  <si>
    <t>H.O non finalisé entre 303 et 302 qualité /niveau de signal : dl rx-qual=0 , dl rx level = -60 dbm. ,Requête de déconnexion a été envoyée par le MSC</t>
  </si>
  <si>
    <t>H.O : non finalisé entre 303 et 302</t>
  </si>
  <si>
    <t>H.O non finalisé entre 234 et 233 qualité /niveau de signal : dl rx-qual=7 , dl rx level = -68 dbm. ,Requête de déconnexion a été envoyée par le MSC</t>
  </si>
  <si>
    <t>H.O : non finalisé entre 234 et 233</t>
  </si>
  <si>
    <t>H.O non finalisé entre 202 et 203 qualité /niveau de signal : dl rx-qual=0 , dl rx level = -48 dbm. ,Requête de déconnexion a été envoyée par le RBC</t>
  </si>
  <si>
    <t>H.O : non finalisé entre 202 et 203</t>
  </si>
  <si>
    <t>H.O non finalisé entre 201 et 202 qualité /niveau de signal : dl rx-qual=2 , dl rx level = -61 dbm. ,Requête de déconnexion a été envoyée par le RBC</t>
  </si>
  <si>
    <t>H.O : non finalisé entre 201 et 202</t>
  </si>
  <si>
    <t>H.O non finalisé entre 224 et 225 qualité /niveau de signal : dl rx-qual=7 , dl rx level = -110 dbm. ,Requête de déconnexion a été envoyée par le RBC</t>
  </si>
  <si>
    <t>H.O : non finalisé entre 224 et 225</t>
  </si>
  <si>
    <t>H.O non finalisé entre 302 et 201 qualité /niveau de signal : dl rx-qual=7 , dl rx level = -55 dbm. ,Requête de déconnexion a été envoyée par le RBC</t>
  </si>
  <si>
    <t>H.O : non finalisé entre 302 et 201</t>
  </si>
  <si>
    <t>H.O non finalisé entre 302 et 203 qualité /niveau de signal : dl rx-qual=4 , dl rx level = -53 dbm. ,Requête de déconnexion a été envoyée par le RBC</t>
  </si>
  <si>
    <t>H.O : non finalisé entre 302 et 203</t>
  </si>
  <si>
    <t>H.O complete entre 224 et 323 qualité /niveau de signal : dl rx-qual=0 , dl rx level = -50 dbm. ,Requête de déconnexion a été envoyée par le RBC</t>
  </si>
  <si>
    <t>H.O : complet entre 224 et 323</t>
  </si>
  <si>
    <t>H.O  complete entre 303 et 204 qualité /niveau de signal : dl rx-qual=0 , dl rx level = -60 dbm. ,Requête de déconnexion a été envoyée par le RBC</t>
  </si>
  <si>
    <t>H.O : complet entre 303 et 204</t>
  </si>
  <si>
    <t>H.O  complete entre 323 et 324 qualité /niveau de signal : dl rx-qual=0 , dl rx level = -62 dbm. ,Requête de déconnexion a été envoyée par le RBC</t>
  </si>
  <si>
    <t>H.O : complet entre 323 et 324</t>
  </si>
  <si>
    <t>H.O  complete entre 206 et 207 qualité /niveau de signal : dl rx-qual=2 , dl rx level = -60 dbm. ,Requête de déconnexion a été envoyée par le RBC</t>
  </si>
  <si>
    <t>H.O : complet entre 206 et 207</t>
  </si>
  <si>
    <t>Pas Retransmission des trames HDLC*5</t>
  </si>
  <si>
    <t>H.O  non finalisé  entre 219 et 220 qualité /niveau de signal : dl rx-qual=6 , dl rx level = -58 dbm. ,Requête de déconnexion a été envoyée par le RBC</t>
  </si>
  <si>
    <t>En attente de lanalyse spectrale</t>
  </si>
  <si>
    <t>H.O : complet entre 219 et 220</t>
  </si>
  <si>
    <t>H.O  non finalisé  entre  303et 202 qualité /niveau de signal : dl rx-qual=7 , dl rx level = -57 dbm. ,Requête de déconnexion a été envoyée par le MSC</t>
  </si>
  <si>
    <t>H.O : non finalisé entre 303 et 202</t>
  </si>
  <si>
    <t>Retransmission des trames HDLC*4</t>
  </si>
  <si>
    <t>H.O  non finalisé  entre  303et 202 qualité /niveau de signal : dl rx-qual=7 , dl rx level = -70 dbm. ,Requête de déconnexion a été envoyée par le RBC</t>
  </si>
  <si>
    <t>H.O  non finalisé  entre  230 et 231 qualité /niveau de signal : dl rx-qual=0 , dl rx level = -48 dbm. ,Requête de déconnexion a été envoyée par le RBC</t>
  </si>
  <si>
    <t>H.O : Complet entre 230 et 231</t>
  </si>
  <si>
    <t>H.O  non finalisé  entre  303et 202 qualité /niveau de signal : dl rx-qual=3 , dl rx level = -63 dbm. ,Requête de déconnexion a été envoyée par le MSC</t>
  </si>
  <si>
    <t>H.O  complete entre 227 et 228 qualité /niveau de signal : dl rx-qual=0 , dl rx level = -48 dbm. ,Requête de déconnexion a été envoyée par le RBC</t>
  </si>
  <si>
    <t>H.O : complet entre 227 et 228</t>
  </si>
  <si>
    <t>H.O  non finalisé   entre 303et 202 qualité /niveau de signal : dl rx-qual=7 , dl rx level = -59 dbm. ,Requête de déconnexion a été envoyée par le Bord</t>
  </si>
  <si>
    <t>H.O  non finalisé  entre 202et 303 qualité /niveau de signal : dl rx-qual=3 , dl rx level = -55 dbm. ,Requête de déconnexion a été envoyée par le Bord</t>
  </si>
  <si>
    <t>H.O : non finalisé entre 202 et 303</t>
  </si>
  <si>
    <t>H.O  complete entre 308et 307 qualité /niveau de signal : dl rx-qual=3 , dl rx level = -64 dbm. ,Requête de déconnexion a été envoyée par le RBC</t>
  </si>
  <si>
    <t>H.O : Complet entre 308 et 307</t>
  </si>
  <si>
    <t>H.O  non finalisé  entre 202et 303 qualité /niveau de signal : dl rx-qual=7 , dl rx level = -52 dbm. ,Requête de déconnexion a été envoyée par RBC</t>
  </si>
  <si>
    <t>H.O  complete entre 204et 205 qualité /niveau de signal : dl rx-qual=0 , dl rx level = -66 dbm. ,Requête de déconnexion a été envoyée par le RBC</t>
  </si>
  <si>
    <t>Attente Verification des traces M2000</t>
  </si>
  <si>
    <t>H.O : Complet entre 204 et 205</t>
  </si>
  <si>
    <t>H.O complete entre 303 et 204 qualité /niveau de signal : dl rx-qual=1 , dl rx level = -59 dbm. ,Requête de déconnexion a été envoyée par RBC</t>
  </si>
  <si>
    <t>H.O : Complet entre 303 et 204</t>
  </si>
  <si>
    <t>SGHAYER Achraf</t>
  </si>
  <si>
    <t>H.O complete entre 207 et 208 qualité /niveau de signal : dl rx-qual=3 , dl rx level = -63 dbm. ,Requête de déconnexion a été envoyée par RBC</t>
  </si>
  <si>
    <t>Necessite analysé ERTMS</t>
  </si>
  <si>
    <t>H.O : Complet entre 207 et 208</t>
  </si>
  <si>
    <t>H.O  non finalisé  entre 202et 301 qualité /niveau de signal : dl rx-qual=6 , dl rx level = -50 dbm. ,Requête de déconnexion a été envoyée par MSC</t>
  </si>
  <si>
    <t>H.O : non finalisé entre 202 et 301</t>
  </si>
  <si>
    <t>H.O  non finalisé  entre 302et 301 qualité /niveau de signal : dl rx-qual=4 , dl rx level = -49 dbm. ,Requête de déconnexion a été envoyée par RBC</t>
  </si>
  <si>
    <t>H.O : non finalisé entre 302 et 301</t>
  </si>
  <si>
    <t>H.O  non finalisé  entre 202et 301 qualité /niveau de signal : dl rx-qual=3 , dl rx level = -50 dbm. ,Requête de déconnexion a été envoyée par MSC</t>
  </si>
  <si>
    <t>ELHAJOUIA Achraf</t>
  </si>
  <si>
    <t>H.O  non finalisé  entre 201et 302 qualité /niveau de signal : dl rx-qual=7, dl rx level = -58 dbm. ,Requête de déconnexion a été envoyée par RBC</t>
  </si>
  <si>
    <t>H.O : non finalisé entre 201 et 302</t>
  </si>
  <si>
    <t>ISMALI ALAOUI Hamza</t>
  </si>
  <si>
    <t>Plusieurs ping pong HO entre le 202 et la 301, le dernier HO entre 202 et 301 a fini par un echec /niveau de signal : dl rx-qual=7, dl rx level = -55 dbm, Requête de déconnexion a été envoyée par le bord due au mauvaises conditions radio</t>
  </si>
  <si>
    <t>HIANI Adnane</t>
  </si>
  <si>
    <t>GSMR_25/26</t>
  </si>
  <si>
    <t>H.O  Complet  entre 326et 325 qualité /niveau de signal : dl rx-qual=0, dl rx level = -50 dbm. ,Requête de déconnexion a été envoyée par RBC</t>
  </si>
  <si>
    <t>H.O : Complet entre 326 et 325</t>
  </si>
  <si>
    <t>H.O  non finalisé  entre 202et 303 qualité /niveau de signal : dl rx-qual=7 , dl rx level = -52 dbm. ,Requête de déconnexion a été envoyée par MSC</t>
  </si>
  <si>
    <t>H.O  complet  entre 207et 208 qualité /niveau de signal : dl rx-qual=1 , dl rx level = -53 dbm. ,Requête de déconnexion a été envoyée par RBC</t>
  </si>
  <si>
    <t>En attente de pousser les analyses coté Bord /RBC</t>
  </si>
  <si>
    <t>H.O : complet entre 207 et 208</t>
  </si>
  <si>
    <t>H.O  complet  entre 202et 303 qualité /niveau de signal : dl rx-qual=5 , dl rx level = -75 dbm. ,Requête de déconnexion a été envoyée par RBC</t>
  </si>
  <si>
    <t>En attente de mise en place des tiroires filtrés</t>
  </si>
  <si>
    <t>H.O : complet entre 202 et 303</t>
  </si>
  <si>
    <t>H.O  non finalisé entre 301et 202 qualité /niveau de signal : dl rx-qual=6 , dl rx level = -81dbm. ,Requête de déconnexion a été envoyée par RBC</t>
  </si>
  <si>
    <t>H.O : non finalisé entre 301 et 202</t>
  </si>
  <si>
    <t>Fahd OUSSALH</t>
  </si>
  <si>
    <t>H.O  non finalisé   entre 301et 202 qualité /niveau de signal : dl rx-qual=7 , dl rx level = -53dbm. ,Requête de déconnexion a été envoyée par RBC</t>
  </si>
  <si>
    <t>H.O  complet  entre 321et 322 qualité /niveau de signal : dl rx-qual=0 , dl rx level = -48dbm. ,Requête de déconnexion a été envoyée par RBC</t>
  </si>
  <si>
    <t>H.O : complet entre 321 et 322</t>
  </si>
  <si>
    <t>H.O  complet  entre 315 et 314 qualité /niveau de signal : dl rx-qual=0 , dl rx level = -52dbm. ,Requête de déconnexion a été envoyée par RBC</t>
  </si>
  <si>
    <t>H.O : complet entre 315 et 314</t>
  </si>
  <si>
    <t>Saad Elhabib</t>
  </si>
  <si>
    <t>H.O  non finalisé   entre 218et 219 qualité /niveau de signal : dl rx-qual=0 , dl rx level = -64dbm. ,Requête de déconnexion a été envoyée par RBC</t>
  </si>
  <si>
    <t>En attente de mise en place des tiroires filtrés/Attente vérification par l'équipe SOR</t>
  </si>
  <si>
    <t>H.O : non finalisé entre 218 et 219</t>
  </si>
  <si>
    <t>H.O  recule non finalisé  entre 202 et 201 qualité /niveau de signal : dl rx-qual=5 , dl rx level = -52dbm. ,Requête de déconnexion a été envoyée par RBC</t>
  </si>
  <si>
    <t>H.O : non finalisé entre 202 et 201</t>
  </si>
  <si>
    <t>H.O  non finalisé   entre 220 et 322  qualité /niveau de signal : dl rx-qual=7 , dl rx level = -68dbm. ,Requête de déconnexion a été envoyée par RBC</t>
  </si>
  <si>
    <t>H.O : non finalisé entre 220 et 322</t>
  </si>
  <si>
    <t>H.O  non finalisé   entre 222 et 323  qualité /niveau de signal : dl rx-qual=0 , dl rx level = -77dbm. ,Requête de déconnexion a été envoyée par Bord</t>
  </si>
  <si>
    <t>H.O : non finalisé entre 222 et 323</t>
  </si>
  <si>
    <t>H.O  non finalisé   entre 220 et 321  qualité /niveau de signal : dl rx-qual=0 , dl rx level = -63dbm. ,Requête de déconnexion a été envoyée par Bord</t>
  </si>
  <si>
    <t>H.O : non finalisé entre 220 et 321</t>
  </si>
  <si>
    <t>GSMR_02/03</t>
  </si>
  <si>
    <t>H.O  non finalisé   entre 302 et 203  qualité /niveau de signal : dl rx-qual=7 , dl rx level = -55dbm. ,Requête de déconnexion a été envoyée par RBC</t>
  </si>
  <si>
    <t>H.O : non finalisé entre 302 et 303</t>
  </si>
  <si>
    <t>HARIRI Bahaeddine</t>
  </si>
  <si>
    <t>GSMR_17/18</t>
  </si>
  <si>
    <t>H.O  non finalisé   entre 318 et 317 qualité /niveau de signal : dl rx-qual=5 , dl rx level = -83dbm. ,Requête de déconnexion a été envoyée par RBC</t>
  </si>
  <si>
    <t xml:space="preserve">Zone sous surveillance </t>
  </si>
  <si>
    <t>H.O : non finalisé entre 318 et 317</t>
  </si>
  <si>
    <t>H.O  complet  entre 202 et 203  qualité /niveau de signal : dl rx-qual=5 , dl rx level = -68dbm. ,Requête de déconnexion a été envoyée par RBC</t>
  </si>
  <si>
    <t>H.O : complet entre 202 et 203</t>
  </si>
  <si>
    <t>H.O  non finalisé   entre 202 et 301 qualité /niveau de signal : dl rx-qual=7 , dl rx level = -54dbm. ,Requête de déconnexion a été envoyée par le Bord</t>
  </si>
  <si>
    <t>H.O  non finalisé   entre  302 et 203 qualité /niveau de signal : dl rx-qual=7 , dl rx level = -54dbm. ,Requête de déconnexion a été envoyée par le Bord</t>
  </si>
  <si>
    <t>Noura MOUSSAOUI</t>
  </si>
  <si>
    <t>H.O  complet  entre 202 et 303  qualité /niveau de signal : dl rx-qual=0 , dl rx level = -79dbm. ,Requête de déconnexion a été envoyée par RBC</t>
  </si>
  <si>
    <t>GSMR_16/17</t>
  </si>
  <si>
    <t>H.O  complet  entre 215 et 316  qualité /niveau de signal : dl rx-qual=0 , dl rx level = -61dbm. ,Requête de déconnexion a été envoyée par RBC</t>
  </si>
  <si>
    <t>H.O : complet entre 215 et 316</t>
  </si>
  <si>
    <t>H.O  complet  entre 304 et 303  qualité /niveau de signal : dl rx-qual=0 , dl rx level = -48dbm. ,Requête de déconnexion a été envoyée par RBC</t>
  </si>
  <si>
    <t>Zone sous surveillance par équipe NOC GSMR</t>
  </si>
  <si>
    <t>H.O : complet entre 304 et 303</t>
  </si>
  <si>
    <t>Nassim NAJIM</t>
  </si>
  <si>
    <t>H.O  non finalisé   entre 202 et 301 qualité /niveau de signal : dl rx-qual=0 , dl rx level = -51dbm. ,Requête de déconnexion a été envoyée par le Bord</t>
  </si>
  <si>
    <t>H.O  complet   entre 229 et 230 qualité /niveau de signal : dl rx-qual=0 , dl rx level = -61dbm. ,Requête de déconnexion a été envoyée par le RBC</t>
  </si>
  <si>
    <t>H.O : complet entre 229 et 230</t>
  </si>
  <si>
    <t>H.O  complet   entre 202 et 303 qualité /niveau de signal : dl rx-qual=6 , dl rx level = -51dbm. ,Requête de déconnexion a été envoyée par le RBC</t>
  </si>
  <si>
    <t>H.O  complet   entre 210 et 211 qualité /niveau de signal : dl rx-qual=0, dl rx level = -48dbm. ,Requête de déconnexion a été envoyée par le RBC</t>
  </si>
  <si>
    <t>En attente de pousser les analyses coté Bord/RBC</t>
  </si>
  <si>
    <t>H.O : complet entre 210 et 211</t>
  </si>
  <si>
    <t>H.O  complet   entre 312 et 311 qualité /niveau de signal : dl rx-qual=0, dl rx level = -74dbm. ,Requête de déconnexion a été envoyée par le RBC</t>
  </si>
  <si>
    <t>H.O : complet entre 312 et 311</t>
  </si>
  <si>
    <t>H.O  non finalisé   entre 302et 203 qualité /niveau de signal : dl rx-qual=6 , dl rx level = -54dbm. ,Requête de déconnexion a été envoyée par le RBC</t>
  </si>
  <si>
    <t>H.O  non finalisé   entre 303et 202 qualité /niveau de signal : dl rx-qual=6 , dl rx level = -53dbm. ,Requête de déconnexion a été envoyée par le RBC</t>
  </si>
  <si>
    <t>H.O  non finalisé  entre 220 et 219 qualité /niveau de signal : dl rx-qual=6 , dl rx level = -64dbm. ,Requête de déconnexion a été envoyée par le RBC</t>
  </si>
  <si>
    <t>Chaine antennaire degradé / Attente planification analyse spectrale</t>
  </si>
  <si>
    <t>H.O : recul non finalisé entre 220 et 219</t>
  </si>
  <si>
    <t>H.O  Complet  entre 213 et 214 qualité /niveau de signal : dl rx-qual=0 , dl rx level = -48dbm. ,Requête de déconnexion a été envoyée par le RBC</t>
  </si>
  <si>
    <t>H.O : Complet entre 213 et 214</t>
  </si>
  <si>
    <t>H.O  non finalisé   entre 231 et 232 qualité /niveau de signal : dl rx-qual=0 , dl rx level = -54dbm. ,Requête de déconnexion a été envoyée par le RBC</t>
  </si>
  <si>
    <t>Chantier d'optimisation en cours</t>
  </si>
  <si>
    <t>H.O : non finalisé entre 231 et 232</t>
  </si>
  <si>
    <t>H.O  Complet  entre 314et 313 qualité /niveau de signal : dl rx-qual=0 , dl rx level = -48dbm. ,Requête de déconnexion a été envoyée par le RBC</t>
  </si>
  <si>
    <t>H.O : Complet entre 314 et 313</t>
  </si>
  <si>
    <t>H.O  non finalisé   entre 318 et 217 qualité /niveau de signal : dl rx-qual=7 , dl rx level = -75dbm. ,Requête de déconnexion a été envoyée par le MSC</t>
  </si>
  <si>
    <t>En attente de pousser les analyses coté Bord</t>
  </si>
  <si>
    <t>H.O : non finalisé entre 318 et 217</t>
  </si>
  <si>
    <t>H.O  non finalisé   entre 219 et 320 qualité /niveau de signal : dl rx-qual=7 , dl rx level = -71dbm. ,Requête de déconnexion a été envoyée par le MSC</t>
  </si>
  <si>
    <t>Attente de planification d'un analyse spectrale/En attente de pousser les analyses coté Bord</t>
  </si>
  <si>
    <t>H.O : non finalisé entre 219 et 320</t>
  </si>
  <si>
    <t>H.O  non finalisé   entre 207 et 205 qualité /niveau de signal : dl rx-qual=6 , dl rx level = -93dbm. ,Requête de déconnexion a été envoyée par le RBC</t>
  </si>
  <si>
    <t>H.O : non finalisé entre 207 et 205</t>
  </si>
  <si>
    <t>H.O  Complet  entre 218et 219 qualité /niveau de signal : dl rx-qual=0 , dl rx level = -48dbm. ,Requête de déconnexion a été envoyée par le RBC</t>
  </si>
  <si>
    <t>H.O : Complet entre 218 et 219</t>
  </si>
  <si>
    <t>H.O  Complet  entre 316 et 217 qualité /niveau de signal : dl rx-qual=0 , dl rx level = -47dbm. ,Requête de déconnexion a été envoyée par le RBC</t>
  </si>
  <si>
    <t>H.O : Complet entre 316 et 217</t>
  </si>
  <si>
    <t>H.O  non finalisé   entre 219 et 320 qualité /niveau de signal : dl rx-qual=7 , dl rx level = -110dbm. ,Requête de déconnexion a été envoyée par le RBC</t>
  </si>
  <si>
    <t>H.O  Complet  entre 233et 234 qualité /niveau de signal : dl rx-qual=7 , dl rx level = -63dbm. ,Requête de déconnexion a été envoyée par le RBC</t>
  </si>
  <si>
    <t>chantier d'optimisation en cours</t>
  </si>
  <si>
    <t>HO complet entre 305 et 304
qualité /niveau de signal : dl rx-qual=0 , dl rx level = -48 dbm
,Requête de déconnexion a été envoyée par le RBC</t>
  </si>
  <si>
    <t>chaine antennaire dégradé, besoin de vérification de la chaine /Zone sous surveillance par équipe NOC GSMR</t>
  </si>
  <si>
    <t>HO complet entre 305 et 304</t>
  </si>
  <si>
    <t>Etat H.O : HO complet entre 304 et 303
qualité /niveau de signal : dl rx-qual=0 , dl rx level = -73 dbm
,Requête de déconnexion a été envoyée par le RBC</t>
  </si>
  <si>
    <t>HO complet entre 304 et 303</t>
  </si>
  <si>
    <t>Etat H.O : HO Failure entre 332 et 331
 qualité /niveau de signal : dl rx-qual=4 , dl rx level = -59 dbm
,Requête de déconnexion a été envoyée par le RBC</t>
  </si>
  <si>
    <t>HO Failure entre 332 et 331</t>
  </si>
  <si>
    <t>Etat H.O : HO Failure entre 233 et 99
 qualité /niveau de signal : dl rx-qual=7 , dl rx level = -63 dbm
,Requête de déconnexion a été envoyée par le RBC</t>
  </si>
  <si>
    <t>En attente de mise en place des tiroires filtrés/Attente de vérificationPar l'équipe SOR</t>
  </si>
  <si>
    <t>HO Failure entre 233 et 99</t>
  </si>
  <si>
    <t>Etat H.O : HO Complet entre 303 et 204
 qualité /niveau de signal : dl rx-qual=0 , dl rx level = -56 dbm
,Requête de déconnexion a été envoyée par le RBC</t>
  </si>
  <si>
    <t>HO Failure entre 303 et 204</t>
  </si>
  <si>
    <t>dl rx level= -56dbm</t>
  </si>
  <si>
    <t>Etat H.O : HO non finalisé entre 202 et 303
 qualité /niveau de signal : dl rx-qual=7, dl rx level = -52 dbm
,Requête de déconnexion a été envoyée par le RBC</t>
  </si>
  <si>
    <t>HO Failure entre 202 et 303</t>
  </si>
  <si>
    <t>dl rx level= -52dbm</t>
  </si>
  <si>
    <t>Etat H.O : HO non finalisé entre 210 et 211
 qualité /niveau de signal : dl rx-qual=0, dl rx level = -63 dbm
,Requête de déconnexion a été envoyée par le RBC</t>
  </si>
  <si>
    <t>HO Failure entre 210 et 211</t>
  </si>
  <si>
    <t>Etat H.O : HO non finalisé entre 212 et 213
 qualité /niveau de signal : dl rx-qual=4, dl rx level = -62 dbm
,Requête de déconnexion a été envoyée par le RBC</t>
  </si>
  <si>
    <t>HO Failure entre 212 et 213</t>
  </si>
  <si>
    <t>Etat H.O : HO non finalisé entre 202 et 203
 qualité /niveau de signal : dl rx-qual=7, dl rx level = -54 dbm
,Requête de déconnexion a été envoyée par le RBC</t>
  </si>
  <si>
    <t>HO Failure entre 202 et 203</t>
  </si>
  <si>
    <t>Etat H.O : HO complet entre 318 et 317
 qualité /niveau de signal : dl rx-qual=0, dl rx level = -55 dbm
,Requête de déconnexion a été envoyée par le RBC</t>
  </si>
  <si>
    <t>HO complet entre 318 et 317</t>
  </si>
  <si>
    <t>Etat H.O : HO complet entre 211 et 212
 qualité /niveau de signal : dl rx-qual=0, dl rx level = -51 dbm
,Requête de déconnexion a été envoyée par le RBC</t>
  </si>
  <si>
    <t>HO complet entre 211 et 212</t>
  </si>
  <si>
    <t>dl rx level= -51dbm</t>
  </si>
  <si>
    <t>Etat H.O : HO non finalisé entre 202 et 303
 qualité /niveau de signal : dl rx-qual=7, dl rx level = -54 dbm
,Requête de déconnexion a été envoyée par le RBC</t>
  </si>
  <si>
    <t>Etat H.O : finalisé entre 317 et 318
 qualité /niveau de signal : dl rx-qual=0, dl rx level = -110 dbm
,Requête de déconnexion a été envoyée par le RBC</t>
  </si>
  <si>
    <t>Attente planification analyse spectrale</t>
  </si>
  <si>
    <t>HO complet entre 317 et 318</t>
  </si>
  <si>
    <t>dl rx level= -110dbm</t>
  </si>
  <si>
    <t>Etat H.O : finalisé entre 308 et 307
 qualité /niveau de signal : dl rx-qual=1, dl rx level = -60 dbm
,Requête de déconnexion a été envoyée par le RBC</t>
  </si>
  <si>
    <t>HO complet entre 308 et 307</t>
  </si>
  <si>
    <t>Etat H.O : finalisé entre 212 et 213
 qualité /niveau de signal : dl rx-qual=7, dl rx level = -71 dbm
,Requête de déconnexion a été envoyée par le RBC</t>
  </si>
  <si>
    <t>HO complet entre 212 et 213</t>
  </si>
  <si>
    <t>dl rx level= -71dbm</t>
  </si>
  <si>
    <t>Etat H.O : non finalisé entre 302 et 301
 qualité /niveau de signal : dl rx-qual=7, dl rx level = -56 dbm
,Requête de déconnexion a été envoyée par le RBC</t>
  </si>
  <si>
    <t>HO Failure entre 302 et 301</t>
  </si>
  <si>
    <t>Etat H.O : Complete entre 213 et 214
 qualité /niveau de signal : dl rx-qual=7, dl rx level = -74 dbm
,Requête de déconnexion a été envoyée par le RBC</t>
  </si>
  <si>
    <t>HO complet entre 213 et 214</t>
  </si>
  <si>
    <t>dl rx level= -74dbm</t>
  </si>
  <si>
    <t xml:space="preserve">Etat H.O : non finalisé entre 231 et 329
 qualité /niveau de signal : dl rx-qual=7, dl rx level = -74 dbm
,Requête de déconnexion a été envoyée par le Bord </t>
  </si>
  <si>
    <t>HO Failure entre 231 et 329</t>
  </si>
  <si>
    <t xml:space="preserve">Etat H.O : non finalisé entre 318 et 317
 qualité /niveau de signal : dl rx-qual=7, dl rx level = -80 dbm
,Requête de déconnexion a été envoyée par le RBC </t>
  </si>
  <si>
    <t>HO Failure entre 318 et 317</t>
  </si>
  <si>
    <t>dl rx level= -80dbm</t>
  </si>
  <si>
    <t> 08:27:28</t>
  </si>
  <si>
    <t xml:space="preserve">Etat H.O : non finalisé entre 219 et 320
 qualité /niveau de signal : dl rx-qual=7, dl rx level = -70 dbm
,Requête de déconnexion a été envoyée par le Bord </t>
  </si>
  <si>
    <t>Attente de pousser les analyses coté Bord</t>
  </si>
  <si>
    <t>HO Failure entre 219 et 320</t>
  </si>
  <si>
    <t> 08:33:05</t>
  </si>
  <si>
    <t>Etat H.O :complet entre 328 et 327
 qualité /niveau de signal : dl rx-qual=0, dl rx level = -48 dbm
,Requête de déconnexion a été envoyée par le RBC</t>
  </si>
  <si>
    <t>HO complet entre 328 et 327</t>
  </si>
  <si>
    <t>dl rx level= -48dbm</t>
  </si>
  <si>
    <t>Etat H.O :complet entre 201 et 202
 qualité /niveau de signal : dl rx-qual=0, dl rx level = -54 dbm
,Requête de déconnexion a été envoyée par le RBC</t>
  </si>
  <si>
    <t>HO complet entre 201 et 202</t>
  </si>
  <si>
    <t>Etat H.O : non finalisé entre 303 et  201
 qualité /niveau de signal : dl rx-qual=7, dl rx level = -81dbm
,Requête de déconnexion a été envoyée par le Bord</t>
  </si>
  <si>
    <t>HO Failure entre 303 et 201</t>
  </si>
  <si>
    <t>Etat H.O : non finalisé entre 202 et  303
 qualité /niveau de signal : dl rx-qual=7, dl rx level = -52dbm
,Requête de déconnexion a été envoyée par le RBC</t>
  </si>
  <si>
    <t>Etat H.O : non finalisé entre 202 et  201
 qualité /niveau de signal : dl rx-qual=5, dl rx level = -55dbm
,Requête de déconnexion a été envoyée par le RBC</t>
  </si>
  <si>
    <t>HO Failure entre 202 et 201</t>
  </si>
  <si>
    <t>Etat H.O : non finalisé entre 224 et  323
 qualité /niveau de signal : dl rx-qual=6, dl rx level = -75dbm
,Requête de déconnexion a été envoyée par le MSC</t>
  </si>
  <si>
    <t>HO Failure entre 224 et 323</t>
  </si>
  <si>
    <t>Etat H.O : non finalisé entre 207 et  205
 qualité /niveau de signal : dl rx-qual=7, dl rx level = -86dbm
,Requête de déconnexion a été envoyée par le RBC</t>
  </si>
  <si>
    <t>En attente de pousser les analyses coté Bord/Attente de vérification Par l'équipe SOR</t>
  </si>
  <si>
    <t>HO Failure entre 207 et 205</t>
  </si>
  <si>
    <t>dl rx level= -86 dbm</t>
  </si>
  <si>
    <t>Etat H.O : non finalisé entre 202 et  303
 qualité /niveau de signal : dl rx-qual=3, dl rx level = -56dbm
,Requête de déconnexion a été envoyée par le MSC</t>
  </si>
  <si>
    <t>Etat H.O : Complete entre 222 et  323
 qualité /niveau de signal : dl rx-qual=0, dl rx level = -50dbm
,Requête de déconnexion a été envoyée par le RBC</t>
  </si>
  <si>
    <t>HO Complete entre 222 et 323</t>
  </si>
  <si>
    <t>Etat H.O : non recule finalisé entre 202 et  201
 qualité /niveau de signal : dl rx-qual=7, dl rx level = -53dbm
,Requête de déconnexion a été envoyée par le RBC</t>
  </si>
  <si>
    <t>Etat H.O : non finalisé entre 301 et 202
 qualité /niveau de signal : dl rx-qual= 7, dl rx level = -56 dbm
,Requête de déconnexion a été envoyée par le RBC</t>
  </si>
  <si>
    <t>HO Failure entre 301 et 202</t>
  </si>
  <si>
    <t>Etat H.O : non finalisé entre 301 et 303 
 qualité /niveau de signal : dl rx-qual= 7, dl rx level = -53 dbm
,Requête de déconnexion a été envoyée par le RBC</t>
  </si>
  <si>
    <t xml:space="preserve">HO Failure entre 301 et 303 </t>
  </si>
  <si>
    <t xml:space="preserve"> Etat H.O : finalisé entre 226 et 325 
 qualité /niveau de signal : dl RxQual=0, dl rx level = -71 dbm
,Requête de déconnexion a été envoyée par le RBC</t>
  </si>
  <si>
    <t>HO Complete entre 226 et 325</t>
  </si>
  <si>
    <t>Etat H.O : non finalisé entre 202 et 303
 qualité /niveau de signal : dl rx-qual= 4, dl rx level = -50 dbm
,Requête de déconnexion a été envoyée par le Bord</t>
  </si>
  <si>
    <t xml:space="preserve">HO Failure entre 202 et 303 </t>
  </si>
  <si>
    <t xml:space="preserve"> Etat H.O : finalisé entre 213 et 214 
* qualité /niveau de signal : dl RxQual=7, dl rx level = -76 dbm
,Requête de déconnexion a été envoyée par le RBC</t>
  </si>
  <si>
    <t>HO Complete entre 213 et 214</t>
  </si>
  <si>
    <t xml:space="preserve"> Etat H.O : NON finalisé entre 219 et 320
* qualité /niveau de signal : dl RxQual=5, dl rx level = -80 dbm
,Requête de déconnexion a été envoyée par le MSC</t>
  </si>
  <si>
    <t xml:space="preserve">HO Failure entre 219 et 320 </t>
  </si>
  <si>
    <t xml:space="preserve"> Etat H.O : NON finalisé entre 219 et 217
* qualité /niveau de signal : dl RxQual=6, dl rx level = -83 dbm
,Requête de déconnexion a été envoyée par le RBC</t>
  </si>
  <si>
    <t>HO Failure entre 219 et 217</t>
  </si>
  <si>
    <t xml:space="preserve"> Etat H.O : NON finalisé entre 213 et 214
* qualité /niveau de signal : dl RxQual=7, dl rx level = -64 dbm
,Requête de déconnexion a été envoyée par le RBC</t>
  </si>
  <si>
    <t>HO Failure entre 213 et 214</t>
  </si>
  <si>
    <t xml:space="preserve"> Etat H.O : NON finalisé entre 310 et 309
* qualité /niveau de signal : dl RxQual=0 dl rx level = -48dbm
,Requête de déconnexion a été envoyée par le RBC</t>
  </si>
  <si>
    <t>HO Failure entre 310 et 309</t>
  </si>
  <si>
    <t xml:space="preserve"> Etat H.O : NON finalisé entre 231 et 329
* qualité /niveau de signal : dl RxQual=7 dl rx level = -74dbm
,Requête de déconnexion a été envoyée par le Bord</t>
  </si>
  <si>
    <t> 14:05:46 </t>
  </si>
  <si>
    <t xml:space="preserve"> Etat H.O : NON finalisé entre 302 et 303
* qualité /niveau de signal : dl RxQual=6 dl rx level = -56dbm
,Requête de déconnexion a été envoyée par le RBC</t>
  </si>
  <si>
    <t>HO Failure entre 302 et 303</t>
  </si>
  <si>
    <t xml:space="preserve"> 18:28:34 </t>
  </si>
  <si>
    <t>Etat H.O : non finalisé entre 220 et 321
 qualité /niveau de signal : dl rx-qual= 6, dl rx level = -64 dbm
,Requête de déconnexion a été envoyée par le Bord</t>
  </si>
  <si>
    <t>HO Failure entre 220 et 321</t>
  </si>
  <si>
    <t xml:space="preserve"> 21:27:54 </t>
  </si>
  <si>
    <t>Etat H.O : Non finalisé entre 219 et 320
 qualité /niveau de signal : dl rx-qual= 7, dl rx level = -68 dbm
,Requête de déconnexion a été envoyée par le Bord</t>
  </si>
  <si>
    <t xml:space="preserve"> Retransmission des trames HDLC*5</t>
  </si>
  <si>
    <t xml:space="preserve"> 22:27:22 </t>
  </si>
  <si>
    <t>Etat H.O :  finalisé entre 234 et 233
 qualité /niveau de signal : dl rx-qual= 0, dl rx level = -54 dbm
,Requête de déconnexion a été envoyée par le Bord</t>
  </si>
  <si>
    <t>HO Complete entre 234 et 233</t>
  </si>
  <si>
    <t>Pas Retransmission des trames HDLC</t>
  </si>
  <si>
    <t xml:space="preserve"> 23:18:16 </t>
  </si>
  <si>
    <t>Etat H.O : NON finalisé entre 303et 202
 qualité /niveau de signal : dl rx-qual= 2, dl rx level = -72 dbm
,Requête de déconnexion a été envoyée par le RBC</t>
  </si>
  <si>
    <t>HO Failure entre 303 et 202</t>
  </si>
  <si>
    <t xml:space="preserve"> 07:21:25 </t>
  </si>
  <si>
    <t>Etat H.O :  finalisé entre 212et 213
 qualité /niveau de signal : dl rx-qual= 6, dl rx level = -68 dbm
,Requête de déconnexion a été envoyée par le RBC</t>
  </si>
  <si>
    <t>HO Complete entre 212 et 213</t>
  </si>
  <si>
    <t> 10:21:27</t>
  </si>
  <si>
    <t>Etat H.O :  finalisé entre 213 et 214
 qualité /niveau de signal : dl rx-qual= 7, dl rx level = -78 dbm
,Requête de déconnexion a été envoyée par le RBC</t>
  </si>
  <si>
    <t>HAMZAOUI Youssef</t>
  </si>
  <si>
    <t> 10:42:39</t>
  </si>
  <si>
    <t>Etat H.O : NON finalisé entre 229 et 230
 qualité /niveau de signal : dl rx-qual= 0, dl rx level = -58 dbm
,Requête de déconnexion a été envoyée par le RBC</t>
  </si>
  <si>
    <t>HO Failure entre 229 et 230</t>
  </si>
  <si>
    <t> 13:03:25</t>
  </si>
  <si>
    <t>Etat H.O :Complet entre 204 et 303
 qualité /niveau de signal : dl rx-qual= 0, dl rx level = -48 dbm
,Requête de déconnexion a été envoyée par le RBC</t>
  </si>
  <si>
    <t>HO Complete entre 204 et 303</t>
  </si>
  <si>
    <t>Etat H.O : Complet  entre 303 et 204
*qualité /niveau de signal : dl rx-qual=0, dl rx level = -48 dbm
,Requête de déconnexion a été envoyée par le RBC</t>
  </si>
  <si>
    <t>HO Complete entre 303 et 204</t>
  </si>
  <si>
    <t>Etat H.O : Complet  entre 231 et 229
*qualité /niveau de signal : dl rx-qual=7, dl rx level = -71 dbm
,Requête de déconnexion a été envoyée par le RBC</t>
  </si>
  <si>
    <t>HO Complete entre 231 et 229</t>
  </si>
  <si>
    <t>Etat H.O : Complet  entre 323 et 224
*qualité /niveau de signal : dl rx-qual=5, dl rx level = -72 dbm
,Requête de déconnexion a été envoyée par le RBC</t>
  </si>
  <si>
    <t>HO Complete entre 323 et 224</t>
  </si>
  <si>
    <t>Etat H.O : Non fénalisé  entre 223 et 222
*qualité /niveau de signal : dl rx-qual=7, dl rx level = -81 dbm
,Requête de déconnexion a été envoyée par le RBC</t>
  </si>
  <si>
    <t>HO Failure entre 223 et 222</t>
  </si>
  <si>
    <t>Etat H.O : Complet  entre 319 et 318
*qualité /niveau de signal : dl rx-qual=0, dl rx level = -57 dbm
,Requête de déconnexion a été envoyée par le RBC</t>
  </si>
  <si>
    <t xml:space="preserve">HO Complete entre 319 et 318
</t>
  </si>
  <si>
    <t>Etat H.O : Complet  entre 324 et 323
*qualité /niveau de signal : dl rx-qual=0, dl rx level = -51 dbm
,Requête de déconnexion a été envoyée par le RBC</t>
  </si>
  <si>
    <t xml:space="preserve">HO Complete entre 324 et 323
</t>
  </si>
  <si>
    <t>Etat H.O : Non finalisé entre 303 et 302
*qualité /niveau de signal : dl rx-qual=7, dl rx level = -61 dbm
,Requête de déconnexion a été envoyée par le RBC</t>
  </si>
  <si>
    <t>HO Failure entre 303 et 302</t>
  </si>
  <si>
    <t>Etat H.O : Complet entre 216 et 315
* qualité /niveau de signal : dl rx-qual=0, dl rx level = -50 dbm
,Requête de déconnexion a été envoyée par le RBC</t>
  </si>
  <si>
    <t>HO Complete entre 216 et 315</t>
  </si>
  <si>
    <t>Etat H.O : Performed entre 330 et 331 avec downLink quality
* qualité /niveau de signal : dl rx-qual=7, dl rx level = -75 dbm
,Requête de déconnexion a été envoyée par le RBC</t>
  </si>
  <si>
    <t>HO Performed entre 330 et 331</t>
  </si>
  <si>
    <t>06:11:52 </t>
  </si>
  <si>
    <t>Etat H.O : Complet  entre 327et 326
*qualité /niveau de signal : dl rx-qual=0, dl rx level = -77 dbm
,Requête de déconnexion a été envoyée par le RBC</t>
  </si>
  <si>
    <t xml:space="preserve">chaine antennaire dégradé, besoin de vérification de la chaine , Besoin de vérification de la chaine antennaire </t>
  </si>
  <si>
    <t xml:space="preserve">HO Complete entre 327 et 326
</t>
  </si>
  <si>
    <t xml:space="preserve"> 12:05:18</t>
  </si>
  <si>
    <t>Etat H.O : Non finalisé  entre 202 et 303
*qualité /niveau de signal : dl rx-qual=3, dl rx level = -50 dbm
,Requête de déconnexion a été envoyée par le BORD</t>
  </si>
  <si>
    <t xml:space="preserve"> 18:05:01</t>
  </si>
  <si>
    <t xml:space="preserve">Etat H.O : Non finalisé  entre 202 et 301
*qualité /niveau de signal : dl rx-qual=7, dl rx level = -54 dbm
,Requête de déconnexion a été envoyée par le RBC </t>
  </si>
  <si>
    <t>HO Failure entre 202 et 301</t>
  </si>
  <si>
    <t xml:space="preserve"> 19:28:00</t>
  </si>
  <si>
    <t xml:space="preserve">Etat H.O : Non finalisé  entre 320 et 321
*qualité /niveau de signal : dl rx-qual=6, dl rx level = -65 dbm
,Requête de déconnexion a été envoyée par le RBC </t>
  </si>
  <si>
    <t>HO Failure entre 320 et 321</t>
  </si>
  <si>
    <t xml:space="preserve"> 22:40:11</t>
  </si>
  <si>
    <t xml:space="preserve">Etat H.O : Non finalisé  entre 322 et 321
*qualité /niveau de signal : dl rx-qual=2, dl rx level = -78 dbm
,Requête de déconnexion a été envoyée par le RBC </t>
  </si>
  <si>
    <t>HO Failure entre 322 et 321</t>
  </si>
  <si>
    <t xml:space="preserve"> Etat H.O :  finalisé entre 220 et 221
* qualité /niveau de signal : dl rx-qual=1, dl rx level = -65 dbm
,Requête de déconnexion a été envoyée par le RBC </t>
  </si>
  <si>
    <t xml:space="preserve">HO Complete entre 220 et 221
</t>
  </si>
  <si>
    <t xml:space="preserve"> Etat H.O :  non finalisé entre 202 et 303
* qualité /niveau de signal : dl rx-qual=3, dl rx level = -53 dbm
,Requête de déconnexion a été envoyée par le Bord</t>
  </si>
  <si>
    <t xml:space="preserve"> Etat H.O : Complete  entre 305 et 204
* qualité /niveau de signal : dl rx-qual=0, dl rx level = -48 dbm
,Requête de déconnexion a été envoyée par le RBC</t>
  </si>
  <si>
    <t xml:space="preserve">HO Complete entre 305 et 204
</t>
  </si>
  <si>
    <t xml:space="preserve"> Etat H.O : finalisé entre 203 et 204
* qualité /niveau de signal : dl rx-qual=0, dl rx level = -48 dbm
,Requête de déconnexion a été envoyée par le RBC</t>
  </si>
  <si>
    <t xml:space="preserve">HO Complete entre 203 et 204
</t>
  </si>
  <si>
    <t xml:space="preserve"> Etat H.O : complete  entre 321 et 320
* qualité /niveau de signal : dl rx-qual=0, dl rx level = -68 dbm
,Requête de déconnexion a été envoyée par le RBC</t>
  </si>
  <si>
    <t xml:space="preserve">HO Complete entre 321 et 320
</t>
  </si>
  <si>
    <t xml:space="preserve"> Etat H.O :  non finalisé entre 202 et 203
* qualité /niveau de signal : dl rx-qual=6, dl rx level = -54 dbm
,Requête de déconnexion a été envoyée par le RBC </t>
  </si>
  <si>
    <t xml:space="preserve"> Etat H.O : complete  entre 230 et 231
* qualité /niveau de signal : dl rx-qual=0, dl rx level = -58 dbm
,Requête de déconnexion a été envoyée par le RBC</t>
  </si>
  <si>
    <t xml:space="preserve">HO Complete entre 230 et 231
</t>
  </si>
  <si>
    <t>Etat H.O : Non finalisé entre 301 et 202 (Ping pong entre 202 et 301 )
* qualité /niveau de signal : dl rx-qual=6, dl rx level = -54 dbm
,Requête de déconnexion a été envoyée par le RBC</t>
  </si>
  <si>
    <t xml:space="preserve">Etat H.O : Non finalisé entre 301 et 202 (Ping pong entre 202 et 301 )
</t>
  </si>
  <si>
    <t xml:space="preserve"> Etat H.O : complete  entre 214 et 215
* qualité /niveau de signal : dl rx-qual=0, dl rx level = -48 dbm
,Requête de déconnexion a été envoyée par le RBC</t>
  </si>
  <si>
    <t xml:space="preserve"> H.O complete entre 214 et 215</t>
  </si>
  <si>
    <t xml:space="preserve"> Etat H.O : non finalisé entre 326 et 327
* qualité /niveau de signal : dl rx-qual=7, dl rx level = -61 dbm
,Requête de déconnexion a été envoyée par le RBC</t>
  </si>
  <si>
    <t>En attente de mise en place du tirroir radio filtré, besoin de verification de la chaine antennaire</t>
  </si>
  <si>
    <t xml:space="preserve"> H.O non finalisé entre 326 et 327</t>
  </si>
  <si>
    <t xml:space="preserve"> Etat H.O : complete  entre 307 et 306
* qualité /niveau de signal : dl rx-qual=0, dl rx level = -48 dbm
,Requête de déconnexion a été envoyée par le RBC</t>
  </si>
  <si>
    <t xml:space="preserve"> H.O complete entre 307 et 306</t>
  </si>
  <si>
    <t xml:space="preserve"> Etat H.O : complete  entre 224 et 323
* qualité /niveau de signal : dl rx-qual=0, dl rx level = -48 dbm
,Requête de déconnexion a été envoyée par le RBC</t>
  </si>
  <si>
    <t xml:space="preserve"> H.O complete entre 224 et 323</t>
  </si>
  <si>
    <t xml:space="preserve"> Etat H.O : complete  entre 303 et 202
* qualité /niveau de signal : dl rx-qual=2, dl rx level = -61 dbm
,Requête de déconnexion a été envoyée par le RBC</t>
  </si>
  <si>
    <t xml:space="preserve">chaine antennaire dégradé, besoin de vérification de la chaine </t>
  </si>
  <si>
    <t xml:space="preserve"> H.O complete entre 303 et 202</t>
  </si>
  <si>
    <t xml:space="preserve"> Etat H.O : Complete avec dowlink quality entre 303 et 202
* qualité /niveau de signal : dl rx-qual=7, dl rx level = -70 dbm
,Requête de déconnexion a été envoyée par le RBC</t>
  </si>
  <si>
    <t xml:space="preserve"> Etat H.O : Complete  entre 320 et 319
* qualité /niveau de signal : dl rx-qual=0, dl rx level = -49 dbm
,Requête de déconnexion a été envoyée par le RBC                                                                        Justification du premier arrêt : la requête de déconnexion a été envoyée à 16:42:53 et le premier message TPR envoyé depuis le bord vers le RBC après la reconnexion était à 16:43:51 (dépassement de 40 secondes entre la requête de déconnexion et le premier message train position report , ce qui a généré l’envoi d’un AUI depuis le RBC, suivi d’un arrêt du train).   </t>
  </si>
  <si>
    <t>Attente de vérificationPar l'équipe SOR</t>
  </si>
  <si>
    <t xml:space="preserve"> H.O complete entre 320 et 319</t>
  </si>
  <si>
    <t xml:space="preserve"> Etat H.O : Complete  entre 313 et 312
* qualité /niveau de signal : dl rx-qual=0, dl rx level = -48 dbm
,Requête de déconnexion a été envoyée par le RBC                                                                      Justification du deuxième arrêt : un AUC non acquitté par le Bord a entraîné l’envoi d’un AUI depuis le RBC après la reconnexion de la rame, provoquant ainsi l’arrêt du train.</t>
  </si>
  <si>
    <t xml:space="preserve"> H.O complete entre 313 et 312</t>
  </si>
  <si>
    <t xml:space="preserve"> Etat H.O : Non finalisé   entre 302 et 203
* qualité /niveau de signal : dl rx-qual=4, dl rx level = -51 dbm
,Requête de déconnexion a été envoyée par le RBC          </t>
  </si>
  <si>
    <t xml:space="preserve">En attente de mise en place des tiroires filtrés </t>
  </si>
  <si>
    <t xml:space="preserve"> H.O non finalisé entre 302 et 203</t>
  </si>
  <si>
    <t xml:space="preserve"> Etat H.O : avec recule Non finalisé   entre 207 et 308
* qualité /niveau de signal : dl rx-qual=7, dl rx level = -83 dbm
,Requête de déconnexion a été envoyée par le RBC                                                                   Justification du deuxième arrêt : un AUC non acquitté par le Bord a entraîné l’envoi d’un AUI depuis le RBC après la reconnexion de la rame, provoquant ainsi l’arrêt du train.</t>
  </si>
  <si>
    <t xml:space="preserve"> H.O : avec recule Non finalisé   entre 207 et 308</t>
  </si>
  <si>
    <t xml:space="preserve"> Etat H.O : complete  entre 323 et 324
* qualité /niveau de signal : dl rx-qual=0, dl rx level = -48 dbm
,Requête de déconnexion a été envoyée par le RBC</t>
  </si>
  <si>
    <t>En attente de mise en place des tiroires filtrés /Zone sous surveillance par équipe NOC GSMR</t>
  </si>
  <si>
    <t xml:space="preserve"> H.O complete entre 323 et 324</t>
  </si>
  <si>
    <t xml:space="preserve"> Etat H.O : Non finalisé entre 318 et 217
* qualité /niveau de signal : dl rx-qual=7, dl rx level = -85 dbm
,Requête de déconnexion a été envoyée par le Bord</t>
  </si>
  <si>
    <t xml:space="preserve">étant donné que la rame 1205 se déconnecter cette année beaucoup de fois (30 déconnexion jusqu'à présent )nous recommendons de vérifier la chaine antennaire </t>
  </si>
  <si>
    <t xml:space="preserve"> H.O non finalisé entre 318 et 217</t>
  </si>
  <si>
    <t xml:space="preserve"> Pas de Retransmission des trames HDLC</t>
  </si>
  <si>
    <t xml:space="preserve"> Etat H.O : complete  entre 307 et 306
* qualité /niveau de signal : dl rx-qual=0, dl rx level = -60 dbm
,Requête de déconnexion a été envoyée par le RBC</t>
  </si>
  <si>
    <t xml:space="preserve"> Etat H.O : Non finalisé  entre 302 et 203
* qualité /niveau de signal : dl rx-qual=7, dl rx level = -54 dbm
,Requête de déconnexion a été envoyée par le Bord</t>
  </si>
  <si>
    <t>Pas de Retransmission des trames HDLC</t>
  </si>
  <si>
    <t xml:space="preserve"> Etat H.O : Non finalisé  entre 223 et 322
* qualité /niveau de signal : dl rx-qual=7, dl rx level = -87 dbm
,Requête de déconnexion a été envoyée par le Bord</t>
  </si>
  <si>
    <t xml:space="preserve"> H.O Non finalisé entre 223 et 322 </t>
  </si>
  <si>
    <t xml:space="preserve"> 09:05:49</t>
  </si>
  <si>
    <t xml:space="preserve"> Etat H.O : Non finalisé  entre 202 et 201
* qualité /niveau de signal : dl rx-qual=7, dl rx level = -57 dbm
,Requête de déconnexion a été envoyée par le RBC</t>
  </si>
  <si>
    <t xml:space="preserve"> H.O Non finalisé entre 202 et 201</t>
  </si>
  <si>
    <t xml:space="preserve"> Etat H.O : complete  entre 231 et 232
* qualité /niveau de signal : dl rx-qual=0, dl rx level = -55 dbm
,Requête de déconnexion a été envoyée par le Bord</t>
  </si>
  <si>
    <t xml:space="preserve"> H.O complete entre 231 et 232</t>
  </si>
  <si>
    <t>dl rx level= -55  dbm</t>
  </si>
  <si>
    <t xml:space="preserve"> Etat H.O :  Non finalisé entre 302 et 203
* qualité /niveau de signal : dl rx-qual=6, dl rx level = -53 dbm
,Requête de déconnexion a été envoyée par le RBC</t>
  </si>
  <si>
    <t xml:space="preserve"> H.O Non finalisé entre 302 et 203</t>
  </si>
  <si>
    <t>dl rx level= -53  dbm</t>
  </si>
  <si>
    <t xml:space="preserve"> Etat H.O : complete  entre 202 et 303
* qualité /niveau de signal : dl rx-qual=0, dl rx level = -77 dbm
,Requête de déconnexion a été envoyée par le RBC</t>
  </si>
  <si>
    <t xml:space="preserve"> H.O complete entre 202 et 303</t>
  </si>
  <si>
    <t>dl rx level= -77  dbm</t>
  </si>
  <si>
    <t xml:space="preserve"> Etat H.O : Non finalisé entre 220 et 319
* qualité /niveau de signal : dl rx-qual=5, dl rx level = -58 dbm
,Requête de déconnexion a été envoyée par le Bord</t>
  </si>
  <si>
    <t xml:space="preserve"> H.O Non finalisé entre 220 et 319</t>
  </si>
  <si>
    <t>dl rx level= -58  dbm</t>
  </si>
  <si>
    <t xml:space="preserve"> Etat H.O : complete entre 202 et 303
* qualité /niveau de signal : dl rx-qual=0, dl rx level = -79 dbm
,Requête de déconnexion a été envoyée par le RBC</t>
  </si>
  <si>
    <t>dl rx level= -79  dbm</t>
  </si>
  <si>
    <t>Etat H.O : non finalisé entre 207 et 305
* qualité /niveau de signal : dl rx-qual=7, dl rx level = -85dbm
,Requête de déconnexion a été envoyée par le Bord</t>
  </si>
  <si>
    <t xml:space="preserve"> H.O non finalisé entre 207 et 305</t>
  </si>
  <si>
    <t>dl rx level= -85  dbm</t>
  </si>
  <si>
    <t>Etat H.O : non finalisé entre 207 et 308
* qualité /niveau de signal : dl rx-qual=7, dl rx level = -92dbm
,Requête de déconnexion a été envoyée par le Bord</t>
  </si>
  <si>
    <t xml:space="preserve"> H.O non finalisé entre 207 et 308</t>
  </si>
  <si>
    <t>dl rx level= -92  dbm</t>
  </si>
  <si>
    <t xml:space="preserve"> Etat H.O : complete  entre 311 et 310
* qualité /niveau de signal : dl rx-qual=1, dl rx level = -48 dbm
,Requête de déconnexion a été envoyée par le RBC</t>
  </si>
  <si>
    <t>En attente de pousser les analyses coté RBC</t>
  </si>
  <si>
    <t xml:space="preserve"> H.O complete entre 311 et 310</t>
  </si>
  <si>
    <t xml:space="preserve"> Etat H.O : non finalisé entre 202 et 203
* qualité /niveau de signal : dl rx-qual=6, dl rx level = -53 dbm
,Requête de déconnexion a été envoyée par le RBC</t>
  </si>
  <si>
    <t xml:space="preserve"> H.O non finalisé entre 202 et 203</t>
  </si>
  <si>
    <t xml:space="preserve"> Etat H.O : non finalisé entre 207 et 306
* qualité /niveau de signal : dl rx-qual=6, dl rx level = -94 dbm
,Requête de déconnexion a été envoyée par le RBC</t>
  </si>
  <si>
    <t>dl rx level= -94 dbm</t>
  </si>
  <si>
    <t xml:space="preserve"> Etat H.O : finalisé entre 213 et 214
* qualité /niveau de signal : dl rx-qual=7, dl rx level = -72 dbm
,Requête de déconnexion a été envoyée par le RBC</t>
  </si>
  <si>
    <t xml:space="preserve">En attente de pousser les analyses coté Bord / H.O s'execute avec succés entre 213 et 214 </t>
  </si>
  <si>
    <t xml:space="preserve"> H.O finalisé entre 213 et 214</t>
  </si>
  <si>
    <t>Etat H.O : finalisé entre 219 et 220
* qualité /niveau de signal : dl rx-qual=0, dl rx level = -48dbm
,Requête de déconnexion a été envoyée par le RBC</t>
  </si>
  <si>
    <t xml:space="preserve">chaine antennaire dégradé, besoin de vérification de la chaine /des perturbations de Hand Over entre 219 et 320 , dans l'attente d'une analyse spectral </t>
  </si>
  <si>
    <t xml:space="preserve"> H.O  finalisé entre 219 et 220</t>
  </si>
  <si>
    <t xml:space="preserve"> Etat H.O : complete  entre 318 et 317
* qualité /niveau de signal : dl rx-qual=3, dl rx level = -52 dbm
,Requête de déconnexion a été envoyée par le RBC</t>
  </si>
  <si>
    <t xml:space="preserve">Attente d'une analyse spectral </t>
  </si>
  <si>
    <t xml:space="preserve"> H.O  complete entre 318 et 317</t>
  </si>
  <si>
    <t xml:space="preserve"> Etat H.O : complete  entre 324 et 323
* qualité /niveau de signal : dl rx-qual=0, dl rx level = -48 dbm
,Requête de déconnexion a été envoyée par le RBC</t>
  </si>
  <si>
    <t xml:space="preserve">En attente de pousser les analyses coté Bord </t>
  </si>
  <si>
    <t xml:space="preserve"> H.O  complete entre 324 et 323</t>
  </si>
  <si>
    <t xml:space="preserve"> Etat H.O : complete  entre 231 et 329
* qualité /niveau de signal : dl rx-qual=0, dl rx level = -110 dbm
,Requête de déconnexion a été envoyée par le RBC</t>
  </si>
  <si>
    <t>chaine antennaire dégradé, besoin de vérification de la chaine /Attente de vérificationPar l'équipe SOR</t>
  </si>
  <si>
    <t xml:space="preserve"> H.O  complete entre 231 et 329</t>
  </si>
  <si>
    <t xml:space="preserve"> Etat H.O : Non finalisé  entre 326 et 327
* qualité /niveau de signal : dl rx-qual=7, dl rx level = -56 dbm
,Requête de déconnexion a été envoyée par le RBC</t>
  </si>
  <si>
    <t xml:space="preserve"> H.O  Non finalisé entre 326 et 327</t>
  </si>
  <si>
    <t>Etat H.O : Non finalisé entre 207 et 208
* qualité /niveau de signal : dl rx-qual=7 , dl rx level = -84dbm
,Requête de déconnexion a été envoyée par le RBC</t>
  </si>
  <si>
    <t>chaine antennaire dégradé, besoin de vérification de la chaine /taux de succés de H.O 96%</t>
  </si>
  <si>
    <t xml:space="preserve"> H.O  Non finalisé entre 207 et 208</t>
  </si>
  <si>
    <t>Etat H.O : complet entre 231 et 329
* qualité /niveau de signal : dl rx-qual=0 , dl rx level = -62 dbm
,Requête de déconnexion a été envoyée par le RBC</t>
  </si>
  <si>
    <t xml:space="preserve"> H.O  finalisé entre 306 et 207</t>
  </si>
  <si>
    <t>Etat H.O: Ho recule non finalisé entre 207 et 208
* qualité /niveau de signal : dl rx-qual=7, dl rx level = -92 dbm
,Requête de déconnexion a été envoyée par le RBC</t>
  </si>
  <si>
    <t xml:space="preserve"> Attente de vérification  Par l'équipe SOR</t>
  </si>
  <si>
    <t>H.O  recule non finalisé entre 207 et 208</t>
  </si>
  <si>
    <t>Etat H.O : finalisé entre 330 et 231
* qualité /niveau de signal : dl rx-qual=7, dl rx level = -73dbm
,Requête de déconnexion a été envoyée par le RBC</t>
  </si>
  <si>
    <t xml:space="preserve"> H.O  finalisé entre 330 et 231</t>
  </si>
  <si>
    <t>Etat H.O : A la reconnexion la rame a été accrochée au cellule 591 de la ligne sidi Kacem / tanger puis nous avons constaté un échec HO entre cette dernière et la cellule 592 ce qui a causé une deuxième déconnexion   
* qualité /niveau de signal : dl rx-qual=1, dl rx level = -86 dbm
,Requête de déconnexion a été envoyée par le BORD</t>
  </si>
  <si>
    <t>En attente de vérification par l'équipe SOR</t>
  </si>
  <si>
    <t xml:space="preserve">HO non finalisé entre la cellule 591 et la cellule 592 </t>
  </si>
  <si>
    <t>Etat H.O : complet entre  219 et 220                                                                                                           * qualité /niveau de signal : dl rx-qual=0 , dl rx level = -48 dbm
,Requête de déconnexion a été envoyée par le RBC</t>
  </si>
  <si>
    <t xml:space="preserve">dans l'attente d'une analyse spectral </t>
  </si>
  <si>
    <t xml:space="preserve"> H.O  complete entre 219 et 220</t>
  </si>
  <si>
    <t>Etat H.O : complet entre 202 et 203
* qualité /niveau de signal : dl rx-qual=0 , dl rx level = -71 dbm
,Requête de déconnexion a été envoyée par le RBC</t>
  </si>
  <si>
    <t xml:space="preserve"> H.O  complete entre 202 et 203</t>
  </si>
  <si>
    <t>Etat H.O : complet entre 320 et 319
* qualité /niveau de signal : dl rx-qual=2 , dl rx level = -58 dbm
,Requête de déconnexion a été envoyée par le RBC</t>
  </si>
  <si>
    <t xml:space="preserve">chaine antennaire dégradé, besoin de vérification de la chaine /des perturbations de H.O entre 320 et 319 ; dans l'attente d'une analyse spectrale </t>
  </si>
  <si>
    <t xml:space="preserve"> H.O  complete entre 320 et 319</t>
  </si>
  <si>
    <t>Etat H.O : complet entre 311 et 310
* qualité /niveau de signal : dl rx-qual=0 , dl rx level = -53 dbm
,Requête de déconnexion a été envoyée par le RBC</t>
  </si>
  <si>
    <t xml:space="preserve"> H.O  complete entre 311 et 310</t>
  </si>
  <si>
    <t>ELGUEZZAR Anas</t>
  </si>
  <si>
    <t>Etat H.O : Non finalisé entre 202 et 303
* qualité /niveau de signal : dl rx-qual=5 , dl rx level = -52 dbm
,Requête de déconnexion a été envoyée par le Bord</t>
  </si>
  <si>
    <t xml:space="preserve"> H.O  Non finalisé entre 202 et 303</t>
  </si>
  <si>
    <t>Etat H.O : Non finalisé entre 202 et 303
* qualité /niveau de signal : dl rx-qual=5 , dl rx level = -56 dbm
,Requête de déconnexion a été envoyée par le RBC</t>
  </si>
  <si>
    <t xml:space="preserve"> H.O  Non finalisé entre 202 et 304</t>
  </si>
  <si>
    <t>Etat H.O : Non finalisé entre 219 et 320
* qualité /niveau de signal : dl rx-qual=6 , dl rx level = -77 dbm
,Requête de déconnexion a été envoyée par le Bord</t>
  </si>
  <si>
    <t xml:space="preserve"> H.O  Non finalisé entre 219 et 320</t>
  </si>
  <si>
    <t>Etat H.O : Complet entre 227 et 228
* qualité /niveau de signal : dl rx-qual=0 , dl rx level = -48 dbm
,Requête de déconnexion a été envoyée par le RBC</t>
  </si>
  <si>
    <t xml:space="preserve"> H.O  complete entre 227 et 228</t>
  </si>
  <si>
    <t>Etat H.O : Complet entre 213 et 214
* qualité /niveau de signal : dl rx-qual=1 , dl rx level = -49 dbm
,Requête de déconnexion a été envoyée par le RBC</t>
  </si>
  <si>
    <t xml:space="preserve"> H.O  complete entre 213 et 214</t>
  </si>
  <si>
    <t>Etat H.O : Complet entre 304 et 303
* qualité /niveau de signal : dl rx-qual=3 , dl rx level = -69 dbm
,Requête de déconnexion a été envoyée par le RBC</t>
  </si>
  <si>
    <t>En attente de mise en place des tiroires filtrés / En attente de pousser les analyses coté RBC</t>
  </si>
  <si>
    <t xml:space="preserve"> H.O  complete entre 304 et 303</t>
  </si>
  <si>
    <t>Etat H.O : Complet entre 224 et 225
* qualité /niveau de signal : dl rx-qual=2 , dl rx level = -69 dbm
,Requête de déconnexion a été envoyée par le RBC</t>
  </si>
  <si>
    <t xml:space="preserve"> H.O  complete entre 224 et 225</t>
  </si>
  <si>
    <t>Etat H.O : Complet entre 208 et 209
* qualité /niveau de signal : dl rx-qual=0 , dl rx level = -48 dbm
,Requête de déconnexion a été envoyée par le RBC</t>
  </si>
  <si>
    <t xml:space="preserve"> H.O  complete entre 208 et 209</t>
  </si>
  <si>
    <t>Etat H.O : Non finalisé entre 202 et 303
* qualité /niveau de signal : dl rx-qual=7 , dl rx level = -53 dbm
,Requête de déconnexion a été envoyée par le Bord</t>
  </si>
  <si>
    <t>Etat H.O : Complet entre 207 et 208
* qualité /niveau de signal : dl rx-qual=0 , dl rx level = - 73dbm
,Requête de déconnexion a été envoyée par le RBC</t>
  </si>
  <si>
    <t xml:space="preserve"> H.O  complete entre 207 et 208</t>
  </si>
  <si>
    <t>Etat H.O : Complet entre 308 et 307
* qualité /niveau de signal : dl rx-qual=0 , dl rx level = - 50dbm
,Requête de déconnexion a été envoyée par le RBC</t>
  </si>
  <si>
    <t xml:space="preserve"> H.O  complete entre 308 et 307</t>
  </si>
  <si>
    <t>Etat H.O : Complet entre 217 et 218
* qualité /niveau de signal : dl rx-qual=1 , dl rx level = - 48dbm
,Requête de déconnexion a été envoyée par le RBC</t>
  </si>
  <si>
    <t xml:space="preserve"> H.O  complete entre 217 et 218</t>
  </si>
  <si>
    <t>Etat H.O : non finalisé entre 302 et 203
* qualité /niveau de signal : dl rx-qual=7, dl rx level = -52 dbm
,Requête de déconnexion a été envoyée par le RBC</t>
  </si>
  <si>
    <t xml:space="preserve"> H.O  Non finalisé entre 302 et 203</t>
  </si>
  <si>
    <t>1054.</t>
  </si>
  <si>
    <t>Etat H.O : finalisé entre 202 et 303
* qualité /niveau de signal : dl rx-qual=0, dl rx level = -61 dbm
,Requête de déconnexion a été envoyée par le Bord</t>
  </si>
  <si>
    <t xml:space="preserve"> H.O   finalisé entre 202 et 303</t>
  </si>
  <si>
    <t>dl rx level= -61dbm</t>
  </si>
  <si>
    <t>Etat H.O : Non finalisé entre 312 et 311
* qualité /niveau de signal : dl rx-qual=1, dl rx level = -77 dbm
,Requête de déconnexion a été envoyée par le RBC</t>
  </si>
  <si>
    <t xml:space="preserve">chaine antennaire dégradé, besoin de vérification de la chaine /enchainement H.O normal pour les autres appels ETCS </t>
  </si>
  <si>
    <t xml:space="preserve"> H.O  Non finalisé entre 312 et 311</t>
  </si>
  <si>
    <t>dl rx level= -77dbm</t>
  </si>
  <si>
    <t>Etat H.O : Ho complet entre  231 et 229 
* qualité /niveau de signal : dl rx-qual=7 , dl rx level =-70dbm
,Requête de déconnexion a été envoyée par le RBC</t>
  </si>
  <si>
    <t>chaine antennaire dégradé, besoin de vérification de la chaine /Des ping pong pour quelques marches (zone sous surveillance par SOR )</t>
  </si>
  <si>
    <t xml:space="preserve"> H.O  complet entre  231 et 229 </t>
  </si>
  <si>
    <t>Etat H.O : Ho complet entre  231 et 329 (saute cellule)
* qualité /niveau de signal : dl rx-qual=2 , dl rx level =-61dbm
,Requête de déconnexion a été envoyée par le RBC</t>
  </si>
  <si>
    <t xml:space="preserve"> H.O  complet entre  231 et 329</t>
  </si>
  <si>
    <t>Etat H.O : Ho complet entre  206 et 207 
* qualité /niveau de signal : dl rx-qual=0 , dl rx level =-48dbm
,Requête de déconnexion a été envoyée par le RBC</t>
  </si>
  <si>
    <t xml:space="preserve"> H.O  complet entre  206 et 207</t>
  </si>
  <si>
    <t>Etat H.O : Ho non finalisé  entre  302  et 203
* qualité /niveau de signal : dl rx-qual=5 , dl rx level =-51dbm.
,Requête de déconnexion a été envoyée par le RBC</t>
  </si>
  <si>
    <t xml:space="preserve"> H.O  non finalisé  entre  302  et 203</t>
  </si>
  <si>
    <t>* Etat H.O : Ho non finalisé  entre  302  et 303
* qualité /niveau de signal : dl rx-qual=6 , dl rx level =-53dbm.
,Requête de déconnexion a été envoyée par le RBC</t>
  </si>
  <si>
    <t>dl rx level= -53dbm</t>
  </si>
  <si>
    <t>* Etat H.O : Ho finalisé  entre  210 et 211
* qualité /niveau de signal : dl rx-qual=2 , dl rx level =-50dbm.
,Requête de déconnexion a été envoyée par le RBC</t>
  </si>
  <si>
    <t>chaine antennaire dégradé, besoin de vérification de la chaine</t>
  </si>
  <si>
    <t xml:space="preserve"> H.O  finalisé  entre  210 et 211</t>
  </si>
  <si>
    <t>dl rx level= -50dbm</t>
  </si>
  <si>
    <t>Etat H.O : Ho Non finalisé  entre  202 et 303
* qualité /niveau de signal : dl rx-qual=3 , dl rx level =-52dbm.
,Requête de déconnexion a été envoyée par le Bord</t>
  </si>
  <si>
    <t xml:space="preserve"> H.O  Non finalisé  entre  202 et 303</t>
  </si>
  <si>
    <t>Etat H.O : Ho finalisé  entre  204 et 205
* qualité /niveau de signal : dl rx-qual=0 , dl rx level =-51dbm.
,Requête de déconnexion a été envoyée par le RBC</t>
  </si>
  <si>
    <t xml:space="preserve">chaine antennaire dégradé, besoin de vérification de la chaine /les conditions gsm-r sont bon </t>
  </si>
  <si>
    <t xml:space="preserve"> H.O finalisé  entre  204 et 205</t>
  </si>
  <si>
    <t>Etat H.O : Ho complet entre  216 et 217 
* qualité /niveau de signal : dl rx-qual=0 , dl rx level =-69dbm
,Requête de déconnexion a été envoyée par le RBC; Redemarrage fugitif du RBC a mené a la déconnexion</t>
  </si>
  <si>
    <t xml:space="preserve"> H.O complet  entre  216 et 217</t>
  </si>
  <si>
    <t>dl rx level= -69dbm</t>
  </si>
  <si>
    <t>Etat H.O : complet entre  318 et 317 
* qualité /niveau de signal : dl rx-qual=0 , dl rx level =-52 dbm
,Requête de déconnexion a été envoyée par le Bord</t>
  </si>
  <si>
    <t>Pas d'action</t>
  </si>
  <si>
    <t xml:space="preserve"> H.O complet  entre  318 et 317</t>
  </si>
  <si>
    <t>Etat H.O : complet entre  301 et 202 
* qualité /niveau de signal : dl rx-qual=0 , dl rx level =-48 dbm
,Requête de déconnexion a été envoyée par le RBC</t>
  </si>
  <si>
    <t xml:space="preserve"> H.O complet  entre  301 et 302</t>
  </si>
  <si>
    <t>Etat H.O : Non Finalisé entre  202 et 303 
* qualité /niveau de signal : dl rx-qual=5 , dl rx level =-53 dbm
,Requête de déconnexion a été envoyée par le RBC</t>
  </si>
  <si>
    <t xml:space="preserve"> H.O Non Finalisé entre  202 et 303 </t>
  </si>
  <si>
    <t>MAROUANI Otmane</t>
  </si>
  <si>
    <t>Etat H.O : Complete entre  325 et 324 
* qualité /niveau de signal : dl rx-qual=0 , dl rx level =-54 dbm
,Requête de déconnexion a été envoyée par le RBC</t>
  </si>
  <si>
    <t xml:space="preserve"> H.O Complete entre  325 et 324  </t>
  </si>
  <si>
    <t>Etat H.O : Non Finalisé entre  210 et 308 
* qualité /niveau de signal : dl rx-qual=7 , dl rx level =-80 dbm
,Requête de déconnexion a été envoyée par le Bord</t>
  </si>
  <si>
    <t xml:space="preserve"> H.O Non Finalisé entre  210 et 308 </t>
  </si>
  <si>
    <t>Etat H.O : Non complet entre  234 et 99
* qualité /niveau de signal : dl rx-qual=0 , dl rx level =-53 dbm
,Requête de déconnexion a été envoyée par le RBC</t>
  </si>
  <si>
    <t xml:space="preserve"> H.O Complete entre  234 et 233  </t>
  </si>
  <si>
    <t>Etat H.O : complet entre  234 et 233
* qualité /niveau de signal : dl rx-qual=0 , dl rx level =-54 dbm
,Requête de déconnexion a été envoyée par le Bord</t>
  </si>
  <si>
    <t xml:space="preserve">chaine antennaire dégradé, besoin de vérification de la chaine /Chantier d'optimisation en cour </t>
  </si>
  <si>
    <t>Etat H.O : Complete entre  206 et 207 
* qualité /niveau de signal : dl rx-qual=0 , dl rx level =-48 dbm
,Requête de déconnexion a été envoyée par le RBC</t>
  </si>
  <si>
    <t xml:space="preserve"> H.O Complete entre  206 et 207  </t>
  </si>
  <si>
    <t>Etat H.O : Complete entre  323 et 324
* qualité /niveau de signal : dl rx-qual=1 , dl rx level =-65 dbm
,Requête de déconnexion a été envoyée par le RBC</t>
  </si>
  <si>
    <t xml:space="preserve"> H.O Complete entre  323 et 324  </t>
  </si>
  <si>
    <t>Etat H.O : Complete entre  322 et 321
* qualité /niveau de signal : dl rx-qual=3 , dl rx level =-53 dbm
,Requête de déconnexion a été envoyée par le RBC</t>
  </si>
  <si>
    <t xml:space="preserve"> H.O Complete entre  322 et 321</t>
  </si>
  <si>
    <t>Etat H.O : Complete entre  315 et 314
* qualité /niveau de signal : dl rx-qual=0 , dl rx level =-58 dbm
,Requête de déconnexion a été envoyée par le RBC</t>
  </si>
  <si>
    <t xml:space="preserve"> H.O Complete entre  315 et 314</t>
  </si>
  <si>
    <t>Etat H.O : Non Finalisé entre  202 et 203 
* qualité /niveau de signal : dl rx-qual=6 , dl rx level =-50 dbm
,Requête de déconnexion a été envoyée par le RBC</t>
  </si>
  <si>
    <t xml:space="preserve"> H.O Non Finalisé entre  202 et 203 </t>
  </si>
  <si>
    <t>Etat H.O : Complete entre  228 et 229
* qualité /niveau de signal : dl rx-qual=0 , dl rx level =-56 dbm
,Requête de déconnexion a été envoyée par le RBC</t>
  </si>
  <si>
    <t xml:space="preserve"> H.O Complete entre  228 et 229</t>
  </si>
  <si>
    <t>Etat H.O : Complete entre  328 et 327
* qualité /niveau de signal : dl rx-qual=0 , dl rx level =-67 dbm
,Requête de déconnexion a été envoyée par le RBC</t>
  </si>
  <si>
    <t xml:space="preserve"> H.O Complete entre  328 et 327</t>
  </si>
  <si>
    <t>Etat H.O : Non finalisé entre  202 et 301
* qualité /niveau de signal : dl rx-qual=7 , dl rx level =-56 dbm
,Requête de déconnexion a été envoyée par le Bord</t>
  </si>
  <si>
    <t xml:space="preserve"> H.O Non Finalisé entre  202 et 301 </t>
  </si>
  <si>
    <t>Etat H.O : Non finalisé entre  219 et 320
* qualité /niveau de signal : dl rx-qual=7 , dl rx level =-71 dbm
,Requête de déconnexion a été envoyée par le Bord</t>
  </si>
  <si>
    <t xml:space="preserve"> H.O Non Finalisé entre  219 et 320</t>
  </si>
  <si>
    <t>Etat H.O : Non finalisé entre  318 et 317
* qualité /niveau de signal : dl rx-qual=0 , dl rx level =-48 dbm
,Requête de déconnexion a été envoyée par le RBC</t>
  </si>
  <si>
    <t xml:space="preserve"> H.O Complete entre  318 et 317</t>
  </si>
  <si>
    <t>Etat H.O : Complete entre  214 et 215
* qualité /niveau de signal : dl rx-qual=0 , dl rx level =-48 dbm
,Requête de déconnexion a été envoyée par le RBC</t>
  </si>
  <si>
    <t xml:space="preserve"> H.O Complete entre  214 et 215</t>
  </si>
  <si>
    <t>Etat H.O : Complete entre  231 et 229 avec saut de cellule x30
* qualité /niveau de signal : dl rx-qual=3, dl rx level = -61 dbm au moment du déconnexion et dl rx-qual=7, dl rx level = -63 dbm au moment du HO
,Requête de déconnexion a été envoyée par le RBC</t>
  </si>
  <si>
    <t>Attente resultat d'analyse spectrale</t>
  </si>
  <si>
    <t xml:space="preserve"> H.O Complete entre  231 et 229 avec saut de cellule x30</t>
  </si>
  <si>
    <t>Etat H.O : Complete entre  231 et 230 (Ping pong entre cell 30 et cell 31 )
* qualité /niveau de signal : dl rx-qual=4 , dl rx level =-60 dbm
,Requête de déconnexion a été envoyée par le RBC</t>
  </si>
  <si>
    <t xml:space="preserve"> H.O Complete entre  231 et 230</t>
  </si>
  <si>
    <t>Etat H.O : Complete entre  330 et 231 
* qualité /niveau de signal : dl rx-qual=7 , dl rx level =-72 dbm
,Requête de déconnexion a été envoyée par le RBC</t>
  </si>
  <si>
    <t xml:space="preserve"> H.O Complete entre  330 et 231</t>
  </si>
  <si>
    <t>Etat H.O : Complete entre  219 et 220 
* qualité /niveau de signal : dl rx-qual=0 , dl rx level =-55 dbm
,Requête de déconnexion a été envoyée par le RBC</t>
  </si>
  <si>
    <t>chaine antennaire dégradé</t>
  </si>
  <si>
    <t xml:space="preserve"> H.O Complete entre  219 et 220</t>
  </si>
  <si>
    <t>Etat H.O : Non finalisé entre  217 et 218
* qualité /niveau de signal : dl rx-qual=2 , dl rx level =-83 dbm
,Requête de déconnexion a été envoyée par le RBC</t>
  </si>
  <si>
    <t>chaine antennaire dégradé /Zone sous surveillance par équipe NOC GSMR</t>
  </si>
  <si>
    <t xml:space="preserve"> H.O Complete entre  217 et 218</t>
  </si>
  <si>
    <t>Etat H.O : HO non finalisé entre 202 et 303 
* qualité /niveau de signal : dl rx-qual=7, dl rx level = -52 dbm
,Requête de déconnexion a été envoyée par le RBC</t>
  </si>
  <si>
    <t xml:space="preserve">HO non finalisé entre 202 et 303 </t>
  </si>
  <si>
    <t>Etat H.O : HO finalisé entre 332 et 331
* qualité /niveau de signal : dl rx-qual=0, dl rx level = -48 dbm
,Requête de déconnexion a été envoyée par le Bord</t>
  </si>
  <si>
    <t>HO finalisé entre 332 et 331</t>
  </si>
  <si>
    <t>Etat H.O : HO non finalisé entre 202 et 203
* qualité /niveau de signal : dl rx-qual=7, dl rx level = -55 dbm
,Requête de déconnexion a été envoyée par le RBC</t>
  </si>
  <si>
    <t>HO non finalisé entre 202 et 203</t>
  </si>
  <si>
    <t xml:space="preserve">Etat H.O : HO non finalisé entre 207 et 308 
* qualité /niveau de signal : dl rx-qual=7, dl rx level = -92 dbm
,Requête de déconnexion a été envoyée par le Bord </t>
  </si>
  <si>
    <t xml:space="preserve">HO non finalisé entre 207 et 308 </t>
  </si>
  <si>
    <t>Etat H.O : HO non finalisé entre 202 et 303 
* qualité /niveau de signal : dl rx-qual=6, dl rx level = -49 dbm
,Requête de déconnexion a été envoyée par le RBC</t>
  </si>
  <si>
    <t>Etat H.O : HO non finalisé entre 231 et 229 
* qualité /niveau de signal : dl rx-qual=7, dl rx level = -69 dbm
,Requête de déconnexion a été envoyée par le RBC</t>
  </si>
  <si>
    <t>chaine antennaire dégradé /Attente demarrage chantier optimisation Par l'équipe SOR</t>
  </si>
  <si>
    <t>HO non finalisé entre 331 et 229</t>
  </si>
  <si>
    <t xml:space="preserve">Etat H.O : Complete entre 304 et 303 
* qualité /niveau de signal : dl rx-qual=0 , dl rx level =-56 dbm
,Requête de déconnexion a été envoyée par le RBC
*les condition radio sont bonnes 
*AUC non acquitté par le bord avant la déconnexion ce qui a généré l’envoi d’un AUI depuis le RBC après la reconnexion suivi d’un TRIP  
</t>
  </si>
  <si>
    <t>GSMR/RBC</t>
  </si>
  <si>
    <t>En attente de pousser les analyses coté RBC/Zone sous surveillance par équipe NOC GSMR</t>
  </si>
  <si>
    <t>HO finalisé entre 304 et 303</t>
  </si>
  <si>
    <t>* Etat H.O : HO non finalisé entre 307 et 306
* qualité /niveau de signal : dl rx-qual=0, dl rx level = -62 dbm
* Retransmission des trames HDLC*5 
* Communication SOL-Bord : OK
* Voisinage: NOK
* temps perdu : 36s</t>
  </si>
  <si>
    <t>HO non finalisé entre 307 et 306</t>
  </si>
  <si>
    <t>Etat H.O : Complete entre  216 et 217
* qualité /niveau de signal : dl rx-qual=0 , dl rx level =-48 dbm
,Requête de déconnexion a été envoyée par le RBC</t>
  </si>
  <si>
    <t>HO Complete entre 216 et 217</t>
  </si>
  <si>
    <t>Etat H.O : Non finalisé entre  301 et 202
* qualité /niveau de signal : dl rx-qual=7 , dl rx level =-53 dbm
,Requête de déconnexion a été envoyée par le RBC</t>
  </si>
  <si>
    <t>Etat H.O : Complete entre  311 et 210
* qualité /niveau de signal : dl rx-qual=0 , dl rx level =-49 dbm
,Requête de déconnexion a été envoyée par le RBC</t>
  </si>
  <si>
    <t>HO Complet entre 311 et 210</t>
  </si>
  <si>
    <t>Etat H.O : HO complet entre 315 et 314
* qualité /niveau de signal : dl rx-qual=0, dl rx level = -48 dbm
,Requête de déconnexion a été envoyée par le RBC</t>
  </si>
  <si>
    <t>HO complet entre 315 et 314</t>
  </si>
  <si>
    <t>* Etat H.O : HO non finalisé entre 230 et 329
* qualité /niveau de signal : dl rx-qual=0, dl rx level = -59 dbm
,Requête de déconnexion a été envoyée par le Bord</t>
  </si>
  <si>
    <t>HO non finalisé entre 230 et 329</t>
  </si>
  <si>
    <t>* Etat H.O : HO non finalisé entre 202 et 303
* qualité /niveau de signal : dl rx-qual=0, dl rx level = -53 dbm
,Requête de déconnexion a été envoyée par le Bord</t>
  </si>
  <si>
    <t>HO non finalisé entre 202 et 303</t>
  </si>
  <si>
    <t>* Etat H.O : HO non finalisé entre 202 et 303
* qualité /niveau de signal : dl rx-qual=7, dl rx level = -55 dbm
,Requête de déconnexion a été envoyée par le RBC</t>
  </si>
  <si>
    <t>Etat H.O : HO complet entre 202 et 303 avec downlink quality 
* qualité /niveau de signal : dl rx-qual=7, dl rx level = -75 dbm
,Requête de déconnexion a été envoyée par le RBC</t>
  </si>
  <si>
    <t>HO Complet entre 202 et 303</t>
  </si>
  <si>
    <t>Etat H.O : HO complet entre 210et 211  
* qualité /niveau de signal : dl rx-qual=0, dl rx level = -57 dbm
,Requête de déconnexion a été envoyée par le RBC</t>
  </si>
  <si>
    <t>HO Complet entre 210 et 211</t>
  </si>
  <si>
    <t>Etat H.O : HO non finalisé entre 324 et 323  
* qualité /niveau de signal : dl rx-qual=4, dl rx level = -78 dbm
,Requête de déconnexion a été envoyée par le RBC</t>
  </si>
  <si>
    <t>HO non finalisé entre 324 et 323</t>
  </si>
  <si>
    <t>Etat H.O : HO compet entre 223 et 224  
* qualité /niveau de signal : dl rx-qual=0, dl rx level = -72 dbm
,Requête de déconnexion a été envoyée par le RBC</t>
  </si>
  <si>
    <t>HO Complet entre 223 et 224</t>
  </si>
  <si>
    <t>Etat H.O : HO compet entre 332 et 331  
* qualité /niveau de signal : dl rx-qual=0, dl rx level = -48 dbm
,Requête de déconnexion a été envoyée par le RBC</t>
  </si>
  <si>
    <t>HO Complet entre 332 et 331</t>
  </si>
  <si>
    <t>Etat H.O : HO non finalisé entre 202 et 301  
* qualité /niveau de signal : dl rx-qual=5, dl rx level = -49 dbm
,Requête de déconnexion a été envoyée par le Bord</t>
  </si>
  <si>
    <t>HO non finalisé entre 202 et 301</t>
  </si>
  <si>
    <t>Etat H.O : HO compet entre 304 et 303  
* qualité /niveau de signal : dl rx-qual=1, dl rx level = -66 dbm
,Requête de déconnexion a été envoyée par le RBC</t>
  </si>
  <si>
    <t>HO Complet entre 304 et 303</t>
  </si>
  <si>
    <t>HO Complet entre 304 et 304</t>
  </si>
  <si>
    <t>Etat H.O : HO compet entre 226 et 227  
* qualité /niveau de signal : dl rx-qual=1, dl rx level = -57 dbm
,Requête de déconnexion a été envoyée par le RBC</t>
  </si>
  <si>
    <t>HO Complet entre 226 et 227</t>
  </si>
  <si>
    <t>Etat H.O : Non Complet entre 202 et 303
* qualité /niveau de signal : dl rx-qual=6, dl rx level = -52 dbm
, Requête de déconnexion a été envoyé par le BORD</t>
  </si>
  <si>
    <t>HO Non Complet entre 202 et 303</t>
  </si>
  <si>
    <t>Etat H.O : Complet entre 303 et 202
* qualité /niveau de signal : dl rx-qual=0, dl rx level = -48 dbm
,Requête de déconnexion a été envoyée par le RBC</t>
  </si>
  <si>
    <t>HO Complet entre 303 et 202</t>
  </si>
  <si>
    <t>Etat H.O : Complet entre 329et 328
* qualité /niveau de signal : dl rx-qual=0, dl rx level = -56 dbm
,Requête de déconnexion a été envoyée par le RBC</t>
  </si>
  <si>
    <t>HO Complet entre 329 et 328</t>
  </si>
  <si>
    <t>Etat H.O : Complet entre 202 et 303 avec Downlink quality
* qualité /niveau de signal : dl rx-qual=7, dl rx level = -80 dbm
,Requête de déconnexion a été envoyée par le RBC</t>
  </si>
  <si>
    <t>Etat H.O : Complet entre 212 et 213 
* qualité /niveau de signal : dl rx-qual=0, dl rx level = -55 dbm
,Requête de déconnexion a été envoyée par le RBC</t>
  </si>
  <si>
    <t>HO Complet entre 212 et 213</t>
  </si>
  <si>
    <t>Etat H.O : Complet entre 331 et 330  
* qualité /niveau de signal : dl rx-qual=0, dl rx level = -48 dbm
,Requête de déconnexion a été envoyée par le RBC</t>
  </si>
  <si>
    <t xml:space="preserve">HO Complet entre 331 et 330  </t>
  </si>
  <si>
    <t>Etat H.O : non finalisé entre 303 et 202   
* qualité /niveau de signal : dl rx-qual=6, dl rx level = -52 dbm
,Requête de déconnexion a été envoyée par le RBC</t>
  </si>
  <si>
    <t xml:space="preserve">HO Non Complet entre 303 et 202  </t>
  </si>
  <si>
    <t>Etat H.O : non finalisé entre 302 et 203   
* qualité /niveau de signal : dl rx-qual=7, dl rx level = -52 dbm
,Requête de déconnexion a été envoyée par le BORD</t>
  </si>
  <si>
    <t>HO Non Complet entre 302 et 203</t>
  </si>
  <si>
    <t>Etat H.O : complète entre 308 et 307
* qualité /niveau de signal : dl rx-qual=0, dl rx level = -53 dbm
,Requête de déconnexion a été envoyée par le RBC</t>
  </si>
  <si>
    <t>HO  Complet entre 308 et 307</t>
  </si>
  <si>
    <t>Etat H.O : complète entre 202 et 303 
* qualité /niveau de signal : dl rx-qual=1, dl rx level = -75 dbm
,Requête de déconnexion a été envoyée par le RBC</t>
  </si>
  <si>
    <t xml:space="preserve">HO  Complet entre 202 et 303 </t>
  </si>
  <si>
    <t>Etat H.O : complète entre 218 et 219 
* qualité /niveau de signal : dl rx-qual=1, dl rx level = -49 dbm
,Requête de déconnexion a été envoyée par le RBC</t>
  </si>
  <si>
    <t>HO  Complet entre 218 et 219</t>
  </si>
  <si>
    <t>LAGDEM Elmehdi</t>
  </si>
  <si>
    <t> 09:14:48</t>
  </si>
  <si>
    <t> 44,470</t>
  </si>
  <si>
    <t>GSMR_08/09</t>
  </si>
  <si>
    <t>Etat H.O : complète entre 207 et 208
* qualité /niveau de signal : dl rx-qual=0, dl rx level = -53 dbm
,Requête de déconnexion a été envoyée par le RBC</t>
  </si>
  <si>
    <t>HO  Complet entre 207 et 208</t>
  </si>
  <si>
    <t> 11:02:50</t>
  </si>
  <si>
    <t>1205 </t>
  </si>
  <si>
    <t> 1035</t>
  </si>
  <si>
    <t>Etat H.O : complète entre 304 et 303
* qualité /niveau de signal : dl rx-qual=0, dl rx level = -48 dbm
,Requête de déconnexion a été envoyée par le RBC</t>
  </si>
  <si>
    <t>HO  Complet entre 304 et 303</t>
  </si>
  <si>
    <t> 17:29:08</t>
  </si>
  <si>
    <t> 1046</t>
  </si>
  <si>
    <t>GSMR_19/20</t>
  </si>
  <si>
    <t>Etat H.O : non complète entre 220 et 221
* qualité /niveau de signal : dl rx-qual=6, dl rx level = -61 dbm
,Requête de déconnexion a été envoyée par le RBC</t>
  </si>
  <si>
    <t xml:space="preserve">chaine antennaire dégradé /dans l'attente d'une analyse spectral </t>
  </si>
  <si>
    <t>HO  non Complet entre 220 et 221</t>
  </si>
  <si>
    <t> 18:50:21</t>
  </si>
  <si>
    <t> 3063</t>
  </si>
  <si>
    <t>GSMR_23/24</t>
  </si>
  <si>
    <t>Etat H.O : complète entre 325 et 324
* qualité /niveau de signal : dl rx-qual=0, dl rx level = -48 dbm
,Requête de déconnexion a été envoyée par le RBC</t>
  </si>
  <si>
    <t>HO   Complet entre 325 et 324</t>
  </si>
  <si>
    <t> 20:07:43</t>
  </si>
  <si>
    <t>Etat H.O : non complète entre 303 et 302
* qualité /niveau de signal : dl rx-qual=7, dl rx level = -70 dbm
,Requête de déconnexion a été envoyée par le RBC</t>
  </si>
  <si>
    <t>HO  non Complet entre 325 et 325</t>
  </si>
  <si>
    <t> 20:45:43</t>
  </si>
  <si>
    <t>GSMR_32/33</t>
  </si>
  <si>
    <t>Etat H.O : non finalisé entre 232 et 233
* qualité /niveau de signal : dl rx-qual=0, dl rx level = -66 dbm
,Requête de déconnexion a été envoyée par le RBC</t>
  </si>
  <si>
    <t xml:space="preserve">chaine antennaire dégradé </t>
  </si>
  <si>
    <t>HO  non finalisé entre 232 et 233</t>
  </si>
  <si>
    <t>Etat H.O : Complet  entre 318 et 317
* qualité /niveau de signal : dl rx-qual=2, dl rx level = -49 dbm
,Requête de déconnexion a été envoyée par le RBC</t>
  </si>
  <si>
    <t>HO  Complet  entre 318 et 317</t>
  </si>
  <si>
    <t>* Etat H.O : HO non complète entre 302 et 203
* qualité /niveau de signal : dl rx-qual=7, dl rx level = -52 dbm
,Requête de déconnexion a été envoyée par le RBC</t>
  </si>
  <si>
    <t>HO  non Complet entre 302 et 203</t>
  </si>
  <si>
    <t>* Etat H.O : HO non finalisé entre 210 et 211
* qualité /niveau de signal : dl rx-qual=3, dl rx level = -74 dbm
,Requête de déconnexion a été envoyée par le RBC</t>
  </si>
  <si>
    <t>HO  non finalisé entre 210 et 211</t>
  </si>
  <si>
    <t>* Etat H.O : HO complete entre 209 et 210
* qualité /niveau de signal : dl rx-qual=0, dl rx level = -50 dbm
,Requête de déconnexion a été envoyée par le RBC</t>
  </si>
  <si>
    <t>HO complete entre 209 et 210</t>
  </si>
  <si>
    <t>* Etat H.O : HO Non finalisé entre 302 et 303
* qualité /niveau de signal : dl rx-qual=7, dl rx level = -56 dbm
,Requête de déconnexion a été envoyée par le RBC</t>
  </si>
  <si>
    <t>HO Non finalisé entre 302 et 303</t>
  </si>
  <si>
    <t>* Etat H.O : HO Non finalisé entre 303 et 302
* qualité /niveau de signal : dl rx-qual=7, dl rx level = -61 dbm
,Requête de déconnexion a été envoyée par le RBC</t>
  </si>
  <si>
    <t>HO Non finalisé entre 303 et 302</t>
  </si>
  <si>
    <t>15:05:07 </t>
  </si>
  <si>
    <t>* Etat H.O : HO Non finalisé entre 202 et 203
* qualité /niveau de signal : dl rx-qual=7, dl rx level = -52 dbm
,Requête de déconnexion a été envoyée par le RBC</t>
  </si>
  <si>
    <t>HO Non finalisé entre 202 et 203</t>
  </si>
  <si>
    <t>* Etat H.O : HO Complet   entre 304 et 303
* qualité /niveau de signal : dl rx-qual= 5 , dl rx level = -47 dbm
*Requête de déconnexion a été envoyée par le RBC</t>
  </si>
  <si>
    <t>HO Complet   entre 304 et 303</t>
  </si>
  <si>
    <t>Oussama ZEHOUANI</t>
  </si>
  <si>
    <t>* Etat H.O : HO Non finalisé  entre 203 et 302
* qualité /niveau de signal : dl rx-qual= 7 , dl rx level = -53 dbm
*Requête de déconnexion a été envoyée par le bord</t>
  </si>
  <si>
    <t>HO Non finalisé entre 203 et 302</t>
  </si>
  <si>
    <t>* Etat H.O : HO Non finalisé  entre 302 et 203
* qualité /niveau de signal : dl rx-qual= 3 , dl rx level = -52 dbm
*Requête de déconnexion a été envoyée par le bord</t>
  </si>
  <si>
    <t>HO Non finalisé entre 302 et 203</t>
  </si>
  <si>
    <t>* Etat H.O : Non finalisé entre 303 et 302
* qualité /niveau de signal : dl rx-qual=7, dl rx level = -55 dbm
* Retransmission des trames HDLC*5
* Communication SOL-Bord : OK
* Voisinage: NOK
* temps perdu : 21s</t>
  </si>
  <si>
    <t>* Etat H.O : HO Complet   entre 202 et 203 avec downlink quality
* qualité /niveau de signal : dl rx-qual= 3 , dl rx level = -70 dbm
*Requête de déconnexion a été envoyée par le RBC</t>
  </si>
  <si>
    <t>HO Complet   entre 202 et 203</t>
  </si>
  <si>
    <t>* Etat H.O : HO Complet   entre 234 et 233 avec downlink quality
* qualité /niveau de signal : dl rx-qual= 7 , dl rx level = -69 dbm
*Requête de déconnexion a été envoyée par le RBC</t>
  </si>
  <si>
    <t>HO Complet   entre 234 et 233</t>
  </si>
  <si>
    <t>* Etat H.O : HO Complet   entre 332 et 331 avec downlink quality
* qualité /niveau de signal : dl rx-qual= 0 , dl rx level = -48 dbm
*Requête de déconnexion a été envoyée par le RBC</t>
  </si>
  <si>
    <t>bord</t>
  </si>
  <si>
    <t>HO Complet   entre 332 et 331</t>
  </si>
  <si>
    <t xml:space="preserve">* Etat H.O : HO complet  entre 205 et 206  
* qualité /niveau de signal : dl rx-qual=5, dl rx level = -47 dbm
* Retransmission des trames HDLC*5
* Communication SOL-Bord : OK
* Voisinage: OK
* temps perdu : 21 s
</t>
  </si>
  <si>
    <t xml:space="preserve">HO complète  entre 205 et 206  </t>
  </si>
  <si>
    <t>* Etat H.O : HO Non finalisé entre 327 et 228                                                                                               * qualité /niveau de signal : dl rx-qual=6, dl rx level = 56 dbm                                                         *Requête de déconnexion a été envoyée par le RBC</t>
  </si>
  <si>
    <t>HO Non finalisé entre 327 et 228</t>
  </si>
  <si>
    <t>* Etat H.O : HO Non finalisé entre 202 et 203                                                                                             * qualité /niveau de signal : dl rx-qual=7, dl rx level = -53 dbm                                                              *Requête de déconnexion a été envoyée par le RBC</t>
  </si>
  <si>
    <t>HO Non finalisé entre 303 et 202</t>
  </si>
  <si>
    <t>* Etat H.O : HO complet entre 314 et 313 
* qualité /niveau de signal : dl rx-qual=0, dl rx level = -48 dbm
    *Requête de déconnexion a été envoyée par le RBC</t>
  </si>
  <si>
    <t>HO Complet entre 314 et 313</t>
  </si>
  <si>
    <t> 07:09:09 </t>
  </si>
  <si>
    <t>* Etat H.O :HO complet entre 203 et 204  
* qualité /niveau de signal : dl rx-qual=0, dl rx level = -48 dbm
    *Requête de déconnexion a été envoyée par le RBC</t>
  </si>
  <si>
    <t xml:space="preserve">HO complet entre 203 et 204  </t>
  </si>
  <si>
    <t xml:space="preserve"> 10:53:41</t>
  </si>
  <si>
    <t>* Etat H.O :HO complet entre 311 et 310 
* qualité /niveau de signal : dl rx-qual=2, dl rx level = -57 dbm
    *Requête de déconnexion a été envoyée par le RBC</t>
  </si>
  <si>
    <t xml:space="preserve">HO complet entre 311 et 310 </t>
  </si>
  <si>
    <t xml:space="preserve"> 12:28:22</t>
  </si>
  <si>
    <t>* Etat H.O : Pas de HO(Cell 233)
* qualité /niveau de signal : dl rx-qual=0, dl rx level = -51 dbm
    *Requête de déconnexion a été envoyée par le bord</t>
  </si>
  <si>
    <t xml:space="preserve"> Pas de HO (Cell 233)</t>
  </si>
  <si>
    <t xml:space="preserve"> Pas de retransmission des trames HDLC</t>
  </si>
  <si>
    <t>* Etat H.O : HO complet entre 202 et 303
* qualité /niveau de signal : dl rx-qual=0, dl rx level = -72 dbm
    *Requête de déconnexion a été envoyée par le RBC</t>
  </si>
  <si>
    <t xml:space="preserve"> HO complet entre 202 et 303</t>
  </si>
  <si>
    <t>* Etat H.O : HO complet entre 314 et 313
* qualité /niveau de signal : dl rx-qual=0, dl rx level = -48 dbm
    *Requête de déconnexion a été envoyée par le RBC</t>
  </si>
  <si>
    <t xml:space="preserve"> HO complet entre 314 et 313</t>
  </si>
  <si>
    <t xml:space="preserve"> 13:51:10 </t>
  </si>
  <si>
    <t>* Etat H.O : HO complet entre 313 et 312
* qualité /niveau de signal : dl rx-qual=0, dl rx level = -48 dbm
    *Requête de déconnexion a été envoyée par le RBC</t>
  </si>
  <si>
    <t xml:space="preserve"> HO complet entre 313 et 312</t>
  </si>
  <si>
    <t xml:space="preserve"> 17:04:47 </t>
  </si>
  <si>
    <t>* Etat H.O : HO Non finalisé  entre 302 et 203
* qualité /niveau de signal : dl rx-qual=7, dl rx level = -54 dbm
    *Requête de déconnexion a été envoyée par le bord</t>
  </si>
  <si>
    <t xml:space="preserve"> HO Non finalisé entre 302 et 203</t>
  </si>
  <si>
    <t xml:space="preserve"> 19:46:10 </t>
  </si>
  <si>
    <t>* Etat H.O : HO Non finalisé  entre 318 et 317
* qualité /niveau de signal : dl rx-qual=7, dl rx level = -84 dbm
    *Requête de déconnexion a été envoyée par le RBC</t>
  </si>
  <si>
    <t xml:space="preserve"> HO Non finalisé entre 318 et 317</t>
  </si>
  <si>
    <t xml:space="preserve"> 20:05:33 </t>
  </si>
  <si>
    <t>* Etat H.O : HO Non finalisé  entre 303 et  202
* qualité /niveau de signal : dl rx-qual=6, dl rx level = -61 dbm
    *Requête de déconnexion a été envoyée par le bord</t>
  </si>
  <si>
    <t xml:space="preserve"> HO Non finalisé entre 303 et 202</t>
  </si>
  <si>
    <t>* Etat H.O : HO complet  entre 332 et  331
* qualité /niveau de signal : dl rx-qual=0, dl rx level = -48 dbm
    *Requête de déconnexion a été envoyée par le RBC</t>
  </si>
  <si>
    <t xml:space="preserve"> HO complet entre 332 et 331</t>
  </si>
  <si>
    <t>* Etat H.O : HO Recul non finalisé entre 219 et 220
* qualité /niveau de signal : dl rx-qual=5, dl rx level = -60 dbm
    *Requête de déconnexion a été envoyée par le RBC</t>
  </si>
  <si>
    <t xml:space="preserve"> HO complet entre 219 et 220</t>
  </si>
  <si>
    <t>* Etat H.O : HO complet  entre 308 et  307
* qualité /niveau de signal : dl rx-qual=0, dl rx level = -57 dbm
    *Requête de déconnexion a été envoyée par le RBC</t>
  </si>
  <si>
    <t xml:space="preserve"> HO complet entre 308 et 307</t>
  </si>
  <si>
    <t>* Etat H.O : HO complet  entre 303 et  202
* qualité /niveau de signal : dl rx-qual=7, dl rx level = -57 dbm
    *Requête de déconnexion a été envoyée par le RBC</t>
  </si>
  <si>
    <t xml:space="preserve"> HO complet entre 303 et 202</t>
  </si>
  <si>
    <t xml:space="preserve"> 07:45:58 </t>
  </si>
  <si>
    <t>* Etat H.O : HO Non finalisé entre 318 et 317
* qualité /niveau de signal : dl rx-qual=7, dl rx level = - 80 dbm
    *Requête de déconnexion a été envoyée par le RBC</t>
  </si>
  <si>
    <t>* Etat H.O : HO Complet entre 212 et 213
* qualité /niveau de signal : dl rx-qual=0, dl rx level = -48 dbm
    *Requête de déconnexion a été envoyée par le RBC</t>
  </si>
  <si>
    <t xml:space="preserve"> HO Complet entre 212 et 213</t>
  </si>
  <si>
    <t>* Etat H.O : HO Non finalisé entre 207 et 305 (saute cellule)
* qualité /niveau de signal : dl rx-qual=7, dl rx level = - 89 dbm
    *Requête de déconnexion a été envoyée par le bord</t>
  </si>
  <si>
    <t xml:space="preserve"> HO Non finalisé entre 207 et 305</t>
  </si>
  <si>
    <t>* Etat H.O :HO Complet entre 324 et 323
* qualité /niveau de signal : dl rx-qual=0, dl rx level = - 51 dbm
    *Requête de déconnexion a été envoyée par le RBC</t>
  </si>
  <si>
    <t>HO Complet entre 324 et 323</t>
  </si>
  <si>
    <t>09:35:15 </t>
  </si>
  <si>
    <t>* Etat H.O :HO Complet entre 324 et 225
* qualité /niveau de signal : dl rx-qual=0, dl rx level = -59 dbm
    *Requête de déconnexion a été envoyée par le RBC</t>
  </si>
  <si>
    <t>HO Complet entre 324 et 225</t>
  </si>
  <si>
    <t>* Etat H.O :HO Complet entre 203 et 204
* qualité /niveau de signal : dl rx-qual=0, dl rx level = -48 dbm
    *Requête de déconnexion a été envoyée par le RBC</t>
  </si>
  <si>
    <t>HO Complet entre 203 et 204</t>
  </si>
  <si>
    <t>* Etat H.O :HO Non finalisé entre 229 et 230
* qualité /niveau de signal : dl rx-qual=1, dl rx level = -64 dbm
    *Requête de déconnexion a été envoyée par le RBC</t>
  </si>
  <si>
    <t xml:space="preserve"> HO Non finalisé entre 229 et 230</t>
  </si>
  <si>
    <t>* Etat H.O :HO Complet entre 308 et 307
* qualité /niveau de signal : dl rx-qual=0, dl rx level = -55 dbm
    *Requête de déconnexion a été envoyée par le RBC</t>
  </si>
  <si>
    <t>HO Complet entre 308 et 307</t>
  </si>
  <si>
    <t xml:space="preserve">* Etat H.O : HO Non finalisé  entre 202 et 203  
* qualité /niveau de signal : dl rx-qual=7, dl rx level = -110 dbm
* Retransmission des trames HDLC*5
* Communication SOL-Bord : OK
* Voisinage: OK
</t>
  </si>
  <si>
    <t xml:space="preserve"> HO Non finalisé  entre 202 et 203 </t>
  </si>
  <si>
    <t>dl rx level= - 110  dbm</t>
  </si>
  <si>
    <t xml:space="preserve">* Etat H.O : HO finalisé entre 307 et 306
* qualité /niveau de signal : dl rx-qual=0, dl rx level = -48 dbm
* Retransmission des trames HDLC*5
* Communication SOL-Bord : NOK
* Voisinage: OK
</t>
  </si>
  <si>
    <t xml:space="preserve"> HO finalisé entre 307 et 306</t>
  </si>
  <si>
    <t>dl rx level= - 48  dbm</t>
  </si>
  <si>
    <t>* Etat H.O :HO Complet entre 317 et 318
* qualité /niveau de signal : dl rx-qual=0, dl rx level = -51 dbm
    *Requête de déconnexion a été envoyée par le RBC</t>
  </si>
  <si>
    <t xml:space="preserve"> HO finalisé entre 317 et 318</t>
  </si>
  <si>
    <t>dl rx level= - 51  dbm</t>
  </si>
  <si>
    <t>* Etat H.O :HO Complet entre 332 et 331
* qualité /niveau de signal : dl rx-qual=0, dl rx level = -48 dbm
    *Requête de déconnexion a été envoyée par le RBC</t>
  </si>
  <si>
    <t xml:space="preserve"> HO finalisé entre 332 et 331</t>
  </si>
  <si>
    <t>* Etat H.O :HO non finalisé entre 318 et 317
* qualité /niveau de signal : dl rx-qual=7, dl rx level = -85 dbm
    *Requête de déconnexion a été envoyée par le RBC</t>
  </si>
  <si>
    <t xml:space="preserve"> HO Non finalisé  entre 318 et 317 </t>
  </si>
  <si>
    <t>dl rx level= - 85  dbm</t>
  </si>
  <si>
    <t>* Etat H.O :HO Complet entre 330 et 329
* qualité /niveau de signal : dl rx-qual=5, dl rx level = -68 dbm
    *Requête de déconnexion a été envoyée par le RBC</t>
  </si>
  <si>
    <t xml:space="preserve"> HO finalisé entre 330 et 329</t>
  </si>
  <si>
    <t>dl rx level= - 68  dbm</t>
  </si>
  <si>
    <t>* Etat H.O :HO Complet entre 320 et 321
* qualité /niveau de signal : dl rx-qual=0, dl rx level = -60 dbm
    *Requête de déconnexion a été envoyée par le RBC</t>
  </si>
  <si>
    <t xml:space="preserve"> HO finalisé entre 320 et 321</t>
  </si>
  <si>
    <t>dl rx level= - 60  dbm</t>
  </si>
  <si>
    <t>17 :05 :31</t>
  </si>
  <si>
    <t> 7217</t>
  </si>
  <si>
    <t>* Etat H.O :HO Non Finalisé entre 202 et 303
* qualité /niveau de signal : dl rx-qual=6, dl rx level = -51 dbm
    *Requête de déconnexion a été envoyée par le Bord</t>
  </si>
  <si>
    <t>HO Non Finalisé entre 202 et 303</t>
  </si>
  <si>
    <t>* Etat H.O :HO Complet entre 203 et 204
* qualité /niveau de signal : Absence des mesures radio
    *Requête de déconnexion a été envoyée par le RBC</t>
  </si>
  <si>
    <t xml:space="preserve"> HO finalisé entre 203 et 204</t>
  </si>
  <si>
    <t>dl Rxqual=</t>
  </si>
  <si>
    <t xml:space="preserve">dl rx level= </t>
  </si>
  <si>
    <t>08:46:31 </t>
  </si>
  <si>
    <t>2009 </t>
  </si>
  <si>
    <t>* Etat H.O : HO Non finalisé entre 232 et 233
* qualité /niveau de signal : dl rx-qual=0, dl rx level = -62 dbm
    *Requête de déconnexion a été envoyée par le RBC</t>
  </si>
  <si>
    <t>HO Non finalisé entre 232 et 233</t>
  </si>
  <si>
    <t>dl rx level= -62</t>
  </si>
  <si>
    <t>13:05:08 </t>
  </si>
  <si>
    <t>* Etat H.O : HO Non finalisé entre 202 et 203
* qualité /niveau de signal : dl rx-qual=6, dl rx level = -52 dbm
    *Requête de déconnexion a été envoyée par le RBC</t>
  </si>
  <si>
    <t>dl rx level= -52</t>
  </si>
  <si>
    <t>18:03:52 </t>
  </si>
  <si>
    <t>* Etat H.O : HO finalisé entre 201 et 202
* qualité /niveau de signal : dl rx-qual=0, dl rx level = -48 dbm
    *Requête de déconnexion a été envoyée par le RBC</t>
  </si>
  <si>
    <t>HO finalisé entre 202 et 203</t>
  </si>
  <si>
    <t>dl rx level= -48</t>
  </si>
  <si>
    <t>* Etat H.O : HO complet entre 215 et 216
* qualité /niveau de signal : dl rx-qual=0, dl rx level = -48 dbm
    *Requête de déconnexion a été envoyée par le RBC</t>
  </si>
  <si>
    <t>HO complet entre 215 et 216</t>
  </si>
  <si>
    <t>13:06:46 </t>
  </si>
  <si>
    <t>* Etat H.O :  HO Non finalisé entre 302 et 203
* qualité /niveau de signal : dl rx-qual=6, dl rx level = -52 dbm
    *Requête de déconnexion a été envoyée par le bord</t>
  </si>
  <si>
    <t>* Etat H.O : HO non complet entre 202 et 203
* qualité /niveau de signal : dl rx-qual=7, dl rx level = -54 dbm
    *Requête de déconnexion a été envoyée par le RBC</t>
  </si>
  <si>
    <t>HO complet entre 202 et 203</t>
  </si>
  <si>
    <t>dl rx level= -54</t>
  </si>
  <si>
    <t>* Etat H.O : HO Non finalisé entre 227 et 228
* qualité /niveau de signal : dl rx-qual=0, dl rx level = -66 dbm
    *Requête de déconnexion a été envoyée par le RBC</t>
  </si>
  <si>
    <t>HO Non finalisé entre 227 et 228</t>
  </si>
  <si>
    <t>dl rx level= -66</t>
  </si>
  <si>
    <t>* Etat H.O : HO Complet entre 202 et 203
* qualité /niveau de signal : dl rx-qual=0, dl rx level = -77dbm
    *Requête de déconnexion a été envoyée par le RBC</t>
  </si>
  <si>
    <t>dl rx level= -77</t>
  </si>
  <si>
    <t>* Etat H.O : HO non finalisé entre 202 et 303
* qualité /niveau de signal : dl rx-qual=6, dl rx level = -53 dbm
*Requête de déconnexion a été envoyée par le RBC</t>
  </si>
  <si>
    <t>HO Non finalisé entre 202 et 303</t>
  </si>
  <si>
    <t>dl rx level= -53</t>
  </si>
  <si>
    <t>* Etat H.O : HO non finalisé entre RAC et 333
* qualité /niveau de signal : dl rx-qual=7, dl rx level = -70 dbm
*Requête de déconnexion a été envoyée par le Bord</t>
  </si>
  <si>
    <t>HO non finalisé entre RAC et 333</t>
  </si>
  <si>
    <t>dl rx level= -70</t>
  </si>
  <si>
    <t>* Etat H.O : HO non finalisé entre 319 et 318
* qualité /niveau de signal : dl rx-qual=0, dl rx level = -62dbm
*Requête de déconnexion a été envoyée par le RBC</t>
  </si>
  <si>
    <t>HO non finalisé entre 319 et 318</t>
  </si>
  <si>
    <t>* Etat H.O : HO Complet entre 231 et 229 (saute cellule)
* qualité /niveau de signal : dl rx-qual=0, dl rx level = -66dbm
*Requête de déconnexion a été envoyée par le RBC</t>
  </si>
  <si>
    <t xml:space="preserve"> HO Complet entre 231 et 229</t>
  </si>
  <si>
    <t>*  Etat H.O : HO finalisé entre 234 et 233
* qualité /niveau de signal : dl rx-qual=0, dl rx level = -48 dbm
*Requête de déconnexion a été envoyée par le RBC</t>
  </si>
  <si>
    <t>HO finalisé entre 234 et 233</t>
  </si>
  <si>
    <t>* Etat H.O : HO Non finalisé entre 219 et 320
* qualité /niveau de signal : dl rx-qual=7, dl rx level = -69 dbm
*Requête de déconnexion a été envoyée par le RBC</t>
  </si>
  <si>
    <t>zone sous surveillance par équipe NOC GSMR</t>
  </si>
  <si>
    <t>HO Non finalisé entre 219 et 320</t>
  </si>
  <si>
    <t>dl rx level= -69</t>
  </si>
  <si>
    <t>* Etat H.O : HO finalisé entre 231 et 329
* qualité /niveau de signal : dl rx-qual=0, dl rx level = -110 dbm
*Requête de déconnexion a été envoyée par le RBC</t>
  </si>
  <si>
    <t>HO finalisé entre 231 et 329</t>
  </si>
  <si>
    <t>dl rx level= -110</t>
  </si>
  <si>
    <t>*  Etat H.O :HO Non finalisé entre 219 et 320
* qualité /niveau de signal : dl rx-qual=7, dl rx level = -70 dbm
*Requête de déconnexion a été envoyée par le bord</t>
  </si>
  <si>
    <t>*: Ho recule non finalisé entre les cellules 202 et 303
* qualité /niveau de signal : dl rx-qual=7, dl rx level = -54 dbm
*Requête de déconnexion a été envoyée par le RBC</t>
  </si>
  <si>
    <t xml:space="preserve"> Ho non finalisé entre  202 et 303</t>
  </si>
  <si>
    <t>* Etat H.O : HO Complet entre 210 et 211 
* qualité /niveau de signal : dl rx-qual=0, dl rx level = -56dbm
*Requête de déconnexion a été envoyée par le RBC</t>
  </si>
  <si>
    <t xml:space="preserve"> HO Complet entre 210 et 211</t>
  </si>
  <si>
    <t>dl rx level= -56</t>
  </si>
  <si>
    <t>* Etat H.O : HO non finalisé entre 220 et 321 
* qualité /niveau de signal : dl rx-qual=0, dl rx level = -63dbm
*Requête de déconnexion a été envoyée par le RBC</t>
  </si>
  <si>
    <t xml:space="preserve"> Ho non finalisé entre  220 et 321</t>
  </si>
  <si>
    <t>dl rx level= -63</t>
  </si>
  <si>
    <t>*: Ho  non finalisé entre les cellules 302 et 203
* qualité /niveau de signal : dl rx-qual=7, dl rx level = -52 dbm
*Requête de déconnexion a été envoyée par le RBC</t>
  </si>
  <si>
    <t xml:space="preserve"> Ho non finalisé entre  302 et 203</t>
  </si>
  <si>
    <t>*: Ho complet entre les cellules 327 et 326
* qualité /niveau de signal : dl rx-qual=0, dl rx level = -64 dbm
*Requête de déconnexion a été envoyée par le RBC</t>
  </si>
  <si>
    <t xml:space="preserve"> Ho non finalisé entre  327 et 326</t>
  </si>
  <si>
    <t>dl rx level= -64</t>
  </si>
  <si>
    <t>* Etat H.O : HO Complet entre 309 et 310 
* qualité /niveau de signal : dl rx-qual=0, dl rx level = -48dbm
*Requête de déconnexion a été envoyée par le RBC</t>
  </si>
  <si>
    <t xml:space="preserve"> HO Complet entre 309 et  310</t>
  </si>
  <si>
    <t>* Etat H.O : HO non Complet entre 302 et 203 
* qualité /niveau de signal : dl rx-qual=7, dl rx level = -52dbm
*Requête de déconnexion a été envoyée par le BORD</t>
  </si>
  <si>
    <t xml:space="preserve"> HO non Complet entre 302 et  203</t>
  </si>
  <si>
    <t>*: Ho complet entre les cellules 225 et 226
* qualité /niveau de signal : dl rx-qual=0, dl rx level = -48 dbm
*Requête de déconnexion a été envoyée par le RBC</t>
  </si>
  <si>
    <t xml:space="preserve"> HO Complet entre 225 et  226</t>
  </si>
  <si>
    <t>*: Ho non finalisé entre les cellules 302 et 203
* qualité /niveau de signal : dl rx-qual=7, dl rx level = -52 dbm
*Requête de déconnexion a été envoyée par le bord</t>
  </si>
  <si>
    <t xml:space="preserve"> Ho non finalisé entre 302 et 203</t>
  </si>
  <si>
    <t>*: Ho non complet entre les cellules 202 et 303
* qualité /niveau de signal : dl rx-qual=6, dl rx level = -58 dbm
*Requête de déconnexion a été envoyée par le RBC</t>
  </si>
  <si>
    <t xml:space="preserve"> HO non Complet entre 202 et  303</t>
  </si>
  <si>
    <t>dl rx level= -58</t>
  </si>
  <si>
    <t>*: Ho  complet entre les cellules 303 et 202
* qualité /niveau de signal : dl rx-qual=7, dl rx level = -56 dbm
*Requête de déconnexion a été envoyée par le RBC</t>
  </si>
  <si>
    <t xml:space="preserve"> HO  Complet entre 303 et  202</t>
  </si>
  <si>
    <t>*: Ho non complet entre les cellules 202 et 203
* qualité /niveau de signal : dl rx-qual=7, dl rx level = -54 dbm
*Requête de déconnexion a été envoyée par le RBC</t>
  </si>
  <si>
    <t>*: Ho  complet entre les cellules 304 et 303
* qualité /niveau de signal : dl rx-qual=0, dl rx level = -53 dbm
*Requête de déconnexion a été envoyée par le RBC</t>
  </si>
  <si>
    <t xml:space="preserve"> HO  Complet entre 304 et 303</t>
  </si>
  <si>
    <t> 08:54:53 </t>
  </si>
  <si>
    <t>*: Ho  complet entre les cellules 311 et 310
* qualité /niveau de signal : dl rx-qual=0, dl rx level = -66 dbm
*Requête de déconnexion a été envoyée par le RBC</t>
  </si>
  <si>
    <t xml:space="preserve"> HO  Complet entre 311 et 310</t>
  </si>
  <si>
    <t xml:space="preserve">*: Ho  complet entre les cellules 223 et 224
* qualité /niveau de signal : dl rx-qual=0, dl rx level = -57 dbm
*Requête de déconnexion a été envoyée par le RBC </t>
  </si>
  <si>
    <t xml:space="preserve"> HO  Complet entre 223 et 224</t>
  </si>
  <si>
    <t>dl rx level= -57</t>
  </si>
  <si>
    <t>Pas de  Retransmission des trames HDLC*5</t>
  </si>
  <si>
    <t>*: Ho non finalisé entre les cellules 202 et 203
* qualité /niveau de signal : dl rx-qual=7, dl rx level = -53 dbm
*Requête de déconnexion a été envoyée par le RBC</t>
  </si>
  <si>
    <t xml:space="preserve"> HO  non finalisé entre 202 et 203</t>
  </si>
  <si>
    <t>*: Ho  non finalisé entre les cellules 202 et 303
* qualité /niveau de signal : dl rx-qual=7, dl rx level = -55 dbm
*Requête de déconnexion a été envoyée par le BORD</t>
  </si>
  <si>
    <t xml:space="preserve"> HO   non finalisé entre 202 et 303</t>
  </si>
  <si>
    <t>dl rx level= -55</t>
  </si>
  <si>
    <t>*: Ho non finalisé entre les cellules 302 et 203
* qualité /niveau de signal : dl rx-qual=7, dl rx level = -50 dbm
*Requête de déconnexion a été envoyée par le RBC</t>
  </si>
  <si>
    <t xml:space="preserve"> HO   non finalisé entre 302 et 203</t>
  </si>
  <si>
    <t>dl rx level= -50</t>
  </si>
  <si>
    <t>*: Ho non finalisé entre les cellules 302 et 303
* qualité /niveau de signal : dl rx-qual=0, dl rx level = -110 dbm
*Requête de déconnexion a été envoyée par le RBC</t>
  </si>
  <si>
    <t xml:space="preserve"> HO  complet entre 302 et 303</t>
  </si>
  <si>
    <t>*: Ho Complet entre les cellules 224 et 225
* qualité /niveau de signal : dl rx-qual=0, dl rx level = -57 dbm
*Requête de déconnexion a été envoyée par le RBC</t>
  </si>
  <si>
    <t xml:space="preserve"> HO  complet entre 302 et 203</t>
  </si>
  <si>
    <t>*: Ho non finalisé entre les cellules 202 et 303
* qualité /niveau de signal : dl rx-qual=7, dl rx level = -54 dbm
*Requête de déconnexion a été envoyée par le RBC</t>
  </si>
  <si>
    <t xml:space="preserve"> HO non finalisé entre 302 et 303</t>
  </si>
  <si>
    <t>*: Ho Complet entre les cellules 324 et 225
* qualité /niveau de signal : dl rx-qual=0, dl rx level = -65 dbm
*Requête de déconnexion a été envoyée par le RBC</t>
  </si>
  <si>
    <t xml:space="preserve"> HO  complet entre 324 et 225</t>
  </si>
  <si>
    <t>dl rx level= -65</t>
  </si>
  <si>
    <t>*: Ho Complet entre les cellules 234 et 233
* qualité /niveau de signal : dl rx-qual=7, dl rx level = -67 dbm
*Requête de déconnexion a été envoyée par le RBC</t>
  </si>
  <si>
    <t xml:space="preserve"> HO  complet entre 234 et 233</t>
  </si>
  <si>
    <t>dl rx level= -67</t>
  </si>
  <si>
    <t>*HO non finalisé entre 202 et 303
* qualité /niveau de signal : dl rx-qual=7, dl rx level = -53 dbm
*Requête de déconnexion a été envoyée par le RBC</t>
  </si>
  <si>
    <t>*Le conducteur a essayé de ce reconnecter sauf que le RBC a demandé la déconnexion sans Retransmission des trames HDLC
*Requête de déconnexion a été envoyée par le RBC</t>
  </si>
  <si>
    <t>*Etat H.O : HO non Finalisé entre 221 et 222
* qualité /niveau de signal : dl rx-qual=1, dl rx level = -74 dbm
*Requête de déconnexion a été envoyée par le RBC</t>
  </si>
  <si>
    <t>HO non Finalisé entre 221 et 222</t>
  </si>
  <si>
    <t>dl rx level= -74</t>
  </si>
  <si>
    <t xml:space="preserve">* Etat H.O : HO complète entre 223 et 224
* qualité /niveau de signal : dl rx-qual=0, dl rx level = -71 dbm
*Requête de déconnexion a été envoyée par le RBC
</t>
  </si>
  <si>
    <t xml:space="preserve"> HO  complet entre 223 et 224</t>
  </si>
  <si>
    <t>dl rx level= -71</t>
  </si>
  <si>
    <t>*Etat H.O : HO non Finalisé entre 302 et 303
* qualité /niveau de signal : dl rx-qual=7, dl rx level = -55 dbm
*Requête de déconnexion a été envoyée par le RBC</t>
  </si>
  <si>
    <t>HO non finalisé entre 302 et 303</t>
  </si>
  <si>
    <t>*Etat H.O : HO non Finalisé entre 219 et 220
* qualité /niveau de signal : dl rx-qual=2, dl rx level = -80 dbm
*Requête de déconnexion a été envoyée par le RBC</t>
  </si>
  <si>
    <t>HO non finalisé entre 219 et 220</t>
  </si>
  <si>
    <t>dl rx level= -80</t>
  </si>
  <si>
    <t>*Etat H.O : HO Complet entre 224 et 225
* qualité /niveau de signal : dl rx-qual=0, dl rx level = -58 dbm
*Requête de déconnexion a été envoyée par le RBC</t>
  </si>
  <si>
    <t xml:space="preserve"> HO  complet entre 224 et 225</t>
  </si>
  <si>
    <t>Pas de  Retransmission des trames HDLC</t>
  </si>
  <si>
    <t>*Etat H.O : HO complet entre 224 et 225
* qualité /niveau de signal : dl rx-qual=2, dl rx level = -48 dbm
*Requête de déconnexion a été envoyée par le RBC</t>
  </si>
  <si>
    <t>*Etat H.O : HO Complet entre 201 et 202
* qualité /niveau de signal : dl rx-qual=0, dl rx level = -53 dbm
*Requête de déconnexion a été envoyée par le RBC</t>
  </si>
  <si>
    <t xml:space="preserve"> HO  complet entre 201 et 202</t>
  </si>
  <si>
    <t>08:46:45 </t>
  </si>
  <si>
    <t>*Etat H.O : HO Complet entre 318 et 317
* qualité /niveau de signal : dl rx-qual=0, dl rx level = -110 dbm
*Requête de déconnexion a été envoyée par le RBC</t>
  </si>
  <si>
    <t xml:space="preserve"> HO Complet entre 318 et 317</t>
  </si>
  <si>
    <t>*Etat H.O :HO Complet entre 303 et 202
* qualité /niveau de signal : dl rx-qual=7 dl rx level = -55 dbm
*Requête de déconnexion a été envoyée par le RBC</t>
  </si>
  <si>
    <t>*Etat H.O : HO Complet entre 224 et 225
* qualité /niveau de signal : dl rx-qual=0, dl rx level = -67 dbm
*Requête de déconnexion a été envoyée par le RBC</t>
  </si>
  <si>
    <t>HO Complet entre 224 et 225</t>
  </si>
  <si>
    <t>*Etat H.O : HO non Finalisé entre 202 et 203
* qualité /niveau de signal : dl rx-qual=3, dl rx level = -52 dbm
*Requête de déconnexion a été envoyée par le RBC</t>
  </si>
  <si>
    <t>*Etat H.O : HO non Finalisé entre 318 et 317
* qualité /niveau de signal : dl rx-qual=7, dl rx level = -83 dbm
*Requête de déconnexion a été envoyée par le RBC</t>
  </si>
  <si>
    <t>HO non Finalisé entre 318 et 317</t>
  </si>
  <si>
    <t>dl rx level= -83</t>
  </si>
  <si>
    <t>*Etat H.O : HO complet entre 224 et 225
* qualité /niveau de signal : dl rx-qual=0, dl rx level = -48 dbm
*Requête de déconnexion a été envoyée par le RBC</t>
  </si>
  <si>
    <t>HO complet entre 224 et 225</t>
  </si>
  <si>
    <t>*Etat H.O : HO non Finalisé entre 318 et 317
* qualité /niveau de signal : dl rx-qual=7, dl rx level = -85 dbm
*Requête de déconnexion a été envoyée par le RBC</t>
  </si>
  <si>
    <t>dl rx level= -85</t>
  </si>
  <si>
    <t>*Etat H.O : HO non Finalisé entre 202 et 203
* qualité /niveau de signal : dl rx-qual=6, dl rx level = -53 dbm
*Requête de déconnexion a été envoyée par le RBC</t>
  </si>
  <si>
    <t>HO non Finalisé entre 202 et 203</t>
  </si>
  <si>
    <t>*Etat H.O : HO complet  entre 201 et 302 
* qualité /niveau de signal : dl rx-qual=0, dl rx level = -48 dbm
*Requête de déconnexion a été envoyée par le RBC</t>
  </si>
  <si>
    <t>HO complet entre 201 et 302</t>
  </si>
  <si>
    <t>*Etat H.O : HO complet entre 332 et 331
* qualité /niveau de signal : dl rx-qual=0, dl rx level = -48 dbm
*Requête de déconnexion a été envoyée par le RBC</t>
  </si>
  <si>
    <t>HO complet entre 332 et 331</t>
  </si>
  <si>
    <t>*Etat H.O : HO complet entre 301 et 302
* qualité /niveau de signal : dl rx-qual=7, dl rx level = -55 dbm
*Requête de déconnexion a été envoyée par le RBC</t>
  </si>
  <si>
    <t>HO complet entre 301 et 302</t>
  </si>
  <si>
    <t>*Etat H.O :HO Complet entre 230 et 231
* qualité /niveau de signal : dl rx-qual=0, dl rx level = -48 dbm
*Requête de déconnexion a été envoyée par le RBC</t>
  </si>
  <si>
    <t>HO Complet entre 230 et 231</t>
  </si>
  <si>
    <t>*Etat H.O :HO Complet entre 212 et 213
* qualité /niveau de signal : dl rx-qual=0, dl rx level = -48 dbm
*Requête de déconnexion a été envoyée par le RBC</t>
  </si>
  <si>
    <t>HO Complet entre 212 et 213</t>
  </si>
  <si>
    <t>*Etat H.O :Non finalise entre 301 et 203 (saut de cellule)
* qualité /niveau de signal : dl rx-qual=6, dl rx level = -54 dbm
*Requête de déconnexion a été envoyée par le RBC</t>
  </si>
  <si>
    <t>HO non Finalisé entre 301 et 203</t>
  </si>
  <si>
    <t>*Etat H.O :complet entre 305 et 204 
* qualité /niveau de signal : dl rx-qual=0, dl rx level = -48 dbm
*Requête de déconnexion a été envoyée par le RBC(le conducteur a tenté de se reconnecter mais lors de la reconnexion le bord s'est accroché a la cellule 591 de la ligne Sidi Kacem-Tanger ce qui a provoqué une deuxiéme déconnexion en raison d'un HO non finalisé entre cette cellule et la cellule 592)</t>
  </si>
  <si>
    <t>HO Complet entre 305 et 304</t>
  </si>
  <si>
    <t>*Etat H.O : HO Complet entre 318 et 317
* qualité /niveau de signal : dl rx-qual=3, dl rx level = -65 dbm
*Requête de déconnexion a été envoyée par le RBC</t>
  </si>
  <si>
    <t xml:space="preserve"> 09:24:06</t>
  </si>
  <si>
    <t>*Etat H.O :  HO Complet entre 215 et 216
* qualité /niveau de signal : dl rx-qual=1, dl rx level = -61 dbm
*Requête de déconnexion a été envoyée par le RBC</t>
  </si>
  <si>
    <t>HO Complet entre 215 et 216</t>
  </si>
  <si>
    <t>dl rx level= -61</t>
  </si>
  <si>
    <t xml:space="preserve"> 10:35:39</t>
  </si>
  <si>
    <t>*Etat H.O :  HO Complet entre 224 et 225
* qualité /niveau de signal : dl rx-qual=2, dl rx level = -70 dbm
*Requête de déconnexion a été envoyée par le RBC</t>
  </si>
  <si>
    <t>*Etat H.O :  HO Complet entre 231 et 232
* qualité /niveau de signal : dl rx-qual=0, dl rx level = -65 dbm
*Requête de déconnexion a été envoyée par le RBC</t>
  </si>
  <si>
    <t>HO Complet entre 231 et 232</t>
  </si>
  <si>
    <t>*Etat H.O :  HO non finalisé entre 302 et 203
* qualité /niveau de signal : dl rx-qual=7, dl rx level = -55 dbm
*Requête de déconnexion a été envoyée par le RBC</t>
  </si>
  <si>
    <t>HO non Finalisé entre 302 et 203</t>
  </si>
  <si>
    <t>*Etat H.O : HO Complet entre 234 et 233
* qualité /niveau de signal : dl rx-qual=0, dl rx level = -50 dbm
*Requête de déconnexion a été envoyée par le MSC</t>
  </si>
  <si>
    <t xml:space="preserve"> HO Complet entre 234 et 233</t>
  </si>
  <si>
    <t>*Etat H.O :  HO recule non finalisé entre 202 et 301
* qualité /niveau de signal : dl rx-qual=7, dl rx level = -52 dbm
*Requête de déconnexion a été envoyée par le RBC</t>
  </si>
  <si>
    <t xml:space="preserve"> HO recule non finalisé entre 202 et 301</t>
  </si>
  <si>
    <t>*Etat H.O :  HO non finalisé entre 318 et 317
* qualité /niveau de signal : dl rx-qual=7, dl rx level = -85 dbm
*Requête de déconnexion a été envoyée par le RBC</t>
  </si>
  <si>
    <t xml:space="preserve"> HO non finalisé entre 318 et 317</t>
  </si>
  <si>
    <t>12:05:29 </t>
  </si>
  <si>
    <t>*Etat H.O : HO non finalisé entre 202 et 203
* qualité /niveau de signal : dl rx-qual=7, dl rx level = -54 dbm
*Requête de déconnexion a été envoyée par le RBC</t>
  </si>
  <si>
    <t>*Etat H.O : HO non finalisé entre 306 et 207
* qualité /niveau de signal : dl rx-qual=7, dl rx level = -82 dbm
*Requête de déconnexion a été envoyée par le RBC</t>
  </si>
  <si>
    <t>HO non finalisé entre 306 et 207</t>
  </si>
  <si>
    <t>dl rx level= -82</t>
  </si>
  <si>
    <t>*Etat H.O : HO finalisé entre 224 et 225
* qualité /niveau de signal : dl rx-qual=0, dl rx level = -77 dbm
*Requête de déconnexion a été envoyée par le RBC</t>
  </si>
  <si>
    <t>HO finalisé entre 224 et 225</t>
  </si>
  <si>
    <t xml:space="preserve">  Pas de Retransmission des trames </t>
  </si>
  <si>
    <t>*Etat H.O : HO finalisé entre 303 et 302
* qualité /niveau de signal : dl rx-qual=7, dl rx level = -79 dbm
*Requête de déconnexion a été envoyée par le RBC</t>
  </si>
  <si>
    <t>HO finalisé entre 303 et 302</t>
  </si>
  <si>
    <t>dl rx level= -79</t>
  </si>
  <si>
    <t>* Etat H.O : Ho est complet entre 304 et 303
* qualité /niveau de signal : dl rx-qual=2, dl rx level = -64dbm
*Requête de déconnexion a été envoyée par le RBC</t>
  </si>
  <si>
    <t>* Etat H.O : HO Complet entre 218 et 219
* qualité /niveau de signal : dl rx-qual=0, dl rx level = -51dbm
*Requête de déconnexion a été envoyée par le RBC</t>
  </si>
  <si>
    <t>HO finalisé entre 218 et 219</t>
  </si>
  <si>
    <t>dl rx level= -51</t>
  </si>
  <si>
    <t>* Etat H.O :Ho est complet entre 304 et 303
* qualité /niveau de signal : dl rx-qual=5, dl rx level = -66dbm
*Requête de déconnexion a été envoyée par le RBC</t>
  </si>
  <si>
    <t>* Etat H.O :Ho non finalisé entre 203 et 302
* qualité /niveau de signal : dl rx-qual=6, dl rx level = -52dbm
*Requête de déconnexion a été envoyée par le BORD</t>
  </si>
  <si>
    <t>HO NON finalisé entre 302 et 203</t>
  </si>
  <si>
    <t>* Etat H.O : HO Complet entre 203 et 204
* qualité /niveau de signal : dl rx-qual=0, dl rx level = -48dbm
*Requête de déconnexion a été envoyée par le RBC</t>
  </si>
  <si>
    <t>HO Complete entre 203 et 204</t>
  </si>
  <si>
    <t>* Etat H.O : HO Complet entre 205 et 206
* qualité /niveau de signal : dl rx-qual=0, dl rx level = -55dbm
*Requête de déconnexion a été envoyée par le RBC</t>
  </si>
  <si>
    <t>HO Complete entre 205 et 206</t>
  </si>
  <si>
    <t>* Etat H.O : HO Complet entre 224 et 225
* qualité /niveau de signal : dl rx-qual=0, dl rx level = -59dbm
*Requête de déconnexion a été envoyée par le RBC</t>
  </si>
  <si>
    <t>HO Complete entre 225 et 226</t>
  </si>
  <si>
    <t>dl rx level= -59</t>
  </si>
  <si>
    <t>* Etat H.O : HO non finalisé entre 207 et 208
* qualité /niveau de signal : dl rx-qual=0, dl rx level = -65dbm
*Requête de déconnexion a été envoyée par le RBC</t>
  </si>
  <si>
    <t>HO non finalisé entre 207 et 208</t>
  </si>
  <si>
    <t>08:08:30 </t>
  </si>
  <si>
    <t>* Etat H.O :  HO complet entre 203 et 204
* qualité /niveau de signal : dl rx-qual=0, dl rx level = -55dbm
*Requête de déconnexion a été envoyée par le RBC</t>
  </si>
  <si>
    <t>HO non finalisé entre 203 et 204</t>
  </si>
  <si>
    <t>17:05:05 </t>
  </si>
  <si>
    <t>* Etat H.O :  HO non complet entre 202 et 203
* qualité /niveau de signal : dl rx-qual=7, dl rx level = -53dbm
*Requête de déconnexion a été envoyée par le RBC</t>
  </si>
  <si>
    <t>19:05:02 </t>
  </si>
  <si>
    <t>* Etat H.O :  HO non complet entre 202 et 203
* qualité /niveau de signal : dl rx-qual=7, dl rx level = -55dbm
*Requête de déconnexion a été envoyée par le RBC</t>
  </si>
  <si>
    <t>*Etat H.O : HO  complet entre 209 et 210
* qualité /niveau de signal : absence des traces radios
*Requête de déconnexion a été envoyée par le RBC</t>
  </si>
  <si>
    <t xml:space="preserve">absence des mesures radio " problème au niveau de l'interface expandium" </t>
  </si>
  <si>
    <t>HO  complet entre 209 et 210</t>
  </si>
  <si>
    <t>absence des traces radios</t>
  </si>
  <si>
    <t xml:space="preserve"> 09 :05 :21</t>
  </si>
  <si>
    <t>*Etat H.O : HO non finalisé entre 302 et 303
* qualité /niveau de signal : dl Rxqual=7,dl rx level= -52
*Requête de déconnexion a été envoyée par le RBC</t>
  </si>
  <si>
    <t>13:01:41 </t>
  </si>
  <si>
    <t>* Etat H.O :  HO complet entre 305 et 304
* qualité /niveau de signal : dl rx-qual=0, dl rx level = -51dbm
*Requête de déconnexion a été envoyée par le RBC</t>
  </si>
  <si>
    <t>HO  complet entre 305 et 304</t>
  </si>
  <si>
    <t>* Etat H.O :  HO complet entre 202 et 203
* qualité /niveau de signal : dl rx-qual=7, dl rx level = -58dbm
*Requête de déconnexion a été envoyée par le RBC</t>
  </si>
  <si>
    <t>HO complet  entre 202 et 203</t>
  </si>
  <si>
    <t>* Etat H.O :  HO complet entre 220 et 321
* qualité /niveau de signal : dl rx-qual=0, dl rx level = -48dbm
*Requête de déconnexion a été envoyée par le RBC</t>
  </si>
  <si>
    <t>HO complet entre 220 et 321</t>
  </si>
  <si>
    <t>*Etat H.O : HO non finalisé entre 202 et 303
* qualité /niveau de signal : dl Rxqual=7,dl rx level= -55
*Requête de déconnexion a été envoyée par le Bord</t>
  </si>
  <si>
    <t xml:space="preserve">*Etat H.O : HO complete entre 224 et 225
* qualité /niveau de signal : dl Rxqual=1,dl rx level= -64
*Requête de déconnexion a été envoyée par le RBC </t>
  </si>
  <si>
    <t>HO Compléte  entre 224 et 225</t>
  </si>
  <si>
    <t xml:space="preserve">OK </t>
  </si>
  <si>
    <t>*Etat H.O : HO non finalisé entre 202 et 303
* qualité /niveau de signal : dl Rxqual=6,dl rx level= -52
*Requête de déconnexion a été envoyée par le RBC</t>
  </si>
  <si>
    <t>HO Non finalisé  entre 202 et 303</t>
  </si>
  <si>
    <t xml:space="preserve">NOK </t>
  </si>
  <si>
    <t>*Etat H.O : HO non finalisé entre 204 et 205
* qualité /niveau de signal : dl Rxqual=0,dl rx level= -71
*Requête de déconnexion a été envoyée par le RBC</t>
  </si>
  <si>
    <t>HO Non finalisé  entre 204 et 205</t>
  </si>
  <si>
    <t>*Etat H.O : HO Non finalisé entre 318 et 317
* qualité /niveau de signal : dl Rxqual=6,dl rx level= -84
*Requête de déconnexion a été envoyée par le RBC</t>
  </si>
  <si>
    <t>HO Non finalisé entre 318 et 317</t>
  </si>
  <si>
    <t>dl rx level= -84</t>
  </si>
  <si>
    <t xml:space="preserve">*Etat H.O : HO complete entre 324 et 223
* qualité /niveau de signal : dl Rxqual=7,dl rx level= -65
*Requête de déconnexion a été envoyée par le RBC </t>
  </si>
  <si>
    <t>HO complete entre 324 et 223</t>
  </si>
  <si>
    <t xml:space="preserve">*Etat H.O : HO complete entre 212 et 213
* qualité /niveau de signal : dl Rxqual=0,dl rx level= -61
*Requête de déconnexion a été envoyée par le RBC </t>
  </si>
  <si>
    <t>HO complete entre 212 et 213</t>
  </si>
  <si>
    <t xml:space="preserve">*Etat H.O : HO complete entre 202 et 203 avec downlink quality
* qualité /niveau de signal : dl Rxqual=7,dl rx level= -58
*Requête de déconnexion a été envoyée par le RBC </t>
  </si>
  <si>
    <t>HO complete entre 202 et 203</t>
  </si>
  <si>
    <t xml:space="preserve">*Etat H.O : HO non complete entre 318 et 317 
* qualité /niveau de signal : dl Rxqual=7,dl rx level= -85
*Requête de déconnexion a été envoyée par le RBC </t>
  </si>
  <si>
    <t>HO non complete entre 318 et 317</t>
  </si>
  <si>
    <t xml:space="preserve">*Etat H.O : HO non complete entre 224et 225
* qualité /niveau de signal : dl Rxqual=0,dl rx level= -55
*Requête de déconnexion a été envoyée par le RBC </t>
  </si>
  <si>
    <t>HO complete entre 224 et 225</t>
  </si>
  <si>
    <t xml:space="preserve">*Etat H.O : HO non finalisé entre 215et 216
* qualité /niveau de signal : dl Rxqual=3,dl rx level= -62
*Requête de déconnexion a été envoyée par le RBC </t>
  </si>
  <si>
    <t>HO Non finalisé entre 215 et 216</t>
  </si>
  <si>
    <t>*Etat H.O :  HO non finalisé entre 318 et 317
* qualité /niveau de signal : dl Rxqual=7,dl rx level= -86
*Requête de déconnexion a été envoyée par le RBC</t>
  </si>
  <si>
    <t>dl rx level= -86</t>
  </si>
  <si>
    <t>*Etat H.O :  HO non finalisé entre 303 et 202
* qualité /niveau de signal : dl Rxqual=4,dl rx level= -66
*Requête de déconnexion a été envoyée par le Bord</t>
  </si>
  <si>
    <t xml:space="preserve"> HO non finalisé entre 303 et 202</t>
  </si>
  <si>
    <t>*Etat H.O : HO finalisé entre 327 et 228
* qualité /niveau de signal : dl rx-qual=0, dl rx level = -48 dbm
*Requête de déconnexion a été envoyée par le RBC</t>
  </si>
  <si>
    <t>HO finalisé entre 327 et 228</t>
  </si>
  <si>
    <t>*Etat H.O : HO finalisé entre 327 et 328
* qualité /niveau de signal : dl rx-qual=1, dl rx level = -58 dbm
*Requête de déconnexion a été envoyée par le RBC</t>
  </si>
  <si>
    <t>HO finalisé entre 327 et 328</t>
  </si>
  <si>
    <t xml:space="preserve">*Etat H.O : HO complete entre 224 et 225
* qualité /niveau de signal : dl Rxqual=0,dl rx level= -60
*Requête de déconnexion a été envoyée par le RBC </t>
  </si>
  <si>
    <t>dl rx level= -60</t>
  </si>
  <si>
    <t xml:space="preserve">*Etat H.O : HO complet entre 201 et 202
* qualité /niveau de signal : dl Rxqual=2,dl rx level= -61
*Requête de déconnexion a été envoyée par le RBC </t>
  </si>
  <si>
    <t xml:space="preserve"> 14:04:18</t>
  </si>
  <si>
    <t xml:space="preserve">*Etat H.O : HO complet entre 202 et 303 (HO recul)
* qualité /niveau de signal : dl Rxqual=7,dl rx level= -68
*Requête de déconnexion a été envoyée par le RBC </t>
  </si>
  <si>
    <t>HO complet entre 202 et 303 (HO recul)</t>
  </si>
  <si>
    <t>dl rx level= -68</t>
  </si>
  <si>
    <t xml:space="preserve">* Etat H.O : HO complet entre 218 et 219 
* qualité /niveau de signal : dl rx-qual=0, dl rx level = -48 dbm
*Requête de déconnexion a été envoyée par le RBC </t>
  </si>
  <si>
    <t xml:space="preserve">HO complet entre 218 et 219 </t>
  </si>
  <si>
    <t xml:space="preserve">* Etat H.O : HO Complet entre 203 et 204
* qualité /niveau de signal : dl rx-qual=0, dl rx level = -48 dbm
*Requête de déconnexion a été envoyée par le RBC </t>
  </si>
  <si>
    <t xml:space="preserve"> HO Complet entre 203 et 204 </t>
  </si>
  <si>
    <t>* Etat H.O : HO non Complet entre 202 et 301
* qualité /niveau de signal : dl rx-qual=7, dl rx level = -55 dbm
*Requête de déconnexion a été envoyée par le BORD</t>
  </si>
  <si>
    <t xml:space="preserve"> HO Complet entre 202 et 301 </t>
  </si>
  <si>
    <t>Pas  Retransmission des trames HDLC</t>
  </si>
  <si>
    <t> 5,730</t>
  </si>
  <si>
    <t xml:space="preserve">* Etat H.O :HO non finalisé entre 201 et 202
* qualité /niveau de signal : dl rx-qual=7, dl rx level = -54 dbm
*Requête de déconnexion a été envoyée par le RBC </t>
  </si>
  <si>
    <t>HO non finalisé entre 201 et 202</t>
  </si>
  <si>
    <t xml:space="preserve">* Etat H.O : HO finalisé entre 303 et 302 .
* qualité /niveau de signal : dl rx-qual=0, dl rx level = -110dbm
*Requête de déconnexion a été envoyée par le RBC </t>
  </si>
  <si>
    <t xml:space="preserve"> HO finalisé entre 303 et 302 </t>
  </si>
  <si>
    <t xml:space="preserve">* Etat H.O : HO finalisé entre 204 et 205 
* qualité /niveau de signal : dl rx-qual=2, dl rx level = -48dbm
*Requête de déconnexion a été envoyée par le RBC </t>
  </si>
  <si>
    <t>HO finalisé entre 204 et 205</t>
  </si>
  <si>
    <t xml:space="preserve">*Etat H.O : HO Complet entre 324 et 323
* qualité /niveau de signal : dl rx-qual=0, dl rx level = -48 dbm
*Requête de déconnexion a été envoyée par le RBC </t>
  </si>
  <si>
    <t xml:space="preserve">* Etat H.O : HO non finalisé entre 202 et 303
* qualité /niveau de signal : dl rx-qual=7 , dl rx level = -52 dbm
*Requête de déconnexion a été envoyée par le RBC </t>
  </si>
  <si>
    <t>dl rx level= -42</t>
  </si>
  <si>
    <t xml:space="preserve">Etat H.O : HO  finalisé entre 325 et 324
* qualité /niveau de signal : dl rx-qual=0 , dl rx level = -59 dbm
*Requête de déconnexion a été envoyée par le RBC </t>
  </si>
  <si>
    <t>HO  finalisé entre 325 et 324</t>
  </si>
  <si>
    <t xml:space="preserve">Etat H.O : HO  non finalisé entre 202 et 303
* qualité /niveau de signal : dl rx-qual=7 , dl rx level = -59 dbm
*Requête de déconnexion a été envoyée par le RBC </t>
  </si>
  <si>
    <t xml:space="preserve"> Pas Retransmission des trames HDLC*5</t>
  </si>
  <si>
    <t xml:space="preserve">Etat H.O : HO  non finalisé entre 302 et 303
* qualité /niveau de signal : dl rx-qual=7 , dl rx level = -59 dbm
*Requête de déconnexion a été envoyée par le RBC </t>
  </si>
  <si>
    <t xml:space="preserve">Etat H.O : HO  complet entre 216 et 217
* qualité /niveau de signal : dl rx-qual=0 , dl rx level = -72 dbm
*Requête de déconnexion a été envoyée par le RBC </t>
  </si>
  <si>
    <t>HO Complet entre 216 et 217</t>
  </si>
  <si>
    <t>dl rx level= -72</t>
  </si>
  <si>
    <t xml:space="preserve">Etat H.O : HO  non finalisé entre 306 et 305
* qualité /niveau de signal : dl rx-qual=2 , dl rx level = -87 dbm
*Requête de déconnexion a été envoyée par le RBC </t>
  </si>
  <si>
    <t>HO non finalisé entre 306 et 305</t>
  </si>
  <si>
    <t>dl rx level= -87</t>
  </si>
  <si>
    <t xml:space="preserve">Etat H.O : HO complet entre 222 et 323
* qualité /niveau de signal : dl rx-qual=2 , dl rx level = -48 dbm
*Requête de déconnexion a été envoyée par le RBC </t>
  </si>
  <si>
    <t>HO Complet entre 222 et 323</t>
  </si>
  <si>
    <t xml:space="preserve">Etat H.O : HO non finalisé entre 318 et 317
* qualité /niveau de signal : dl rx-qual=7, dl rx level = -83 dbm
*Requête de déconnexion a été envoyée par le RBC </t>
  </si>
  <si>
    <t>HO non finalisé entre 318 et 317</t>
  </si>
  <si>
    <t xml:space="preserve">Etat H.O : HO complet entre 213 et 214
* qualité /niveau de signal : dl rx-qual=0 , dl rx level = -48 dbm
*Requête de déconnexion a été envoyée par le RBC </t>
  </si>
  <si>
    <t>HO Complet entre 213 et 214</t>
  </si>
  <si>
    <t xml:space="preserve">Etat H.O : HO complet entre 307 et 308
* qualité /niveau de signal : dl rx-qual=0 , dl rx level = -53 dbm
*Requête de déconnexion a été envoyée par le RBC </t>
  </si>
  <si>
    <t>HO Complet entre 307 et 308</t>
  </si>
  <si>
    <t>dl rx level= -49</t>
  </si>
  <si>
    <t xml:space="preserve">Etat H.O : HO non complet entre 202 et 203
* qualité /niveau de signal : dl rx-qual=7 , dl rx level = -55 dbm
*Requête de déconnexion a été envoyée par le RBC </t>
  </si>
  <si>
    <t>HO non Complet entre 202 et 203</t>
  </si>
  <si>
    <t>Etat H.O : HO non complet entre 324 et 225
* qualité /niveau de signal : dl rx-qual=0 , dl rx level = -71 dbm
*Requête de déconnexion a été envoyée par le BORD</t>
  </si>
  <si>
    <t>HO non Complet entre 324 et 225</t>
  </si>
  <si>
    <t>Etat H.O : HO complet entre 317 et 316
* qualité /niveau de signal : dl rx-qual=0 , dl rx level = -51 dbm
*Requête de déconnexion a été envoyée par le RBC</t>
  </si>
  <si>
    <t>HO Complet entre 317 et 316</t>
  </si>
  <si>
    <t>Etat H.O : HO non complet entre 313 et 312
* qualité /niveau de signal : dl rx-qual=2 , dl rx level = -77 dbm
*Requête de déconnexion a été envoyée par le RBC</t>
  </si>
  <si>
    <t xml:space="preserve">GSMR </t>
  </si>
  <si>
    <t>HO non Complet entre 313 et 312</t>
  </si>
  <si>
    <t>Etat H.O : HO non complet entre 302 et 303
* qualité /niveau de signal : dl rx-qual=3 , dl rx level = -53 dbm
*Requête de déconnexion a été envoyée par le RBC</t>
  </si>
  <si>
    <t>HO non Complet entre 302 et 303</t>
  </si>
  <si>
    <t>Etat H.O : HO non complet entre 217 et 218
* qualité /niveau de signal : dl rx-qual=2 , dl rx level = -80 dbm
*Requête de déconnexion a été envoyée par le RBC</t>
  </si>
  <si>
    <t>Etat H.O : HO non complet entre 228 et 229
* qualité /niveau de signal : dl rx-qual=3 , dl rx level = -73 dbm
*Requête de déconnexion a été envoyée par le RBC</t>
  </si>
  <si>
    <t>HO non Complet entre 228 et 229</t>
  </si>
  <si>
    <t>dl rx level= -73</t>
  </si>
  <si>
    <t>Etat H.O : HO non complet entre 205 et 206
* qualité /niveau de signal : dl rx-qual=3 , dl rx level = -87 dbm
*Requête de déconnexion a été envoyée par le RBC</t>
  </si>
  <si>
    <t>HO non Complet entre 205 et 206</t>
  </si>
  <si>
    <t>Etat H.O : Aucun HO réaliser 
* qualité /niveau de signal : Absence des traces radio 
*Requête de déconnexion a été envoyée par le RBC</t>
  </si>
  <si>
    <t>En attente de pousser les analyses côté GSMR</t>
  </si>
  <si>
    <t>Aucun HO réaliser</t>
  </si>
  <si>
    <t xml:space="preserve">dl Rxqual=Absence des traces radio </t>
  </si>
  <si>
    <t xml:space="preserve">dl rx level= Absence des traces radio </t>
  </si>
  <si>
    <t>Etat H.O : HO  complet entre 202 et 303
* qualité /niveau de signal : dl rx-qual=7 , dl rx level = -66 dbm
*Requête de déconnexion a été envoyée par le RBC</t>
  </si>
  <si>
    <t>HO  Complet entre 202 et 303</t>
  </si>
  <si>
    <t>Etat H.O : HO  complet entre 303 et 702
* qualité /niveau de signal : dl rx-qual=2 , dl rx level = -65 dbm
*Requête de déconnexion a été envoyée par le RBC</t>
  </si>
  <si>
    <t>HO  Complet entre 303 et 702</t>
  </si>
  <si>
    <t>Etat H.O : HO  complet entre 303 et 702
* qualité /niveau de signal : dl rx-qual=1 , dl rx level = -73 dbm
*Requête de déconnexion a été envoyée par le RBC</t>
  </si>
  <si>
    <t>Etat H.O : HO  complet entre 701 et 702
* qualité /niveau de signal : dl rx-qual=1 , dl rx level = -66 dbm
*Requête de déconnexion a été envoyée par le RBC</t>
  </si>
  <si>
    <t>HO  Complet entre 701 et 702</t>
  </si>
  <si>
    <t>Etat H.O : HO Non finalisé entre 301 et 202
* qualité /niveau de signal : dl rx-qual=7 , dl rx level = -52 dbm
*Requête de déconnexion a été envoyée par le RBC</t>
  </si>
  <si>
    <t>HO non Complet entre 301 et 202</t>
  </si>
  <si>
    <t>Etat H.O : HO Non finalisé entre 302 et 702
* qualité /niveau de signal : dl rx-qual=2 , dl rx level = -74 dbm
*Requête de déconnexion a été envoyée par le RBC</t>
  </si>
  <si>
    <t>En attente de pousser les analyses côté RBC</t>
  </si>
  <si>
    <t>HO non Complet entre 302 et 702</t>
  </si>
  <si>
    <t>Etat H.O : HO  finalisé entre 315 et 314
* qualité /niveau de signal : dl rx-qual=0 , dl rx level = -53 dbm
*Requête de déconnexion a été envoyée par le RBC</t>
  </si>
  <si>
    <t>En attente de pousser les analyses côté BORD</t>
  </si>
  <si>
    <t>HO  Complet entre 315 et 314</t>
  </si>
  <si>
    <t>Etat H.O : HO  finalisé entre 202 et 701
* qualité /niveau de signal : dl rx-qual=7 , dl rx level = -52 dbm
*Requête de déconnexion a été envoyée par le RBC</t>
  </si>
  <si>
    <t>HO  Complet entre 202 et 701</t>
  </si>
  <si>
    <t>Etat H.O : HO  finalisé entre 302 et  701
* qualité /niveau de signal : dl rx-qual=0 , dl rx level = -48 dbm
*Requête de déconnexion a été envoyée par le RBC</t>
  </si>
  <si>
    <t>HO  Complet entre 302 et 701</t>
  </si>
  <si>
    <t>Etat H.O : HO  finalisé entre 206 et  207
* qualité /niveau de signal : dl rx-qual=0 , dl rx level = -48 dbm
*Requête de déconnexion a été envoyée par le RBC</t>
  </si>
  <si>
    <t>HO  Complet entre 206 et 207</t>
  </si>
  <si>
    <t>Etat H.O : HO Complete entre 701 et 702
* qualité /niveau de signal : dl rx-qual=0, dl rx level = -72 dbm
*Requête de déconnexion a été envoyée par le RBC</t>
  </si>
  <si>
    <t>HO Complete entre 701 et 702</t>
  </si>
  <si>
    <t>Etat H.O : HO non finalisé entre 318 et 317
* qualité /niveau de signal : dl rx-qual=7, dl rx level = -84dbm
*Requête de déconnexion a été envoyée par le RBC</t>
  </si>
  <si>
    <t>Retransmission des trames HDLC*6</t>
  </si>
  <si>
    <t>HO  finalisé entre 303 et 702
* qualité /niveau de signal : dl rx-qual=0, dl rx level = -73dbm
*Requête de déconnexion a été envoyée par le RBC</t>
  </si>
  <si>
    <t>HO  finalisé entre 303 et 702</t>
  </si>
  <si>
    <t>HO  non finalisé entre 701 et 702
* qualité /niveau de signal : dl rx-qual=6, dl rx level = -75dbm
*Requête de déconnexion a été envoyée par le RBC</t>
  </si>
  <si>
    <t>HO  non finalisé entre 701 et 702</t>
  </si>
  <si>
    <t>dl rx level= -75</t>
  </si>
  <si>
    <t>HO  finalisé entre 303 et 702
* qualité /niveau de signal : dl rx-qual=0, dl rx level = -67dbm
*Requête de déconnexion a été envoyée par le RBC</t>
  </si>
  <si>
    <t>HO  finalisé entre 702 et 701
* qualité /niveau de signal : dl rx-qual=7, dl rx level = -54dbm
*Requête de déconnexion a été envoyée par le RBC</t>
  </si>
  <si>
    <t>HO  finalisé entre 702 et 701</t>
  </si>
  <si>
    <t>HO  finalisé entre 303 et 702
* qualité /niveau de signal : dl rx-qual=0, dl rx level = -48dbm
*Requête de déconnexion a été envoyée par le RBC</t>
  </si>
  <si>
    <t>Etat H.O : HO  finalisé entre 303 et 702 
* qualité /niveau de signal : dl rx-qual=0, dl rx level = -50dbm
*Requête de déconnexion a été envoyée par le RBC</t>
  </si>
  <si>
    <t>* Etat H.O : HO  finalisé entre 303 et 702 
* qualité /niveau de signal : dl rx-qual=5, dl rx level = -48dbm
*Requête de déconnexion a été envoyée par le RBC</t>
  </si>
  <si>
    <t xml:space="preserve">HO  finalisé entre 303 et 702 </t>
  </si>
  <si>
    <t xml:space="preserve">* Etat H.O : HO  complet entre 701 et 702 
* qualité /niveau de signal : dl rx-qual=1, dl rx level = -75dbm
* Requête de déconnexion a été envoyé par le RBC
</t>
  </si>
  <si>
    <t>HO  finalisé entre 701 et 702</t>
  </si>
  <si>
    <t xml:space="preserve">* Etat H.O : HO  complet entre 702 et 701 
* qualité /niveau de signal : dl rx-qual=7, dl rx level = -56dbm
* Requête de déconnexion a été envoyé par le RBC
</t>
  </si>
  <si>
    <t>* Etat H.O : HO non finalisé entre 202 et 701 
* qualité /niveau de signal : dl rx-qual=0, dl rx level = -57 dbm
*Requête de déconnexion a été envoyée par le BORD</t>
  </si>
  <si>
    <t>HO  non finalisé entre 202 et 701</t>
  </si>
  <si>
    <t>* Etat H.O : HO  finalisé entre 303 et 304 
* qualité /niveau de signal : dl rx-qual=0, dl rx level = -48 dbm
*Requête de déconnexion a été envoyée par le RBC</t>
  </si>
  <si>
    <t>HO   finalisé entre 303 et 304</t>
  </si>
  <si>
    <t>* Etat H.O : HO  finalisé entre 225 et 226
* qualité /niveau de signal : dl rx-qual=0, dl rx level = -63 dbm
*Requête de déconnexion a été envoyée par le RBC</t>
  </si>
  <si>
    <t>HO   finalisé entre 225 et 226</t>
  </si>
  <si>
    <t>* Etat H.O : HO  finalisé entre 317 et 316
* qualité /niveau de signal : dl rx-qual=0, dl rx level = -57 dbm
*Requête de déconnexion a été envoyée par le RBC</t>
  </si>
  <si>
    <t>HO   finalisé entre 317 et 316</t>
  </si>
  <si>
    <t>* Etat H.O : HO  finalisé entre 224 et 225
* qualité /niveau de signal : dl rx-qual=0, dl rx level = -66 dbm
*Requête de déconnexion a été envoyée par le RBC</t>
  </si>
  <si>
    <t>* Etat H.O : HO  non finalisé entre 226 et 327
* qualité /niveau de signal : dl rx-qual=7, dl rx level = -56 dbm
*Requête de déconnexion a été envoyée par le RBC</t>
  </si>
  <si>
    <t>HO  non finalisé entre 226 et 327</t>
  </si>
  <si>
    <t>* Etat H.O : HO  non finalisé entre 303 et 202
* qualité /niveau de signal : dl rx-qual=5 dl rx level = -63 dbm
*Requête de déconnexion a été envoyée par le RBC</t>
  </si>
  <si>
    <t>HO  non finalisé entre 303 et 202</t>
  </si>
  <si>
    <t>* Etat H.O : HO  finalisé entre 207 et 208
* qualité /niveau de signal : dl rx-qual=3, dl rx level = -56 dbm
*Requête de déconnexion a été envoyée par le RBC</t>
  </si>
  <si>
    <t>HO   finalisé entre 207 et 208</t>
  </si>
  <si>
    <t>* Etat H.O : HO non finalisé entre 302 et 203 
* qualité /niveau de signal : dl rx-qual=6, dl rx level = -53 dbm
*Requête de déconnexion a été envoyée par le BORD</t>
  </si>
  <si>
    <t>HO  non finalisé entre 302 et 203</t>
  </si>
  <si>
    <t>* Etat H.O : HO non finalisé entre 202 et 303 
* qualité /niveau de signal : dl rx-qual=7, dl rx level = -55 dbm
*Requête de déconnexion a été envoyée par le BORD</t>
  </si>
  <si>
    <t>HO  non finalisé entre 202 et 303</t>
  </si>
  <si>
    <t>* Etat H.O : HO  finalisé entre 209 et 210
* qualité /niveau de signal : dl rx-qual=0, dl rx level = -48 dbm
*Requête de déconnexion a été envoyée par le RBC</t>
  </si>
  <si>
    <t>HO   finalisé entre 209 et 210</t>
  </si>
  <si>
    <t>* Etat H.O : HO  finalisé entre 206 et 207
* qualité /niveau de signal : dl rx-qual=0, dl rx level = -52 dbm
*Requête de déconnexion a été envoyée par le RBC</t>
  </si>
  <si>
    <t>HO   finalisé entre 206 et 207</t>
  </si>
  <si>
    <t>* Etat H.O : HO non finalisé entre 303 et 302
* qualité /niveau de signal : dl rx-qual=7, dl rx level = -64 dbm
*Requête de déconnexion a été envoyée par le RBC</t>
  </si>
  <si>
    <t>HO non finalisé entre 303 et 302</t>
  </si>
  <si>
    <t>* Etat H.O :  HO complet entre 223 et 224
* qualité /niveau de signal : dl rx-qual=1, dl rx level = -71 dbm
*Requête de déconnexion a été envoyée par le RBC</t>
  </si>
  <si>
    <t> HO complet entre 223 et 224</t>
  </si>
  <si>
    <t>* Etat H.O :  HO non finalisé entre 302 et 303
* qualité /niveau de signal : dl rx-qual=7, dl rx level = -55 dbm
*Requête de déconnexion a été envoyée par le RBC</t>
  </si>
  <si>
    <t> HO non finalisé entre 302 et 303</t>
  </si>
  <si>
    <t>* Etat H.O :  HO non finalisé entre 219 et 220
* qualité /niveau de signal : dl rx-qual=6, dl rx level = -58 dbm
*Requête de déconnexion a été envoyée par le RBC</t>
  </si>
  <si>
    <t> HO non finalisé entre 219 et 220</t>
  </si>
  <si>
    <t>* Etat H.O :  HO non finalisé entre 303 et 202
* qualité /niveau de signal : dl rx-qual=5  dl rx level = -53 dbm
*Requête de déconnexion a été envoyée par le RBC</t>
  </si>
  <si>
    <t> HO non finalisé entre 303 et 202</t>
  </si>
  <si>
    <t>*Etat H.O : HO non finalisé entre 202 et 203 
* qualité /niveau de signal : dl rx-qual=7, dl rx level = -51dbm
*Requête de déconnexion a été envoyée par le RBC</t>
  </si>
  <si>
    <t xml:space="preserve">HO non finalisé entre 202 et 203 </t>
  </si>
  <si>
    <t>*Etat H.O : HO finalisé entre 318 et 317 
* qualité /niveau de signal : dl rx-qual=0, dl rx level = -51 dbm
*Requête de déconnexion a été envoyée par le RBC</t>
  </si>
  <si>
    <t xml:space="preserve">HO finalisé entre 318 et 317 </t>
  </si>
  <si>
    <t>10:12:30 </t>
  </si>
  <si>
    <t>*Etat H.O :HO complet entre 206 et 207
* qualité /niveau de signal : dl rx-qual=0, dl rx level = -48 dbm
*Requête de déconnexion a été envoyée par le RBC</t>
  </si>
  <si>
    <t>HO complet entre 206 et 207</t>
  </si>
  <si>
    <t>10:38:52 </t>
  </si>
  <si>
    <t>*Etat H.O :HO complet entre 327 et 228
* qualité /niveau de signal : dl rx-qual=0, dl rx level = -48 dbm
*Requête de déconnexion a été envoyée par le RBC</t>
  </si>
  <si>
    <t>HO complet entre 327 et 228</t>
  </si>
  <si>
    <t> 118,562</t>
  </si>
  <si>
    <t>*Etat H.O :HO non finalisé entre 321 et 320
* qualité /niveau de signal : dl rx-qual=0, dl rx level = -69 dbm
*Requête de déconnexion a été envoyée par le RBC</t>
  </si>
  <si>
    <t> HO non finalisé entre 321 et 320</t>
  </si>
  <si>
    <t>15:05:05 </t>
  </si>
  <si>
    <t>1211 </t>
  </si>
  <si>
    <t>*Etat H.O :non finalisé entre 202 et 303
* qualité /niveau de signal : dl rx-qual=0, dl rx level = -73 dbm
*Requête de déconnexion a été envoyée par le RBC</t>
  </si>
  <si>
    <t>*Etat H.O :non finalisé entre 202 et 203
* qualité /niveau de signal : dl rx-qual=0, dl rx level = -65 dbm
*Requête de déconnexion a été envoyée par le RBC</t>
  </si>
  <si>
    <t>HO finalisé entre 202 et 303</t>
  </si>
  <si>
    <t>*Etat H.O :finalisé entre 303 et 302
* qualité /niveau de signal : dl rx-qual=5, dl rx level = -55 dbm
*Requête de déconnexion a été envoyée par le RBC</t>
  </si>
  <si>
    <t>*Etat H.O :finalisé entre 234 et 233
* qualité /niveau de signal : dl rx-qual=2, dl rx level = -55 dbm
*Requête de déconnexion a été envoyée par le RBC</t>
  </si>
  <si>
    <t>*HO non finalisé entre 202 et 303
* qualité /niveau de signal : dl rx-qual=7, dl rx level = -85dbm
*Requête de déconnexion a été envoyée par le BORD</t>
  </si>
  <si>
    <t>*Etat H.O :  HO non finalisé entre 318 et 317
* qualité /niveau de signal : dl rx-qual=7, dl rx level = -83dbm
*Requête de déconnexion a été envoyée par le RBC</t>
  </si>
  <si>
    <t> 11:04:45 </t>
  </si>
  <si>
    <t> 7,381</t>
  </si>
  <si>
    <t>*Etat H.O : HO complet entre 303 et 202
* qualité /niveau de signal : dl rx-qual=2, dl rx level = -56dbm
*Requête de déconnexion a été envoyée par le RBC</t>
  </si>
  <si>
    <t>HO complet entre 303 et 202</t>
  </si>
  <si>
    <t> 20:13:14 </t>
  </si>
  <si>
    <t>*Etat H.O : HO complet entre 206 et 207
* qualité /niveau de signal : dl rx-qual=0, dl rx level = -48dbm
*Requête de déconnexion a été envoyée par le RBC</t>
  </si>
  <si>
    <t>* Etat H.O : HO Non finalisé entre 202 et 203
* qualité /niveau de signal : dl rx-qual=6, dl rx level = -51 dbm
*Requête de déconnexion a été envoyée par le RBC</t>
  </si>
  <si>
    <t>* Etat H.O : HO Non finalisé entre 201 et 302
* qualité /niveau de signal : dl rx-qual=7, dl rx level = -55 dbm
*Requête de déconnexion a été envoyée par le RBC</t>
  </si>
  <si>
    <t>HO Non finalisé entre 201 et 302</t>
  </si>
  <si>
    <t>* Etat H.O : HO  finalisé entre 315 et 314
* qualité /niveau de signal : dl rx-qual=0, dl rx level = -48 dbm
*Requête de déconnexion a été envoyée par le RBC</t>
  </si>
  <si>
    <t>HO finalisé entre 315 et 314</t>
  </si>
  <si>
    <t>* Etat H.O : HO complète entre 303 et 202 avec downlink quality
* qualité /niveau de signal : dl rx-qual=7, dl rx level = -64 dbm
*Requête de déconnexion a été envoyée par le RBC</t>
  </si>
  <si>
    <t>* Etat H.O : HO non finalisé entre 303 et 202 
* qualité /niveau de signal : dl rx-qual=7, dl rx level = -51 dbm
*Requête de déconnexion a été envoyée par le RBC</t>
  </si>
  <si>
    <t xml:space="preserve">
* qualité /niveau de signal : dl rx-qual=0, dl rx level = -54 dbm
*Requête de déconnexion a été envoyée par le bord</t>
  </si>
  <si>
    <t>"* Etat H.O : HO complet entre 315 et 314
* qualité /niveau de signal : dl rx-qual=3, dl rx level = -67 dbm
*Requête de déconnexion a été envoyée par le RBC"</t>
  </si>
  <si>
    <t>HO complet entre 315 et 314</t>
  </si>
  <si>
    <t>"* Etat H.O : HO non finalisé entre 304 et 205
* qualité /niveau de signal : dl rx-qual=1, dl rx level = -73 dbm
*Requête de déconnexion a été envoyée par le RBC"</t>
  </si>
  <si>
    <t>HO Non finalisé entre 304 et 205</t>
  </si>
  <si>
    <t>"* Etat H.O : HO finalisé entre 224 et 225
* qualité /niveau de signal : dl rx-qual=3, dl rx level = -75 dbm
*Requête de déconnexion a été envoyée par le RBC"</t>
  </si>
  <si>
    <t>"* Etat H.O : HO finalisé entre 324 et 323
* qualité /niveau de signal : dl rx-qual=2, dl rx level = -48 dbm
*Requête de déconnexion a été envoyée par le RBC"</t>
  </si>
  <si>
    <t>HO finalisé entre 324 et 323</t>
  </si>
  <si>
    <t>"* Etat H.O : HO complet entre 211 et 212
* qualité /niveau de signal : dl rx-qual=0, dl rx level = -48 dbm
*Requête de déconnexion a été envoyée par le RBC"</t>
  </si>
  <si>
    <t>HO complet entre 211 et 212</t>
  </si>
  <si>
    <t>"* Etat H.O : HO complet entre 221 et 222
* qualité /niveau de signal : dl rx-qual=1, dl rx level = -48 dbm
*Requête de déconnexion a été envoyée par le RBC</t>
  </si>
  <si>
    <t>HO complet entre 221 et 222</t>
  </si>
  <si>
    <t>* Etat H.O : HO non finalisé entre 202 et 303
* qualité /niveau de signal : dl rx-qual=7, dl rx level = -56 dbm
*Requête de déconnexion a été envoyée par le RBC</t>
  </si>
  <si>
    <t>* Etat H.O : HO  finalisé entre 224 et 225
* qualité /niveau de signal : dl rx-qual=0, dl rx level = -61 dbm
*Requête de déconnexion a été envoyée par le RBC</t>
  </si>
  <si>
    <t>HO  finalisé entre 224 et 225</t>
  </si>
  <si>
    <t>"* Etat H.O : HO complet entre 328 et 327
* qualité /niveau de signal : dl rx-qual=0, dl rx level = -60 dbm
*Requête de déconnexion a été envoyée par le RBC"</t>
  </si>
  <si>
    <t>HO complet entre 328 et 327</t>
  </si>
  <si>
    <t>"* Etat H.O :HO complet entre 202 et 303
* qualité /niveau de signal : dl rx-qual=3, dl rx level = -71dbm
*Requête de déconnexion a été envoyée par le RBC"</t>
  </si>
  <si>
    <t>HO complet entre 202 et 303</t>
  </si>
  <si>
    <t> 11:35:19</t>
  </si>
  <si>
    <t>"* Etat H.O :HO complet entre 224 et 225
* qualité /niveau de signal : dl rx-qual=0, dl rx level = -60dbm
*Requête de déconnexion a été envoyée par le RBC"</t>
  </si>
  <si>
    <t>HO complet entre 224 et 225</t>
  </si>
  <si>
    <t>* Etat H.O : HO complet entre 202 et 303 (Avec Downlink quality )
* qualité /niveau de signal : dl rx-qual=6, dl rx level = -65dbm
*Requête de déconnexion a été envoyée par le RBC"</t>
  </si>
  <si>
    <t>GSMR_08/07</t>
  </si>
  <si>
    <t>* Etat H.O : HO complet entre 308 et 307 
* qualité /niveau de signal : dl rx-qual=0, dl rx level = -48dbm
*Requête de déconnexion a été envoyée par le RBC"</t>
  </si>
  <si>
    <t xml:space="preserve">HO complet entre 308 et 307 </t>
  </si>
  <si>
    <t>* Etat H.O : HO complet entre 224 et 225
* qualité /niveau de signal : dl rx-qual=0, dl rx level = -70dbm
*Requête de déconnexion a été envoyée par le RBC"</t>
  </si>
  <si>
    <t xml:space="preserve">HO complet entre 224 et 225 </t>
  </si>
  <si>
    <t>GSMR_26/27</t>
  </si>
  <si>
    <t>* Etat H.O : HO complet entre 226 et 327
* qualité /niveau de signal : dl rx-qual=7, dl rx level = -67dbm
*Requête de déconnexion a été envoyée par le RBC"</t>
  </si>
  <si>
    <t xml:space="preserve">HO complet entre 226 et 327 </t>
  </si>
  <si>
    <t>* Etat H.O : HO complet entre 210 et 211
* qualité /niveau de signal : dl rx-qual=0, dl rx level = -56dbm
*Requête de déconnexion a été envoyée par le RBC"</t>
  </si>
  <si>
    <t> HO complet entre 210 et 211</t>
  </si>
  <si>
    <t>* Etat H.O : HO Non Finalisé entre 318 et 217
* qualité /niveau de signal : dl rx-qual=7, dl rx level = -76 dbm
*Requête de déconnexion a été envoyée par le BORD"</t>
  </si>
  <si>
    <t xml:space="preserve">En attente de pouser les analyses coté bord </t>
  </si>
  <si>
    <t>HO Non Finalisé entre 318 et 217</t>
  </si>
  <si>
    <t>dl rx level= -76</t>
  </si>
  <si>
    <t>* Etat H.O :  HO non finalisé entre 302 et 203
* qualité /niveau de signal : dl rx-qual=6, dl rx level = -52 dbm
*Requête de déconnexion a été envoyée par le RBC</t>
  </si>
  <si>
    <t> HO non finalisé entre 302 et 203</t>
  </si>
  <si>
    <t>* Etat H.O : HO complet entre 313 et 312
* qualité /niveau de signal : dl rx-qual=0, dl rx level = -78dbm
*Requête de déconnexion a été envoyée par le RBC"</t>
  </si>
  <si>
    <t>En attente de pouser les analyses coté bord et GSMR</t>
  </si>
  <si>
    <t> HO complet entre 313 et 312</t>
  </si>
  <si>
    <t>dl rx level= -78</t>
  </si>
  <si>
    <t>* Etat H.O : HO complet entre 202 et 303
* qualité /niveau de signal : dl rx-qual=4, dl rx level = -56dbm
*Requête de déconnexion a été envoyée par le RBC"</t>
  </si>
  <si>
    <t> HO complet entre 202 et 303</t>
  </si>
  <si>
    <t>* Etat H.O : HO complet entre 203 et 204
* qualité /niveau de signal : dl rx-qual=0, dl rx level = -48dbm
*Requête de déconnexion a été envoyée par le RBC"</t>
  </si>
  <si>
    <t> HO complet entre 203 et 204</t>
  </si>
  <si>
    <t>* Etat H.O : HO non finalisé entre 202 et 303
* qualité /niveau de signal : dl rx-qual=7, dl rx level = -54 dbm
*Requête de déconnexion a été envoyée par le RBC"</t>
  </si>
  <si>
    <t>* Etat H.O : HO finalisé entre 330 et 329
* qualité /niveau de signal : dl rx-qual=0, dl rx level = -52 dbm
*Requête de déconnexion a été envoyée par le RBC"</t>
  </si>
  <si>
    <t>HO finalisé entre 330 et 329</t>
  </si>
  <si>
    <t>* Etat H.O : HO Non finalisé entre 202 et 301
* qualité /niveau de signal : dl rx-qual=5, dl rx level = -53 dbm
*Requête de déconnexion a été envoyée par le bord</t>
  </si>
  <si>
    <t>HO Non finalisé entre 202 et 301</t>
  </si>
  <si>
    <t>* Etat H.O : HO complet  entre 231 et 229 avec downlink quality
* qualité /niveau de signal : dl rx-qual=7, dl rx level = -71 dbm
*Requête de déconnexion a été envoyée par le RBC"</t>
  </si>
  <si>
    <t>En attente de mise en place des tiroires filtrés /zone sous surveillance par équipe NOC GSMR</t>
  </si>
  <si>
    <t xml:space="preserve"> HO complet  entre 231 et 229 avec downlink quality</t>
  </si>
  <si>
    <t>pas de Retransmission des trames HDLC*5</t>
  </si>
  <si>
    <t>* Etat H.O : HO complet  entre 318 et 317 
* qualité /niveau de signal : dl rx-qual=1, dl rx level = -48 dbm
*Requête de déconnexion a été envoyée par le RBC"</t>
  </si>
  <si>
    <t xml:space="preserve">HO complet  entre 318 et 317 </t>
  </si>
  <si>
    <t>* Etat H.O : HO complet  entre 224 et 225 
* qualité /niveau de signal : dl rx-qual=0, dl rx level = -58 dbm
*Requête de déconnexion a été envoyée par le RBC"</t>
  </si>
  <si>
    <t xml:space="preserve">HO complete  entre 224 et 225 </t>
  </si>
  <si>
    <t>* Etat H.O : HO complet  entre 315 et 314 
* qualité /niveau de signal : dl rx-qual=4, dl rx level = -48 dbm
*Requête de déconnexion a été envoyée par le RBC"</t>
  </si>
  <si>
    <t>HO complete  entre 315 et 314</t>
  </si>
  <si>
    <t>* Etat H.O : HO Non finalisé  entre 302 et 203 
* qualité /niveau de signal : dl rx-qual=7, dl rx level = -50 dbm
*Requête de déconnexion a été envoyée par le bord</t>
  </si>
  <si>
    <t>* Etat H.O : HO complete  entre 224 et 225 
* qualité /niveau de signal : dl rx-qual=3, dl rx level = -68 dbm
*Requête de déconnexion a été envoyée par le RBC</t>
  </si>
  <si>
    <t>HO Complete entre 224 et 225</t>
  </si>
  <si>
    <t>* Etat H.O : HO non finalisé entre 202 et 303 
* qualité /niveau de signal : dl rx-qual=7, dl rx level = -54 dbm
*Requête de déconnexion a été envoyée par le RBC</t>
  </si>
  <si>
    <t>* Etat H.O : HO complete  entre 304 et 303 
* qualité /niveau de signal : dl rx-qual=0, dl rx level = -49 dbm
*Requête de déconnexion a été envoyée par le RBC</t>
  </si>
  <si>
    <t>HO Complete entre 304 et 303</t>
  </si>
  <si>
    <t>* Etat H.O : HO complete  entre 231 et 229 
* qualité /niveau de signal : dl rx-qual=0, dl rx level = -110 dbm
*Requête de déconnexion a été envoyée par le RBC</t>
  </si>
  <si>
    <t>En attente de mise en place des tiroires filtrés / zone sous surveillence par le NOC</t>
  </si>
  <si>
    <t>* Etat H.O : HO non finalisé entre 202 et 303 
* qualité /niveau de signal : dl rx-qual=7, dl rx level = -56 dbm
*Requête de déconnexion a été envoyée par le Bord</t>
  </si>
  <si>
    <t>* Etat H.O : HO non finalisé entre 202 et 301
* qualité /niveau de signal : dl rx-qual=7, dl rx level = -51 dbm
*Requête de déconnexion a été envoyée par le RBC</t>
  </si>
  <si>
    <t>* Etat H.O : HO non finalisé entre 202 et 303
* qualité /niveau de signal : dl rx-qual=7, dl rx level = -55dbm
*Requête de déconnexion a été envoyée par le RBC</t>
  </si>
  <si>
    <t>* Etat H.O : le train s'est déconnecté et reconnecté a la cellule 203
*Requête de déconnexion a été envoyée par le RBC</t>
  </si>
  <si>
    <t>* Etat H.O : HO complet entre 303 et 202
* qualité /niveau de signal : dl rx-qual=7, dl rx level = -53 dbm
*Requête de déconnexion a été envoyée par le RBC</t>
  </si>
  <si>
    <t>HO Complete entre 303 et 202</t>
  </si>
  <si>
    <t>* Etat H.O : HO complet entre 311 et 310
* qualité /niveau de signal : dl rx-qual=0, dl rx level = -54 dbm
*Requête de déconnexion a été envoyée par le RBC</t>
  </si>
  <si>
    <t>HO Complete entre 311 et 310</t>
  </si>
  <si>
    <t>* Etat H.O : HO non finalisé entre 225 et 226
* qualité /niveau de signal : dl rx-qual=1, dl rx level = -73 dbm
*Requête de déconnexion a été envoyée par le RBC</t>
  </si>
  <si>
    <t>HO non finalisé entre 225 et 226</t>
  </si>
  <si>
    <t>* Etat H.O : HO finalisé entre 327 et 326
* qualité /niveau de signal : dl rx-qual=0, dl rx level = -64 dbm
*Requête de déconnexion a été envoyée par le RBC</t>
  </si>
  <si>
    <t>HO finalisé entre 327 et 326</t>
  </si>
  <si>
    <t>* Etat H.O : HO non finalisé entre 202 et 203
* qualité /niveau de signal : dl rx-qual=7, dl rx level = -54 dbm
*Requête de déconnexion a été envoyée par le RBC</t>
  </si>
  <si>
    <t>* Etat H.O : HO finalisé entre 329 et 328
* qualité /niveau de signal : dl rx-qual=0, dl rx level = -48 dbm
*Requête de déconnexion a été envoyée par le RBC</t>
  </si>
  <si>
    <t>HO finalisé entre 329 et 328</t>
  </si>
  <si>
    <t>* Etat H.O : HO non finalisé entre 202 et 203
* qualité /niveau de signal : dl rx-qual=7, dl rx level = -53 dbm
*Requête de déconnexion a été envoyée par le RBC</t>
  </si>
  <si>
    <t>* Etat H.O : HO non finalisé entre 318 et 317
* qualité /niveau de signal : dl rx-qual=7, dl rx level = -56 dbm
*Requête de déconnexion a été envoyée par le RBC</t>
  </si>
  <si>
    <t>* Etat H.O : HO complet entre 202 et 303
* qualité /niveau de signal : dl rx-qual=3, dl rx level = -67 dbm
*Requête de déconnexion a été envoyée par le RBC</t>
  </si>
  <si>
    <t>HO Complete entre 202 et 303</t>
  </si>
  <si>
    <t>zone sous surveillence par le NOC</t>
  </si>
  <si>
    <t>* Etat H.O : HO finalisé entre 205 et 206
* qualité /niveau de signal : dl rx-qual=0, dl rx level = -56 dbm
*Requête de déconnexion a été envoyée par le RBC</t>
  </si>
  <si>
    <t>HO finalisé entre 205 et 206</t>
  </si>
  <si>
    <t>* Etat H.O : HO finalisé entre 325 et 324
* qualité /niveau de signal : dl rx-qual=7, dl rx level = -65 dbm
*Requête de déconnexion a été envoyée par le RBC</t>
  </si>
  <si>
    <t>HO non finalisé entre 325 et 324</t>
  </si>
  <si>
    <t>* Etat H.O : HO finalisé entre 211 et 212
* qualité /niveau de signal : dl rx-qual=0, dl rx level = -56 dbm
*Requête de déconnexion a été envoyée par le RBC</t>
  </si>
  <si>
    <t xml:space="preserve"> HO finalisé entre 211 et 212</t>
  </si>
  <si>
    <t>* Etat H.O : HO finalisé entre 215 et 216
* qualité /niveau de signal : dl rx-qual=4, dl rx level = -55 dbm
*Requête de déconnexion a été envoyée par le RBC</t>
  </si>
  <si>
    <t>HO finalisé entre 215 et 216</t>
  </si>
  <si>
    <t>* Etat H.O : HO complet entre 318 et 317
* qualité /niveau de signal : dl rx-qual=4, dl rx level = -48dbm
*Requête de déconnexion a été envoyée par le RBC</t>
  </si>
  <si>
    <t>HO Complete entre 318 et 317</t>
  </si>
  <si>
    <t>* Etat H.O : HO complet entre 223 et 224
* qualité /niveau de signal : dl rx-qual=0 dl rx level = -72dbm
*Requête de déconnexion a été envoyée par le RBC</t>
  </si>
  <si>
    <t>HO Complete entre 223 et 224</t>
  </si>
  <si>
    <t xml:space="preserve"> Pas de Retransmission des trames HDLC*5</t>
  </si>
  <si>
    <t>* Etat H.O : HO non finalisé entre 99 et 333
* qualité /niveau de signal : dl rx-qual=7, dl rx level = -63 dbm
*Requête de déconnexion a été envoyée par le RBC</t>
  </si>
  <si>
    <t>HO non finalisé entre 99 et 333</t>
  </si>
  <si>
    <t>* Etat H.O : HO non finalisé entre 303 et 202
* qualité /niveau de signal : dl rx-qual=7, dl rx level = -70 dbm
*Requête de déconnexion a été envoyée par le RBC</t>
  </si>
  <si>
    <t>* Etat H.O : HO non finalisé entre 202 et 203
* qualité /niveau de signal : dl rx-qual=6, dl rx level = -54 dbm
*Requête de déconnexion a été envoyée par le RBC</t>
  </si>
  <si>
    <t>* Etat H.O : HO complet entre 202 et 303
* qualité /niveau de signal : dl rx-qual=7, dl rx level = -66 dbm
*Requête de déconnexion a été envoyée par le RBC</t>
  </si>
  <si>
    <t>* Etat H.O : HO Non finalisé entre 202 et 303
* qualité /niveau de signal : dl rx-qual=7, dl rx level = -56 dbm
*Requête de déconnexion a été envoyée par le RBC</t>
  </si>
  <si>
    <t xml:space="preserve"> HO non finalisé entre 202 et 303</t>
  </si>
  <si>
    <t>* Etat H.O : HO Non finalisé entre 301 et 202
* qualité /niveau de signal : dl rx-qual=7, dl rx level = -56 dbm
*Requête de déconnexion a été envoyée par le bord</t>
  </si>
  <si>
    <t xml:space="preserve"> HO non finalisé entre 301 et 202</t>
  </si>
  <si>
    <t xml:space="preserve">* Etat H.O : HO non finalisé entre 202 et 203
* qualité /niveau de signal : dl rx-qual=7, dl rx level = -58 dbm
* Requête de déconnexion a été envoyé par le RBC 
</t>
  </si>
  <si>
    <t xml:space="preserve"> HO non finalisé entre 202 et 203</t>
  </si>
  <si>
    <t xml:space="preserve">* Etat H.O : HO complet entre 202 et 203
* qualité /niveau de signal : dl rx-qual=0, dl rx level = -60 dbm
* Requête de déconnexion a été envoyé par le bord
</t>
  </si>
  <si>
    <t xml:space="preserve">* Etat H.O : HO non finalisé entre 202 et 203
* qualité /niveau de signal : dl rx-qual=7, dl rx level = -53 dbm
* Requête de déconnexion a été envoyé par le Bord 
</t>
  </si>
  <si>
    <t xml:space="preserve">* Etat H.O : HO non finalisé entre 330 et 229
* qualité /niveau de signal : dl rx-qual=7, dl rx level = -53 dbm
* Requête de déconnexion a été envoyé par le Bord 
</t>
  </si>
  <si>
    <t xml:space="preserve"> HO non finalisé entre 330 et 229</t>
  </si>
  <si>
    <t xml:space="preserve">* Etat H.O : HO Complete  entre 331 et 330
* qualité /niveau de signal : dl rx-qual=0, dl rx level = -56 dbm
* Requête de déconnexion a été envoyé par le RBC
</t>
  </si>
  <si>
    <t xml:space="preserve"> HO Complete entre 331et 330</t>
  </si>
  <si>
    <t xml:space="preserve">* Etat H.O : HO Complete  entre 202 et 303
* qualité /niveau de signal : dl rx-qual=5, dl rx level = -82 dbm
* Requête de déconnexion a été envoyé par le RBC
</t>
  </si>
  <si>
    <t xml:space="preserve"> HO Complete entre 202 et 303</t>
  </si>
  <si>
    <t>Pss Retransmission des trames HDLC*5</t>
  </si>
  <si>
    <t xml:space="preserve">* Etat H.O : HO Complete  entre 224 et 225
* qualité /niveau de signal : dl rx-qual=0, dl rx level = -66 dbm
* Requête de déconnexion a été envoyé par le RBC
</t>
  </si>
  <si>
    <t xml:space="preserve"> HO Complete entre 224 et 225</t>
  </si>
  <si>
    <t xml:space="preserve">* Etat H.O : HO non finalisé entre 219 et 318
* qualité /niveau de signal : dl rx-qual=0, dl rx level = -48 dbm
* Requête de déconnexion a été envoyé par le RBC 
</t>
  </si>
  <si>
    <t xml:space="preserve"> HO non finalisé entre 219 et 318</t>
  </si>
  <si>
    <t xml:space="preserve">* Etat H.O : HO Complete  entre 301 et 202
* qualité /niveau de signal : dl rx-qual=0, dl rx level = -54dbm
* Requête de déconnexion a été envoyé par le RBC
</t>
  </si>
  <si>
    <t xml:space="preserve"> HO Complete entre 301 et 202</t>
  </si>
  <si>
    <t xml:space="preserve">* Etat H.O : HO Complete  entre 222 et 323
* qualité /niveau de signal : dl rx-qual=4, dl rx level = -72dbm
* Requête de déconnexion a été envoyé par le RBC
</t>
  </si>
  <si>
    <t xml:space="preserve"> HO Complete entre 222 et 323</t>
  </si>
  <si>
    <t xml:space="preserve">* Etat H.O : HO Complete  entre 202 et 303
* qualité /niveau de signal : dl rx-qual=6, dl rx level = -74dbm
* Requête de déconnexion a été envoyé par le RBC
</t>
  </si>
  <si>
    <t xml:space="preserve">* Etat H.O : HO complet entre 315 et 314
* qualité /niveau de signal : dl rx-qual=3, dl rx level = -63dbm
* Requête de déconnexion a été envoyé par le RBC
</t>
  </si>
  <si>
    <t xml:space="preserve"> HO complet entre 315 et 314</t>
  </si>
  <si>
    <t xml:space="preserve">* Etat H.O : HO complet entre 307 et 306
* qualité /niveau de signal : dl rx-qual=0, dl rx level = -60dbm
* Requête de déconnexion a été envoyé par le RBC
</t>
  </si>
  <si>
    <t>HO complet entre 307 et 306</t>
  </si>
  <si>
    <t xml:space="preserve">* Etat H.O : HO non Finalisé entre 302 et 203
* qualité /niveau de signal : dl rx-qual=6, dl rx level = -53 dbm
* Requête de déconnexion a été envoyé par le BORD
</t>
  </si>
  <si>
    <t xml:space="preserve">* Etat H.O : HO non finalisé entre 302 et 203
* qualité /niveau de signal : dl rx-qual=7, dl rx level = -52dbm
* Requête de déconnexion a été envoyé par le BORD
</t>
  </si>
  <si>
    <t xml:space="preserve">* Etat H.O : HO non finalisé entre 204 et 303
* qualité /niveau de signal : dl rx-qual=0, dl rx level = -69dbm
* Requête de déconnexion a été envoyé par le BORD
</t>
  </si>
  <si>
    <t xml:space="preserve">zone sous surveillence par le NOC/En attente de mise en place des tiroires filtrés </t>
  </si>
  <si>
    <t>HO non finalisé entre 204 et 303</t>
  </si>
  <si>
    <t xml:space="preserve">* Etat H.O : HO non finalisé entre 202 et 303
* qualité /niveau de signal : dl rx-qual=7, dl rx level = -110dbm
* Requête de déconnexion a été envoyé par le BORD
</t>
  </si>
  <si>
    <t xml:space="preserve">* Etat H.O : HO non finalisé entre 202 et 303
* qualité /niveau de signal : dl rx-qual=5, dl rx level = -52dbm
* Requête de déconnexion a été envoyé par le RBC
</t>
  </si>
  <si>
    <t xml:space="preserve">HO non finalisé entre 202 et 303
</t>
  </si>
  <si>
    <t xml:space="preserve">* Etat H.O : HO non finalisé entre 202 et 303
* qualité /niveau de signal : dl rx-qual=7, dl rx level = -57dbm
* Requête de déconnexion a été envoyé par le BORD
</t>
  </si>
  <si>
    <t xml:space="preserve">* Etat H.O : HO complet  entre 306 et 305
* qualité /niveau de signal : dl rx-qual=0, dl rx level = -71dbm
* Requête de déconnexion a été envoyé par le RBC
</t>
  </si>
  <si>
    <t>HO complet entre 306 et 305</t>
  </si>
  <si>
    <t xml:space="preserve">* Etat H.O : HO complet  entre 323 et 324
* qualité /niveau de signal : dl rx-qual=3 , dl rx level = -48dbm
* Requête de déconnexion a été envoyé par le RBC
</t>
  </si>
  <si>
    <t>HO complet  entre 323 et 324</t>
  </si>
  <si>
    <t xml:space="preserve">* Etat H.O : HO complet  entre 201 et 202
* qualité /niveau de signal : dl rx-qual=0 , dl rx level = -60dbm
* Requête de déconnexion a été envoyé par le RBC
</t>
  </si>
  <si>
    <t>HO complet  entre 201 et 202</t>
  </si>
  <si>
    <t xml:space="preserve">* Etat H.O : HO complet  entre 224 et 225
* qualité /niveau de signal : dl rx-qual=0 , dl rx level = -48dbm
* Requête de déconnexion a été envoyé par le RBC
</t>
  </si>
  <si>
    <t>HO complet  entre 224 et 225</t>
  </si>
  <si>
    <t xml:space="preserve">* Etat H.O : HO complet  entre 224 et 225
* qualité /niveau de signal : dl rx-qual=0 , dl rx level = -65dbm
* Requête de déconnexion a été envoyé par le RBC
</t>
  </si>
  <si>
    <t xml:space="preserve">* Etat H.O : HO complet  entre 332 et 331
* qualité /niveau de signal : dl rx-qual=0 , dl rx level = -50dbm
* Requête de déconnexion a été envoyé par le RBC
</t>
  </si>
  <si>
    <t>HO complet  entre 332 et 331</t>
  </si>
  <si>
    <t xml:space="preserve">* Etat H.O : HO complet  entre 305 et 204
* qualité /niveau de signal : dl rx-qual=0 , dl rx level = -52dbm
* Requête de déconnexion a été envoyé par le RBC
</t>
  </si>
  <si>
    <t>HO complet  entre 305 et 204</t>
  </si>
  <si>
    <t xml:space="preserve">* Etat H.O : HO complet  entre 213 et 214
* qualité /niveau de signal : dl rx-qual=0 , dl rx level = -55dbm
* Requête de déconnexion a été envoyé par le RBC
</t>
  </si>
  <si>
    <t>HO complet  entre 213 et 214</t>
  </si>
  <si>
    <t xml:space="preserve">* Etat H.O : HO complet  entre 225 et 226
* qualité /niveau de signal : dl rx-qual=0 , dl rx level = -60dbm
* Requête de déconnexion a été envoyé par le RBC
</t>
  </si>
  <si>
    <t>HO complet  entre 225 et 226</t>
  </si>
  <si>
    <t xml:space="preserve">* Etat H.O : HO complet  entre 220 et 221
* qualité /niveau de signal : dl rx-qual=0 , dl rx level = -48dbm
* Requête de déconnexion a été envoyé par le RBC
</t>
  </si>
  <si>
    <t>HO complet  entre 220 et 221</t>
  </si>
  <si>
    <t xml:space="preserve">* Etat H.O : HO complet  entre 303 et 202
* qualité /niveau de signal : dl rx-qual=0 , dl rx level = -58dbm
* Requête de déconnexion a été envoyé par le RBC
</t>
  </si>
  <si>
    <t>HO complet  entre 303 et 202</t>
  </si>
  <si>
    <t xml:space="preserve">* Etat H.O : HO complet avec downlik quality entre 318 et 317
* qualité /niveau de signal : dl rx-qual=7 , dl rx level = -73dbm
* Requête de déconnexion a été envoyé par le RBC
</t>
  </si>
  <si>
    <t>HO complet  entre 318 et 317</t>
  </si>
  <si>
    <t xml:space="preserve">* Etat H.O : HO complet  entre 224 et 225
* qualité /niveau de signal : dl rx-qual=0 , dl rx level = -68dbm
* Requête de déconnexion a été envoyé par le RBC
</t>
  </si>
  <si>
    <t xml:space="preserve">* Etat H.O : HO complet  entre 214 et 215
* qualité /niveau de signal : dl rx-qual=0 , dl rx level = -48dbm
* Requête de déconnexion a été envoyé par le RBC
</t>
  </si>
  <si>
    <t>HO complet  entre 214 et 215</t>
  </si>
  <si>
    <t xml:space="preserve">* Etat H.O : HO non finalisé entre 218 et 219
* qualité /niveau de signal : dl rx-qual=0 , dl rx level = -52dbm
* Requête de déconnexion a été envoyé par le RBC
</t>
  </si>
  <si>
    <t>HO non finalisé entre 218 et 219</t>
  </si>
  <si>
    <t xml:space="preserve">* Etat H.O : HO complet entre 223 et 224
* qualité /niveau de signal : dl rx-qual=0 , dl rx level = -75dbm
* Requête de déconnexion a été envoyé par le RBC
</t>
  </si>
  <si>
    <t>HO non finalisé entre 223 et 224</t>
  </si>
  <si>
    <t xml:space="preserve">* Etat H.O : HO non finalisé entre 213 et 312
* qualité /niveau de signal : dl rx-qual=3 , dl rx level = -64dbm
* Requête de déconnexion a été envoyé par le Bord
</t>
  </si>
  <si>
    <t>HO non finalisé entre 213 et 312</t>
  </si>
  <si>
    <t xml:space="preserve">* Etat H.O :  HO non finalisé entre 318 et 317
* qualité /niveau de signal : dl rx-qual=7, dl rx level = -84dbm
* Requête de déconnexion a été envoyé par le RBC
</t>
  </si>
  <si>
    <t> HO non finalisé entre 318 et 317</t>
  </si>
  <si>
    <t xml:space="preserve">* Etat H.O :  HO complet avec downlink quality entre 99 et 233
* qualité /niveau de signal : dl rx-qual=0, dl rx level = -110dbm
* Requête de déconnexion a été envoyé par le RBC
</t>
  </si>
  <si>
    <t>HO complet avec downlink quality entre 99 et 233</t>
  </si>
  <si>
    <t xml:space="preserve">* Etat H.O :  HO complet avec entre 224 et 225
* qualité /niveau de signal : dl rx-qual=1, dl rx level = -71dbm
* Requête de déconnexion a été envoyé par le RBC
</t>
  </si>
  <si>
    <t>HO complet  entre 224 et 225</t>
  </si>
  <si>
    <t xml:space="preserve">* Etat H.O :  HO complet avec entre 202 et 203
* qualité /niveau de signal : dl rx-qual=7, dl rx level = -70dbm
* Requête de déconnexion a été envoyé par le RBC
</t>
  </si>
  <si>
    <t>HO complet  entre 202 et 203</t>
  </si>
  <si>
    <t xml:space="preserve">* Etat H.O :  HO complet avec entre 202 et 303
* qualité /niveau de signal : dl rx-qual=7, dl rx level = -62dbm
* Requête de déconnexion a été envoyé par le RBC
</t>
  </si>
  <si>
    <t>HO complet  entre 202 et 303</t>
  </si>
  <si>
    <t xml:space="preserve">* Etat H.O :  absence des traces radio
* qualité /niveau de signal : dl rx-qual=0, dl rx level = -75dbm
* Requête de déconnexion a été envoyé par le RBC
</t>
  </si>
  <si>
    <t>absence des traces radio</t>
  </si>
  <si>
    <t>09:49:49 </t>
  </si>
  <si>
    <t xml:space="preserve">* Etat H.O : HO non finalisé entre 318 et 317
* qualité /niveau de signal : dl rx-qual=7, dl rx level = -80dbm
* Requête de déconnexion a été envoyé par le RBC
</t>
  </si>
  <si>
    <t>HO non finalisé entre 318 et 317</t>
  </si>
  <si>
    <t>12:27:15 </t>
  </si>
  <si>
    <t xml:space="preserve">* Etat H.O : HO complet entre 332 et 331
* qualité /niveau de signal : dl rx-qual=0, dl rx level = -60dbm
* Requête de déconnexion a été envoyé par le RBC
</t>
  </si>
  <si>
    <t>HO complet entre 332 et 331</t>
  </si>
  <si>
    <t xml:space="preserve">* Etat H.O : HO non complet entre 318 et 317
* qualité /niveau de signal : dl rx-qual=7, dl rx level = -84dbm
* Requête de déconnexion a été envoyé par le RBC
</t>
  </si>
  <si>
    <t>HO non complet entre 318 et 317</t>
  </si>
  <si>
    <t xml:space="preserve">* Etat H.O : HO  complet entre 221 et 222
* qualité /niveau de signal : dl rx-qual=3, dl rx level = -79dbm
* Requête de déconnexion a été envoyé par le RBC
</t>
  </si>
  <si>
    <t>HO non complet entre 221 et 222</t>
  </si>
  <si>
    <t xml:space="preserve">* Etat H.O : HO non finalisé entre 318 et 317
* qualité /niveau de signal : dl rx-qual=7, dl rx level = -83dbm
* Requête de déconnexion a été envoyé par le RBC
</t>
  </si>
  <si>
    <t>HO non finalisé entre 318 et 317</t>
  </si>
  <si>
    <t xml:space="preserve">* Etat H.O : HO complet entre 208 et 209
* qualité /niveau de signal : dl rx-qual=1, dl rx level = -67dbm
* Requête de déconnexion a été envoyé par le RBC
</t>
  </si>
  <si>
    <t>HO complet entre 208 et 209</t>
  </si>
  <si>
    <t xml:space="preserve">* Etat H.O : HO complet entre 224 et 225
* qualité /niveau de signal : dl rx-qual=0, dl rx level = -61dbm
* Requête de déconnexion a été envoyé par le RBC
</t>
  </si>
  <si>
    <t>HO complet entre 224 et 225</t>
  </si>
  <si>
    <t xml:space="preserve">* Etat H.O : HO complet entre 231 et 232
* qualité /niveau de signal : dl rx-qual=1, dl rx level = -50dbm
* Requête de déconnexion a été envoyé par le RBC
</t>
  </si>
  <si>
    <t>HO complet entre 231 et 232</t>
  </si>
  <si>
    <t xml:space="preserve">* Etat H.O : HO non finalisé entre 314 et 213
* qualité /niveau de signal : dl rx-qual=0, dl rx level = -64dbm
* Requête de déconnexion a été envoyé par le Bord
</t>
  </si>
  <si>
    <t>HO non finalisé entre 314 et 213</t>
  </si>
  <si>
    <t xml:space="preserve">* Etat H.O : HO non finalisé entre 227 et 326
* qualité /niveau de signal : dl rx-qual=2, dl rx level = -60dbm
* Requête de déconnexion a été envoyé par le Bord
</t>
  </si>
  <si>
    <t>HO non finalisé entre 227 et 326</t>
  </si>
  <si>
    <t xml:space="preserve">* Etat H.O : HO finalisé entre 203 et 204
* qualité /niveau de signal : dl rx-qual=0, dl rx level = -54dbm
* Requête de déconnexion a été envoyé par le RBC
</t>
  </si>
  <si>
    <t>HO finalisé entre 203 et 204</t>
  </si>
  <si>
    <t xml:space="preserve">* Etat H.O : HO finalisé entre 324 et 323
* qualité /niveau de signal : dl rx-qual=2, dl rx level = -48dbm
* Requête de déconnexion a été envoyé par le RBC
</t>
  </si>
  <si>
    <t xml:space="preserve"> HO finalisé entre 324 et 323</t>
  </si>
  <si>
    <t xml:space="preserve">* Etat H.O : HO complet entre 224 et 225
* qualité /niveau de signal : dl rx-qual=0, dl rx level = -69dbm
* Requête de déconnexion a été envoyé par le RBC
</t>
  </si>
  <si>
    <t xml:space="preserve"> HO complete entre 224et 225</t>
  </si>
  <si>
    <t xml:space="preserve">* Etat H.O : HO non finalisé entre 303 et 202
* qualité /niveau de signal : dl rx-qual=7, dl rx level = -59dbm
* Requête de déconnexion a été envoyé par le RBC
</t>
  </si>
  <si>
    <t xml:space="preserve">* Etat H.O : HO complet entre 213 et 214
* qualité /niveau de signal : dl rx-qual=0, dl rx level = -63dbm
* Requête de déconnexion a été envoyé par le RBC
</t>
  </si>
  <si>
    <t xml:space="preserve"> HO finalisé entre 213 et 214</t>
  </si>
  <si>
    <t xml:space="preserve">* Etat H.O : HO complet entre 317 et 316
* qualité /niveau de signal : dl rx-qual=0, dl rx level = -56dbm
* Requête de déconnexion a été envoyé par le RBC
</t>
  </si>
  <si>
    <t>HO complet entre 317 et 316</t>
  </si>
  <si>
    <t xml:space="preserve">* Etat H.O :  HO complet entre 330 et 329
* qualité /niveau de signal : dl rx-qual=0, dl rx level = -48dbm
* Requête de déconnexion a été envoyé par le RBC
</t>
  </si>
  <si>
    <t>: HO complet entre 330 et 329</t>
  </si>
  <si>
    <t xml:space="preserve">* Etat H.O :HO non finalisé entre 202 et 203
* qualité /niveau de signal : dl rx-qual=7, dl rx level = -53dbm
* Requête de déconnexion a été envoyé par le RBC
</t>
  </si>
  <si>
    <t xml:space="preserve">* Etat H.O :HO complet entre 318 et 317
* qualité /niveau de signal : dl rx-qual=0, dl rx level = -48dbm
* Requête de déconnexion a été envoyé par le RBC
</t>
  </si>
  <si>
    <t xml:space="preserve">* Etat H.O :HO non complet entre 202 et 203
* qualité /niveau de signal : dl rx-qual=7, dl rx level = -53dbm
* Requête de déconnexion a été envoyé par le RBC
</t>
  </si>
  <si>
    <t>HO non complet entre 202 et 203</t>
  </si>
  <si>
    <t xml:space="preserve">* Etat H.O :HO non finalisé entre 203 et 202
* qualité /niveau de signal : dl rx-qual=7, dl rx level = -67dbm
* Requête de déconnexion a été envoyé par le RBC
</t>
  </si>
  <si>
    <t xml:space="preserve"> HO non finalisé entre 203 et 202</t>
  </si>
  <si>
    <t xml:space="preserve">* Etat H.O :HO complet entre 225 et 226
* qualité /niveau de signal : dl rx-qual=3, dl rx level = -68dbm
* Requête de déconnexion a été envoyé par le RBC
</t>
  </si>
  <si>
    <t xml:space="preserve"> HO Complete  entre 225 et 226</t>
  </si>
  <si>
    <t xml:space="preserve">* Etat H.O :HO non finalisé entre 227 et 326
* qualité /niveau de signal : dl rx-qual=3, dl rx level = -62dbm
* Requête de déconnexion a été envoyé par le bord
</t>
  </si>
  <si>
    <t xml:space="preserve"> HO non finalisé entre 227 et 326</t>
  </si>
  <si>
    <t xml:space="preserve">* Etat H.O :HO non finalisé entre 230 et 231
* qualité /niveau de signal : dl rx-qual=0, dl rx level = -55dbm
* Requête de déconnexion a été envoyé par le RBC
</t>
  </si>
  <si>
    <t xml:space="preserve"> HO non finalisé entre 230 et 231</t>
  </si>
  <si>
    <t xml:space="preserve">* Etat H.O : HO Non finalisé entre 203 et 302
* qualité /niveau de signal : dl rx-qual=7, dl rx level = -56dbm
* Requête de déconnexion a été envoyé par le BORD
</t>
  </si>
  <si>
    <t xml:space="preserve"> En attente de mise en place des tiroires filtrés </t>
  </si>
  <si>
    <t xml:space="preserve">* Etat H.O : HO non finalisé entre 318 et 317
* qualité /niveau de signal : dl rx-qual=7, dl rx level = -81 dbm
* Requête de déconnexion a été envoyé par le RBC
</t>
  </si>
  <si>
    <t> HO non finalisé entre 318 et 317</t>
  </si>
  <si>
    <t>dl rx level= -81</t>
  </si>
  <si>
    <t xml:space="preserve">* Etat H.O : HO complet entre 224 et 225
* qualité /niveau de signal : dl rx-qual=1, dl rx level = -73 dbm
* Requête de déconnexion a été envoyé par le RBC
</t>
  </si>
  <si>
    <t xml:space="preserve">* Etat H.O : HO non finalisé entre 226 et 327
* qualité /niveau de signal : dl rx-qual=7, dl rx level = -57 dbm
* Requête de déconnexion a été envoyé par le RBC
</t>
  </si>
  <si>
    <t>HO non finalisé entre 226 et 327</t>
  </si>
  <si>
    <t xml:space="preserve">* Etat H.O : HO complet entre 205 et 206
* qualité /niveau de signal : dl rx-qual=0, dl rx level = -50 dbm
* Requête de déconnexion a été envoyé par le RBC
</t>
  </si>
  <si>
    <t>HO complet entre 205 et 206</t>
  </si>
  <si>
    <t xml:space="preserve"> Pas Retransmission des trames HDLC</t>
  </si>
  <si>
    <t xml:space="preserve">* Etat H.O : HO non finalisé entre 318 et 317
* qualité /niveau de signal : dl rx-qual=7, dl rx level = -52 dbm
* Requête de déconnexion a été envoyé par le RBC
</t>
  </si>
  <si>
    <t xml:space="preserve">  Retransmission des trames HDLC*5</t>
  </si>
  <si>
    <t xml:space="preserve">* Etat H.O : HO non finalisé entre 318 et 219
* qualité /niveau de signal : dl rx-qual=5, dl rx level = -60 dbm
* Requête de déconnexion a été envoyé par le RBC
</t>
  </si>
  <si>
    <t>HO non finalisé entre 318 et 219</t>
  </si>
  <si>
    <t xml:space="preserve">* Etat H.O : HO non finalisé  entre 219 et 320
* qualité /niveau de signal : dl rx-qual=7, dl rx level = -70dbm
* Requête de déconnexion a été envoyé par le BORD
</t>
  </si>
  <si>
    <t>HO non finalisé  entre 219 et 320</t>
  </si>
  <si>
    <t xml:space="preserve">* Etat H.O : HO finalisé  entre 231 et 229 avec downlink quality
* qualité /niveau de signal : dl rx-qual=7, dl rx level = -66dbm
* Requête de déconnexion a été envoyé par le RBC
</t>
  </si>
  <si>
    <t>HO finalisé  entre 231 et 229 avec downlink quality</t>
  </si>
  <si>
    <t xml:space="preserve">* Etat H.O : HO Non finalisé  entre 217 et 318                                                                                               * qualité /niveau de signal : dl rx-qual=7, dl rx level = -66dbm
* Requête de déconnexion a été envoyé par le RBC
</t>
  </si>
  <si>
    <t xml:space="preserve">HO Non finalisé  entre 217 et 318 </t>
  </si>
  <si>
    <t xml:space="preserve">* Etat H.O : HO Complet entre 324 et 323                                                                                               * qualité /niveau de signal : dl rx-qual=0, dl rx level = -61dbm
* Requête de déconnexion a été envoyé par le RBC
</t>
  </si>
  <si>
    <t>HO Complete   entre 324 et 323</t>
  </si>
  <si>
    <t xml:space="preserve">* Etat H.O : HO non finalisé entre 303 et 302                                                                                              * qualité /niveau de signal : dl rx-qual=7, dl rx level = -67dbm
* Requête de déconnexion a été envoyé par le RBC
</t>
  </si>
  <si>
    <t xml:space="preserve">* Etat H.O : HO finalisé entre 303 et 302                                                                                              * qualité /niveau de signal : dl rx-qual=7, dl rx level = -71dbm
* Requête de déconnexion a été envoyé par le RBC
</t>
  </si>
  <si>
    <t>HO  finalisé entre 303 et 302</t>
  </si>
  <si>
    <t xml:space="preserve">* Etat H.O : HO Complete entre 224 et 225                                                                                              * qualité /niveau de signal : dl rx-qual=0, dl rx level = -61dbm
* Requête de déconnexion a été envoyé par le RBC
</t>
  </si>
  <si>
    <t>HO  Complete entre 224 et 225</t>
  </si>
  <si>
    <t xml:space="preserve">  Pas de Retransmission des trames HDLC</t>
  </si>
  <si>
    <t xml:space="preserve">* Etat H.O : HO non finalisé entre 325 et 324                                                                                              * qualité /niveau de signal : dl rx-qual=4, dl rx level = -81dbm
* Requête de déconnexion a été envoyé par le RBC
</t>
  </si>
  <si>
    <t xml:space="preserve">HO  non finalisé entre 325 et 324  </t>
  </si>
  <si>
    <t>09:05:47 </t>
  </si>
  <si>
    <t xml:space="preserve">* Etat H.O : HO complet entre 202 et 303                                                                                              * qualité /niveau de signal : dl rx-qual=2, dl rx level = -68dbm
* Requête de déconnexion a été envoyé par le RBC
</t>
  </si>
  <si>
    <t>HO complet entre 202 et 303</t>
  </si>
  <si>
    <t>14:36:17 </t>
  </si>
  <si>
    <t xml:space="preserve">* Etat H.O : HO complet entre 224 et 225                                                                                             * qualité /niveau de signal : dl rx-qual=0, dl rx level = -67 dbm
* Requête de déconnexion a été envoyé par le RBC
</t>
  </si>
  <si>
    <t xml:space="preserve">* Etat H.O : HO non finalisé entre 318 et 317                                                                                          * qualité /niveau de signal : dl rx-qual=7, dl rx level = -84 dbm
* Requête de déconnexion a été envoyé par le RBC
</t>
  </si>
  <si>
    <t xml:space="preserve">* Etat H.O : HO complet entre 202 et 301
* qualité /niveau de signal : dl rx-qual=7, dl rx level = -53 dbm
* Requête de déconnexion a été envoyé par le Bord
</t>
  </si>
  <si>
    <t xml:space="preserve">* Etat H.O : HO Non finalisé entre 202 et 303
* qualité /niveau de signal : dl rx-qual=7, dl rx level = -53 dbm
* Requête de déconnexion a été envoyé par le Bord
</t>
  </si>
  <si>
    <t xml:space="preserve">* Etat H.O : HO complet entre 207 et 308
* qualité /niveau de signal : dl rx-qual=7, dl rx level = -83 dbm
* Requête de déconnexion a été envoyé par le Bord
</t>
  </si>
  <si>
    <t>HO complet entre 207 et 308</t>
  </si>
  <si>
    <t xml:space="preserve">* Etat H.O : HO complet entre 225 et 226
* qualité /niveau de signal : dl rx-qual=0, dl rx level = -61 dbm
* Requête de déconnexion a été envoyé par le RBC
</t>
  </si>
  <si>
    <t>HO complet entre 225 et 226</t>
  </si>
  <si>
    <t>Pas  Retransmission des trames HDLC*5</t>
  </si>
  <si>
    <t xml:space="preserve">* Etat H.O : HO Non finalisé entre 319 et 318
* qualité /niveau de signal : dl rx-qual=7, dl rx level = -64 dbm
* Requête de déconnexion a été envoyé par le RBC
</t>
  </si>
  <si>
    <t>zone sous surveillence par le NOC / attente de mise en place des tiroires filtrés</t>
  </si>
  <si>
    <t xml:space="preserve">* Etat H.O : HO Non finalisé entre 202 et 303
* qualité /niveau de signal : dl rx-qual=7, dl rx level = -53 dbm
* Requête de déconnexion a été envoyé par le bord
</t>
  </si>
  <si>
    <t xml:space="preserve">* Etat H.O : HO  finalisé entre 224 et 225
* qualité /niveau de signal : dl rx-qual=0, dl rx level = -64 dbm
* Requête de déconnexion a été envoyé par le RBC
</t>
  </si>
  <si>
    <t xml:space="preserve">* Etat H.O : HO complet entre 224 et 225
* qualité /niveau de signal : dl rx-qual=0, dl rx level = -60dbm
* Requête de déconnexion a été envoyé par le RBC
</t>
  </si>
  <si>
    <t xml:space="preserve">* Etat H.O : HO Non finalisé entre 318 et 217
* qualité /niveau de signal : dl rx-qual=7, dl rx level = -82dbm
* Requête de déconnexion a été envoyé par le Bord
</t>
  </si>
  <si>
    <t>HO non finalisé entre 318 et 217</t>
  </si>
  <si>
    <t xml:space="preserve">* Etat H.O : HO non finalisé entre 204 et 205
* qualité /niveau de signal : dl rx-qual=7, dl rx level = -102 dbm
* Requête de déconnexion a été envoyé par le RBC
</t>
  </si>
  <si>
    <t>HO non finalisé entre 204 et 205</t>
  </si>
  <si>
    <t>dl rx level= -102</t>
  </si>
  <si>
    <t xml:space="preserve">* Etat H.O : HO non finalisé entre 318et 317
* qualité /niveau de signal : dl rx-qual=7, dl rx level = -83 dbm
* Requête de déconnexion a été envoyé par le RBC
</t>
  </si>
  <si>
    <t>dl rx level=-83</t>
  </si>
  <si>
    <t xml:space="preserve">* Etat H.O : HO finalisé entre 319 et 318
* qualité /niveau de signal : dl rx-qual=7, dl rx level = -81dbm
* Requête de déconnexion a été envoyé par le RBC
</t>
  </si>
  <si>
    <t>HO finalisé entre 319 et 318</t>
  </si>
  <si>
    <t xml:space="preserve">* Etat H.O : HO non finalisé entre 303 et 202
* qualité /niveau de signal : dl rx-qual=6, dl rx level = -52dbm
* Requête de déconnexion a été envoyé par le RBC
</t>
  </si>
  <si>
    <t>HO non  finalisé entre 303 et 202</t>
  </si>
  <si>
    <t xml:space="preserve">* Etat H.O : HO non finalisé entre 332 et 331
* qualité /niveau de signal : dl rx-qual=3, dl rx level = -71dbm
* Requête de déconnexion a été envoyé par le RBC
</t>
  </si>
  <si>
    <t>HO non  finalisé entre 332 et 331</t>
  </si>
  <si>
    <t xml:space="preserve">* Etat H.O : HO Complet entre 307 et 306
* qualité /niveau de signal : dl rx-qual=0, dl rx level = -48 dbm
* Requête de déconnexion a été envoyé par le RBC
</t>
  </si>
  <si>
    <t>HO Complet entre 307 et 306</t>
  </si>
  <si>
    <t xml:space="preserve">* Etat H.O : HO Complet entre 224 et 225
* qualité /niveau de signal : dl rx-qual=1, dl rx level = -68 dbm
* Requête de déconnexion a été envoyé par le RBC
</t>
  </si>
  <si>
    <t xml:space="preserve">  pas de Retransmission des trames HDLC</t>
  </si>
  <si>
    <t xml:space="preserve">* Etat H.O : HO non finalisé entre 318 et 317
* qualité /niveau de signal : dl rx-qual=7, dl rx level = -81dbm
* Requête de déconnexion a été envoyé par le RBC
</t>
  </si>
  <si>
    <t>Qualité de signal dégradée 18-&gt;17 / Attente Chantier Optimisation</t>
  </si>
  <si>
    <t xml:space="preserve">* Etat H.O : HO non finalisé entre 318 et 317
* qualité /niveau de signal : dl rx-qual=2, dl rx level = -78dbm
* Requête de déconnexion a été envoyé par le RBC
</t>
  </si>
  <si>
    <t>Qualité de signal dégradée 18-&gt;17/ Attente Chantier Optimisation</t>
  </si>
  <si>
    <t xml:space="preserve">* Etat H.O : HO non finalisé entre 202 et 303
* qualité /niveau de signal : dl rx-qual=7 dl rx level = -54dbm
* Requête de déconnexion a été envoyé par le bord
</t>
  </si>
  <si>
    <t xml:space="preserve">* Etat H.O : HO non finalisé entre 202 et 203
* qualité /niveau de signal : dl rx-qual=7 dl rx level = -51dbm
* Requête de déconnexion a été envoyé par le RBC
</t>
  </si>
  <si>
    <t xml:space="preserve">* Etat H.O : HO non finalisé entre 331 et 330
* qualité /niveau de signal : dl rx-qual=7 dl rx level = -63dbm
* Requête de déconnexion a été envoyé par le RBC
</t>
  </si>
  <si>
    <t>En attente de mise en place des tiroires filtrés /zone sous surveillence par le NOC</t>
  </si>
  <si>
    <t>HO Non finalisé entre 331 et 330</t>
  </si>
  <si>
    <t xml:space="preserve">* Etat H.O : HO complete  entre 318 et 317
* qualité /niveau de signal : dl rx-qual=0 dl rx level = -48dbm
* Requête de déconnexion a été envoyé par le RBC
</t>
  </si>
  <si>
    <t>HO complete  entre 318 et 317</t>
  </si>
  <si>
    <t xml:space="preserve">* Etat H.O : HO complete  entre 224 et 225
* qualité /niveau de signal : dl rx-qual=3 dl rx level = -64dbm
* Requête de déconnexion a été envoyé par le RBC
</t>
  </si>
  <si>
    <t>HO complete  entre 224 et 225</t>
  </si>
  <si>
    <t xml:space="preserve">* Etat H.O : HO Non finalisé  entre 219 et 320
* qualité /niveau de signal : dl rx-qual=7 dl rx level = -81dbm
* Requête de déconnexion a été envoyé par le bord
</t>
  </si>
  <si>
    <t>HO Non finalisé  entre 219 et 320</t>
  </si>
  <si>
    <t xml:space="preserve">* Etat H.O : HO Non finalisé entre 202 et 303  
* qualité /niveau de signal : dl rx-qual=7, dl rx level = -52 dbm
* Requête de déconnexion a été envoyé par le RBC
</t>
  </si>
  <si>
    <t xml:space="preserve">HO Non finalisé entre 202 et 303  </t>
  </si>
  <si>
    <t xml:space="preserve">* Etat H.O : HO finalisé entre 202 et 303  (avec downlink quality)
* qualité /niveau de signal : dl rx-qual=6, dl rx level = -60 dbm
* Requête de déconnexion a été envoyé par le RBC
</t>
  </si>
  <si>
    <t xml:space="preserve">* Etat H.O : HO non finalisé entre 318 et 317
* qualité /niveau de signal : Dégradé
* Requête de déconnexion a été envoyé par le RBC
</t>
  </si>
  <si>
    <t xml:space="preserve">HO Non finalisé entre 318 et 317 </t>
  </si>
  <si>
    <t>09:45:56 </t>
  </si>
  <si>
    <t xml:space="preserve">* Etat H.O : HO finalisé entre 318 et 217
* qualité /niveau de signal : Dégradé
* Requête de déconnexion a été envoyé par le RBC
</t>
  </si>
  <si>
    <t xml:space="preserve">* Etat H.O : HO complet entre 303 et 302(downlink quality)
* qualité /niveau de signal : dl rx-qual=7, dl rx level = -74 dbm
* Requête de déconnexion a été envoyé par le RBC
</t>
  </si>
  <si>
    <t xml:space="preserve">* Etat H.O : HO Non finalisé entre 202 et 203
* qualité /niveau de signal : dl rx-qual=7, dl rx level = -51 dbm
* Requête de déconnexion a été envoyé par le RBC
</t>
  </si>
  <si>
    <t xml:space="preserve">* Etat H.O : HO complet entre 202 et 303 (downlink quality)
* qualité /niveau de signal : dl rx-qual=7, dl rx level = -68 dbm
* Requête de déconnexion a été envoyé par le RBC
</t>
  </si>
  <si>
    <t xml:space="preserve">* Etat H.O : HO complet entre 232 et 233 
* qualité /niveau de signal : dl rx-qual=0, dl rx level = -48 dbm
* Requête de déconnexion a été envoyé par le RBC
</t>
  </si>
  <si>
    <t xml:space="preserve">HO complet entre 232 et 233 </t>
  </si>
  <si>
    <t xml:space="preserve">* Etat H.O : HO complet entre 303 et 302
* qualité /niveau de signal : dl rx-qual=7 dl rx level = -74 dbm
* Requête de déconnexion a été envoyé par le RBC
</t>
  </si>
  <si>
    <t>HO complet entre 303 et 302</t>
  </si>
  <si>
    <t xml:space="preserve">* Etat H.O : HO complet entre 224 et 225
* qualité /niveau de signal : absence mesure
* Requête de déconnexion a été envoyé par le RBC
</t>
  </si>
  <si>
    <t>Pas de retransmission</t>
  </si>
  <si>
    <t xml:space="preserve">* Etat H.O : HO complet entre 202 et 203
* qualité /niveau de signal : dl rx-qual=7 dl rx level = -65 dbm
* Requête de déconnexion a été envoyé par le RBC
</t>
  </si>
  <si>
    <t xml:space="preserve">* Etat H.O : HO complet entre 224 et 225
* qualité /niveau de signal : dl rx-qual=2 dl rx level = -71 dbm
* Requête de déconnexion a été envoyé par le RBC
</t>
  </si>
  <si>
    <t xml:space="preserve">* Etat H.O : HO non finalisé entre 318 et 317
* qualité /niveau de signal : dl rx-qual=7, dl rx level =-83dbm
* Requête de déconnexion a été envoyé par le RBC
</t>
  </si>
  <si>
    <t xml:space="preserve">* Etat H.O : HO  finalisé entre 225 et 226
* qualité /niveau de signal : dl rx-qual=1, dl rx level =-68dbm
* Requête de déconnexion a été envoyé par le RBC
</t>
  </si>
  <si>
    <t xml:space="preserve">HO  finalisé entre 225 et 226 </t>
  </si>
  <si>
    <t xml:space="preserve">  Pas de retransmission des trames HDLC</t>
  </si>
  <si>
    <t xml:space="preserve">* Etat H.O : HO complet entre 202 et 303 avec downlink quality
* qualité /niveau de signal : dl rx-qual=7, dl rx level =-65dbm
* Requête de déconnexion a été envoyé par le RBC
</t>
  </si>
  <si>
    <t>HO complet entre 202 et 303 avec downlink quality</t>
  </si>
  <si>
    <t xml:space="preserve">* Etat H.O : Ho recul non finalisé 303 et 202
* qualité /niveau de signal : Dégradé
* Requête de déconnexion a été envoyé par le BORD
</t>
  </si>
  <si>
    <t>Ho recul non finalisé 303 et 202</t>
  </si>
  <si>
    <t xml:space="preserve">* HO non finalisé  entre 302 et 203 avec downlink quality
* qualité /niveau de signal : dl rx-qual=7, dl rx level = -55dbm
* Requête de déconnexion a été envoyé par le RBC
</t>
  </si>
  <si>
    <t>HO non finalisé  entre 302 et 203</t>
  </si>
  <si>
    <t xml:space="preserve">* Etat H.O : HO non finalisé entre 302 et 203
* qualité /niveau de signal : dl rx-qual=7, dl rx level =-57dbm
* Requête de déconnexion a été envoyé par le Bord
</t>
  </si>
  <si>
    <t xml:space="preserve">HO Non finalisé entre 302 et 203 </t>
  </si>
  <si>
    <t xml:space="preserve">* Etat H.O : HO non finalisé entre 318 et 317
* qualité /niveau de signal : dl rx-qual=7, dl rx level = -85dbm
* Requête de déconnexion a été envoyé par le RBC
</t>
  </si>
  <si>
    <t>HO non finalisé entre 318 et 318</t>
  </si>
  <si>
    <t xml:space="preserve">finalisé  entre 202 et 303 avec downlink quality
* qualité /niveau de signal : dl rx-qual=7, dl rx level = -67dbm
* Requête de déconnexion a été envoyé par le RBC
</t>
  </si>
  <si>
    <t>HO  finalisé entre 202 et 303</t>
  </si>
  <si>
    <t xml:space="preserve">* Etat H.O : HO complet entre 224 et 225
* qualité /niveau de signal : dl rx-qual=0, dl rx level = -62dbm
* Requête de déconnexion a été envoyé par le RBC
</t>
  </si>
  <si>
    <t>HO complet entre 224 et 225</t>
  </si>
  <si>
    <t>* Etat H.O : HO Non finalisé entre 223 et 322
* qualité /niveau de signal : dl rx-qual=6, dl rx level = -76dbm
* Requête de déconnexion a été envoyé par le bord</t>
  </si>
  <si>
    <t xml:space="preserve">Zone sous surveillence par le NOC/En attente de mise en place des tiroires filtrés </t>
  </si>
  <si>
    <t>HO Non finalisé entre 223 et 322</t>
  </si>
  <si>
    <t>* Etat H.O : HO complet entre 202 et 303 avec downlink quality
* qualité /niveau de signal : dl rx-qual=7, dl rx level = -67dbm
* Requête de déconnexion a été envoyé par le RBC</t>
  </si>
  <si>
    <t xml:space="preserve">* Etat H.O : Ho non finalisé entre 308 et 307
* qualité /niveau de signal :dl rx-qual=0, dl rx level = -67dbm
* Requête de déconnexion a été envoyé par le Bord
</t>
  </si>
  <si>
    <t xml:space="preserve">HO Non finalisé entre 308 et 307 </t>
  </si>
  <si>
    <t xml:space="preserve">* Etat H.O : Ho non finalisé entre 216 et 217
* qualité /niveau de signal :dl rx-qual=0, dl rx level = -67dbm
* Requête de déconnexion a été envoyé par le RBC 
</t>
  </si>
  <si>
    <t>HO Non finalisé entre 216 et 217</t>
  </si>
  <si>
    <t xml:space="preserve">* Etat H.O : Ho Complet entre 302 et 303
* qualité /niveau de signal :dl rx-qual=5, dl rx level = -68dbm
* Requête de déconnexion a été envoyé par le RBC 
</t>
  </si>
  <si>
    <t>HO complet entre 302 et 303</t>
  </si>
  <si>
    <t>* Etat H.O : Ho non finalisé entre 233 et 234
* qualité /niveau de signal :dl rx-qual=0, dl rx level = -54dbm
* Requête de déconnexion a été envoyé par le Bord</t>
  </si>
  <si>
    <t>HO complet entre 233 et 234</t>
  </si>
  <si>
    <t xml:space="preserve">* Etat H.O : Ho compet  entre 202  et 303
* qualité /niveau de signal :dl rx-qual=6, dl rx level = -67dbm
* Requête de déconnexion a été envoyé par le RBC 
</t>
  </si>
  <si>
    <t>HO complet entre 202 et 303</t>
  </si>
  <si>
    <t xml:space="preserve">* Etat H.O : Ho non compet  entre 202 et 303
* qualité /niveau de signal :dl rx-qual=5, dl rx level = -62dbm
* Requête de déconnexion a été envoyé par le Bord
</t>
  </si>
  <si>
    <t>HO Non finalisé entre 202 et 303</t>
  </si>
  <si>
    <t>* Etat H.O : Ho non finalisé entre 229 et 230
* qualité /niveau de signal :dl rx-qual=0, dl rx level = -60dbm
* Requête de déconnexion a été envoyé par le Bord</t>
  </si>
  <si>
    <t>HO Non finalisé entre 229 et 230</t>
  </si>
  <si>
    <t>* Etat H.O : Ho non finalisé entre 318 et 317
* qualité /niveau de signal :dl rx-qual=7, dl rx level = -82dbm
* Requête de déconnexion a été envoyé par le RBC</t>
  </si>
  <si>
    <t>Zone sous surveillence par le NOC</t>
  </si>
  <si>
    <t xml:space="preserve">HO Non finalisé entre 318 et 317 </t>
  </si>
  <si>
    <t xml:space="preserve">* Etat H.O : Ho complet  entre 202 et 303
* qualité /niveau de signal :dl rx-qual=7, dl rx level = -64dbm
* Requête de déconnexion a été envoyé par le RBC
</t>
  </si>
  <si>
    <t>11:43:14 </t>
  </si>
  <si>
    <t xml:space="preserve">* Etat H.O : Ho non finalisé  entre 220 et 319
* qualité /niveau de signal :dl rx-qual=0, dl rx level = -77dbm
* Requête de déconnexion a été envoyé par le RBC
</t>
  </si>
  <si>
    <t>HO Non finalisé entre 320 et 319</t>
  </si>
  <si>
    <t> 12:06:17</t>
  </si>
  <si>
    <t xml:space="preserve">* Etat H.O : Ho non finalisé  entre 202 et 303
* qualité /niveau de signal :dl rx-qual=4, dl rx level = -50dbm
* Requête de déconnexion a été envoyé par le RBC
</t>
  </si>
  <si>
    <t>Ho non finalisé entre 202 et 303</t>
  </si>
  <si>
    <t> 17:05:16</t>
  </si>
  <si>
    <t xml:space="preserve">* Etat H.O : Ho non finalisé  entre 202 et 201
* qualité /niveau de signal :dl rx-qual=7, dl rx level = -51dbm
* Requête de déconnexion a été envoyé par le Bord
</t>
  </si>
  <si>
    <t>Ho non finalisé entre 202 et 201</t>
  </si>
  <si>
    <t xml:space="preserve">* Etat H.O : Ho non finalisé entre 320 et 319
* qualité /niveau de signal :dl rx-qual=2, dl rx level = -77dbm
* Requête de déconnexion a été envoyé par le RBC
</t>
  </si>
  <si>
    <t>Ho non finalisé entre 320 et 319</t>
  </si>
  <si>
    <t xml:space="preserve">* Etat H.O : HO complet entre 202 et 303
* qualité /niveau de signal :dl rx-qual=2, dl rx level = -66dbm
* Requête de déconnexion a été envoyé par le RBC
</t>
  </si>
  <si>
    <t>* Etat H.O : HO non finalisé entre 99 et 233
* qualité /niveau de signal :dl rx-qual=7, dl rx level = -71dbm
* Requête de déconnexion a été envoyé par le Bord</t>
  </si>
  <si>
    <t>Ho non finalisé entre 99 et 233</t>
  </si>
  <si>
    <t xml:space="preserve">* Etat H.O : HO complet entre 225 et 226
* qualité /niveau de signal :dl rx-qual=0, dl rx level = -58dbm
* Requête de déconnexion a été envoyé par le RBC
</t>
  </si>
  <si>
    <t>HO complet entre 225 et 226</t>
  </si>
  <si>
    <t xml:space="preserve">* Etat H.O : HO non finalisé entre 202 et 203
* qualité /niveau de signal :dl rx-qual=7, dl rx level = -56dbm
* Requête de déconnexion a été envoyé par le RBC
</t>
  </si>
  <si>
    <t xml:space="preserve">Les derniers résultats de la vérification chaine antennaire conformes 
Présence d'interférences externes  au niveau du GSMR_02/03
Probléme GSMR
</t>
  </si>
  <si>
    <t>HO non finalisé entre 202 et 303</t>
  </si>
  <si>
    <t xml:space="preserve">* Etat H.O : Ho complet entre 202 et 303
* qualité /niveau de signal :dl rx-qual=7, dl rx level = -75dbm
* Requête de déconnexion a été envoyé par le RBC
</t>
  </si>
  <si>
    <t xml:space="preserve">HO complet entre 202 et 303 </t>
  </si>
  <si>
    <t>12:46:04 </t>
  </si>
  <si>
    <t xml:space="preserve">* Etat H.O : HO non finalisé entre 318 et 317
* qualité /niveau de signal :dl rx-qual=7, dl rx level = -85dbm
* Requête de déconnexion a été envoyé par le RBC
</t>
  </si>
  <si>
    <t>Les derniers résultats de la vérification chaine antennaire conformes et mauvaise qualité de signale
Présence d'interférences externes  au niveau du GSMR_17/18
Zone sous surveillence par le NOC</t>
  </si>
  <si>
    <t xml:space="preserve">* Etat H.O : HO non finalisé entre 302 et 203
* qualité /niveau de signal :dl rx-qual=7, dl rx level = -54dbm
* Requête de déconnexion a été envoyé par le Bord
</t>
  </si>
  <si>
    <t>HO non finalisé entre 302 et 203</t>
  </si>
  <si>
    <t xml:space="preserve">* Etat H.O : HO non finalisé entre 202 et 303
* qualité /niveau de signal :dl rx-qual=7, dl rx level = -53dbm
* Requête de déconnexion a été envoyé par le RBC
</t>
  </si>
  <si>
    <t xml:space="preserve">* Etat H.O : HO non finalisé entre 303 et 202
* qualité /niveau de signal :dl rx-qual=5, dl rx level = -59dbm
* Requête de déconnexion a été envoyé par le bord
</t>
  </si>
  <si>
    <t>HO non finalisé entre 303 et 202</t>
  </si>
  <si>
    <t xml:space="preserve">* Etat H.O : HO non finalisé entre 318 et 317
* qualité /niveau de signal :dl rx-qual=7, dl rx level = -82dbm
* Requête de déconnexion a été envoyé par le RBC
</t>
  </si>
  <si>
    <t xml:space="preserve">* Etat H.O : Ho finalisé entre 318 et 317 
* qualité /niveau de signal :dl rx-qual=0, dl rx level = -48dbm
* Requête de déconnexion a été envoyé par le RBC
</t>
  </si>
  <si>
    <t>Les derniers résultats de la vérification chaine antennaire conformes et Bon qualité de signale
Présence d'interférences externes  au niveau du GSMR_17/18
Zone sous surveillence par le NOC</t>
  </si>
  <si>
    <t>HO finalisé entre 318 et 317</t>
  </si>
  <si>
    <t xml:space="preserve">* Etat H.O : Ho finalisé entre 303 et 202
* qualité /niveau de signal :dl rx-qual=7, dl rx level = -49dbm
* Requête de déconnexion a été envoyé par le RBC
</t>
  </si>
  <si>
    <t>HO finalisé entre 303 et 202</t>
  </si>
  <si>
    <t xml:space="preserve">* Etat H.O : Ho Non finalisé entre 214 et 215
* qualité /niveau de signal :dl rx-qual=2, dl rx level = -65dbm
* Requête de déconnexion a été envoyé par le RBC
</t>
  </si>
  <si>
    <t>Les derniers résultats de la vérification chaine antennaire conformes et Bon qualité de signale
Zone sous surveillence par le NOC</t>
  </si>
  <si>
    <t>HO non finalisé entre 214 et 215</t>
  </si>
  <si>
    <t xml:space="preserve">* Etat H.O : Ho Non finalisé entre 202 et 303
* qualité /niveau de signal :dl rx-qual=7, dl rx level = -51dbm
* Requête de déconnexion a été envoyé par le RBC
</t>
  </si>
  <si>
    <t xml:space="preserve">* Etat H.O : HO non finalisé entre 215 et 216
* qualité /niveau de signal :dl rx-qual=0, dl rx level = -58dbm
* Requête de déconnexion a été envoyé par le RBC
</t>
  </si>
  <si>
    <t>HO non finalisé entre 215 et 216</t>
  </si>
  <si>
    <t xml:space="preserve">* Etat H.O : Ho non finalisé entre 233 et 332
* qualité /niveau de signal :dl rx-qual=0, dl rx level = -73dbm
* Requête de déconnexion a été envoyé par le Bord
</t>
  </si>
  <si>
    <t xml:space="preserve"> Ho non finalisé entre 233 et 332</t>
  </si>
  <si>
    <t>* Etat H.O : Ho non finalisé entre 202 et 203
* qualité /niveau de signal :dl rx-qual=7, dl rx level = -51dbm
* Requête de déconnexion a été envoyé par le RBC</t>
  </si>
  <si>
    <t xml:space="preserve"> Ho non finalisé entre 203 et 203</t>
  </si>
  <si>
    <t xml:space="preserve">* Etat H.O : HO non finalisé entre 202 et 203
* qualité /niveau de signal :dl rx-qual=7, dl rx level = -55dbm
* Requête de déconnexion a été envoyé par le RBC
</t>
  </si>
  <si>
    <t xml:space="preserve">* Etat H.O : Ho non finalisé entre 224 et 225
* Qualité /niveau de signal :dl rx-qual=2, dl rx level = -67dbm
* Requête de déconnexion a été envoyé par le RBC
</t>
  </si>
  <si>
    <t>La commission de déconnexion confirme lors de la réunion la présence de problèmes RBC au niveau de la zonne GSMR 25/26</t>
  </si>
  <si>
    <t xml:space="preserve"> Ho non finalisé entre 224 et 225</t>
  </si>
  <si>
    <t xml:space="preserve">* Etat H.O : Ho complet entre 202 et 203(avec downlink quality)
* Qualité /niveau de signal :dl rx-qual=5, dl rx level = -67dbm
* Requête de déconnexion a été envoyé par le RBC
</t>
  </si>
  <si>
    <t>Ho complet entre 202 et 203</t>
  </si>
  <si>
    <t> 09:05:12 </t>
  </si>
  <si>
    <t xml:space="preserve">* Etat H.O : Ho complet entre 303 et 302
* Qualité /niveau de signal :dl rx-qual=0, dl rx level = -59dbm
* Requête de déconnexion a été envoyé par le RBC
</t>
  </si>
  <si>
    <t>Ho complet entre 303 et 302</t>
  </si>
  <si>
    <t> 15:05:12</t>
  </si>
  <si>
    <t xml:space="preserve">* Etat H.O : Ho complet entre 202 et 303
* Qualité /niveau de signal :dl rx-qual=6, dl rx level = -63dbm
* Requête de déconnexion a été envoyé par le RBC
</t>
  </si>
  <si>
    <t xml:space="preserve">Ho complet entre 202 et 303 </t>
  </si>
  <si>
    <t xml:space="preserve">* Etat H.O : Ho finalisé entre 303 et 202
* qualité /niveau de signal :dl rx-qual=0, dl rx level = -65dbm
* Requête de déconnexion a été envoyé par le Bord
</t>
  </si>
  <si>
    <t xml:space="preserve">* Etat H.O : Ho complet entre 224 et 225
* Qualité /niveau de signal :dl rx-qual=0 dl rx level = -65dbm
* Requête de déconnexion a été envoyé par le RBC
</t>
  </si>
  <si>
    <t xml:space="preserve"> Ho finalisé entre 224 et 225</t>
  </si>
  <si>
    <t>* Etat H.O : Ho finalisé entre 303 et 202
* qualité /niveau de signal :dl rx-qual=7, dl rx level = -67dbm
* Requête de déconnexion a été envoyé par le RBC</t>
  </si>
  <si>
    <t>14:35:24 </t>
  </si>
  <si>
    <t>* Etat H.O : Ho complet entre 224 et 225
* qualité /niveau de signal :dl rx-qual=0, dl rx level = -48dbm
* Requête de déconnexion a été envoyé par le RBC</t>
  </si>
  <si>
    <t>Les derniers résultats de la vérification chaine antennaire conformes et Bon qualité de signale</t>
  </si>
  <si>
    <t>Ho complet entre 224 et 225</t>
  </si>
  <si>
    <t>* Etat H.O : Ho complet entre 225 et 226
* qualité /niveau de signal :dl rx-qual=0, dl rx level = -62dbm
* Requête de déconnexion a été envoyé par le RBC</t>
  </si>
  <si>
    <t>Ho complet entre 225 et 226</t>
  </si>
  <si>
    <t xml:space="preserve">* Etat H.O : Ho finalisé entre 99 et 333
* qualité /niveau de signal :dl rx-qual=7, dl rx level = -70dbm
* Requête de déconnexion a été envoyé par le Bord
</t>
  </si>
  <si>
    <t>HO finalisé entre 99 et 333</t>
  </si>
  <si>
    <t xml:space="preserve">* Etat H.O : Ho complet entre 202 et 303
* qualité /niveau de signal :dl rx-qual=0, dl rx level = -110 dbm
* Requête de déconnexion a été envoyé par le Bord
</t>
  </si>
  <si>
    <t>Ho complet entre 202 et 303</t>
  </si>
  <si>
    <t xml:space="preserve">Etat H.O : HO non finalisé  entre 302 et 201
* qualité /niveau de signal :dl rx-qual=7, dl rx level = -52dbm
* Requête de déconnexion a été envoyé par le RBC
</t>
  </si>
  <si>
    <t>HO non finalisé  entre 302 et 201</t>
  </si>
  <si>
    <t xml:space="preserve">Etat H.O : HO Complet entre 202 et 303
* qualité /niveau de signal :dl rx-qual=6, dl rx level = -66dbm
* Requête de déconnexion a été envoyé par le RBC
</t>
  </si>
  <si>
    <t xml:space="preserve">Etat H.O : HO Complet entre 234 et 233 ( Ho recul Vers 99 echoué )
* absence des mesures radio 
* Requête de déconnexion a été envoyé par le Bord
</t>
  </si>
  <si>
    <t>Ho complet entre 234 et 233</t>
  </si>
  <si>
    <t xml:space="preserve">Etat H.O : HO Complet entre 319 et 318
* qualité /niveau de signal :dl rx-qual=0, dl rx level = -69dbm
* Requête de déconnexion a été envoyé par le bord 
</t>
  </si>
  <si>
    <t>Ho complet entre 319 et 318</t>
  </si>
  <si>
    <t xml:space="preserve"> Selon notre analyse, nous avons constaté que le HO est  non finalisé  entre 202 et 303 , Cependant, les conditions radio étaient mauvaises avant la déconnexion. La requete de deconnexion a ete envoyé par le RBC sans au retransmission des trames HDLC et l'ecart de la rame est mauvais, nous pensons que le sous systéme mis en cause est le Bord ,Justification d’arrêt :
une fois le train s'est déconnecté il a continué a se glisser sans accélération jusqu'à arrêt complet,
</t>
  </si>
  <si>
    <t>HO non finalisé  entre 202 et 303</t>
  </si>
  <si>
    <t xml:space="preserve"> Selon notre analyse, nous avons constaté que le HO est complet entre 202 et 303 , Cependant, les conditions radio étaient mauvaises avant la déconnexion. La requete de deconnexion a ete envoyé par le RBC sans au retransmission des trames HDLC et l'ecart de la rame est mauvais, nous pensons que le sous systéme mis en cause est le Bord ,Justification d’arrêt :
une fois le train s'est déconnecté il a continué a se glisser sans accélération jusqu'à arrêt complet,
</t>
  </si>
  <si>
    <t xml:space="preserve">HO complet entre 202 et 303 </t>
  </si>
  <si>
    <t xml:space="preserve">
 Selon notre analyse, nous avons constaté que le HO est non finalisé entre 202 et 303 , Cependant, les conditions radio étaient mauvaises avant la déconnexion. La requete de deconnexion a ete envoyé par le bord sans retransmission des trames HDLC et l'ecart de la rame est mauvais, nous pensons que le sous systéme mis en cause est le Bord </t>
  </si>
  <si>
    <t xml:space="preserve"> Selon notre analyse, nous avons constaté que le HO est Complet entre 202 et 201 , Cependant, les conditions radio étaient mauvaises avant la déconnexion. La requete de deconnexion a ete envoyé par le RBC suite au retransmission des trames HDLC et l'ecart de la rame est mauvais, nous pensons que le sous systéme mis en cause est le Bord </t>
  </si>
  <si>
    <t>HO Complet entre 202 et 201</t>
  </si>
  <si>
    <t>dl rx level= -88</t>
  </si>
  <si>
    <t xml:space="preserve"> Selon notre analyse, nous avons constaté que le Ho est non finalisé entre 202 et 203 , Cependant, les conditions radio étaient mauvaises avant la déconnexion. La requete de deconnexion a ete envoyé par le RBC suite au retransmission des trames HDLC et l'ecart de la rame est mauvais, nous pensons que le sous systéme mis en cause est le Bord </t>
  </si>
  <si>
    <t>Ho non finalisé entre 202 et 203</t>
  </si>
  <si>
    <t xml:space="preserve"> Selon notre analyse, nous avons constaté que le HO est non finalisé 202 et 203, Cependant, les conditions radio étaient mauvaises avant la déconnexion. La requete de deconnexion a ete envoyé par le RBC suite au retransmission des trames HDLC et l'ecart de la rame est mauvais, nous pensons que le sous systéme mis en cause est le Bord </t>
  </si>
  <si>
    <t> Selon notre analyse, nous avons constaté que le HO est non finalisé 205 et 206, Cependant, les conditions radio étaient bonnes avant la déconnexion. La requete de deconnexion a ete envoyé par le RBC suite au retransmission des trames HDLC et l'ecart de la rame est mauvais ,nous pensons que le sous systéme mis en cause est le GSMR/BORD</t>
  </si>
  <si>
    <t>Ho non finalisé entre 205 et 206</t>
  </si>
  <si>
    <t xml:space="preserve"> 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t>
  </si>
  <si>
    <t>HO non finalisé 303 et 202</t>
  </si>
  <si>
    <t xml:space="preserve"> Selon notre analyse, nous avons constaté que le HO est complet entre 202 et 303 avec Downlink quality, Cependant, les conditions radio étaient mauvaises avant la déconnexion. La requete de deconnexion a ete envoyé par le RBC,l'ecart de la rame est mauvais, nous pensons que le sous systéme mis en cause est le Bord </t>
  </si>
  <si>
    <t> Selon notre analyse, nous avons constaté que le HO estHo non finalisé entre 202 et 303, Cependant, les conditions radio étaient mauvaises avant la déconnexion. La requete de deconnexion a ete envoyé par le RBC,l'ecart de la rame est mauvais, nous pensons que le sous systéme mis en cause est le Bord ,                            Justification d’arrêt :
une fois le train s'est déconnecté il a continué a se glisser sans accélération jusqu'à arrêt complet,</t>
  </si>
  <si>
    <t> Selon notre analyse, nous avons constaté que le HO est complet entre 202 et 303 avec Downlink quality, Cependant, les conditions radio étaient mauvaises avant la déconnexion. La requete de deconnexion a ete envoyé par le RBC,l'ecart de la rame est mauvais, nous pensons que le sous systéme mis en cause est le Bord ,Justification d’arrêt :
une fois le train s'est déconnecté il a continué a se glisser sans accélération jusqu'à arrêt complet,</t>
  </si>
  <si>
    <t xml:space="preserve"> Selon notre analyse, nous avons constaté que le HO est non finalisé entre 210 et 211, Cependant, les conditions radio étaient bonnes avant la déconnexion. La requete de deconnexion a ete envoyé par le RBC,l'ecart de la rame est mauvais, nous pensons que le sous systéme mis en cause est le GSMR/BORD </t>
  </si>
  <si>
    <t>HO non finalisé entre 210 et 211</t>
  </si>
  <si>
    <t xml:space="preserve"> Selon notre analyse, nous avons constaté que le HO est complet entre 202 et 303, Cependant, les conditions radio étaient bonnes avant la déconnexion. La requete de deconnexion a ete envoyé par le RBC,l'ecart de la rame est mauvais, nous pensons que le sous systéme mis en cause est le Bord ,                            Justification d’arrêt :
une fois le train s'est déconnecté il a continué a se glisser sans accélération jusqu'à arrêt complet,
 </t>
  </si>
  <si>
    <t>1204 </t>
  </si>
  <si>
    <t xml:space="preserve"> Selon notre analyse, nous avons constaté que le HO est non finalisé entre 202 et 203, Cependant, les conditions radio étaient mauvaises avant la déconnexion. La requete de deconnexion a ete envoyé par le RBC,l'ecart de la rame est mauvais, nous pensons que le sous systéme mis en cause est le Bord ,                            Justification d’arrêt :
une fois le train s'est déconnecté il a continué a se glisser sans accélération jusqu'à arrêt complet,
 </t>
  </si>
  <si>
    <t>1201 </t>
  </si>
  <si>
    <t xml:space="preserve">le train s'est arrêté à cause d’une erreur de lecture de la balise 6625 due au mauvaises conditions radio, le train s’est reconnecté au niveau du pk 198,984.  </t>
  </si>
  <si>
    <t xml:space="preserve"> -</t>
  </si>
  <si>
    <t>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                             Justification d’arrêt :
une fois le train s'est déconnecté il a continué a se glisser sans accélération jusqu'à arrêt complet,</t>
  </si>
  <si>
    <t>HO non finalisé entre 303 et 202 avec Downlink quality</t>
  </si>
  <si>
    <t xml:space="preserve"> Selon notre analyse, nous avons constaté que le HO est non finalisé  entre 205 et 206, Cependant, les conditions radio étaient bonnees avant la déconnexion. La requete de deconnexion a ete envoyé par le RBC,l'ecart de la rame est mauvais
</t>
  </si>
  <si>
    <t>HO non finalisé  entre 205 et 206</t>
  </si>
  <si>
    <t xml:space="preserve">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t>
  </si>
  <si>
    <t>Selon notre analyse, nous avons constaté que le HO est complet entre 224 et 225, Cependant, les conditions radio étaient bonnes avant la déconnexion. La requete de deconnexion a ete envoyé par le RBC sans retransmission des trames HDLC,l'ecart de la rame est mauvais,le train s'est arrêté due au dépassement du T_NVCONTACT,</t>
  </si>
  <si>
    <t>Les derniers résultats de la vérification chaine antennaire conformes
En attente de pousser les analyses coté RBC</t>
  </si>
  <si>
    <t xml:space="preserve">  Pas Retransmission des trames HDLC</t>
  </si>
  <si>
    <t xml:space="preserve">Selon notre analyse, nous avons constaté que le HO est  complet entre 304 et 303, Cependant, les conditions radio étaient bonnes avant la déconnexion. La requete de deconnexion a ete envoyé par le RBC,l'ecart de la rame est mauvais, nous pensons que le sous systéme mis en cause est le Bord </t>
  </si>
  <si>
    <t>Selon notre analyse, nous avons constaté que le HO est non finalisé entre  307 et 306, Cependant, les conditions radio étaient bonnes avant la déconnexion. La requete de deconnexion a ete envoyé par le RBC,l'ecart de la rame est mauvais</t>
  </si>
  <si>
    <t>HO non finalisé 307 et 306</t>
  </si>
  <si>
    <t>Selon notre analyse, nous avons constaté que le HO est non finalisé entre 311 et 310, Cependant, les conditions radio étaient bonnes avant la déconnexion. La requete de deconnexion a ete envoyé par le RBC,l'ecart de la rame est mauvais</t>
  </si>
  <si>
    <t>HO non finalisé 311 et 310</t>
  </si>
  <si>
    <t>Selon notre analyse, nous avons constaté que le HO est complet entre 202 et 303,Cependant, les conditions radio étaient mauvaises avant la déconnexion. La requete de deconnexion a ete envoyé par le RBC,l'ecart de la rame est mauvais, Justification d’arrêt :
 Après la reconnexion le train a continué à glisser sans accélération jusqu'à arrêt complet</t>
  </si>
  <si>
    <t>HO complet 202 et 303</t>
  </si>
  <si>
    <t>Selon notre analyse, nous avons constaté que le HO est complet entre 224 et 225, Cependant, les conditions radio étaient bonnes avant la déconnexion. La requete de deconnexion a ete envoyé par le RBC sans retransmission des trames HDLC,l'ecart de la rame est mauvais</t>
  </si>
  <si>
    <t>Selon notre analyse, nous avons constaté que le HO est complet entre 202 et 303, Cependant, les conditions radio étaient mauvaises avant la déconnexion. La requete de deconnexion a ete envoyé par le RBC suite au retransmission des trames HDLC,l'ecart de la rame est mauvais</t>
  </si>
  <si>
    <t>Nassim najim</t>
  </si>
  <si>
    <t>Selon notre analyse, nous avons constaté que le HO est complet entre 213 et 214, Cependant, les conditions radio étaient bonnes avant la déconnexion. La requete de deconnexion a ete envoyé par le RBC sans retransmission des trames HDLC,l'ecart de la rame est mauvais</t>
  </si>
  <si>
    <t>Selon notre analyse, nous avons constaté que le HO est non finalisé 302 et 203, Cependant, les conditions radio étaient mauvaises avant la déconnexion. La requete de deconnexion a ete envoyé par le RBC suite au retransmission des trames HDLC,l'ecart de la rame est mauvais</t>
  </si>
  <si>
    <t>HO non finalisé 302 et 203</t>
  </si>
  <si>
    <t>Selon notre analyse, nous avons constaté que le HO est complet 222 et 223, Cependant, les conditions radio étaient bonnes avant la déconnexion. La requete de deconnexion a ete envoyé par le RBC sans retransmission des trames HDLC,l'ecart de la rame est mauvais,le train s'est arrêté due au dépassement du T_NVCONTACT,</t>
  </si>
  <si>
    <t>HO complet 222 et 223</t>
  </si>
  <si>
    <t>Selon notre analyse, nous avons constaté que le HO est non finalisé 326 et 227, Cependant, les conditions radio étaient bonnes avant la déconnexion. La requete de deconnexion a ete envoyé par le Bord sans retransmission des trames HDLC,l'ecart de la rame est mauvais</t>
  </si>
  <si>
    <t>HO non finalisé 326 et 227</t>
  </si>
  <si>
    <t xml:space="preserve">Selon notre analyse, nous avons constaté que le HO recul est complet entre 202 et 303, Cependant, les conditions radio étaient mauvaise  avant la déconnexion. La requete de deconnexion a ete envoyé par le RBC  Avec retransmission des Justification d’arrêt :
 une fois le train s'est déconnecté il a continué à se glisser sans accélération jusqu'à arrêt complet </t>
  </si>
  <si>
    <t>HO Complet  202 et 303</t>
  </si>
  <si>
    <t>Selon notre analyse, nous avons constaté que le HO est Non finalisé entre 202 et 203, Cependant, les conditions radio étaient mauvaise  avant la déconnexion. La requete de deconnexion a ete envoyé par le RBC  Avec retransmission des trames HDLC,l'ecart de la rame est mauvais,                                                       Justification d’arrêt :
 une fois le train s'est déconnecté il a continué à se glisser sans accélération jusqu'à arrêt complet</t>
  </si>
  <si>
    <t>HO Non finalisé 202 et 203</t>
  </si>
  <si>
    <t>Selon notre analyse, nous avons constaté que Le train s'est deconnecté deux fois, la requete de déconnexion a été envoyée par le bord pour les deux déconnexions, (pour la premiere déconnexion, les mesures radio ne sont pas diponibles) et pour la deuxieme les conditions radios était bonnes.                                         le train s'est arrêté due au dépassement du T_NVCONTACT,</t>
  </si>
  <si>
    <t>BORD/RBC</t>
  </si>
  <si>
    <t>En attente de pousser les analyses coté RBC/En attente de mise en place des tiroires filtrés</t>
  </si>
  <si>
    <t>Etat H.O : Pas de HO tenté (le train vient de se connecté en GSMR sur la LGV).</t>
  </si>
  <si>
    <t>Selon notre analyse, nous avons constaté que le HO est Non finalisé 202 et 301, Cependant, les conditions radio étaient mauvaise  avant la déconnexion. La requete de deconnexion a ete envoyé par le bord Avec retransmission des trames HDLC,l'ecart de la rame est mauvais,                                                       Justification d’arrêt :
 une fois le train s'est déconnecté il a continué à se glisser sans accélération jusqu'à arrêt complet</t>
  </si>
  <si>
    <t>HO Non finalisé 202 et 301</t>
  </si>
  <si>
    <t xml:space="preserve">Selon notre analyse, nous avons constaté que le HO est Complet 202 et 303, Cependant, les conditions radio étaient mauvaises avant la déconnexion. La requete de deconnexion a ete envoyé par le RBC avec retransmission des trames HDLC,l'ecart de la rame est mauvais,                                                       </t>
  </si>
  <si>
    <t>Selon notre analyse, nous avons constaté que le HO est Complet 202 et 303, Cependant, les conditions radio étaient bonnes avant la déconnexion. La requete de deconnexion a ete envoyé par le RBC avec retransmission des trames HDLC,l'ecart de la rame est mauvais,                                                                Justification d’arrêt :
 une fois le train s'est déconnecté il a continué à se glisser sans accélération jusqu'à arrêt complet</t>
  </si>
  <si>
    <t xml:space="preserve">Selon notre analyse, nous avons constaté que le HO est non finalisé 231 et 330, Cependant, les conditions radio étaient bonnees avant la déconnexion. La requete de deconnexion a ete envoyé par le RBC avec retransmission des trames HDLC,l'ecart de la rame est mauvais,                                                       </t>
  </si>
  <si>
    <t>HO Non finalisé 231 et 330</t>
  </si>
  <si>
    <t xml:space="preserve">  Retransmission des trames HDLC*4</t>
  </si>
  <si>
    <t xml:space="preserve">Selon notre analyse, nous avons constaté que le HO est Complet  224 et 225, Cependant, les conditions radio étaient bonnes avant la déconnexion. La requete de deconnexion a ete envoyé par le RBC sans retransmission des trames HDLC,l'ecart de la rame est mauvais,                                                       </t>
  </si>
  <si>
    <t>HO finalisé 224 et 225</t>
  </si>
  <si>
    <t xml:space="preserve">Selon notre analyse, nous avons constaté que le HO est complet 328 et 327, Cependant, les conditions radio étaient bonnes avant la déconnexion. La requete de deconnexion a ete envoyé par le RBC avec retransmission des trames HDLC,l'ecart de la rame est mauvais,                                                       </t>
  </si>
  <si>
    <t>HO finalisé 328 et 327</t>
  </si>
  <si>
    <t xml:space="preserve">Selon notre analyse, nous avons constaté que le HO est HO Complet 202 et 303, Cependant, les conditions radio étaient bonnes avant la déconnexion. La requete de deconnexion a ete envoyé par le RBC avec retransmission des trames HDLC,l'ecart de la rame est mauvais,                                                       </t>
  </si>
  <si>
    <t>HO Complet 202 et 303</t>
  </si>
  <si>
    <t>HO Complet 224 et 225</t>
  </si>
  <si>
    <t xml:space="preserve">Selon notre analyse, nous avons constaté que le HO est Non finalisé 202 et 301, Cependant, les conditions radio étaient mauvaises avant la déconnexion. La requete de deconnexion a ete envoyé par le RBC avec retransmission des trames HDLC,l'ecart de la rame est mauvais,                                                       </t>
  </si>
  <si>
    <t xml:space="preserve">Selon notre analyse, nous avons constaté que le HO est Complet 231 et 229, Cependant, les conditions radio étaient mauvaises avant la déconnexion. La requete de deconnexion a ete envoyé par le RBC avec retransmission des trames HDLC,l'ecart de la rame est mauvais,                                                       </t>
  </si>
  <si>
    <t>Les derniers résultats de la vérification chaine antennaire conformes et Mauvaise qualité de signale
Zone sous surveillence par le NOC</t>
  </si>
  <si>
    <t>HO Complet 231 et 229</t>
  </si>
  <si>
    <t>Selon notre analyse, nous avons constaté que le HO est non finalisé 327 et 326, Cependant, les conditions radio étaient mauvaises avant la déconnexion. La requete de deconnexion a ete envoyé par le RBC avec retransmission des trames HDLC,l'ecart de la rame est mauvais</t>
  </si>
  <si>
    <t>Les derniers résultats de la vérification chaine antennaire conformes et mauvaise qualité de signale
Zone sous surveillence par le NOC</t>
  </si>
  <si>
    <t>HO non finalisé entre 327 et 326</t>
  </si>
  <si>
    <t>Selon notre analyse, nous avons constaté que le HO est non finalisé entre 218 et 219, Cependant, les conditions radio étaient bonnes avant la déconnexion. La requete de deconnexion a ete envoyé par le RBC avec retransmission des trames HDLC,l'ecart de la rame est mauvais</t>
  </si>
  <si>
    <t>Selon notre analyse, nous avons constaté que le HO est non finalisé entre 302 et 203, Cependant, les conditions radio étaient mauvaises avant la déconnexion. La requete de deconnexion a ete envoyé par le RBC avec retransmission des trames HDLC,l'ecart de la rame est mauvais</t>
  </si>
  <si>
    <t>Selon notre analyse, nous avons constaté que le HO est non finalisé entre 202 et 303, Cependant, les conditions radio étaient mauvaises avant la déconnexion. La requete de deconnexion a ete envoyé par le RBC avec retransmission des trames HDLC,l'ecart de la rame est mauvais,                                                                    Justification d’arrêt :
 une fois le train s'est déconnecté il a continué à se glisser sans accélération jusqu'à arrêt complet</t>
  </si>
  <si>
    <t xml:space="preserve"> 10:35:23</t>
  </si>
  <si>
    <t>Selon notre analyse, nous avons constaté que le HO est complet entre 224 et 225, Cependant, les conditions radio étaient bonnes avant la déconnexion. La requete de deconnexion a ete envoyé par le RBC avec retransmission des trames HDLC,l'ecart de la rame est mauvais,                                                              Justification d’arrêt :
Un AUC non acquitté par le bord a causé l'envoie d'un AUI depuis RBC suivi d'un trip</t>
  </si>
  <si>
    <t xml:space="preserve">Les derniers résultats de la vérification chaine antennaire conformes
</t>
  </si>
  <si>
    <t xml:space="preserve"> 20:04:57</t>
  </si>
  <si>
    <t>Selon notre analyse, nous avons constaté que le HO est complet  entre 303 et 202 avec Downlik quality , Cependant, les conditions radio étaient mauvaises avant la déconnexion. La requete de deconnexion a ete envoyé par le RBC avec retransmission des trames HDLC,l'ecart de la rame est mauvais,                      Justification d’arrêt :
 une fois le train s'est déconnecté il a continué à se glisser sans accélération jusqu'à arrêt complet</t>
  </si>
  <si>
    <t>HO Complet 303 et 202</t>
  </si>
  <si>
    <t xml:space="preserve"> 20:28:21</t>
  </si>
  <si>
    <t>Selon notre analyse, nous avons constaté que le HO est non finalisé entre 330 et 229 avec Downlik quality , Cependant, les conditions radio étaient mauvaises avant la déconnexion. La requete de deconnexion a ete envoyé par le bord  avec retransmission des trames HDLC,l'ecart de la rame est mauvais</t>
  </si>
  <si>
    <t>HO Non finalisé 330 et 229</t>
  </si>
  <si>
    <t>Selon notre analyse, nous avons constaté que le HO est non finalisé entre 206 et 207, Cependant, les conditions radio étaient bonnes avant la déconnexion. La requete de deconnexion a ete envoyé par le RBC avec retransmission des trames HDLC,l'ecart de la rame est mauvais</t>
  </si>
  <si>
    <t> HO non finalisé entre 206 et 207</t>
  </si>
  <si>
    <t>Selon notre analyse, nous avons constaté que le HO est non finalisé entre 302 et 201, Cependant, les conditions radio étaient mauvaises avant la déconnexion. La requete de deconnexion a ete envoyé par le RBC avec retransmission des trames HDLC,l'ecart de la rame est mauvais</t>
  </si>
  <si>
    <t>HO non finalisé entre 302 et 201</t>
  </si>
  <si>
    <t>Selon notre analyse, nous avons constaté que le HO est complet entre 202 et 303, Cependant, les conditions radio étaient mauvaises avant la déconnexion. La requete de deconnexion a ete envoyé par le RBC avec retransmission des trames HDLC,l'ecart de la rame est mauvais</t>
  </si>
  <si>
    <t xml:space="preserve"> HO Complet entre 202 et 303</t>
  </si>
  <si>
    <t xml:space="preserve"> HO non finalisé entre 302 et 203</t>
  </si>
  <si>
    <t xml:space="preserve"> 23:05:50</t>
  </si>
  <si>
    <t xml:space="preserve"> 11:04:42</t>
  </si>
  <si>
    <t>Selon notre analyse, nous avons constaté que le HO est complet  entre 302 et 203 avec Downlik quality , Cependant, les conditions radio étaient mauvaises avant la déconnexion. La requete de deconnexion a ete envoyé par le RBC avec retransmission des trames HDLC,l'ecart de la rame est mauvais,                      Justification d’arrêt :
 une fois le train s'est déconnecté il a continué à se glisser sans accélération jusqu'à arrêt complet</t>
  </si>
  <si>
    <t>HO Complete entre 302 et 203</t>
  </si>
  <si>
    <t>Selon notre analyse, nous avons constaté que le HO non finalisé entre 202 et 303  avec Downlink quality  , Cependant, les conditions radio étaient mauvaises avant la déconnexion. La requete de deconnexion a ete envoyé par le RBC avec retransmission des trames HDLC,l'ecart de la rame est mauvais,                      Justification d’arrêt :
 une fois le train s'est déconnecté il a continué à se glisser sans accélération jusqu'à arrêt complet</t>
  </si>
  <si>
    <t xml:space="preserve">HO non finalisé entre 202 et 303  </t>
  </si>
  <si>
    <t xml:space="preserve"> 11:04:26</t>
  </si>
  <si>
    <t>Selon notre analyse, nous avons constaté que le HO est complet entre 202 et 303 avec downlink quality Cependant, les conditions radio étaient mauvaises avant la déconnexion. La requete de deconnexion a ete envoyé par le RBC avec retransmission des trames HDLC,l'ecart de la rame est mauvais</t>
  </si>
  <si>
    <t>Selon notre analyse, nous avons constaté que le HO est non finalisé entre 227 et 228 ,Cependant, les conditions radio étaient bonnes avant la déconnexion. La requete de deconnexion a ete envoyé par le RBC avec retransmission des trames HDLC,l'ecart de la rame est mauvais</t>
  </si>
  <si>
    <t>HO non finalisé entre 227 et 228</t>
  </si>
  <si>
    <t xml:space="preserve">Selon notre analyse, nous avons constaté que le HO est non finalisé entre 207 et 208,Cependant, les conditions radio étaient bonnes avant la déconnexion. La requete de deconnexion a ete envoyé par le RBC avec retransmission des trames HDLC,l'ecart de la rame est mauvais,                                                                       </t>
  </si>
  <si>
    <t>Selon notre analyse, nous avons constaté que le HO est complet entre 224 et 225 , es conditions radio étaient bonnes  avant la déconnexion. La requete de deconnexion a ete envoyé par le RBC avec retransmission des trames HDLC,l'ecart de la rame est mauvais</t>
  </si>
  <si>
    <t>Les derniers résultats de la vérification chaine antennaire conformes</t>
  </si>
  <si>
    <t xml:space="preserve">HO complet entre 224 et 225   </t>
  </si>
  <si>
    <t>Selon notre analyse, nous avons constaté que le HO est non finalisé entre 322 et 221  , es conditions radio étaient bonnes avant la déconnexion. La requete de deconnexion a ete envoyé par le RBC avec retransmission des trames HDLC,l'ecart de la rame est mauvais</t>
  </si>
  <si>
    <t xml:space="preserve"> HO non finalisé entre 322 et 221 </t>
  </si>
  <si>
    <t>Selon notre analyse, nous avons constaté que le HO est complet entre 202 et 302, es conditions radio étaient mauvaises avant la déconnexion. La requete de deconnexion a ete envoyé par le RBC avec retransmission des trames HDLC,l'ecart de la rame est mauvais</t>
  </si>
  <si>
    <t>HO complet entre 202 et 302  avec downlink quality</t>
  </si>
  <si>
    <t>HO complet entre 202 et 201 avec downlink quality</t>
  </si>
  <si>
    <t>Selon notre analyse, nous avons constaté que le HO est non finalisé entre 302 et 203  , est conditions radio étaient mauvaises avant la déconnexion. La requete de deconnexion a ete envoyé par le RBC avec retransmission des trames HDLC,l'ecart de la rame est mauvais</t>
  </si>
  <si>
    <t xml:space="preserve">HO non finalisé entre 302 et 203  </t>
  </si>
  <si>
    <t>Selon notre analyse, nous avons constaté que le HO est complet entre 202 et 303, est conditions radio étaient bonnes avant la déconnexion. La requete de deconnexion a ete envoyé par le RBC avec retransmission des trames HDLC,l'ecart de la rame est mauvais</t>
  </si>
  <si>
    <t>HO complet entre 202 et 303 avec downlink quality</t>
  </si>
  <si>
    <t>Selon notre analyse, nous avons constaté que le HO est non finalisé entre 303 et 202 , est conditions radio étaient mauvaises avant la déconnexion. La requete de deconnexion a ete envoyé par le RBC avec retransmission des trames HDLC,l'ecart de la rame est mauvais</t>
  </si>
  <si>
    <t xml:space="preserve">HO non finalisé entre 303 et 202 </t>
  </si>
  <si>
    <t>Selon notre analyse, nous avons constaté que le HO est complet entre 202 et 303, est conditions radio étaient mauvaises avant la déconnexion. La requete de deconnexion a ete envoyé par le RBC avec retransmission des trames HDLC,l'ecart de la rame est mauvais</t>
  </si>
  <si>
    <t xml:space="preserve">HO Complet entre 202 et 303 avec DownLink </t>
  </si>
  <si>
    <t>Selon notre analyse, nous avons constaté que le HO est non finalisé entre 302 et 203, est conditions radio étaient mauvaises avant la déconnexion. La requete de deconnexion a ete envoyé par le RBC avec retransmission des trames HDLC,l'ecart de la rame est mauvais</t>
  </si>
  <si>
    <t>HO non finalisé entre 302 et 203</t>
  </si>
  <si>
    <t>Selon notre analyse, nous avons constaté que le HO est complet entre 202 et 303, est conditions radio étaient mauvaises avant la déconnexion. La requete de deconnexion a ete envoyé par le RBC avec retransmission des trames HDLC,l'ecart de la rame est mauvais , une fois le train s'est déconnecté il a continué a se glisser sans accélération jusqu'à arrêt complet,</t>
  </si>
  <si>
    <t>HO Complet entre 202 et 303</t>
  </si>
  <si>
    <t>Selon notre analyse, nous avons constaté que le HO est complet entre 303 et 202,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t>
  </si>
  <si>
    <t>HO Complet entre 303 et 202</t>
  </si>
  <si>
    <t>Selon notre analyse, nous avons constaté que le HO est Non finalisé entre 201 et 203 Saute cellule ,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t>
  </si>
  <si>
    <t>HO Non finalisé entre 201 et 203 ( saute cellule)</t>
  </si>
  <si>
    <t>Selon notre analyse, nous avons constaté que le HO est non finalisé entre 204 et 205 , est conditions radio étaient bonnes avant la déconnexion. La requete de deconnexion a ete envoyé par le RBC avec retransmission des trames HDLC,l'ecart de la rame est mauvais</t>
  </si>
  <si>
    <t xml:space="preserve">HO non finalisé entre 204 et 205 </t>
  </si>
  <si>
    <t>Selon notre analyse, nous avons constaté que le HO est complet entre 224 et 225 , est conditions radio étaient bonnes avant la déconnexion. La requete de deconnexion a ete envoyé par le RBC sans retransmission des trames HDLC,l'ecart de la rame est mauvais</t>
  </si>
  <si>
    <t>Selon notre analyse, nous avons constaté que le HO est non finalisé entre 320 et 321 ,est conditions radio étaient mauvaises avant la déconnexion. La requete de deconnexion a ete envoyé par le RBC avec retransmission des trames HDLC,l'ecart de la rame est mauvais</t>
  </si>
  <si>
    <t xml:space="preserve">HO non finalisé entre 320 et 321 </t>
  </si>
  <si>
    <t>Selon notre analyse, nous avons constaté que le HO est Non finalisé entre 202 et 303 , est conditions radio étaient mauvaises avant la déconnexion. La requete de deconnexion a ete envoyé par le bord avec retransmission des trames HDLC,l'ecart de la rame est mauvais, une fois le train s'est déconnecté il a continué a se glisser sans accélération jusqu'à arrêt complet.</t>
  </si>
  <si>
    <t>Selon notre analyse, nous avons constaté que le HO est Non finalisé entre 301 et 203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t>
  </si>
  <si>
    <t>HO non finalisé entre 301 et 203 (saute cellule )</t>
  </si>
  <si>
    <t>Selon notre analyse, nous avons constaté que le HO est non finalisé entre 206 et 207 ,est conditions radio étaient bonnes avant la déconnexion. La requete de deconnexion a ete envoyé par le RBC avec retransmission des trames HDLC,l'ecart de la rame est mauvais</t>
  </si>
  <si>
    <t xml:space="preserve">HO non finalisé entre 206 et 207 </t>
  </si>
  <si>
    <t>Selon notre analyse, nous avons constaté que le HO est complet entre 202 et 303,est les conditions radio étaient bonnes avant la déconnexion. La requete de deconnexion a ete envoyé par le RBC avec retransmission des trames HDLC,l'ecart de la rame est mauvais,une fois le train s'est déconnecté il a continué a se glisser sans accélération jusqu'à arrêt complet.</t>
  </si>
  <si>
    <t>Selon notre analyse, nous avons constaté que le HO est non finalisé entre 202 et 203,est les conditions radio étaient bonnes avant la déconnexion. La requete de deconnexion a ete envoyé par le RBC avec retransmission des trames HDLC,l'ecart de la rame est mauvais,une fois le train s'est déconnecté il a continué a se glisser sans accélération jusqu'à arrêt complet.</t>
  </si>
  <si>
    <t>Selon notre analyse, nous avons constaté que le HO est complet entre 202 et 203,est les conditions radio étaient mauvaises avant la déconnexion. La requete de deconnexion a ete envoyé par le RBC avec retransmission des trames HDLC,l'ecart de la rame est mauvais,</t>
  </si>
  <si>
    <t>Selon notre analyse, nous avons constaté que le HO est non finalisé entre 332 et 331,est les conditions radio étaient bonnes avant la déconnexion. La requete de deconnexion a ete envoyé par le RBC avec retransmission des trames HDLC,l'ecart de la rame est mauvais,</t>
  </si>
  <si>
    <t>HO non finalisé entre 332 et 331</t>
  </si>
  <si>
    <t>Selon notre analyse, nous avons constaté que le HO est non finalisé entre 202 et 303,est les conditions radio étaient Mauvaise avant la déconnexion. La requete de deconnexion a ete envoyé par le bord avec retransmission des trames HDLC,l'ecart de la rame est mauvais,</t>
  </si>
  <si>
    <t>Selon notre analyse, nous avons constaté que le HO est non finalisé entre 202 et 303,est les conditions radio étaient Mauvaise avant la déconnexion. La requete de deconnexion a ete envoyé par le RBC avec retransmission des trames HDLC,l'ecart de la rame est mauvais,</t>
  </si>
  <si>
    <t>Selon notre analyse, nous avons constaté que le HO est Non finalisé entre 234 et 233 avec downlink quality ,est les conditions radio étaient Mauvaise avant la déconnexion. La requete de deconnexion a ete envoyé par le bord /pas de retransmission des trames HDLC,l'ecart de la rame est mauvais,</t>
  </si>
  <si>
    <t>Les derniers résultats de la vérification chaine antennaire conformes et Mauvaise qualité de signale</t>
  </si>
  <si>
    <t>HO non finalisé entre 234 et 233</t>
  </si>
  <si>
    <t>Selon notre analyse, nous avons constaté que le HO est complet entre 202 et 303,est les conditions radio étaient Mauvaise avant la déconnexion. La requete de deconnexion a ete envoyé par le RBC /pas de retransmission des trames HDLC,l'ecart de la rame est mauvais,</t>
  </si>
  <si>
    <t>Selon notre analyse, nous avons constaté que le HO est Non finalisé entre 302 et 201 ,est les conditions radio étaient Mauvaise avant la déconnexion. La requete de deconnexion a ete envoyé par le RBC  /pas de retransmission des trames HDLC,l'ecart de la rame est mauvais,</t>
  </si>
  <si>
    <t>Les derniers résultats de la vérification chaine antennaire conformes 
Présence d'interférences externes  au niveau du GSMR_02/03
Probléme GSMR</t>
  </si>
  <si>
    <t>HO Non finalisé entre 302 et 201</t>
  </si>
  <si>
    <t>Selon notre analyse, nous avons constaté que le HO est complet 203 et 202 ,est les conditions radio étaient Mauvaise avant la déconnexion. La requete de deconnexion a ete envoyé par le Bord ,</t>
  </si>
  <si>
    <t>HO complet entre 203 et 202</t>
  </si>
  <si>
    <t>Selon notre analyse, nous avons constaté que le HO est Non finalisé entre 202 et 303 ,est les conditions radio étaient Mauvaise avant la déconnexion. La requete de deconnexion a ete envoyé par le RBC,</t>
  </si>
  <si>
    <t>Selon notre analyse, nous avons constaté que le HO est Non finalisé entre 202 et 303 ,est les conditions radio étaient Mauvaise avant la déconnexion. La requete de deconnexion a ete envoyé par le RBC  avec retransmission des trames HDLC,l'ecart de la rame est mauvais,</t>
  </si>
  <si>
    <t>Selon notre analyse, nous avons constaté que le HO est Non finalisé entre 326 et 325 , les conditions radio étaient bonnes avant la déconnexion. La requete de deconnexion a ete envoyé par le RBC  avec de retransmission des trames HDLC,l'ecart de la rame est mauvais,</t>
  </si>
  <si>
    <t>HO non finalisé entre 326 et 325</t>
  </si>
  <si>
    <t xml:space="preserve"> 12:05:20</t>
  </si>
  <si>
    <t xml:space="preserve">Selon notre analyse, nous avons constaté que le HO est complet entre 202 et 303 avec downlink quality,La requete de deconnexion a ete envoyé par le RBC suite au retransmission des trames HDLC </t>
  </si>
  <si>
    <t xml:space="preserve">HO  complet entre 202 et 303 </t>
  </si>
  <si>
    <t xml:space="preserve">Selon notre analyse, nous avons constaté que le HO est complet entre 225 et 226,La requete de deconnexion a ete envoyé par le RBC sans retransmission des trames HDLC </t>
  </si>
  <si>
    <t>Les derniers résultats de la vérification chaine antennaire conformes
Pas de retransmission des trames HDLC
En attente de pousser les analyses coté RBC</t>
  </si>
  <si>
    <t>HO  complet entre 225 et 226</t>
  </si>
  <si>
    <t>Selon notre analyse, nous avons constaté que le HO est Non finalisé entre 223 et 222,est les conditions radio étaient Mauvaises avant la déconnexion. La requete de deconnexion a ete envoyé par le RBC  avec retransmission des trames HDLC,l'ecart de la rame est mauvais,</t>
  </si>
  <si>
    <t>HO non finalisé entre 223 et 222</t>
  </si>
  <si>
    <t xml:space="preserve">Selon notre analyse, nous avons constaté que le HO est complet entre 202 et 303,La requete de deconnexion a ete envoyé par le RBC avec retransmission des trames HDLC </t>
  </si>
  <si>
    <t xml:space="preserve">Selon notre analyse, nous avons constaté que le HO est non finalisé entre 209 et 210, les conditions radio étaient bonnes avant la déconnexion,La requete de deconnexion a ete envoyé par le RBC avec retransmission des trames HDLC </t>
  </si>
  <si>
    <t>HO non finalisé entre 209 et 210</t>
  </si>
  <si>
    <t xml:space="preserve">Selon notre analyse, nous avons constaté que le HO est complet entre 204 et 205, les conditions radio étaient bonnes avant la déconnexion,La requete de deconnexion a ete envoyé par le RBC avec retransmission des trames HDLC </t>
  </si>
  <si>
    <t>HO  complet entre 204 et 205</t>
  </si>
  <si>
    <t xml:space="preserve">Selon notre analyse, nous avons constaté que le bord s'est accroché a la cellule 595 de la ligne Sidi Kacem- Tanger. HO finalisé entre 595 et 596 avec downlink quality, les conditions radio étaitent mauvaises avant la déconnexion,La requete de deconnexion a ete envoyé par le RBC avec retransmission des trames HDLC </t>
  </si>
  <si>
    <t>HO  complet entre 595 et 596</t>
  </si>
  <si>
    <t xml:space="preserve">Selon notre analyse, nous avons constaté que le HO est Complet entre 230 et 329, les conditions radio étaient bonnes avant la déconnexion,La requete de deconnexion a ete envoyé par le RBC avec retransmission des trames HDLC </t>
  </si>
  <si>
    <t>HO  complet entre 230 et 329</t>
  </si>
  <si>
    <t xml:space="preserve"> 10:05:14</t>
  </si>
  <si>
    <t xml:space="preserve"> 14:04:50</t>
  </si>
  <si>
    <t xml:space="preserve">Selon notre analyse, nous avons constaté que le HO est non finalisé entre 202 et 203 ,les conditions radio étaient bonnes avant la déconnexion,La requete de deconnexion a ete envoyé par le RBC suite au retransmission des trames HDLC </t>
  </si>
  <si>
    <t xml:space="preserve"> 14:06:04 </t>
  </si>
  <si>
    <t xml:space="preserve">Selon notre analyse, nous avons constaté que le HO est non finalisé entre 202 et 203 ,les conditions radio étaient Mauvaise avant la déconnexion,La requete de deconnexion a ete envoyé par le RBC suite au retransmission des trames HDLC </t>
  </si>
  <si>
    <t xml:space="preserve"> 15:05:24</t>
  </si>
  <si>
    <t xml:space="preserve">Selon notre analyse, nous avons constaté que le HO est non finalisé entre 202 et 301 ,les conditions radio étaient bonnes avant la déconnexion,La requete de deconnexion a ete envoyé par le bord  suite au retransmission des trames HDLC </t>
  </si>
  <si>
    <t xml:space="preserve"> 19:48:20</t>
  </si>
  <si>
    <t xml:space="preserve">Selon notre analyse, nous avons constaté que le HO est non finalisé entre 202 et 203 ,les conditions radio étaient mauvaise avant la déconnexion,La requete de deconnexion a ete envoyé par le RBC   suite au retransmission des trames HDLC </t>
  </si>
  <si>
    <t xml:space="preserve"> 14:05:24  </t>
  </si>
  <si>
    <t xml:space="preserve">Selon notre analyse, nous avons constaté que le HO est non finalisé entre 302 et 203 ,les conditions radio étaient Mauvaise avant la déconnexion,La requete de deconnexion a ete envoyé par le Bord sans retransmission des trames HDLC </t>
  </si>
  <si>
    <t xml:space="preserve"> 21:08:04</t>
  </si>
  <si>
    <t xml:space="preserve">Selon notre analyse, nous avons constaté que le HO est non finalisé entre 202 et 203 ,les conditions radio étaient mauvaise avant la déconnexion,La requete de deconnexion a ete envoyé par le RBC  suite au retransmission des trames HDLC </t>
  </si>
  <si>
    <t xml:space="preserve">Selon notre analyse, nous avons constaté que le HO est non finalisé entre 303 et 202 ,les conditions radio étaient Bonne avant la déconnexion,La requete de deconnexion a ete envoyé par le bord sans de retransmission des trames HDLC </t>
  </si>
  <si>
    <t>HO non finalisé entre 303 et 202</t>
  </si>
  <si>
    <t xml:space="preserve">Selon notre analyse, nous avons constaté que le HO est non finalisé entre 315 et 314 ,les conditions radio étaient Bonnes avant la déconnexion,La requete de deconnexion a ete envoyé par le RBC  suite au retransmission des trames HDLC </t>
  </si>
  <si>
    <t>HO non finalisé entre 315 et 314</t>
  </si>
  <si>
    <t xml:space="preserve">Selon notre analyse, nous avons constaté que le HO est Complet entre 202 et 203 avec downlink quality ,les conditions radio étaient Mauvaise avant la déconnexion,La requete de deconnexion a ete envoyé par le RBC suite au retransmission des trames HDLC </t>
  </si>
  <si>
    <t>HO Complet entre 202 et 203</t>
  </si>
  <si>
    <t xml:space="preserve">Selon notre analyse, nous avons constaté que le HO est Complet entre 202 et 203 avec downlink quality ,les conditions radio étaient Mauvaise avant la déconnexion,La requete de deconnexion a ete envoyé par le RBC  suite au retransmission des trames HDLC </t>
  </si>
  <si>
    <t xml:space="preserve">Selon notre analyse, nous avons constaté que le HO est non finalisé entre 301 et 203 avec downlink quality ,les conditions radio étaient bonnes avant la déconnexion,La requete de deconnexion a ete envoyé par le RBC  suite au retransmission des trames HDLC </t>
  </si>
  <si>
    <t>HO non finalisé entre 301 et 202</t>
  </si>
  <si>
    <t xml:space="preserve">Selon notre analyse, nous avons constaté que le HO est Complet entre 302 et 203 avec downlink quality ,les conditions radio étaient Mauvaise avant la déconnexion,La requete de deconnexion a ete envoyé par le RBC  suite au retransmission des trames HDLC </t>
  </si>
  <si>
    <t>HO complet entre 302 et 203</t>
  </si>
  <si>
    <t xml:space="preserve">Selon notre analyse, nous avons constaté que le HO est non finalisé entre 202 et 303 avec downlink quality ,les conditions radio étaient Mauvaise avant la déconnexion,La requete de deconnexion a ete envoyé par le BORD  suite au retransmission des trames HDLC </t>
  </si>
  <si>
    <t xml:space="preserve">Selon notre analyse, nous avons constaté que le HO est non finalisé entre 219 et 220  ,les conditions radio étaient Mauvaise avant la déconnexion,La requete de deconnexion a ete envoyé par le RBC  suite au retransmission des trames HDLC </t>
  </si>
  <si>
    <t xml:space="preserve">Selon notre analyse, nous avons constaté que le HO est non finalisé entre 202 et 203 ,les conditions radio étaient mauvaises avant la déconnexion,La requete de deconnexion a ete envoyé par le RBC suite au retransmission des trames HDLC </t>
  </si>
  <si>
    <t xml:space="preserve">Selon notre analyse, nous avons constaté que le HO est non finalisé entre 201 et 302 ,les conditions radio étaient mauvaises avant la déconnexion,La requete de deconnexion a ete envoyé par le RBC suite au retransmission des trames HDLC </t>
  </si>
  <si>
    <t>HO non finalisé entre 201 et 302</t>
  </si>
  <si>
    <t xml:space="preserve"> 08:05:21</t>
  </si>
  <si>
    <t xml:space="preserve">Selon notre analyse, nous avons constaté que le HO est complet entre 202 et 203 avec downlink quality ,les conditions radio étaient mauvaises avant la déconnexion,La requete de deconnexion a ete envoyé par le RBC suite au retransmission des trames HDLC </t>
  </si>
  <si>
    <t xml:space="preserve">Selon notre analyse, nous avons constaté que le HO est non finalisé  entre 302 et 203 ,les conditions radio étaient mauvaises avant la déconnexion,La requete de deconnexion a ete envoyé par le RBC suite au retransmission des trames HDLC </t>
  </si>
  <si>
    <t xml:space="preserve">Selon notre analyse, nous avons constaté que le HO est non finalisé  entre 302 et 203 ,les conditions radio étaient mauvaises avant la déconnexion,La requete de deconnexion a ete envoyé par le bord suite au retransmission des trames HDLC </t>
  </si>
  <si>
    <t xml:space="preserve">Selon notre analyse, nous avons constaté que le HO recul non finalisé entre 202 et 301 ,les conditions radio étaient mauvaises avant la déconnexion,La requete de deconnexion a ete envoyé par le RBC suite au retransmission des trames HDLC </t>
  </si>
  <si>
    <t>HO recul non finalisé entre 202 et 301</t>
  </si>
  <si>
    <t xml:space="preserve">Selon notre analyse, nous avons constaté que le HO est non finalisé  entre 303 et 202 ,les conditions radio étaient mauvaises avant la déconnexion,La requete de deconnexion a ete envoyé par le bord suite au retransmission des trames HDLC </t>
  </si>
  <si>
    <t>Selon notre analyse, nous avons constaté que les conditions radio se sont detriorés rapidement après le HO complet entre 219 et 220, la requete de déconnexion a été envoyé par le RBC suite a un nombre elevé de retransmission des trames HDLC</t>
  </si>
  <si>
    <t>En attente d'un plan d'action par le service optimisation</t>
  </si>
  <si>
    <t xml:space="preserve">Selon notre analyse, nous avons constaté que le HO recul non finalisé entre 202 et 303 ,les conditions radio étaient mauvaises avant la déconnexion,La requete de deconnexion a ete envoyé par le RBC suite au retransmission des trames HDLC </t>
  </si>
  <si>
    <t xml:space="preserve">Selon notre analyse, nous avons constaté que le HO est non finalisé  entre 202 et 303 ,les conditions radio étaient mauvaises avant la déconnexion,La requete de deconnexion a ete envoyé par le bord suite au retransmission des trames HDLC </t>
  </si>
  <si>
    <t xml:space="preserve">Selon notre analyse, nous avons constaté que le HO recul non finalisé entre 302 et 303 ,les conditions radio étaient mauvaises avant la déconnexion,La requete de deconnexion a ete envoyé par le RBC suite au retransmission des trames HDLC </t>
  </si>
  <si>
    <t xml:space="preserve">Selon notre analyse, nous avons constaté que le HO complete  entre 202 et 303 ,les conditions radio étaient mauvaises avant la déconnexion,La requete de deconnexion a ete envoyé par le RBC suite au retransmission des trames HDLC </t>
  </si>
  <si>
    <t>HO complete entre 202 et 303</t>
  </si>
  <si>
    <t>Selon notre analyse, les conditions radio étaient bonnes avant la déconnexion. La requete de deconnexion a ete envoyé par le RBC sans retransmission des trames HDLC,l'ecart de la rame est mauvais.</t>
  </si>
  <si>
    <t>En attenete de pousser les analyses coté RBC</t>
  </si>
  <si>
    <t xml:space="preserve">Selon notre analyse, nous avons constaté que le HO Non finalisé  entre 217 et 218 ,les conditions radio étaient mauvaises avant la déconnexion,La requete de deconnexion a ete envoyé par le RBC suite au retransmission des trames HDLC </t>
  </si>
  <si>
    <t>HO Non  finalisé entre 217 et 218</t>
  </si>
  <si>
    <t>Suite aux derniers résultats de la vérification chaine antennaire, il a été constaté que celle-ci est conforme
Plus précis, 3 HO DownLink de la RGVM 1207 M1 présente une mauvaise qualité dans la même zone, 
Malgré l’utilisation d’un tiroir filtré.
Cela suggère un problème lié à des perturbations GSM-R</t>
  </si>
  <si>
    <t>HO Non finalisé  entre 220 et 321</t>
  </si>
  <si>
    <t xml:space="preserve">En attente d'un plan d'action par le service optimisation et mise en place des tiroires filtrés </t>
  </si>
  <si>
    <t>HO Non finalisé  entre 223 et 322</t>
  </si>
  <si>
    <t xml:space="preserve"> pas Retransmission des trames HDLC*5</t>
  </si>
  <si>
    <t xml:space="preserve">Selon notre analyse, nous avons constaté que le HO Non finalisé  entre 201 et 302 ,les conditions radio étaient mauvaises avant la déconnexion,La requete de deconnexion a ete envoyé par le RBC suite au retransmission des trames HDLC </t>
  </si>
  <si>
    <t xml:space="preserve">En attente de mise en place des tiroirs filtrés </t>
  </si>
  <si>
    <t xml:space="preserve">Selon notre analyse, nous avons constaté que le HO Non finalisé  entre 202 et 303 ,les conditions radio étaient mauvaises avant la déconnexion,La requete de deconnexion a ete envoyé par le RBC suite au retransmission des trames HDLC </t>
  </si>
  <si>
    <t xml:space="preserve">Selon notre analyse, nous avons constaté que le HO Non finalisé  entre 202 et 303 ,les conditions radio étaient mauvaises avant la déconnexion,La requete de deconnexion a ete envoyé par le bord suite au retransmission des trames HDLC </t>
  </si>
  <si>
    <t xml:space="preserve"> pas de Retransmission des trames HDLC</t>
  </si>
  <si>
    <t xml:space="preserve">Selon notre analyse, nous avons constaté que le HO Non finalisé  entre 223 et 322 ,les conditions radio étaient mauvaises avant la déconnexion,La requete de deconnexion a ete envoyé par le Bord suite au retransmission des trames HDLC </t>
  </si>
  <si>
    <t xml:space="preserve">En attente d'un plan d'action optim+ En attente de mise en place des tiroirs filtrés </t>
  </si>
  <si>
    <t>HO Non finalisé entre 223 et 322</t>
  </si>
  <si>
    <t xml:space="preserve">Selon notre analyse, nous avons constaté que le HO Non finalisé  entre 313 et 212 ,les conditions radio étaient Bonne avant la déconnexion,La requete de deconnexion a ete envoyé par le Bord Pas de retransmission des trames HDLC </t>
  </si>
  <si>
    <t xml:space="preserve">Les derniers résultats de la vérification chaine antennaire conformes </t>
  </si>
  <si>
    <t>HO Non finalisé entre 313 et 212</t>
  </si>
  <si>
    <t xml:space="preserve">Selon notre analyse, nous avons constaté que le HO Non finalisé  entre 303 et 202 ,les conditions radio étaient Mauvaise avant la déconnexion,La requete de deconnexion a ete envoyé par le Bord suite au  retransmission des trames HDLC </t>
  </si>
  <si>
    <t xml:space="preserve">  19:04:08</t>
  </si>
  <si>
    <t xml:space="preserve">  20:14:08</t>
  </si>
  <si>
    <t xml:space="preserve">  15:05:20 </t>
  </si>
  <si>
    <t>HO Complet entre 202 et 303</t>
  </si>
  <si>
    <t xml:space="preserve"> 19:04:56 </t>
  </si>
  <si>
    <t xml:space="preserve">Selon notre analyse, nous avons constaté que le HO Non finalisé  entre 303 et 202 ,les conditions radio étaient Mauvaise avant la déconnexion,La requete de deconnexion a ete envoyé par le RBC suite au  retransmission des trames HDLC </t>
  </si>
  <si>
    <t xml:space="preserve"> 21:05:20 </t>
  </si>
  <si>
    <t>HO  non finalisé entre 301 et 202</t>
  </si>
  <si>
    <t xml:space="preserve">Selon notre analyse, nous avons constaté que le HO complet entre 202 et 203 ,les conditions radio étaient mauvaises avant la déconnexion,La requete de deconnexion a ete envoyé par le RBC suite au retransmission des trames HDLC </t>
  </si>
  <si>
    <t>HO  complet entre 202 et 203</t>
  </si>
  <si>
    <t xml:space="preserve"> retransmission des trames HDLC*5</t>
  </si>
  <si>
    <t>HO non Complet entre 320 et 319</t>
  </si>
  <si>
    <t xml:space="preserve">Selon notre analyse, nous avons constaté que le HO Non finalisé  entre 302 et 203 ,les conditions radio étaient Mauvaise avant la déconnexion,La requete de deconnexion a ete envoyé par le RBC suite au  retransmission des trames HDLC </t>
  </si>
  <si>
    <t xml:space="preserve">Selon notre analyse, nous avons constaté que le HO  finalisé  entre 202 et 303 ,les conditions radio étaient Mauvaise avant la déconnexion,La requete de deconnexion a ete envoyé par le RBC suite au  retransmission des trames HDLC </t>
  </si>
  <si>
    <t>HO  complet entre 202 et 303</t>
  </si>
  <si>
    <t xml:space="preserve">Selon notre analyse, nous avons constaté que le HO  non finalisé  entre 302 et 203 ,les conditions radio étaient Mauvaise avant la déconnexion,La requete de deconnexion a ete envoyé par le RBC suite au  retransmission des trames HDLC </t>
  </si>
  <si>
    <t xml:space="preserve">HO non finalisé entre 302 et 203 </t>
  </si>
  <si>
    <t xml:space="preserve">Selon notre analyse, nous avons constaté que le HO  non finalisé  entre 208 et 309 ,les conditions radio étaient Bonne  avant la déconnexion,La requete de deconnexion a ete envoyé par le Bord/ Pas de   retransmission des trames HDLC </t>
  </si>
  <si>
    <t>HO non finalisé entre 208 et 309</t>
  </si>
  <si>
    <t xml:space="preserve">Selon notre analyse, nous avons constaté que le HO complet entre 202 et 303 ,les conditions radio étaient mauvaises avant la déconnexion,La requete de deconnexion a ete envoyé par le RBC suite au retransmission des trames HDLC </t>
  </si>
  <si>
    <t xml:space="preserve">Selon notre analyse, nous avons constaté que le HO non finalisé entre 304 et 303   ,les conditions radio étaient mauvaises avant la déconnexion,La requete de deconnexion a ete envoyé par le RBC suite au retransmission des trames HDLC </t>
  </si>
  <si>
    <t xml:space="preserve">HO non finalisé entre 304 et 303 </t>
  </si>
  <si>
    <t xml:space="preserve">Selon notre analyse, nous avons constaté que le HO Non finalisé  entre 302 et 203 ,les conditions radio étaient mauvaises avant la déconnexion,La requete de deconnexion a ete envoyé par le RBC suite au retransmission des trames HDLC </t>
  </si>
  <si>
    <t xml:space="preserve">Selon notre analyse, nous avons constaté que le HO Non finalisé entre 306 et 305 ,les conditions radio étaient mauvaises avant la déconnexion dans le sens montant UL, La requete de deconnexion a ete envoyée par le RBC suite au retransmission des trames HDLC </t>
  </si>
  <si>
    <t>En attente d'un plan d'action optim</t>
  </si>
  <si>
    <t>HO  Non finalisé entre 306 et 305</t>
  </si>
  <si>
    <t>dl rx level= -90</t>
  </si>
  <si>
    <t xml:space="preserve">Selon notre analyse, nous avons constaté que le HO est non finalisé entre 302 et 303 ,les conditions radio étaient mauvaises avant la déconnexion,La requete de deconnexion a ete envoyé par le RBC suite au retransmission des trames HDLC </t>
  </si>
  <si>
    <t>HO  complet entre 302 et 303</t>
  </si>
  <si>
    <t xml:space="preserve">Selon notre analyse, nous avons constaté que le HO est Complet entre 302 et 203 ,les conditions radio étaient mauvaises avant la déconnexion,La requete de deconnexion a ete envoyé par le RBC suite au retransmission des trames HDLC </t>
  </si>
  <si>
    <t>HO  complet entre 302 et 304</t>
  </si>
  <si>
    <t xml:space="preserve">Selon notre analyse, nous avons constaté que le HO est Non finalisé entre 202 et 203 ,les conditions radio étaient mauvaises avant la déconnexion,La requete de deconnexion a ete envoyé par le RBC suite au retransmission des trames HDLC </t>
  </si>
  <si>
    <t>HO  Non finalisé entre 202 et 203</t>
  </si>
  <si>
    <t xml:space="preserve">Selon notre analyse, nous avons constaté que le HO est Non finalisé entre 219 et 220 suite au timer T200 Expiré ,les conditions radio étaient mauvaises avant la déconnexion,La requete de deconnexion a ete envoyé par le RBC suite au retransmission des trames HDLC </t>
  </si>
  <si>
    <t>Les derniers résultats de la vérification chaine antennaire conformes 
problème lié à des perturbations GSM-R</t>
  </si>
  <si>
    <t>Zone sous surveillance par NOC</t>
  </si>
  <si>
    <t>HO  Non finalisé entre 219 et 220</t>
  </si>
  <si>
    <t xml:space="preserve">Selon notre analyse, nous avons constaté que le HO est complet entre 202 et 303 ,les conditions radio étaient mauvaises avant la déconnexion,La requete de deconnexion a ete envoyé par le RBC suite au retransmission des trames HDLC </t>
  </si>
  <si>
    <t>HO  Non finalisé entre 202 et 303</t>
  </si>
  <si>
    <t xml:space="preserve">Selon notre analyse, nous avons constaté que le HO est Incomplet entre 202 et 303 ,les conditions radio étaient mauvaises avant la déconnexion,La requete de deconnexion a ete envoyé par le Bord suite au retransmission des trames HDLC </t>
  </si>
  <si>
    <t xml:space="preserve">Selon notre analyse, nous avons constaté que le HO est Incomplet entre 302 et 301 ,les conditions radio étaient mauvaises avant la déconnexion,La requete de deconnexion a ete envoyé par le RBC suite au retransmission des trames HDLC </t>
  </si>
  <si>
    <t>HO  Non finalisé entre 302 et 301</t>
  </si>
  <si>
    <t xml:space="preserve">Selon notre analyse, nous avons constaté que le HO est complet entre 234 et 233 ,les conditions radio étaient mauvaises avant la déconnexion,La requete de deconnexion a ete envoyé par le bord </t>
  </si>
  <si>
    <t>Bord/GSMR</t>
  </si>
  <si>
    <t>HO  complet entre 234 et 233</t>
  </si>
  <si>
    <t>dl rx level= -47</t>
  </si>
  <si>
    <t xml:space="preserve"> pas deretransmission des trames HDLC</t>
  </si>
  <si>
    <t xml:space="preserve">Selon notre analyse, nous avons constaté que le HO est Incomplet entre 202 et 203 ,les conditions radio étaient mauvaises avant la déconnexion,La requete de deconnexion a ete envoyé par le bord suite au retransmission des trames HDLC </t>
  </si>
  <si>
    <t>Suite aux derniers résultats de la vérification chaine antennaire, il a été constaté que celle-ci est conforme RGVM 1207 M1 présente une mauvaise qualité dans la même zone, 
Malgré l’utilisation d’un tiroir filtré.
Cela suggère un problème lié à des perturbations GSM-R</t>
  </si>
  <si>
    <t xml:space="preserve">Selon notre analyse, nous avons constaté que le HO est Non finalisé entre 302 et 303 ,les conditions radio étaient mauvaises avant la déconnexion,La requete de deconnexion a ete envoyé par le bord suite au retransmission des trames HDLC </t>
  </si>
  <si>
    <t>HO  Non finalisé entre 302 et 303</t>
  </si>
  <si>
    <t xml:space="preserve">Selon notre analyse, nous avons constaté que le HO est complet entre 203 et 202 ,les conditions radio étaient mauvaises avant la déconnexion,La requete de deconnexion a ete envoyé par le RBC suite au retransmission des trames HDLC </t>
  </si>
  <si>
    <t xml:space="preserve">Selon notre analyse, nous avons constaté que le HO est Non finalisé entre 219 et 220  ,les conditions radio étaient mauvaises avant la déconnexion,La requete de deconnexion a ete envoyé par le RBC suite au retransmission des trames HDLC </t>
  </si>
  <si>
    <t xml:space="preserve">Selon notre analyse, nous avons constaté que le HO est Non finalisé entre 227 et 326 suite au conditions radio qui étaient bonne  avant la déconnexion,La requete de deconnexion a ete envoyé par le BORD suite au retransmission des trames HDLC </t>
  </si>
  <si>
    <t>Zone sous surveillance par le NOC</t>
  </si>
  <si>
    <t>HO  Non finalisé entre 227 et 326</t>
  </si>
  <si>
    <t xml:space="preserve">Selon notre analyse, nous avons constaté que le HO est Non finalisé  entre 223 et 222  ,les conditions radio étaient mauvaises avant la déconnexion,La requete de deconnexion a ete envoyé par le RBC suite au retransmission des trames HDLC </t>
  </si>
  <si>
    <t>HO non finalisé entre 223et 222</t>
  </si>
  <si>
    <t xml:space="preserve">Selon notre analyse, nous avons constaté que le HO est  finalisé entre 231 et 332  ,les conditions radio étaient mauvaise avant la déconnexion,La requete de deconnexion a ete envoyé par le RBC suite au retransmission des trames HDLC </t>
  </si>
  <si>
    <t>HO   finalisé entre 231 et 332</t>
  </si>
  <si>
    <t xml:space="preserve">Selon notre analyse, nous avons constaté que le HO est  Non finalisé entre 219 et 320  ,les conditions radio étaient mauvaise avant la déconnexion,La requete de deconnexion a ete envoyé par le bord/ pas de retransmission des trames HDLC </t>
  </si>
  <si>
    <t>HO   Non finalisé entre 219 et 320</t>
  </si>
  <si>
    <t xml:space="preserve"> pas de retransmission des trames HDLC</t>
  </si>
  <si>
    <t>Selon notre analyse, nous avons constaté que le HO est  Non finalisé entre 212 et 311  ,les conditions radio étaient bonne avant la déconnexion,La requete de deconnexion a ete envoyé par le bord/ retransmission des trames HDLC, mauvais ecart de la rame</t>
  </si>
  <si>
    <t>HO   Non finalisé entre 212 et 311</t>
  </si>
  <si>
    <t xml:space="preserve">Selon notre analyse, nous avons constaté qu'il y avait un recul HO de 302 vers 202 ,les conditions radio étaient mauvaises avant la déconnexion,La requete de deconnexion a ete envoyé par le RBC suite au retransmission des trames HDLC </t>
  </si>
  <si>
    <t xml:space="preserve">Selon notre analyse, nous avons constaté que le HO est complet entre 202 et 201 ,les conditions radio étaient mauvaises avant la déconnexion,La requete de deconnexion a ete envoyé par le RBC suite au retransmission des trames HDLC </t>
  </si>
  <si>
    <t>HO  complet entre 201 et 201</t>
  </si>
  <si>
    <t xml:space="preserve">Selon notre analyse, nous avons constaté que le HO est non finalisé entre 203 et 302 ,les conditions radio étaient mauvaises avant la déconnexion,La requete de deconnexion a ete envoyé par le RBC suite au retransmission des trames HDLC </t>
  </si>
  <si>
    <t xml:space="preserve">Selon notre analyse, nous avons constaté que le HO est non finalisé entre 223 et 222 ,les conditions radio étaient mauvaises avant la déconnexion,La requete de deconnexion a ete envoyé par le RBC suite au retransmission des trames HDLC </t>
  </si>
  <si>
    <t>HO Non finalisé entre 223 et 222</t>
  </si>
  <si>
    <t>Le train s’est déconnecté suite à une erreur de lecture de la balise (M_ERROR) lors de la transition du niveau 1 vers niveau 2 ce qui a déclenché la requête de déconnexion par le train, la dernière balise lue est la 810, pas de visibilité sur les conditions radio car l’appel était en cours d’établissement. Suite à la déconnexion, il s’est déconnecté deux fois supplémentaires (les conditions radio étaient conformes), initiés par le bord, pendant cette période pas de visibilité sur l’état ERTMS de la rame, toutefois il s’est reconnecté en mode post-trip.</t>
  </si>
  <si>
    <t>A définir</t>
  </si>
  <si>
    <t>En attente d'analyse les traces DRU/JRU</t>
  </si>
  <si>
    <t xml:space="preserve">Selon notre analyse, nous avons constaté que le HO est  finalisé entre 202 et 303,les conditions radio étaient mauvaises avant la déconnexion,La requete de deconnexion a ete envoyé par le RBC suite au retransmission des trames HDLC </t>
  </si>
  <si>
    <t>HO complet ntre 202 et 303</t>
  </si>
  <si>
    <t xml:space="preserve">Selon notre analyse, nous avons constaté que le HO est  finalisé entre 202 et 303,les conditions radio étaient mauvaises avant la déconnexion,La requete de deconnexion a ete envoyé par le RBC pas de retransmission des trames HDLC </t>
  </si>
  <si>
    <t xml:space="preserve"> Pas retransmission des trames HDLC*5</t>
  </si>
  <si>
    <t xml:space="preserve">Selon notre analyse, nous avons constaté que le HO est  finalisé entre 202 et 201,les conditions radio étaient mauvaises avant la déconnexion,La requete de deconnexion a ete envoyé par le RBC pas de retransmission des trames HDLC </t>
  </si>
  <si>
    <t>HO complet ntre 202 et 201</t>
  </si>
  <si>
    <t xml:space="preserve">Selon notre analyse, nous avons constaté que le HO est  complet entre 329 et 330,les conditions radio étaient mauvaises avant la déconnexion,La requete de deconnexion a ete envoyé par le RBC suite au retransmission des trames HDLC </t>
  </si>
  <si>
    <t>HO  complet entre 329et 330</t>
  </si>
  <si>
    <t xml:space="preserve">Selon notre analyse, nous avons constaté que le HO est  HO non finalisé  entre 220 et 319  ,les conditions radio étaient mauvaises avant la déconnexion,La requete de deconnexion a ete envoyé par le BORD suite au retransmission des trames HDLC </t>
  </si>
  <si>
    <t>HO non finalisé entre 220 et 319</t>
  </si>
  <si>
    <t xml:space="preserve">Selon notre analyse, nous avons constaté que le HO est  HO finalisé  entre 302 et 203  ,les conditions radio étaient mauvaises avant la déconnexion,La requete de deconnexion a ete envoyé par le RBC suite au retransmission des trames HDLC </t>
  </si>
  <si>
    <t>HO finalisé entre 302 et 203</t>
  </si>
  <si>
    <t xml:space="preserve">Selon notre analyse, nous avons constaté que le HO est  HO finalisé  entre 202 et 303  ,les conditions radio étaient mauvaises avant la déconnexion,La requete de deconnexion a ete envoyé par le RBC suite au retransmission des trames HDLC </t>
  </si>
  <si>
    <t xml:space="preserve">Selon notre analyse, nous avons constaté que le HO est  Non finalisé  entre 212 et 213  ,les conditions radio étaient mauvaises avant la déconnexion,La requete de deconnexion a ete envoyé par le RBC suite au retransmission des trames HDLC </t>
  </si>
  <si>
    <t>HO non finalisé entre 212 et 213</t>
  </si>
  <si>
    <t xml:space="preserve">Selon notre analyse, nous avons constaté que le HO est  finalisé entre 202 et 203 ,les conditions radio étaient mauvaises avant la déconnexion,La requete de deconnexion a ete envoyé par le RBC suite au retransmission des trames HDLC </t>
  </si>
  <si>
    <t>RAC 4,125</t>
  </si>
  <si>
    <t>GSMR 34/33</t>
  </si>
  <si>
    <t xml:space="preserve">Selon notre analyse, nous avons constaté que le HO est  finalisé entre 99 et 333,les conditions radio étaient mauvaises avant la déconnexion,La requete de deconnexion a ete envoyé par le Bord suite au retransmission des trames HDLC </t>
  </si>
  <si>
    <t xml:space="preserve">Selon notre analyse, nous avons constaté que le HO est  finalisé entre 232 et 233,les conditions radio étaient bonnes avant la déconnexion,La requete de deconnexion a ete envoyé par le RBC suite au retransmission des trames HDLC </t>
  </si>
  <si>
    <t>HO non finalisé entre 232 et 233</t>
  </si>
  <si>
    <t xml:space="preserve">Selon notre analyse, nous avons constaté que le HO est finalisé entre 303 et 302,les conditions radio étaient bonnes avant la déconnexion,La requete de deconnexion a ete envoyé par le RBC suite au retransmission des trames HDLC </t>
  </si>
  <si>
    <t xml:space="preserve">Selon notre analyse, nous avons constaté que le HO est   finalisé entre 214 et 215,les conditions radio étaient bonnes avant la déconnexion,La requete de deconnexion a ete envoyé par le RBC suite au retransmission des trames HDLC </t>
  </si>
  <si>
    <t>HO finalisé entre 214 et 215</t>
  </si>
  <si>
    <t xml:space="preserve">Selon notre analyse, nous avons constaté que le HO est   finalisé entre 203 et 302,les conditions radio étaient mauvaises avant la déconnexion,La requete de deconnexion a ete envoyé par le RBC sans retransmission des trames HDLC </t>
  </si>
  <si>
    <t>HO finalisé entre 203 et 302</t>
  </si>
  <si>
    <t xml:space="preserve">Selon notre analyse, nous avons constaté que le HO est  HO finalisé  entre 203 et 302  ,les conditions radio étaient mauvaises avant la déconnexion,La requete de deconnexion a ete envoyé par le RBC suite au retransmission des trames HDLC </t>
  </si>
  <si>
    <t xml:space="preserve">Selon notre analyse, nous avons constaté que le HO est   finalisé entre 202 et 303,les conditions radio étaient mauvaises avant la déconnexion,La requete de deconnexion a ete envoyé par le RBC suite au retransmission des trames HDLC </t>
  </si>
  <si>
    <t xml:space="preserve">Selon notre analyse, nous avons constaté que le HO est   finalisé entre 234 et 333,les conditions radio étaient bonnes avant la déconnexion,La requete de deconnexion a ete envoyé par le bord sans retransmission des trames HDLC </t>
  </si>
  <si>
    <t>Analyse des relevés JRU/DRU en cours</t>
  </si>
  <si>
    <t>HO finalisé entre 234 et 333</t>
  </si>
  <si>
    <t xml:space="preserve">Selon notre analyse, nous avons constaté que le HO est   finalisé entre 302 et 301,les conditions radio étaient mauvaisees avant la déconnexion,La requete de deconnexion a ete envoyé par le RBC suite au retransmission des trames HDLC </t>
  </si>
  <si>
    <t>Les derniers résultats de la vérification chaine antennaire conformes
Présence d'interférences externes  au niveau du GSMR_02/03
Probléme GSMR</t>
  </si>
  <si>
    <t>HO complet entre 302 et 301</t>
  </si>
  <si>
    <t>dl rx level= 69</t>
  </si>
  <si>
    <t xml:space="preserve">Selon notre analyse, nous avons constaté que le HO est  finalisé entre 203 et 302,les conditions radio étaient mauvaisees avant la déconnexion,,La requete de deconnexion a ete envoyé par le Bord suite au retransmission des trames HDLC </t>
  </si>
  <si>
    <t>dl rx level= 57</t>
  </si>
  <si>
    <t xml:space="preserve">Selon notre analyse, nous avons constaté que le HO est  non finalisé entre 202 et 301,les conditions radio étaient mauvaisees avant la déconnexion,,La requete de deconnexion a ete envoyé par le RBC suite au retransmission des trames HDLC </t>
  </si>
  <si>
    <t>dl rx level= 62</t>
  </si>
  <si>
    <t xml:space="preserve">Selon notre analyse, nous avons constaté que le HO est  finalisé entre 303 et 302,les conditions radio étaient mauvaisees avant la déconnexion,,La requete de deconnexion a ete envoyé par le RBC suite au retransmission des trames HDLC </t>
  </si>
  <si>
    <t>dl rx level= 77</t>
  </si>
  <si>
    <t xml:space="preserve">Selon notre analyse, nous avons constaté que le HO est  Non finalisé entre 330 et 329,les conditions radio étaient Bonnes avant la déconnexion,,La requete de deconnexion a ete envoyé par le RBC suite au retransmission des trames HDLC </t>
  </si>
  <si>
    <t>HO Non finalisé entre 330 et 329</t>
  </si>
  <si>
    <t xml:space="preserve">Selon notre analyse, nous avons constaté que le HO est  finalisé entre 202 et 303,les conditions radio étaient mauvaises avant la déconnexion,,La requete de deconnexion a ete envoyé par le RBC suite au retransmission des trames HDLC </t>
  </si>
  <si>
    <t xml:space="preserve">Selon notre analyse, nous avons constaté que le HO est  non finalisé entre 207 et 305,les conditions radio étaient mauvaises avant la déconnexion,,La requete de deconnexion a ete envoyé par le Bord suite au retransmission des trames HDLC </t>
  </si>
  <si>
    <t>HO non finalisé entre 207 et 305</t>
  </si>
  <si>
    <t>dl rx level= -91</t>
  </si>
  <si>
    <t xml:space="preserve">Selon notre analyse, nous avons constaté que le HO finalisé entre 224 et 225,les conditions radio étaient bonnes avant la déconnexion,La requete de deconnexion a ete envoyé par le RBC sans retransmission des trames HDLC </t>
  </si>
  <si>
    <t xml:space="preserve"> Pas retransmission des trames HDLC</t>
  </si>
  <si>
    <r>
      <rPr>
        <sz val="11"/>
        <color theme="1"/>
        <rFont val="Aptos"/>
        <family val="2"/>
      </rPr>
      <t>Selon notre analyse, nous avons constaté que le HO est  non finalisé entre 207 et 208,les conditions radio étaient mauvaises avant la déconnexion,La requete de deconnexion a ete envoyé par le</t>
    </r>
    <r>
      <rPr>
        <sz val="11"/>
        <color rgb="FFFF0000"/>
        <rFont val="Aptos"/>
        <family val="2"/>
      </rPr>
      <t xml:space="preserve"> </t>
    </r>
    <r>
      <rPr>
        <sz val="11"/>
        <color theme="1"/>
        <rFont val="Aptos"/>
        <family val="2"/>
      </rPr>
      <t>RBC</t>
    </r>
    <r>
      <rPr>
        <sz val="11"/>
        <color rgb="FFFF0000"/>
        <rFont val="Aptos"/>
        <family val="2"/>
      </rPr>
      <t xml:space="preserve"> </t>
    </r>
    <r>
      <rPr>
        <sz val="11"/>
        <color theme="1"/>
        <rFont val="Aptos"/>
        <family val="2"/>
      </rPr>
      <t xml:space="preserve">suite au retransmission des trames HDLC </t>
    </r>
  </si>
  <si>
    <t>HO  non finalisé entre 207 et 208</t>
  </si>
  <si>
    <t>dl rx level= -92</t>
  </si>
  <si>
    <t xml:space="preserve">Selon notre analyse, nous avons constaté que le HO  Complet entre 302 et 303,les conditions radio étaient mauvaises avant la déconnexion,La requete de deconnexion a ete envoyé par le RBC  suite au retransmission des trames HDLC </t>
  </si>
  <si>
    <t>HO  Complet entre 302 et 303</t>
  </si>
  <si>
    <r>
      <rPr>
        <sz val="11"/>
        <color theme="1"/>
        <rFont val="Aptos"/>
        <family val="2"/>
      </rPr>
      <t>Selon notre analyse, nous avons constaté que le HO non finalisé entre 320 et 321,les conditions radio étaient mauvaises avant la déconnexion,La requete de deconnexion a ete envoyé par le RBC</t>
    </r>
    <r>
      <rPr>
        <sz val="11"/>
        <color rgb="FFFF0000"/>
        <rFont val="Aptos"/>
        <family val="2"/>
      </rPr>
      <t xml:space="preserve"> </t>
    </r>
    <r>
      <rPr>
        <sz val="11"/>
        <color theme="1"/>
        <rFont val="Aptos"/>
        <family val="2"/>
      </rPr>
      <t xml:space="preserve">suite au retransmission des trames HDLC </t>
    </r>
  </si>
  <si>
    <t>HO non finalisé entre 320 et 321</t>
  </si>
  <si>
    <t xml:space="preserve">Selon notre analyse, nous avons constaté que le HO  non finalisé entre 223 et 322,les conditions radio étaient mauvaises avant la déconnexion,La requete de deconnexion a ete envoyé par le RBC sans retransmission des trames HDLC </t>
  </si>
  <si>
    <t>HO non finalisé entre 223 et 322</t>
  </si>
  <si>
    <t xml:space="preserve">Selon notre analyse, nous avons constaté que le HO Complet entre 231 et 229,les conditions radio étaient mauvaises avant la déconnexion,La requete de deconnexion a ete envoyé par le RBC suite au retransmission des trames HDLC </t>
  </si>
  <si>
    <t>HO  Complet entre 231 et 229</t>
  </si>
  <si>
    <r>
      <rPr>
        <sz val="11"/>
        <color theme="1"/>
        <rFont val="Aptos"/>
        <family val="2"/>
      </rPr>
      <t>Selon notre analyse, nous avons constaté que le HO Complet entre 202 et 203,les conditions radio étaient mauvaises avant la déconnexion,La requete de deconnexion a ete envoyé par le Bord</t>
    </r>
    <r>
      <rPr>
        <sz val="11"/>
        <color rgb="FFFF0000"/>
        <rFont val="Aptos"/>
        <family val="2"/>
      </rPr>
      <t xml:space="preserve"> </t>
    </r>
    <r>
      <rPr>
        <sz val="11"/>
        <color theme="1"/>
        <rFont val="Aptos"/>
        <family val="2"/>
      </rPr>
      <t xml:space="preserve">suite au retransmission des trames HDLC </t>
    </r>
  </si>
  <si>
    <t>HO  Complet entre 202 et 203</t>
  </si>
  <si>
    <r>
      <rPr>
        <sz val="11"/>
        <color theme="1"/>
        <rFont val="Aptos"/>
        <family val="2"/>
      </rPr>
      <t>Selon notre analyse, nous avons constaté que le HO Complet entre 329 et 230,les conditions radio étaient mauvaises avant la déconnexion,La requete de deconnexion a ete envoyé par le RBC sans retransmission des trames</t>
    </r>
    <r>
      <rPr>
        <sz val="11"/>
        <color rgb="FFFF0000"/>
        <rFont val="Aptos"/>
        <family val="2"/>
      </rPr>
      <t xml:space="preserve"> </t>
    </r>
    <r>
      <rPr>
        <sz val="11"/>
        <color theme="1"/>
        <rFont val="Aptos"/>
        <family val="2"/>
      </rPr>
      <t xml:space="preserve">HDLC </t>
    </r>
  </si>
  <si>
    <t>HO  Complet entre 329 et 230</t>
  </si>
  <si>
    <r>
      <rPr>
        <sz val="11"/>
        <color theme="1"/>
        <rFont val="Aptos"/>
        <family val="2"/>
      </rPr>
      <t>Selon notre analyse, nous avons constaté que le HO  non finalisé entre 201 et 303,les conditions radio étaient bonnes avant la déconnexion,La requete de deconnexion a ete envoyé par le Bord</t>
    </r>
    <r>
      <rPr>
        <sz val="11"/>
        <color rgb="FFFF0000"/>
        <rFont val="Aptos"/>
        <family val="2"/>
      </rPr>
      <t xml:space="preserve"> </t>
    </r>
    <r>
      <rPr>
        <sz val="11"/>
        <color theme="1"/>
        <rFont val="Aptos"/>
        <family val="2"/>
      </rPr>
      <t xml:space="preserve">suite au retransmission des trames HDLC </t>
    </r>
  </si>
  <si>
    <t>HO  non finalisé entre 201 et 303</t>
  </si>
  <si>
    <t xml:space="preserve">Selon notre analyse, nous avons constaté que le HO est finalisé entre 218 et 219,La requete de deconnexion a ete envoyé par le RBC suite au retransmission des trames HDLC </t>
  </si>
  <si>
    <t xml:space="preserve">Selon notre analyse, nous avons constaté que le HO est  non finalisé entre 219 et 320,les conditions radio étaient mauvaises avant la déconnexion,,La requete de deconnexion a ete envoyé par le Bord sans retransmission des trames HDLC </t>
  </si>
  <si>
    <t>HO  non finalisé entre 219 et 320</t>
  </si>
  <si>
    <t xml:space="preserve">Selon notre analyse, nous avons constaté que le HO est  complet entre 219 et 217,les conditions radio étaient mauvaises avant la déconnexion,,La requete de deconnexion a ete envoyé par le RBC avec retransmission des trames HDLC </t>
  </si>
  <si>
    <t>HO  Complet entre 219 et 217</t>
  </si>
  <si>
    <t xml:space="preserve">Selon notre analyse, nous avons constaté que le HO est  non finalisé entre 219 et 320,les conditions radio étaient mauvaises avant la déconnexion,,La requete de deconnexion a ete envoyé par le Bord avec retransmission des trames HDLC </t>
  </si>
  <si>
    <t xml:space="preserve">Selon notre analyse, nous avons constaté que le HO est  non finalisé entre 224 et 323 (HO Recul), les conditions radio étaient bonnes avant la déconnexion,,La requete de deconnexion a ete envoyé par le Bord sans retransmission des trames HDLC </t>
  </si>
  <si>
    <t>HO  non finalisé entre 224 et 323</t>
  </si>
  <si>
    <t xml:space="preserve">Selon notre analyse,les conditions radio étaient bonnes avant la déconnexion, mais le voisinage était absent, ce qui a engendré la déconnexion, La requete de deconnexion a ete envoyé par le Bord sans retransmission des trames HDLC </t>
  </si>
  <si>
    <t xml:space="preserve">Selon notre analyse, nous avons constaté que le HO  non finalisé entre 207 et 308 (HO recul du 306 --&gt; 207), les conditions radio étaient mauvaises avant la déconnexion,La requete de deconnexion a ete envoyé par le Bord avec retransmission des trames HDLC </t>
  </si>
  <si>
    <t>HO  non finalisé entre 207 et 308</t>
  </si>
  <si>
    <t xml:space="preserve">Selon notre analyse, nous avons constaté que le  HO Complet entre 202 et 201,les conditions radio étaient bonnes avant la déconnexion,La requete de deconnexion a ete envoyé par le RBC avec retransmission des trames HDLC </t>
  </si>
  <si>
    <t> HO Complet entre 202 et 201</t>
  </si>
  <si>
    <t xml:space="preserve">Selon notre analyse, nous avons constaté que le  HO Complet entre 202 et 203,les conditions radio étaient mauvais  avant la déconnexion,La requete de deconnexion a ete envoyé par le RBC avec retransmission des trames HDLC </t>
  </si>
  <si>
    <t> HO Complet entre 202 et 203</t>
  </si>
  <si>
    <t xml:space="preserve">Selon notre analyse, nous avons constaté que le  HO Complet entre 202 et 203,les conditions radio étaient mauvaises avant la déconnexion,La requete de deconnexion a ete envoyé par le RBC avec retransmission des trames HDLC </t>
  </si>
  <si>
    <t xml:space="preserve">Selon notre analyse, nous avons constaté que le HO est  non finalisé entre 302 et 303, les conditions radio étaient mauvaises avant la déconnexion,,La requete de deconnexion a ete envoyé par le RBC avec retransmission des trames HDLC </t>
  </si>
  <si>
    <t>HO  non finalisé entre 302 et 303</t>
  </si>
  <si>
    <t xml:space="preserve">Selon notre analyse, nous avons constaté que le  HO Complet entre 202 et 203,les conditions radio étaient mauvaises avant la déconnexion,La requete de deconnexion a ete envoyé par le RBC sans retransmission des trames HDLC </t>
  </si>
  <si>
    <t xml:space="preserve">Selon notre analyse, nous avons constaté que le  HO Complet entre 224 et 225,les conditions radio étaient bonnes avant la déconnexion,La requete de deconnexion a ete envoyé par le RBC sans retransmission des trames HDLC </t>
  </si>
  <si>
    <t> HO Complet entre 224 et 225</t>
  </si>
  <si>
    <t xml:space="preserve">Selon notre analyse, nous avons constaté que le HO est  non finalisé entre 233 et 332, les conditions radio étaient mauvaises avant la déconnexion (UL Rxqual = 7),La requete de deconnexion a ete envoyé par le RBC avec retransmission des trames HDLC </t>
  </si>
  <si>
    <t>HO  non finalisé entre 233 et 332</t>
  </si>
  <si>
    <t xml:space="preserve">Selon notre analyse, nous avons constaté que le HO est non finalisét entre 320 et 319,les conditions radio étaient mauvaises avant la déconnexion,La requete de deconnexion a ete envoyé par le RBC avec retransmission des trames HDLC </t>
  </si>
  <si>
    <t>Opération d'optimisation réalisée le 10/07 vers 12:55 par le SOR; zone sous surveillance par le NOC</t>
  </si>
  <si>
    <t>HO  non finalisé entre  320 et 319</t>
  </si>
  <si>
    <t xml:space="preserve"> 16:46:29</t>
  </si>
  <si>
    <t xml:space="preserve">Selon notre analyse, nous avons constaté que le  HO est non finalisé entre 203 et 302,les conditions radio étaient mauvaises avant la déconnexion,La requete de deconnexion a ete envoyé par le Bord avec retransmission des trames HDLC </t>
  </si>
  <si>
    <t>HO  non finalisé entre 203 et 302</t>
  </si>
  <si>
    <t xml:space="preserve">Selon notre analyse, nous avons constaté que le  HO non finalisé entre 202 et 203,les conditions radio étaient mauvaises avant la déconnexion,La requete de deconnexion a ete envoyé par le RBC avec retransmission des trames HDLC </t>
  </si>
  <si>
    <t> HO non finalisé 202 et 203</t>
  </si>
  <si>
    <t xml:space="preserve">Selon notre analyse, nous avons constaté que le  HO non finalisé entre 326 et 225,les conditions radio étaient mauvaises avant la déconnexion,La requete de deconnexion a ete envoyé par le RBC avec retransmission des trames HDLC </t>
  </si>
  <si>
    <t>HO non finalisé entre 326 et 225</t>
  </si>
  <si>
    <t xml:space="preserve">Selon notre analyse, nous avons constaté que le  HO Complet entre 303 et 302,les conditions radio étaient mauvaises avant la déconnexion,La requete de deconnexion a ete envoyé par le RBC avec retransmission des trames HDLC </t>
  </si>
  <si>
    <t> HO Complet entre 303 et 302</t>
  </si>
  <si>
    <t xml:space="preserve">Selon notre analyse, nous avons constaté que le  HO Non finalisé entre 207 et 305,les conditions radio étaient mauvaises avant la déconnexion,La requete de deconnexion a ete envoyé par le bord avec retransmission des trames HDLC </t>
  </si>
  <si>
    <t> HO Non finalisé entre 207 et 305</t>
  </si>
  <si>
    <t xml:space="preserve">Selon notre analyse, nous avons constaté que le  HO Complet entre 302 et 203,les conditions radio étaient mauvaises avant la déconnexion,La requete de deconnexion a ete envoyé par le RBC avec retransmission des trames HDLC </t>
  </si>
  <si>
    <t> HO Complet entre 302 et 203</t>
  </si>
  <si>
    <t xml:space="preserve">Selon notre analyse, nous avons constaté que le HO est complet entre 202 et 203,les conditions radio étaient mauvaises avant la déconnexion,La requete de deconnexion a ete envoyé par le RBC avec retransmission des trames HDLC </t>
  </si>
  <si>
    <t> HO Complet entre 202 et 203</t>
  </si>
  <si>
    <t>dl rx level=-79</t>
  </si>
  <si>
    <t xml:space="preserve">Selon notre analyse, nous avons constaté que le  HO Non finalisé entre 223 et 322,les conditions radio étaient mauvaises avant la déconnexion,La requete de deconnexion a ete envoyé par le bord sans retransmission des trames HDLC </t>
  </si>
  <si>
    <t> HO Non finalisé entre 223 et 322</t>
  </si>
  <si>
    <t>dl rx level=-65</t>
  </si>
  <si>
    <t xml:space="preserve">Selon notre analyse, nous avons constaté que le HO est Non finalise  entre 303 et 202,les conditions radio étaient mauvaises avant la déconnexion,La requete de deconnexion a ete envoyé par le bord avec retransmission des trames HDLC </t>
  </si>
  <si>
    <t> HO Non finalisé entre 303 et 202</t>
  </si>
  <si>
    <t>dl rx level=-67</t>
  </si>
  <si>
    <t xml:space="preserve">Selon notre analyse, nous avons constaté que le HO est Non finalise  entre 222 et 323,les conditions radio étaient mauvaises avant la déconnexion,La requete de deconnexion a ete envoyé par le bord avec retransmission des trames HDLC </t>
  </si>
  <si>
    <t> HO Non finalisé entre 222 et 323</t>
  </si>
  <si>
    <t>dl rx level=-82</t>
  </si>
  <si>
    <t xml:space="preserve">Selon notre analyse, nous avons constaté que le HO est complet entre 303 et 302,les conditions radio étaient mauvaises avant la déconnexion,La requete de deconnexion a ete envoyé par le RBC avec retransmission des trames HDLC </t>
  </si>
  <si>
    <t>dl rx level=-69</t>
  </si>
  <si>
    <t xml:space="preserve">Selon notre analyse, nous avons constaté que le HO est Non finalisé  entre 327 et 326,les conditions radio étaient mauvaises avant la déconnexion,La requete de deconnexion a ete envoyé par le RBC /Pas de  retransmission des trames HDLC </t>
  </si>
  <si>
    <t> HO Non finalisé entre 327 et 326</t>
  </si>
  <si>
    <t>dl rx level=-58</t>
  </si>
  <si>
    <t xml:space="preserve">Selon notre analyse, nous avons constaté que le HO est complet entre 219 et 320,les conditions radio étaient mauvaises avant la déconnexion,La requete de deconnexion a ete envoyé par le RBC avec retransmission des trames HDLC </t>
  </si>
  <si>
    <t>HO complet entre 219 et 320</t>
  </si>
  <si>
    <t>dl rx level=-60</t>
  </si>
  <si>
    <t xml:space="preserve">Selon notre analyse, nous avons constaté que le HO est complet entre 302 et 203,les conditions radio étaient mauvaises avant la déconnexion,La requete de deconnexion a ete envoyé par le RBC avec retransmission des trames HDLC </t>
  </si>
  <si>
    <t>dl rx level=-74</t>
  </si>
  <si>
    <t>09:45:57 </t>
  </si>
  <si>
    <t>Selon notre analyse, nous avons constaté que le HO est complet entre 321 et 320 ,les conditions radio étaient bonnes  avant la déconnexion,La requete de deconnexion a ete envoyé par le bord sans retransmission des trames</t>
  </si>
  <si>
    <t>Besoin de pousser les analyses coté Bord</t>
  </si>
  <si>
    <t>HO complet entre 321 et 320</t>
  </si>
  <si>
    <t>dl rx level=-48</t>
  </si>
  <si>
    <t>06:05:14 </t>
  </si>
  <si>
    <t xml:space="preserve">Selon notre analyse, nous avons constaté que le  HO non finalisé entre 202 et 203,les conditions radio étaient mauvaises avant la déconnexion,La requete de deconnexion a ete envoyé par le RBC sans retransmission des trames HDLC </t>
  </si>
  <si>
    <t> HO  non finalisé entre 202 et 203</t>
  </si>
  <si>
    <t>dl rx level=-57</t>
  </si>
  <si>
    <t xml:space="preserve">Selon notre analyse, nous avons constaté que le  HO non finalisé entre 302 et 203,les conditions radio étaient mauvaises avant la déconnexion,La requete de deconnexion a ete envoyé par le RBC sans retransmission des trames HDLC </t>
  </si>
  <si>
    <t> HO  non finalisé entre 302 et 203</t>
  </si>
  <si>
    <t>dl rx level=-49</t>
  </si>
  <si>
    <t xml:space="preserve">Selon notre analyse, nous avons constaté que le  HO non finalisé entre 212 et 213,les conditions radio étaient mauvaises avant la déconnexion,La requete de deconnexion a ete envoyé par le RBC avec retransmission des trames HDLC </t>
  </si>
  <si>
    <t> HO  non finalisé entre 212 et 213</t>
  </si>
  <si>
    <t>dl rx level=-70</t>
  </si>
  <si>
    <t xml:space="preserve">Selon notre analyse, nous avons constaté que le  HO non finalisé entre 219 et 220,les conditions radio étaient mauvaises avant la déconnexion,La requete de deconnexion a ete envoyé par le bord avec retransmission des trames HDLC </t>
  </si>
  <si>
    <t> HO  non finalisé entre 219 et 220</t>
  </si>
  <si>
    <t xml:space="preserve">Selon notre analyse, nous avons constaté que le  HO non finalisé entre 217 et316,les conditions radio étaient mauvaises avant la déconnexion,La requete de deconnexion a ete envoyé par le bord sans retransmission des trames HDLC </t>
  </si>
  <si>
    <t> HO  non finalisé entre 217 et 316</t>
  </si>
  <si>
    <t xml:space="preserve">Selon notre analyse, nous avons constaté que le HO  non finalisé entre 219 et 320,les conditions radio étaient mauvaises avant la déconnexion,La requete de deconnexion a ete envoyé par le bord sans retransmission des trames HDLC </t>
  </si>
  <si>
    <t> HO  non finalisé entre 219 et 320</t>
  </si>
  <si>
    <t>dl Rxqual=8</t>
  </si>
  <si>
    <t>dl rx level=-87</t>
  </si>
  <si>
    <t xml:space="preserve">Selon notre analyse, nous avons constaté que le HO complet entre 213 et 214,les conditions radio étaient bonne avant la déconnexion,La requete de deconnexion a ete envoyé par le RBC sans retransmission des trames HDLC </t>
  </si>
  <si>
    <t> HO  Complete entre 213 et 214</t>
  </si>
  <si>
    <t xml:space="preserve">Selon notre analyse, nous avons constaté que le HO  non finalisé entre 217 et 318,les conditions radio étaient mauvaises avant la déconnexion,La requete de deconnexion a ete envoyé par le bord avec retransmission des trames HDLC </t>
  </si>
  <si>
    <t> HO  non finalisé entre 217 et 318</t>
  </si>
  <si>
    <t xml:space="preserve">Selon notre analyse, nous avons constaté que le HO  complet entre 224 et 225,les conditions radio étaient bonnes avant la déconnexion,La requete de deconnexion a ete envoyé par le RBC sans retransmission des trames HDLC </t>
  </si>
  <si>
    <t> HO complet entre 224 et 225</t>
  </si>
  <si>
    <t>dl rx level=-68</t>
  </si>
  <si>
    <t xml:space="preserve">Selon notre analyse, nous avons constaté que le HO  complet entre 231 et 329,les conditions radio étaient mauvais avant la déconnexion,La requete de deconnexion a ete envoyé par le RBC avec retransmission des trames HDLC </t>
  </si>
  <si>
    <t> HO complet entre 231 et 329</t>
  </si>
  <si>
    <t>dl rx level=-63</t>
  </si>
  <si>
    <t>Aucune anomalie constatée suite à l’analyse du relevé JRU Présence d'interférences externes</t>
  </si>
  <si>
    <t> HO  non finalisé entre 318 et 217</t>
  </si>
  <si>
    <t>dl rx level=-78</t>
  </si>
  <si>
    <t xml:space="preserve">Selon notre analyse, nous avons constaté que le HO  non finalisé entre  318et 217 ,les conditions radio étaient mauvaises avant la déconnexion,La requete de deconnexion a ete envoyé par le bord avec retransmission des trames HDLC </t>
  </si>
  <si>
    <t>dl rx level=-61</t>
  </si>
  <si>
    <t xml:space="preserve">Selon notre analyse, nous avons constaté que le HO  non finalisé entre  303 et 302,les conditions radio étaient mauvaises avant la déconnexion,La requete de deconnexion a ete envoyé par le RBC, sans retransmission des trames HDLC </t>
  </si>
  <si>
    <t> HO  non finalisé entre 303 et 302</t>
  </si>
  <si>
    <t>dl rx level=-54</t>
  </si>
  <si>
    <t>Pas de  retransmission des trames HDLC</t>
  </si>
  <si>
    <t xml:space="preserve">Selon notre analyse, nous avons constaté que le HO  Complete entre 203 et 202 ,les conditions radio étaient bonne avant la déconnexion,La requete de deconnexion a ete envoyé par le RBC avec retransmission des trames HDLC </t>
  </si>
  <si>
    <t> HO  complet entre 203 et 202</t>
  </si>
  <si>
    <t>dl rx level=-110</t>
  </si>
  <si>
    <t xml:space="preserve">Selon notre analyse, nous avons constaté que le HO  non finalisé entre  303 et 202 ,les conditions radio étaient mauvaises avant la déconnexion,La requete de deconnexion a ete envoyé par le bord avec retransmission des trames HDLC </t>
  </si>
  <si>
    <t xml:space="preserve">Selon notre analyse, nous avons constaté que le  HO  finalisé entre 212 et 213,les conditions radio étaient mauvaises avant la déconnexion,La requete de deconnexion a ete envoyé par le RBC avec retransmission des trames HDLC </t>
  </si>
  <si>
    <t> HO   finalisé entre 212 et 213</t>
  </si>
  <si>
    <t xml:space="preserve">Selon notre analyse, nous avons constaté que le  HO  finalisé entre 219 et 220,les conditions radio étaient mauvaises avant la déconnexion,La requete de deconnexion a ete envoyé par le bord avec retransmission des trames HDLC </t>
  </si>
  <si>
    <t> HO   finalisé entre 219 et 220</t>
  </si>
  <si>
    <t> 10:15:10</t>
  </si>
  <si>
    <t xml:space="preserve">Selon notre analyse, nous avons constaté que le  HO  finalisé entre 208 et 209,les conditions radio étaient bonnes avant la déconnexion,La requete de deconnexion a ete envoyé par le RBC avec retransmission des trames HDLC </t>
  </si>
  <si>
    <t>HO non finalisé entre 208 et 209</t>
  </si>
  <si>
    <t>dl rx level=-77</t>
  </si>
  <si>
    <t> 15:39:53</t>
  </si>
  <si>
    <t xml:space="preserve">Selon notre analyse, nous avons constaté que le  HO  finalisé entre 323 et 322,les conditions radio étaient bonnes avant la déconnexion,La requete de deconnexion a ete envoyé par le RBC avec retransmission des trames HDLC </t>
  </si>
  <si>
    <t>HO non finalisé entre 323 et 322</t>
  </si>
  <si>
    <t>dl rx level=-75</t>
  </si>
  <si>
    <t xml:space="preserve">Selon notre analyse, nous avons constaté que le  HO  finalisé entre 309 et 308,les conditions radio étaient bonnes avant la déconnexion,La requete de deconnexion a ete envoyé par le Bord avec retransmission des trames HDLC </t>
  </si>
  <si>
    <t>HO non finalisé entre 309 et 308</t>
  </si>
  <si>
    <t>GSMR_12/13</t>
  </si>
  <si>
    <t> HO  finalisé entre 212 et 213</t>
  </si>
  <si>
    <t xml:space="preserve">Selon notre analyse, nous avons constaté que le  HO non finalisé entre 226  et 227,les conditions radio étaient mauvaises avant la déconnexion,La requete de deconnexion a ete envoyé par le RBC avec retransmission des trames HDLC </t>
  </si>
  <si>
    <t> HO non finalisé entre 226 et 227</t>
  </si>
  <si>
    <t>dl rx level=-71</t>
  </si>
  <si>
    <t xml:space="preserve">Selon notre analyse, nous avons constaté que le HO  non finalisé entre 318 et 217,les conditions radio étaient mauvaises avant la déconnexion,La requete de deconnexion a ete envoyé par le bord avec retransmission des trames HDLC </t>
  </si>
  <si>
    <t xml:space="preserve">Selon notre analyse, nous avons constaté que le HO  non finalisé entre 219 et 320,les conditions radio étaient mauvaises avant la déconnexion,La requete de deconnexion a ete envoyé par le bord avec retransmission des trames HDLC </t>
  </si>
  <si>
    <t>dl rx level=-81</t>
  </si>
  <si>
    <t xml:space="preserve">Selon notre analyse, nous avons constaté que le HO  Complete entre 301 et 302 ,les conditions radio étaient mauvaises avant la déconnexion,La requete de deconnexion a ete envoyé par le RBC avec retransmission des trames HDLC </t>
  </si>
  <si>
    <t> HO  Complet entre 301 et 302</t>
  </si>
  <si>
    <t>dl rx level=-59</t>
  </si>
  <si>
    <t xml:space="preserve">Selon notre analyse, nous avons constaté que le HO  Complet entre 303 et 302,les conditions radio étaient Mauvaise avant la déconnexion,La requete de deconnexion a ete envoyé par le Rbc avec retransmission des trames HDLC </t>
  </si>
  <si>
    <t> HO  Complet entre 303 et 302</t>
  </si>
  <si>
    <t xml:space="preserve">Selon notre analyse, nous avons constaté que le HO  Complet entre 303 et 302,les conditions radio étaient Bonnes avant la déconnexion,La requete de deconnexion a ete envoyé par le Rbc avec retransmission des trames HDLC </t>
  </si>
  <si>
    <t xml:space="preserve">Selon notre analyse, nous avons constaté que le HO  Complet entre 302 et 203,les conditions radio étaient Mauvaise avant la déconnexion,La requete de deconnexion a ete envoyé par le Rbc avec retransmission des trames HDLC </t>
  </si>
  <si>
    <t> HO  Complet entre 302 et 203</t>
  </si>
  <si>
    <t xml:space="preserve">Selon notre analyse, nous avons constaté que le HO  Non finalisé entre 323 et 324,les conditions radio étaient Bonnes avant la déconnexion,La requete de deconnexion a ete envoyé par le RBC avec retransmission des trames HDLC </t>
  </si>
  <si>
    <t>GSMR / BORD</t>
  </si>
  <si>
    <t>En attente d'un plan d'action optim/en attente de mise en place des tiroires filtrés</t>
  </si>
  <si>
    <t> HO  non finalisé entre 323 et 324</t>
  </si>
  <si>
    <t>dl rx level=-76</t>
  </si>
  <si>
    <t xml:space="preserve">Selon notre analyse, nous avons constaté que le HO  Complet entre 301 et 202,les conditions radio étaient Mauvaise avant la déconnexion,La requete de deconnexion a ete envoyé par le Rbc avec retransmission des trames HDLC </t>
  </si>
  <si>
    <t> HO  Complet entre 301 et 202</t>
  </si>
  <si>
    <t>dl rx level=-50</t>
  </si>
  <si>
    <t xml:space="preserve">Selon notre analyse, nous avons constaté que le HO  Non finalisé entre 202 et 303,les conditions radio étaient Mauvais avant la déconnexion,La requete de deconnexion a ete envoyé par le RBC avec retransmission des trames HDLC </t>
  </si>
  <si>
    <t> HO  non finalisé entre 202 et 303</t>
  </si>
  <si>
    <t>dl rx level=-56</t>
  </si>
  <si>
    <t xml:space="preserve">Selon notre analyse, nous avons constaté que le HO  Non finalisé entre 219 et 320,les conditions radio étaient Mauvais avant la déconnexion,La requete de deconnexion a ete envoyé par le Bord  avec retransmission des trames HDLC </t>
  </si>
  <si>
    <t>dl rx level=-84</t>
  </si>
  <si>
    <t xml:space="preserve">Selon notre analyse, nous avons constaté que le HO  complet entre 220 et 221,les conditions radio étaient bonnes avant la déconnexion,La requete de deconnexion a ete envoyé par le Bord sans retransmission des trames HDLC </t>
  </si>
  <si>
    <t> HO  Complet entre 220 et 221</t>
  </si>
  <si>
    <t xml:space="preserve"> Pas de transmission des trames HDLC</t>
  </si>
  <si>
    <t xml:space="preserve">Selon notre analyse, nous avons constaté que le HO  complet entre 223 et 224,les conditions radio étaient bonnes avant la déconnexion,La requete de deconnexion a ete envoyé par le RBC sans retransmission des trames HDLC </t>
  </si>
  <si>
    <t>RBC/Bord</t>
  </si>
  <si>
    <t>En attente croisement des données entre l'équipe SIG et SIANA</t>
  </si>
  <si>
    <t> HO  Complet entre 223 et 224</t>
  </si>
  <si>
    <t>dl rx level=-73</t>
  </si>
  <si>
    <t>dl rx level=-72</t>
  </si>
  <si>
    <t xml:space="preserve">Selon notre analyse, nous avons constaté que le HO  non finalisé  entre 302 et 203,les conditions radio étaient Mauvaise avant la déconnexion,La requete de deconnexion a ete envoyé par le Bord avec retransmission des trames HDLC  </t>
  </si>
  <si>
    <t xml:space="preserve"> HO  non finalisé  entre 302 et 203</t>
  </si>
  <si>
    <t xml:space="preserve"> Retransmission des trames HDLC*4</t>
  </si>
  <si>
    <t xml:space="preserve">Selon notre analyse, nous avons constaté que le HO  non finalisé entre 219 et 320,les conditionsradio étaient Mauvaise avant la déconnexion,La requete de deconnexion a ete envoyé par le RBC avec retransmission des trames HDLC </t>
  </si>
  <si>
    <t xml:space="preserve"> HO  non finalisé  entre 219 et 320</t>
  </si>
  <si>
    <t xml:space="preserve">Selon notre analyse, nous avons constaté que le HO  non finalisé entre 231et 329,les conditions rradio étaient Mauvaise avant la déconnexion,La requete de deconnexion a ete envoyé par le RBC avec retransmission des trames HDLC </t>
  </si>
  <si>
    <t xml:space="preserve"> HO  non finalisé  entre 231 et 329</t>
  </si>
  <si>
    <t>dl rx level=-62</t>
  </si>
  <si>
    <t xml:space="preserve">Selon notre analyse, nous avons constaté que le HO  non finalisé entre 331et 330,les conditions rradio étaient bonnes avant la déconnexion,La requete de deconnexion a ete envoyé par le RBC avec retransmission des trames HDLC </t>
  </si>
  <si>
    <t xml:space="preserve"> HO  non finalisé  entre  331 et 330</t>
  </si>
  <si>
    <t xml:space="preserve">Selon notre analyse, nous avons constaté que le HO  complet entre 225 et 226,les conditions radio étaient bonnes avant la déconnexion,La requete de deconnexion a ete envoyé par le RBC suite au retransmission des trames HDLC </t>
  </si>
  <si>
    <t>Zone sous surveillance par le noc</t>
  </si>
  <si>
    <t>HO  finalisé entre 225 et 226</t>
  </si>
  <si>
    <t xml:space="preserve">Selon notre analyse, nous avons constaté que le HO  complet entre 212 et 213,les conditions radio étaient Mauvais avant la déconnexion,La requete de deconnexion a ete envoyé par le RBC sans retransmission des trames HDLC </t>
  </si>
  <si>
    <t>HO  finalisé entre 212 et 213</t>
  </si>
  <si>
    <t xml:space="preserve">Selon notre analyse, nous avons constaté que le HO  complet entre 318 et 317,les conditions radio étaient Mauvais avant la déconnexion,La requete de deconnexion a ete envoyé par le RBC avec retransmission des trames HDLC </t>
  </si>
  <si>
    <t xml:space="preserve">Selon notre analyse, nous avons constaté que le HO  non finalisé entre 219 et 320,les conditions radio étaient Mauvaise  avant la déconnexion,La requete de deconnexion a ete envoyé par le bord avec retransmission des trames HDLC </t>
  </si>
  <si>
    <t xml:space="preserve"> HO  non finalisé  entre  219 et 320</t>
  </si>
  <si>
    <t xml:space="preserve">Selon notre analyse, nous avons constaté que le HO  complet entre 303 et 202,les conditions radio étaient Mauvaise  avant la déconnexion,La requete de deconnexion a ete envoyé par le RBC avec retransmission des trames HDLC </t>
  </si>
  <si>
    <t xml:space="preserve">Selon notre analyse, nous avons constaté que le HO  non finalisé entre 222 et 323,les conditions radio étaient Mauvaise  avant la déconnexion,La requete de deconnexion a ete envoyé par le bord /pas de retransmission des trames HDLC </t>
  </si>
  <si>
    <t xml:space="preserve"> HO  non finalisé  entre  222 et 323</t>
  </si>
  <si>
    <t xml:space="preserve">Selon notre analyse, nous avons constaté que le HO  non finalisé entre 207 et 208,les conditions radio étaient mauvaises avant la déconnexion,La requete de deconnexion a ete envoyé par le RBC /Avec  retransmission des trames HDLC </t>
  </si>
  <si>
    <t xml:space="preserve"> HO  non finalisé  entre  207 et 208</t>
  </si>
  <si>
    <t xml:space="preserve">Selon notre analyse, nous avons constaté que le HO  non finalisé entre 330 et 331,les conditions radio étaient Bonne  avant la déconnexion,La requete de deconnexion a ete envoyé par le RBC /Avec  retransmission des trames HDLC </t>
  </si>
  <si>
    <t xml:space="preserve"> HO  non finalisé  entre  330 et 331</t>
  </si>
  <si>
    <t xml:space="preserve">Selon notre analyse, nous avons constaté que le HO  complet entre 213 et 214,les conditions radio étaient Mauvaise  avant la déconnexion,La requete de deconnexion a ete envoyé par le RBC sans retransmission des trames HDLC </t>
  </si>
  <si>
    <t>dl rx level=-64</t>
  </si>
  <si>
    <t xml:space="preserve">Selon notre analyse, nous avons constaté que le HO est complet entre 313 et 312, les conditions radio étaient bonnes avant la déconnexion, La requete de deconnexion a ete envoyé par le RBC / Retransmission des trames HDLC </t>
  </si>
  <si>
    <t>Besoin de verification chaine antennaire</t>
  </si>
  <si>
    <t>HO Complete entre 313 et 312</t>
  </si>
  <si>
    <t xml:space="preserve">Selon notre analyse, nous avons constaté que le HO  complet entre 231 et 230 ,les conditions radio étaient Mauvaise  avant la déconnexion,La requete de deconnexion a ete envoyé par le RBC sans retransmission des trames HDLC </t>
  </si>
  <si>
    <t>HO Complete entre 231 et 230</t>
  </si>
  <si>
    <t xml:space="preserve">Selon notre analyse, nous avons constaté que le HO  Non finalisé entre 318 et 217 ,les conditions radio étaient Mauvaise  avant la déconnexion,La requete de deconnexion a ete envoyé par le bord /pas deretransmission des trames HDLC </t>
  </si>
  <si>
    <t xml:space="preserve"> HO  non finalisé  entre  318 et 217</t>
  </si>
  <si>
    <t xml:space="preserve">Selon notre analyse, nous avons constaté que le HO  Non finalisé entre 219 et 320,les conditions radio étaient Mauvaise  avant la déconnexion,La requete de deconnexion a ete envoyé par le bord /retransmission des trames HDLC </t>
  </si>
  <si>
    <t>dl rx level=-86</t>
  </si>
  <si>
    <t xml:space="preserve">Selon notre analyse, nous avons constaté que le HO   finalisé entre 213 et 214,les conditions radio étaient Mauvaise  avant la déconnexion,La requete de deconnexion a ete envoyé par le RBC /retransmission des trames HDLC </t>
  </si>
  <si>
    <t xml:space="preserve">Selon notre analyse, nous avons constaté que le HO finalisé entre 318 et 317 ,les conditions radio étaient Mauvaise  avant la déconnexion,La requete de deconnexion a ete envoyé par le RBC /retransmission des trames HDLC </t>
  </si>
  <si>
    <t xml:space="preserve"> HO finalisé entre 318 et 317</t>
  </si>
  <si>
    <t xml:space="preserve">Selon notre analyse, nous avons constaté que le HO Non finalisé entre 318 et 317 ,les conditions radio étaient Mauvaise  avant la déconnexion,La requete de deconnexion a ete envoyé par le BORD /retransmission des trames HDLC </t>
  </si>
  <si>
    <t xml:space="preserve">Selon notre analyse, nous avons constaté que le HO Non finalisé entre 207 et 205 ,les conditions radio étaient Mauvaise  avant la déconnexion,La requete de deconnexion a ete envoyé par le RBC /retransmission des trames HDLC </t>
  </si>
  <si>
    <t xml:space="preserve"> HO Non finalisé entre 207 et 205</t>
  </si>
  <si>
    <t xml:space="preserve">Selon notre analyse, nous avons constaté que le HO Non finalisé entre 219 et 320 ,les conditions radio étaient Mauvaise  avant la déconnexion,La requete de deconnexion a ete envoyé par le BORD /retransmission des trames HDLC </t>
  </si>
  <si>
    <t xml:space="preserve"> HO Non finalisé entre 219 et 320</t>
  </si>
  <si>
    <t>dl rx level=-85</t>
  </si>
  <si>
    <t>RAC 0</t>
  </si>
  <si>
    <t>N1</t>
  </si>
  <si>
    <t>Selon notre analyse, nous avons constaté que le HO Non finalisé entre 234 et 99 ,les indicateurs techniques radio  sont absents vue que la déconnexion est survenue peu après l’établissement d’appel,La requete de deconnexion a ete envoyé par le BORD, toutefois dans l'une des tentatives de retablissement d'appel on a pu relever quelques mesures radio qui indiquent que la qualité radio était mauvaise avant que l'appel en question coupe.</t>
  </si>
  <si>
    <t xml:space="preserve"> HO Non finalisé entre 234  et 99</t>
  </si>
  <si>
    <t>dl Rxqual=X</t>
  </si>
  <si>
    <t>dl rx level=-X</t>
  </si>
  <si>
    <t>X</t>
  </si>
  <si>
    <t xml:space="preserve">Selon notre analyse, nous avons constaté que le HO Non finalisé entre 321  et 220 ,les conditions radio étaient Mauvaise  avant la déconnexion,La requete de deconnexion a ete envoyé par le BORD /pas de retransmission des trames HDLC </t>
  </si>
  <si>
    <t xml:space="preserve"> HO Non finalisé entre 321 et 220 </t>
  </si>
  <si>
    <t xml:space="preserve">Selon notre analyse, nous avons constaté que le HO  complet entre 224 et 225,les conditions radio étaient bonnes avant la déconnexion,La requete de deconnexion a ete envoyé par le RBC avec  retransmission des trames HDLC </t>
  </si>
  <si>
    <t xml:space="preserve">HO Complet entre 224 et 225 </t>
  </si>
  <si>
    <t xml:space="preserve">Selon notre analyse, nous avons constaté que le HO  complet entre 224 et 225,les conditions radio étaient bonnes avant la déconnexion,La requete de deconnexion a ete envoyé par le RBC pas de  retransmission des trames HDLC </t>
  </si>
  <si>
    <t xml:space="preserve">Selon notre analyse, nous avons constaté que le HO Non finalisé entre 318 et 317 ,les conditions radio étaient Mauvaise  avant la déconnexion,La requete de deconnexion a ete envoyé par le BORD avec retransmission des trames HDLC </t>
  </si>
  <si>
    <t>En attente d'un plan d'action optim + Besoin de verification chaine antennaire</t>
  </si>
  <si>
    <t xml:space="preserve">Selon notre analyse, nous avons constaté que le HO  complet entre 231 et 229 ,les conditions radio étaient Mauvaise  avant la déconnexion,La requete de deconnexion a ete envoyé par le RBC avec retransmission des trames HDLC </t>
  </si>
  <si>
    <t xml:space="preserve">HO Complet entre 231 et 229 </t>
  </si>
  <si>
    <t xml:space="preserve">Selon notre analyse, nous avons constaté que le HO  complet entre 318 et 317 ,les conditions radio étaient Mauvaise  avant la déconnexion,La requete de deconnexion a ete envoyé par le RBC avec retransmission des trames HDLC </t>
  </si>
  <si>
    <t>HO Complet entre 318 et 317</t>
  </si>
  <si>
    <t xml:space="preserve">Selon notre analyse, nous avons constaté que le HO  complet entre 212 et 213,les conditions radio étaient Mauvais avant la déconnexion,La requete de deconnexion a ete envoyé par le RBC avec retransmission des trames HDLC </t>
  </si>
  <si>
    <t xml:space="preserve"> HO Non finalisé entre 212 et 213</t>
  </si>
  <si>
    <t xml:space="preserve">Selon notre analyse, nous avons constaté que le HO  complet entre 325 et 226,les conditions radio étaient Mauvais avant la déconnexion,La requete de deconnexion a ete envoyé par le RBC avec retransmission des trames HDLC </t>
  </si>
  <si>
    <t xml:space="preserve"> HO  finalisé entre 325 et 226</t>
  </si>
  <si>
    <t xml:space="preserve">Selon notre analyse, nous avons constaté que le HO Non finalisé entre 219 et 320 ,les conditions radio étaient Mauvaise  avant la déconnexion,La requete de deconnexion a ete envoyé par le BORD /Pas de retransmission des trames HDLC </t>
  </si>
  <si>
    <t>Selon notre analyse, nous avons constaté que le HO  complet entre 329 et 328,les conditions radio étaient bonnes avant la déconnexion,La requete de deconnexion a ete envoyé par le bord avec  retransmission des trames HDLC, suite à des investigations approfondies, la cause racine remonte au bug au niveau du switch RNIS1 qui a souffert d'une micro-coupure ce qui a causé la déconnexion.</t>
  </si>
  <si>
    <t xml:space="preserve">Instalation d'un nouveau ASI </t>
  </si>
  <si>
    <t xml:space="preserve">HO Complet entre 329 et 328 </t>
  </si>
  <si>
    <t xml:space="preserve">Selon notre analyse, nous avons constaté que le HO Non finalisé entre 318 et 217 ,les conditions radio étaient Mauvaise  avant la déconnexion,La requete de deconnexion a ete envoyé par le BORD avec retransmission des trames HDLC </t>
  </si>
  <si>
    <t xml:space="preserve"> HO Non finalisé entre 318 et 217</t>
  </si>
  <si>
    <t xml:space="preserve">Selon notre analyse, nous avons constaté que le HO Non finalisé entre 218 et 219 ,les conditions radio étaient Mauvaise  avant la déconnexion,La requete de deconnexion a ete envoyé par le RBC /retransmission des trames HDLC </t>
  </si>
  <si>
    <t xml:space="preserve"> HO Non finalisé entre 218 et 219</t>
  </si>
  <si>
    <t xml:space="preserve">Selon notre analyse, nous avons constaté que le HO  Complet entre 202 et 203,les conditions radio étaient Mauvaise avant la déconnexion,La requete de deconnexion a ete envoyé par le Rbc avec retransmission des trames HDLC </t>
  </si>
  <si>
    <t> HO  Complet entre 202 et 203</t>
  </si>
  <si>
    <t xml:space="preserve">Selon notre analyse, nous avons constaté que le HO  Complet entre 318 et 317,les conditions radio étaient bonnes avant la déconnexion,La requete de deconnexion a ete envoyé par le Rbc avec retransmission des trames HDLC </t>
  </si>
  <si>
    <t> HO  Complet entre 318 et 317</t>
  </si>
  <si>
    <t xml:space="preserve">Selon notre analyse, nous avons constaté que le HO  Non finalisé entre 318 et 217 ,les conditions radio étaient Mauvaise avant la déconnexion,La requete de deconnexion a ete envoyé par le BORD avec retransmission des trames HDLC </t>
  </si>
  <si>
    <t xml:space="preserve">Selon notre analyse, nous avons constaté que le HO  Non finalisé entre 318 et 217 ,les conditions radio étaient mauvaises avant la déconnexion,La requete de deconnexion a ete envoyé par le BORD sans retransmission des trames HDLC </t>
  </si>
  <si>
    <t xml:space="preserve">Selon notre analyse, nous avons constaté que le HO complet entre 217 et 316 avec downlink quality ,les conditions radio étaient mauvaises avant la déconnexion,La requete de deconnexion a ete envoyé par le RBC suite au retransmission des trames HDLC </t>
  </si>
  <si>
    <t xml:space="preserve"> HO complet entre 217 et 316</t>
  </si>
  <si>
    <t>dl rx level=-101</t>
  </si>
  <si>
    <t xml:space="preserve">Selon notre analyse, nous avons constaté que le HO  Complet entre 332 et 331,les conditions radio étaient bonnes avant la déconnexion,La requete de deconnexion a ete envoyé par le RBC sans de retransmission des trames HDLC </t>
  </si>
  <si>
    <t> HO  Complet entre 332 et 331</t>
  </si>
  <si>
    <t xml:space="preserve">Selon notre analyse, nous avons constaté que le HO  Non finalise entre 219 et 320,les conditions radio étaient Mauvaises avant la déconnexion,La requete de deconnexion a ete envoyé par le RBC suite  de  retransmission des trames HDLC </t>
  </si>
  <si>
    <t> HO  Non finalisé entre 219 et 320</t>
  </si>
  <si>
    <t xml:space="preserve">Selon notre analyse, nous avons constaté que le HO Complet entre 202 et 203,les conditions radio étaient Mauvaises avant la déconnexion,La requete de deconnexion a ete envoyé par le RBC suite  de  retransmission des trames HDLC </t>
  </si>
  <si>
    <t>En attente du mise en place des tirroirs filtrés</t>
  </si>
  <si>
    <t xml:space="preserve">Selon notre analyse, nous avons constaté que le HO  Non finalise entre 318 et 217,les conditions radio étaient Mauvaises  avant la déconnexion,La requete de deconnexion a ete envoyé par le BORD sans retransmission des trames HDLC </t>
  </si>
  <si>
    <t> HO  Non finalisé entre 318 et  217</t>
  </si>
  <si>
    <t xml:space="preserve">Selon notre analyse, nous avons constaté que le HO  Non finalise entre 318 et 217,les conditions radio étaient Mauvaises  avant la déconnexion,La requete de deconnexion a ete envoyé par le BORD avec retransmission des trames HDLC </t>
  </si>
  <si>
    <t xml:space="preserve">Selon notre analyse, nous avons constaté que le HO  Non finalise entre 222 et 321,les conditions radio étaient bonnes  avant la déconnexion,La requete de deconnexion a ete envoyé par le BORD sans retransmission des trames HDLC </t>
  </si>
  <si>
    <t> HO  Non finalisé entre 222 et  321</t>
  </si>
  <si>
    <t>Mesures radio en UPLINK dégradé</t>
  </si>
  <si>
    <t xml:space="preserve">Selon notre analyse, nous avons constaté que le HO  Non finalise entre 222 et 321,les conditions radio étaient Mauvaises  avant la déconnexion,La requete de deconnexion a ete envoyé par le BORD avec retransmission des trames HDLC </t>
  </si>
  <si>
    <t>dl rx level=-80</t>
  </si>
  <si>
    <t xml:space="preserve">Selon notre analyse, nous avons constaté que le HO complet entre 308 et 307,les conditions radio étaient bonnes  avant la déconnexion,La requete de deconnexion a ete envoyé par le BORD avec retransmission des trames HDLC </t>
  </si>
  <si>
    <t> HO Complet entre 308 et  307</t>
  </si>
  <si>
    <t xml:space="preserve">Selon notre analyse, nous avons constaté que le HO  Non finalise entre 318 et 317,les conditions radio étaient Mauvaises avant la déconnexion,La requete de deconnexion a ete envoyé par le BORD avec retransmission des trames HDLC </t>
  </si>
  <si>
    <t xml:space="preserve">Selon notre analyse, nous avons constaté que le HO  Non finalise entre 318 et 217,les conditions radio étaient Mauvaises avant la déconnexion,La requete de deconnexion a ete envoyé par le BORD avec retransmission des trames HDLC </t>
  </si>
  <si>
    <t> HO  Non finalisé entre 318 et  317</t>
  </si>
  <si>
    <t xml:space="preserve">Selon notre analyse, nous avons constaté que le HO complet entre 318 et 217,les conditions radio étaient Mauvaises avant la déconnexion,La requete de deconnexion a ete envoyé par le BORD sans retransmission des trames HDLC </t>
  </si>
  <si>
    <t> HO  complet entre 318 et  217</t>
  </si>
  <si>
    <t xml:space="preserve">Selon notre analyse, nous avons constaté que le HO non finalisé entre 318 et 217,les conditions radio étaient Mauvaises avant la déconnexion,La requete de deconnexion a ete envoyé par le BORD sans retransmission des trames HDLC </t>
  </si>
  <si>
    <t> HO non finalisé entre 318 et  218</t>
  </si>
  <si>
    <t xml:space="preserve">Selon notre analyse, nous avons constaté que le HO complet entre 202 et 203,les conditions radio étaient Mauvaises avant la déconnexion,La requete de deconnexion a ete envoyé par le RBC avec retransmission des trames HDLC </t>
  </si>
  <si>
    <t xml:space="preserve"> Retransmission des trames HDLC</t>
  </si>
  <si>
    <t xml:space="preserve">ousalah fahd </t>
  </si>
  <si>
    <t> HO non finalisé entre 318 et  217</t>
  </si>
  <si>
    <t xml:space="preserve">Selon notre analyse, nous avons constaté que le HO non finalisé entre 318 et 217,les conditions radio étaient Mauvaises avant la déconnexion,La requete de deconnexion a ete envoyé par le BORD suite au retransmission des trames HDLC </t>
  </si>
  <si>
    <t>HO non finalisé entre 318 et 217</t>
  </si>
  <si>
    <t>08:46:15 </t>
  </si>
  <si>
    <t>1209 </t>
  </si>
  <si>
    <t xml:space="preserve">Selon notre analyse, nous avons constaté que le HO complet entre 303 et 302 better cell,les conditions radio étaient bonnes avant la déconnexion,La requete de deconnexion a ete envoyé par le RBC suite au retransmission des trames HDLC </t>
  </si>
  <si>
    <t>HO complet entre 303 et 302 better cell</t>
  </si>
  <si>
    <t>dl rx level=</t>
  </si>
  <si>
    <t xml:space="preserve">Selon notre analyse, nous avons constaté que le HO Non finalisé entre 320 et 321 ,les conditions radio étaient bonnes avant la déconnexion,La requete de deconnexion a ete envoyé par le RBC suite au retransmission des trames HDLC </t>
  </si>
  <si>
    <t>HO non finalisé entre 320 et  321</t>
  </si>
  <si>
    <t xml:space="preserve">Selon notre analyse, nous avons constaté que le HO complet entre 203 et 302 ,les conditions radio étaient Mauvaises avant la déconnexion,La requete de deconnexion a ete envoyé par le RBC suite au retransmission des trames HDLC </t>
  </si>
  <si>
    <t>HO complet entre 203et 302</t>
  </si>
  <si>
    <t>dl rx level=61</t>
  </si>
  <si>
    <t xml:space="preserve">Selon notre analyse, nous avons constaté que le HO complet entre 303 et 202 ,les conditions radio étaient Mauvaises avant la déconnexion,La requete de deconnexion a ete envoyé par le RBC suite au retransmission des trames HDLC </t>
  </si>
  <si>
    <t>HO complet entre 303et 202</t>
  </si>
  <si>
    <t>dl rx level=66</t>
  </si>
  <si>
    <t xml:space="preserve">Selon notre analyse, nous avons constaté que le HO complet entre 303 et 202 avec Downlink quality ,les conditions radio étaient Mauvaises avant la déconnexion,La requete de deconnexion a ete envoyé par le RBC suite au retransmission des trames HDLC </t>
  </si>
  <si>
    <t>HO complet entre 202 et 303</t>
  </si>
  <si>
    <t>dl rx level=68</t>
  </si>
  <si>
    <t xml:space="preserve">Selon notre analyse, nous avons constaté que le HO complet entre 318 et 317 ,les conditions radio étaient bonnes avant la déconnexion,La requete de deconnexion a ete envoyé par le RBC suite au retransmission des trames HDLC </t>
  </si>
  <si>
    <t>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t>
  </si>
  <si>
    <t>HO complet entre 318 et 317</t>
  </si>
  <si>
    <t>dl rx level=48</t>
  </si>
  <si>
    <t xml:space="preserve">Selon notre analyse, nous avons constaté que le HO non finalise entre 318 et 217 avec Downlink quality ,les conditions radio étaient Mauvaises avant la déconnexion,La requete de deconnexion a ete envoyé par le Bord suite au retransmission des trames HDLC </t>
  </si>
  <si>
    <t>HO non finalise entre 318 et 217</t>
  </si>
  <si>
    <t>Selon notre analyse, nous avons constaté que le HO non finalise entre 213 et 214 ,les conditions radio étaient Mauvaises au moment dexecution du HO entrainant une retansmission des trames hdlc ce qui a provoqué l'envoi d une requete de deconnexion depuis le RBC</t>
  </si>
  <si>
    <t>HO non finalise entre 213 et 214</t>
  </si>
  <si>
    <t xml:space="preserve">Selon notre analyse, nous avons constaté que le HO complet entre 202 et 203 avec Downlink quality ,les conditions radio étaient Mauvaises avant la déconnexion,La requete de deconnexion a ete envoyé par le RBC suite au retransmission des trames HDLC </t>
  </si>
  <si>
    <t>HO complet entre 202 et 203</t>
  </si>
  <si>
    <t>dl rx level=72</t>
  </si>
  <si>
    <t xml:space="preserve">Selon notre analyse, nous avons constaté que le HO non finalise entre 309 et 308,les conditions radio étaient Bonne avant la déconnexion,La requete de deconnexion a ete envoyé par le RBC suite au retransmission des trames HDLC </t>
  </si>
  <si>
    <t>HO non finalise entre 309 et 308</t>
  </si>
  <si>
    <t xml:space="preserve">Selon notre analyse, nous avons constaté que le HO non finalise entre 328 et 327,les conditions radio étaient bonnes avant la déconnexion,La requete de deconnexion a ete envoyé par le RBC suite au retransmission des trames HDLC </t>
  </si>
  <si>
    <t>HO non finalise entre 328 et 327</t>
  </si>
  <si>
    <t>Rida safri</t>
  </si>
  <si>
    <t>Mesures radio en UP Link dégradés</t>
  </si>
  <si>
    <t xml:space="preserve">Selon notre analyse, nous avons constaté que le HO complet entre 330 et 331 avec Downlink quality ,les conditions radio étaient Mauvaises avant la déconnexion,La requete de deconnexion a ete envoyé par le RBC suite au retransmission des trames HDLC </t>
  </si>
  <si>
    <t>HO complet entre 330 et 331</t>
  </si>
  <si>
    <t xml:space="preserve">Selon notre analyse, nous avons constaté que le HO non finalise  entre 318  et 317  ,les conditions radio étaient Mauvaises avant la déconnexion,La requete de deconnexion a ete envoyé par le RBC suite au retransmission des trames HDLC </t>
  </si>
  <si>
    <t>HO non finalise entre 318 et 317</t>
  </si>
  <si>
    <t xml:space="preserve"> 07:46:13</t>
  </si>
  <si>
    <t xml:space="preserve">Selon notre analyse, nous avons constaté que le HO non finalise  entre 318  et 217  ,les conditions radio étaient Mauvaises avant la déconnexion,La requete de deconnexion a ete envoyé par le RBC suite au retransmission des trames HDLC </t>
  </si>
  <si>
    <t xml:space="preserve"> 22:27:58</t>
  </si>
  <si>
    <t xml:space="preserve">Selon notre analyse, nous avons constaté que le HO non finalise  entre 219  et 320  ,les conditions radio étaient Mauvaises avant la déconnexion,La requete de deconnexion a ete envoyé par le bord suite au retransmission des trames HDLC </t>
  </si>
  <si>
    <t xml:space="preserve">En attente d'un plan d'action optim </t>
  </si>
  <si>
    <t>HO non finalise entre 219 et 320</t>
  </si>
  <si>
    <t xml:space="preserve"> 05:05:34</t>
  </si>
  <si>
    <t xml:space="preserve">Selon notre analyse, nous avons constaté que le HO Complet entre 214  et 215  ,les conditions radio étaient bonne avant la déconnexion,La requete de deconnexion a ete envoyé par le RBC sans  retransmission des trames HDLC </t>
  </si>
  <si>
    <t>HO complet entre 214 et 215</t>
  </si>
  <si>
    <t xml:space="preserve"> 10:46:46</t>
  </si>
  <si>
    <t xml:space="preserve">Selon notre analyse, nous avons constaté que le HO non finalise  entre 318  et 217 ,les conditions radio étaient Mauvaises avant la déconnexion,La requete de deconnexion a ete envoyé par le bord sans retransmission des trames HDLC </t>
  </si>
  <si>
    <t xml:space="preserve">Selon notre analyse, nous avons constaté que le HO complet entre 2020et 203,les conditions radio étaient Mauvaises avant la déconnexion,La requete de deconnexion a ete envoyé par le RBC suite au retransmission des trames HDLC </t>
  </si>
  <si>
    <t>dl rx level=67</t>
  </si>
  <si>
    <t xml:space="preserve">Selon notre analyse, nous avons constaté que le HO Complet  entre 225  et 327 (Saute Cellule) ,les conditions radio étaient Bonnes avant la déconnexion,La requete de deconnexion a ete envoyé par le RBC Suite au  retransmission des trames HDLC </t>
  </si>
  <si>
    <t>Zone prise en compte par le SOR pour étude et analyse</t>
  </si>
  <si>
    <t>HO Complet entre 225 et 327</t>
  </si>
  <si>
    <t xml:space="preserve">Selon notre analyse, nous avons constaté que le HO Non finalisé  entre 223  et 321 avec Downlink quality  (Saute Cellule) ,les conditions radio étaient Mauvaises avant la déconnexion,La requete de deconnexion a ete envoyé par le bord sans  retransmission des trames HDLC </t>
  </si>
  <si>
    <t>HO non finalise entre 223 et 321</t>
  </si>
  <si>
    <t xml:space="preserve">Selon notre analyse, nous avons constaté que le HO Non finalisé  entre 203  et 204 ,les conditions radio étaient Mauvaises avant la déconnexion,La requete de deconnexion a ete envoyé par le bord sans  retransmission des trames HDLC </t>
  </si>
  <si>
    <t>HO non finalise entre 203 et 204</t>
  </si>
  <si>
    <t xml:space="preserve">Selon notre analyse, nous avons constaté que le HO finalisé  entre 202  et 303 ,les conditions radio étaient Mauvaises avant la déconnexion,La requete de deconnexion a ete envoyé par le bord suite au  retransmission des trames HDLC </t>
  </si>
  <si>
    <t>HO finalise entre 202 et 303</t>
  </si>
  <si>
    <t>AYMANE ASSAL</t>
  </si>
  <si>
    <t xml:space="preserve">Selon notre analyse, nous avons constaté que le HO Non finalisé  entre 213  et 214 ,les conditions radio étaient Bonnes avant la déconnexion,La requete de deconnexion a ete envoyé par le RBC suite au  retransmission des trames HDLC </t>
  </si>
  <si>
    <t>HO Non finalise entre 213 et 214</t>
  </si>
  <si>
    <t xml:space="preserve">Selon notre analyse, nous avons constaté que le HO Non finalisé  entre  318 et 217 ,les conditions radio étaient Mauvaise avant la déconnexion,La requete de deconnexion a ete envoyé par le Bord sans  retransmission des trames HDLC </t>
  </si>
  <si>
    <t>HO Non finalise entre 318 et 217</t>
  </si>
  <si>
    <t xml:space="preserve">Selon notre analyse, nous avons constaté que le HO est complet entre 203 et 302 ,les conditions radio étaient Mauvaises avant la déconnexion,La requete de deconnexion a ete envoyé par le RBC suite au retransmission des trames HDLC </t>
  </si>
  <si>
    <t>HO complet entre 203 et 302</t>
  </si>
  <si>
    <t xml:space="preserve">Selon notre analyse, nous avons constaté que le HO est Non finalisé entre 202 et 203 ,les conditions radio étaient Mauvaises avant la déconnexion,La requete de deconnexion a ete envoyé par le RBC suite au retransmission des trames HDLC </t>
  </si>
  <si>
    <t>HO Non finalise entre 202 et 203</t>
  </si>
  <si>
    <t>dl rx level=-51</t>
  </si>
  <si>
    <t xml:space="preserve">Selon notre analyse, nous avons constaté que le HO est Non finalisé entre 318 et 217 ,les conditions radio étaient Mauvaises avant la déconnexion,La requete de deconnexion a ete envoyé par le BORD  sans  retransmission des trames HDLC </t>
  </si>
  <si>
    <t xml:space="preserve">Selon notre analyse, nous avons constaté que le HO est Non finalisé entre 213 et 214 ,les conditions radio étaient bonnes avant la déconnexion,La requete de deconnexion a ete envoyé par le RBC suite au retransmission des trames HDLC </t>
  </si>
  <si>
    <t xml:space="preserve">Selon notre analyse, nous avons constaté que le HO est complet entre 202 et 203 ,les conditions radio étaient Mauvaises avant la déconnexion,La requete de deconnexion a ete envoyé par le RBC avec  retransmission des trames HDLC*5 </t>
  </si>
  <si>
    <t>Selon notre analyse, nous avons constaté que le HO est complet entre 202 et 203 ,les conditions radio étaient Mauvaises avant la déconnexion,La requete de deconnexion a ete envoyé par le RBC suite au   retransmission des trames HDLC*</t>
  </si>
  <si>
    <t xml:space="preserve">Selon notre analyse, nous avons constaté que le HO est Non finalisé entre 203 et 203 ,les conditions radio étaient bonnes avant la déconnexion,La requete de deconnexion a ete envoyé par le RBC suite au retransmission des trames HDLC </t>
  </si>
  <si>
    <t xml:space="preserve">Selon notre analyse, nous avons constaté que le HO est Complet entre 325 et 324 ,les conditions radio étaient bonnes avant la déconnexion,La requete de deconnexion a ete envoyé par le bord suite au retransmission des trames HDLC </t>
  </si>
  <si>
    <t>HO complet entre 325 et 324</t>
  </si>
  <si>
    <t xml:space="preserve">Selon notre analyse, nous avons constaté que le HO est Non finalisé entre 318 et 217 ,les conditions radio étaient Mauvaises avant la déconnexion,La requete de deconnexion a ete envoyé par le BORD  suite au   retransmission des trames HDLC </t>
  </si>
  <si>
    <t xml:space="preserve">Selon notre analyse, nous avons constaté que le HO est Non finalisé entre 318 et 217 ,les conditions radio étaient Mauvaises avant la déconnexion,La requete de deconnexion a ete envoyé par le BORD  Sans  retransmission des trames HDLC </t>
  </si>
  <si>
    <t xml:space="preserve">Selon notre analyse, nous avons constaté que le HO est Non finalisé entre 203 et 202 ,les conditions radio étaient Mauvaises avant la déconnexion,La requete de deconnexion a ete envoyé par le RBC  Sans  retransmission des trames HDLC </t>
  </si>
  <si>
    <t xml:space="preserve">Selon notre analyse, nous avons constaté que le HO est Non finalisé entre 318 et 217 ,les conditions radio étaient Mauvaises avant la déconnexion,La requete de deconnexion a ete envoyé par le BORD  Suite au retransmission des trames HDLC </t>
  </si>
  <si>
    <t xml:space="preserve">Selon notre analyse, nous avons constaté que le HO est Non finalisé entre 318 et 217 ,les conditions radio étaient Mauvaises avant la déconnexion,La requete de deconnexion a ete envoyé par le BORD  Sans retransmission des trames HDLC </t>
  </si>
  <si>
    <t>Selon notre analyse, nous avons constaté que le HO est Non finalisé entre 323 et 222 ,les conditions radio étaient bonnes avant la déconnexion,La requete de deconnexion a ete envoyé par le BORD  Sans retransmission des trames HDLC (Mesures radio en Uplink dégradé)</t>
  </si>
  <si>
    <t>HO Non finalise entre 323 et 222</t>
  </si>
  <si>
    <t xml:space="preserve">Selon notre analyse, nous avons constaté que le HO est Complete entre 202et 201,les conditions radio étaient Mauvaises avant la déconnexion,La requete de deconnexion a ete envoyé par le RBC suite au retransmission des trames HDLC </t>
  </si>
  <si>
    <t>En attente de la mise en place des tiroirs filtrés</t>
  </si>
  <si>
    <t>HO Complete entre 202 et 201</t>
  </si>
  <si>
    <t>dl rx level=-93</t>
  </si>
  <si>
    <t xml:space="preserve">Selon notre analyse, nous avons constaté que le HO est Non finalisé entre 208 et 309,les conditions radio étaient bonnes avant la déconnexion,La requete de deconnexion a ete envoyé par le BORD Sans retransmission des trames HDLC*5(*4), les mesures radio en Uplink étaient dégradés </t>
  </si>
  <si>
    <t>HO Non finalise entre 208 et 309</t>
  </si>
  <si>
    <t>HO Non finalise entre 208 et 310</t>
  </si>
  <si>
    <t>dl rx level=-66</t>
  </si>
  <si>
    <t xml:space="preserve">Selon notre analyse, nous avons constaté que le HO est Complete entre 234 et 233, les conditions radio étaient Mauvaises avant la déconnexion, La requête de déconnexion a été envoyé par le bord  sans retransmission des trames HDLC </t>
  </si>
  <si>
    <t>HO Complete  entre 234 et 233</t>
  </si>
  <si>
    <t xml:space="preserve">N2 </t>
  </si>
  <si>
    <t xml:space="preserve">Selon notre analyse, nous avons constaté que le HO est Non finalisé entre 318 et 217 ,les conditions radio étaient Mauvaises avant la déconnexion,La requete de deconnexion a ete envoyé par le BORD suite au retransmission des trames HDLC </t>
  </si>
  <si>
    <t>Selon notre analyse, nous avons constaté que le HO est Non finalisé entre 318 et 217 ,les conditions radio étaient Mauvaises avant la déconnexion,La requete de deconnexion a ete envoyé par le BORD Sans retransmission des trames HDLC</t>
  </si>
  <si>
    <t>Selon notre analyse, nous avons constaté que le HO est Non finalisé entre 318 et 217 ,les conditions radio étaient Mauvaises avant la déconnexion,La requete de deconnexion a ete envoyé par le BORD suite au retransmission des trames HDLC</t>
  </si>
  <si>
    <t>Selon notre analyse, nous avons constaté que le HO est Non finalisé entre 302 et 203 ,les conditions radio étaient Mauvaises avant la déconnexion,La requete de deconnexion a ete envoyé par le BORD suite au retransmission des trames HDLC</t>
  </si>
  <si>
    <t>HO Non finalise entre 302 et 203</t>
  </si>
  <si>
    <t>Selon notre analyse, nous avons constaté que le HO est Non finalisé entre 302 et 203 ,les conditions radio étaient Mauvaises avant la déconnexion,La requete de deconnexion a ete envoyé par le RBC suite au retransmission des trames HDLC</t>
  </si>
  <si>
    <t>Selon notre analyse, nous avons constaté que le HO est Non finalisé entre 318 et 217 ,les conditions radio étaient Mauvaises avant la déconnexion,La requete de deconnexion a ete envoyé par le Bord suite au retransmission des trames HDLC</t>
  </si>
  <si>
    <t>Selon notre analyse, nous avons constaté que le HO est Complet entre 202 et 203 avec Downlink quality  ,les conditions radio étaient Mauvaises avant la déconnexion,La requete de deconnexion a ete envoyé par le RBC  suite au retransmission des trames HDLC</t>
  </si>
  <si>
    <t>HO Complet entre 202 et 203</t>
  </si>
  <si>
    <t>Selon notre analyse, nous avons constaté que le HO est Complet entre 202 et 201 avec Downlink quality  ,les conditions radio étaient Mauvaises avant la déconnexion,La requete de deconnexion a ete envoyé par le RBC  suite au retransmission des trames HDLC</t>
  </si>
  <si>
    <t>Selon notre analyse, nous avons constaté que le HO est Non finalisé entre 318 et 217 ,les conditions radio étaient Mauvaises avant la déconnexion,La requete de deconnexion a ete envoyé par le Bord sans retransmission des trames HDLC</t>
  </si>
  <si>
    <t>Selon notre analyse, nous avons constaté que le HO est Non finalisé entre 318 et 217 ,les conditions radio étaient Mauvaises avant la déconnexion,La requete de deconnexion a ete envoyé par le Bord  suite au retransmission des trames HDLC</t>
  </si>
  <si>
    <t>Selon notre analyse, nous avons constaté que le HO est Non finalisé entre 203 et 202 ,les conditions radio étaient Mauvaises avant la déconnexion,La requete de deconnexion a ete envoyé par le RBC   suite au retransmission des trames HDLC</t>
  </si>
  <si>
    <t>HO Non finalise entre 203 et 202</t>
  </si>
  <si>
    <t>dl rx level=-53</t>
  </si>
  <si>
    <t>Selon notre analyse, nous avons constaté que le HO est Non finalisé entre 303 et 202 ,les conditions radio étaient Mauvaises avant la déconnexion,La requete de deconnexion a ete envoyé par le bord  sans  retransmission des trames HDLC</t>
  </si>
  <si>
    <t>HO Non finalise entre 303 et 202</t>
  </si>
  <si>
    <t>Selon notre analyse, nous avons constaté que le HO est Non finalisé entre 2170 et 218 ,les conditions radio étaient Mauvaises avant la déconnexion,La requete de deconnexion a ete envoyé par le RBC  suite au retransmission des trames HDLC</t>
  </si>
  <si>
    <t>HO Non finalise entre 217 et 218</t>
  </si>
  <si>
    <t>Selon notre analyse, nous avons constaté que le HO est Non finalisé entre 318 et 217 ,les conditions radio étaient Mauvaises avant la déconnexion,La requete de deconnexion a ete envoyé par le bord  + retransmission des trames HDLC*5</t>
  </si>
  <si>
    <t>Achraf SGHAYER</t>
  </si>
  <si>
    <t>Selon notre analyse, nous avons constaté que le HO est non finalisé entre 213 et 214  ,les conditions radio downlink étaient bonnes avant la déconnexion toutefois, ce n'est pas le cas pour le Uplink qui était degradé Rxqual UL=7, La requete de deconnexion a ete envoyé par le RBC  suite au retransmission des trames HDLC</t>
  </si>
  <si>
    <t>HO non finalisé  entre 213 et 214</t>
  </si>
  <si>
    <t>Selon notre analyse, nous avons constaté que le HO est non finalisé entre 318 et 217 avec ,les conditions radio étaient mauvaises avant la déconnexion,La requete de deconnexion a ete envoyé par le Bord suite au retransmission des trames HDLC</t>
  </si>
  <si>
    <t>HO non finalisé  entre 218 et 217</t>
  </si>
  <si>
    <t>Selon notre analyse, nous avons constaté que le HO est non finalisé entre 228 et 229 avec ,les conditions radio étaient mauvaises avant la déconnexion,La requete de deconnexion a ete envoyé par le RBC suite au retransmission des trames HDLC</t>
  </si>
  <si>
    <t>HO non finalisé  entre 228 et 229</t>
  </si>
  <si>
    <t>Selon notre analyse, nous avons constaté que le HO est non finalisé entre 318 et 217 avec ,les conditions radio étaient mauvaises avant la déconnexion,La requete de deconnexion a ete envoyé par le bord suite au retransmission des trames HDLC</t>
  </si>
  <si>
    <t>HO non finalisé  entre 318 et 217</t>
  </si>
  <si>
    <t>Selon notre analyse, nous avons constaté que le HO est non finalisé entre 203 et 202  ,les conditions radio étaient bonnes avant la déconnexion,La requete de deconnexion a ete envoyé par le bord sans retransmission des trames HDLC</t>
  </si>
  <si>
    <t>HO non finalisé  entre 203 et 202</t>
  </si>
  <si>
    <t>Aymane ASSAL</t>
  </si>
  <si>
    <t>Selon notre analyse, nous avons constaté que le HO est non finalisé entre 302 et 203  ,les conditions radio étaient bonnes avant la déconnexion,La requete de deconnexion a ete envoyé par le RBC avec retransmission des trames HDLC*5</t>
  </si>
  <si>
    <t>Selon notre analyse, nous avons constaté que le HO est non finalisé entre 318 et 217 avec ,les conditions radio étaient mauvaises avant la déconnexion,La requete de deconnexion a ete envoyé par le bord sans retransmission des trames HDLC</t>
  </si>
  <si>
    <t>Selon notre analyse, nous avons constaté que le HO est Complet entre 202  et 201  avec Downlink quality  ,les conditions radio étaient mauvaises avant la déconnexion,La requete de deconnexion a ete envoyé par le RBC suite  au  retransmission des trames HDLC</t>
  </si>
  <si>
    <t>GSMR_33/RAC</t>
  </si>
  <si>
    <t>Selon notre analyse, nous avons constaté que le HO est Complete  entre 99  et 333 avec Downlink quality   ,les conditions radio étaient Mauvaises avant la déconnexion,La requete de deconnexion a ete envoyé par le BORD  suite au retransmission des trames HDLC</t>
  </si>
  <si>
    <t>En attente du mise en place des tirroirs filtrés/attente de pousser les analyses coté optim</t>
  </si>
  <si>
    <t>HO Complet entre 99 et 333</t>
  </si>
  <si>
    <t>Selon notre analyse, nous avons constaté que le HO est non finalisé entre 315 et 314 ,les conditions radio étaient bonnes avant la déconnexion,La requete de deconnexion a ete envoyé par le RBC suite au retransmission des trames HDLC</t>
  </si>
  <si>
    <t>HO Non finalisé entre 315 et 314</t>
  </si>
  <si>
    <t>Selon notre analyse, nous avons constaté que le HO est Complet  entre 202 et 203 ,les conditions radio étaient Mauvaises avant la déconnexion,La requete de deconnexion a ete envoyé par le RBC suite au retransmission des trames HDLC</t>
  </si>
  <si>
    <t>Selon notre analyse, nous avons constaté que le HO est non finalisé entre 318 et 217 ,les conditions radio étaient Mauvaises avant la déconnexion,La requete de deconnexion a ete envoyé par le bord suite au retransmission des trames HDLC</t>
  </si>
  <si>
    <t>Selon notre analyse, nous avons constaté que le HO est Complet  entre 202 et 203 ,les conditions radio étaient Mauvaises avant la déconnexion,La requete de deconnexion a ete envoyé par le RBC sans retransmission des trames HDLC</t>
  </si>
  <si>
    <t>Selon notre analyse, nous avons constaté que le HO est non finalisé  entre 213 et 214 ,les conditions radio étaient Mauvaises avant la déconnexion,La requete de deconnexion a ete envoyé par le RBC avec retransmission des trames HDLC</t>
  </si>
  <si>
    <t>HO Non finalisé entre 213 et 214</t>
  </si>
  <si>
    <t>Selon notre analyse, nous avons constaté que le HO est complet  entre 331 et 330 avec dowlink quality ,les conditions radio étaient Mauvaises avant la déconnexion,La requete de deconnexion a ete envoyé par le RBC avec retransmission des trames HDLC</t>
  </si>
  <si>
    <t>HO Complet entre 331 et 330</t>
  </si>
  <si>
    <t>Selon notre analyse, nous avons constaté que le HO est complet  entre 206 et 207 ,les conditions radio étaient bonnes avant la déconnexion,La requete de deconnexion a ete envoyé par le bord avec retransmission des trames HDLC</t>
  </si>
  <si>
    <t>HO Complet entre 206 et 207</t>
  </si>
  <si>
    <t>Selon notre analyse, nous avons constaté que le HO est non finalisé entre 318 et 217 ,les conditions radio étaient Mauvaises avant la déconnexion,La requete de deconnexion a ete envoyé par le bord avec retransmission des trames HDLC</t>
  </si>
  <si>
    <t>Selon notre analyse, nous avons constaté que le HO est complet  entre 202 et 203 ,les conditions radio étaient Mauvaises avant la déconnexion,La requete de deconnexion a ete envoyé par le RBC avec retransmission des trames HDLC</t>
  </si>
  <si>
    <t>HO Complet entre 331 et 331</t>
  </si>
  <si>
    <t>Selon notre analyse, nous avons constaté que le HO est complet  entre 203 et 302 ,les conditions radio étaient bonnes avant la déconnexion,La requete de deconnexion a ete envoyé par le RBC avec retransmission des trames HDLC</t>
  </si>
  <si>
    <t>HO Complet entre 331 et 332</t>
  </si>
  <si>
    <t>HO Complet entre 203 et 302</t>
  </si>
  <si>
    <t>Selon notre analyse, nous avons constaté que le HO non finalisé entre 303 et 202 ,les conditions radio étaient bonnes avant la déconnexion,La requete de deconnexion a ete envoyé par le RBC sans retransmission des trames HDLC</t>
  </si>
  <si>
    <t>HO Complet entre 331 et 333</t>
  </si>
  <si>
    <t>Selon notre analyse, nous avons constaté que le HO non finalisé entre 301 et 203 ,les conditions radio étaient Mauvaises avant la déconnexion,La requete de deconnexion a ete envoyé par le Bord sans retransmission des trames HDLC</t>
  </si>
  <si>
    <t>HO non finalisé entre 301 et 203</t>
  </si>
  <si>
    <t>Selon notre analyse, nous avons constaté que le HO non finalisé entre 318 et 217 ,les conditions radio étaient Mauvaises avant la déconnexion,La requete de deconnexion a ete envoyé par le Bord sans retransmission des trames HDLC</t>
  </si>
  <si>
    <t>Selon notre analyse, nous avons constaté que le HO Complet entre 201 et 202  ,les conditions radio étaient Mauvaises avant la déconnexion,La requete de deconnexion a ete envoyé par le RBC avec retransmission des trames HDLC</t>
  </si>
  <si>
    <t>Mohamed rida SAFRI</t>
  </si>
  <si>
    <t>Selon notre analyse, nous avons constaté que le HO non finalisé entre 331 et 330 ,les conditions radio étaient Mauvaises avant la déconnexion,La requete de deconnexion a ete envoyé par le RBC avec retransmission des trames HDLC</t>
  </si>
  <si>
    <t>HO non finalisé entre 330 et 331</t>
  </si>
  <si>
    <t>Selon notre analyse, nous avons constaté que le HO non finalisé entre 331 et 329 ( saute de cellule 330 ) ,les conditions radio étaient Mauvaises avant la déconnexion,La requete de deconnexion a ete envoyé par le RBC avec retransmission des trames HDLC</t>
  </si>
  <si>
    <t>HO non finalisé entre331 et 329 ( saute de cellule 330 )</t>
  </si>
  <si>
    <t>Selon notre analyse, nous avons constaté que le HO non finalisé entre 320 et 319 ,les conditions radio étaient Mauvaises avant la déconnexion,La requete de deconnexion a ete envoyé par le RBC avec retransmission des trames HDLC</t>
  </si>
  <si>
    <t>HO non finalisé entre 320 et 319</t>
  </si>
  <si>
    <t>Selon notre analyse, nous avons constaté que le HO non finalisé entre 318 et 217 ,les conditions radio étaient Mauvaises avant la déconnexion,La requete de deconnexion a ete envoyé par le BORD avec retransmission des trames HDLC</t>
  </si>
  <si>
    <t>HO non finalisé entre 318 et 217</t>
  </si>
  <si>
    <t>Selon notre analyse, nous avons constaté que le HO complet entre 202 et 203 ,les conditions radio étaient Mauvaises avant la déconnexion,La requete de deconnexion a ete envoyé par le RBC avec retransmission des trames HDLC</t>
  </si>
  <si>
    <t xml:space="preserve"> HO non finalisé entre 318 et 217</t>
  </si>
  <si>
    <t>Selon notre analyse, nous avons constaté que le HO Complet entre 202 et 203  ,les conditions radio étaient Mauvaises avant la déconnexion,La requete de deconnexion a ete envoyé par le RBC avec retransmission des trames HDLC</t>
  </si>
  <si>
    <t xml:space="preserve"> HO non finalisé entre 213 et 214</t>
  </si>
  <si>
    <t>Selon notre analyse, nous avons constaté que le HO est non finalisé  entre 213 et 214 ,les conditions radio étaient Mauvaises avant la déconnexion,La requete de deconnexion a ete envoyé par le RBC Suite au retransmission des trames HDLC</t>
  </si>
  <si>
    <t>Selon notre analyse, nous avons constaté que le HO Complet entre 202 et 303  ,les conditions radio étaient Mauvaises avant la déconnexion,La requete de deconnexion a ete envoyé par le RBC avec retransmission des trames HDLC</t>
  </si>
  <si>
    <t>Selon notre analyse, nous avons constaté que le HO non finalisé entre 99 et 333   ,les conditions radio étaient Mauvaises avant la déconnexion,La requete de deconnexion a ete envoyé par le bord sans retransmission des trames HDLC</t>
  </si>
  <si>
    <t xml:space="preserve">HO non finalisé entre 99 et 333 </t>
  </si>
  <si>
    <t>pas de Retransmission des trames HDLC</t>
  </si>
  <si>
    <t>Selon notre analyse, nous avons constaté que le HO non finalisé entre 318 et 217 Avec Downlink quality ,les conditions radio étaient Mauvaises avant la déconnexion,La requete de deconnexion a ete envoyé par le Bord sans retransmission des trames HDLC</t>
  </si>
  <si>
    <t>Selon notre analyse, nous avons constaté que le HO non finalisé entre 302 et 203  ,les conditions radio étaient Mauvaises avant la déconnexion,La requete de deconnexion a ete envoyé par le Bord sans retransmission des trames HDLC</t>
  </si>
  <si>
    <t>dl rx level=-52</t>
  </si>
  <si>
    <t>Selon notre analyse, nous avons constaté que le HO Complet entre 301 et 302  ,les conditions radio étaient Mauvaises avant la déconnexion,La requete de deconnexion a ete envoyé par le RBC avec retransmission des trames HDLC</t>
  </si>
  <si>
    <t>indisponibilté du site GSMR 04 suite a un problème de transmission,au niveau de la carte principale</t>
  </si>
  <si>
    <t>Basculement vers la carte de secours ,le site est de nouveau operationel</t>
  </si>
  <si>
    <t xml:space="preserve"> HO non finalisé entre 205 et 307</t>
  </si>
  <si>
    <t>indisponibilté du site GSMR 04 suite a un problème de transmission,au niveau de la carte principale,suite a la deconnexion précedente le train s'est connecté au cellule de la ligne classique ce qui a engendré une deconnexion supplementaire</t>
  </si>
  <si>
    <t>HO complet entre 595 et 596</t>
  </si>
  <si>
    <t>Selon notre analyse, nous avons constaté que le HO non finalisé entre 303 et 301   ,les conditions radio étaient Mauvaises avant la déconnexion,La requete de deconnexion a ete envoyé par le RBC avec retransmission des trames HDLC*5</t>
  </si>
  <si>
    <t xml:space="preserve"> HO non finalisé entre 303 et 301</t>
  </si>
  <si>
    <t>Selon notre analyse, nous avons constaté que le HO complet entre 202 et 203  ,les conditions radio étaient bonnes avant la déconnexion,La requete de deconnexion a ete envoyé par le RBC suite au retransmission des trames HDLC</t>
  </si>
  <si>
    <t xml:space="preserve">Selon notre analyse, nous avons constaté que le HO est non finalisé entre 233 et 99, les conditions radio étaient mauvaises avant la déconnexion, La requete de deconnexion a ete envoyé par le bord sans retransmission des trames HDLC </t>
  </si>
  <si>
    <t xml:space="preserve"> HO non finalisé entre 99 et 233</t>
  </si>
  <si>
    <t>Selon notre analyse, nous avons constaté que le HO non finalisé entre 302 et 203, les conditions radio étaient Mauvaises avant la déconnexion,La requete de deconnexion a ete envoyé par le Bord sans retransmission des trames HDLC*5</t>
  </si>
  <si>
    <t>Selon notre analyse, nous avons constaté que le HO non finalisé entre 301 et 203, les conditions radio étaient Mauvaises avant la déconnexion, La requete de deconnexion a ete envoyé par le RBC sans retransmission des trames HDLC.</t>
  </si>
  <si>
    <t xml:space="preserve"> HO non finalisé entre 301 et 203</t>
  </si>
  <si>
    <t>Selon notre analyse, nous avons constaté que le HO non finalisé entre 204 et 205, les conditions radio étaient bonnes avant la déconnexion, La requete de deconnexion a ete envoyé par le RBC suite au retransmission des trames HDLC.</t>
  </si>
  <si>
    <t>En attente des traces DRU/JRU pour analyse approfondie</t>
  </si>
  <si>
    <t xml:space="preserve"> HO non finalisé entre 204 et 205</t>
  </si>
  <si>
    <t>Selon notre analyse, nous avons constaté que le HO non finalisé entre 303 et 202, les conditions radio étaient bonnes avant la déconnexion,La requete de deconnexion a ete envoyé par le Bord sans retransmission des trames HDLC*5</t>
  </si>
  <si>
    <t>Selon notre analyse, nous avons constaté que le HO complet entre 595 et 596, les conditions radio étaient mauvaies avant la déconnexion,La requete de deconnexion a ete envoyé par le RBC suite au retransmission des trames HDLC</t>
  </si>
  <si>
    <t>Selon notre analyse, nous avons constaté que le HO Non Finalisé entre 232 et 233, les conditions radio étaient bonnes avant la déconnexion,La requete de deconnexion a ete envoyé par le RBC suite au retransmission des trames HDLC</t>
  </si>
  <si>
    <t xml:space="preserve"> HO non finalisé entre 232 et 233</t>
  </si>
  <si>
    <t>Selon notre analyse, nous avons constaté que le HO complet entre 202 et 203 avec Downlink quality , les conditions radio étaient mauvaies avant la déconnexion,La requete de deconnexion a ete envoyé par le RBC suite au retransmission des trames HDLC</t>
  </si>
  <si>
    <t>Selon notre analyse, nous avons constaté que le HO complet entre 203 et 202 avec Downlink quality , les conditions radio étaient mauvaies avant la déconnexion,La requete de deconnexion a ete envoyé par le RBC suite au retransmission des trames HDLC</t>
  </si>
  <si>
    <t>Selon notre analyse, nous avons constaté que le HO non Finalisé entre 222 et 323, les conditions radio étaient bonnes avant la déconnexion,La requete de deconnexion a ete envoyé par le Bord sans retransmission des trames HDLC</t>
  </si>
  <si>
    <t>HO non Finalisé entre 222 et 323</t>
  </si>
  <si>
    <t>Selon notre analyse, nous avons constaté que le HO complet entre 223 et 224, les conditions radio étaient mauvaies avant la déconnexion,La requete de deconnexion a ete envoyé par le RBC suite au retransmission des trames HDLC</t>
  </si>
  <si>
    <t>HO complet entre 223 et 224</t>
  </si>
  <si>
    <t>Selon notre analyse, nous avons constaté que le HO Non fnalisé entre 211 et 212, les conditions radio étaient Bonnes avant la déconnexion,La requete de deconnexion a ete envoyé par le RBC suite au retransmission des trames HDLC</t>
  </si>
  <si>
    <t>NA</t>
  </si>
  <si>
    <t>HO Non finalisé entre 211 et 212</t>
  </si>
  <si>
    <t>Selon notre analyse, nous avons constaté que le HO non finalisé entre 203 et 302, les conditions radio étaient mauvaies avant la déconnexion, La requete de deconnexion a ete envoyé par le Bord avec retransmission des trames HDLC*5</t>
  </si>
  <si>
    <t>Selon notre analyse, nous avons constaté que le HO Complet  entre 202 et 303, les conditions radio étaient mauvaies avant la déconnexion, La requete de deconnexion a ete envoyé par le RBC avec retransmission des trames HDLC*5</t>
  </si>
  <si>
    <t>Selon notre analyse, nous avons constaté que le HO Complet  entre 202 et 301, les conditions radio étaient mauvaies avant la déconnexion, La requete de deconnexion a ete envoyé par le RBC avec retransmission des trames HDLC*5</t>
  </si>
  <si>
    <t>HO complet entre 202 et 301</t>
  </si>
  <si>
    <t>Selon notre analyse, nous avons constaté que le HO non finalisé entre 209 et 310, les conditions radio étaient bonnes avant la déconnexion, La requete de deconnexion a ete envoyé par le RBC avec retransmission des trames HDLC*5</t>
  </si>
  <si>
    <t>HO Non finalisé entre 209 et 310</t>
  </si>
  <si>
    <t>Selon notre analyse, nous avons constaté que le HO Complete entre 203 et 202, les conditions radio étaient mauvaies avant la déconnexion, La requete de deconnexion a ete envoyé par le RBC  avec retransmission des trames HDLC*5</t>
  </si>
  <si>
    <t>HO Complete entre 203 et 202</t>
  </si>
  <si>
    <t>Selon notre analyse, nous avons constaté que le HO Complete entre 301 et 302, les conditions radio étaient mauvaies avant la déconnexion, La requete de deconnexion a ete envoyé par le RBC  avec retransmission des trames HDLC*5</t>
  </si>
  <si>
    <t>HO Complete entre 301 et 302</t>
  </si>
  <si>
    <t>Selon notre analyse, nous avons constaté que le HO Complete entre 301 et 202, les conditions radio étaient mauvaies avant la déconnexion, La requete de deconnexion a ete envoyé par le RBC  avec retransmission des trames HDLC*5</t>
  </si>
  <si>
    <t>HO Complete entre 301 et 202</t>
  </si>
  <si>
    <t>Selon notre analyse, nous avons constaté que le HO non finalisé entre 224 et 225, les conditions radio étaient mauvaies avant la déconnexion, La requete de deconnexion a ete envoyé par le RBC  avec retransmission des trames HDLC*5</t>
  </si>
  <si>
    <t>HO Non finalisé entre 224 et 225</t>
  </si>
  <si>
    <t>Selon notre analyse, nous avons constaté que le HO Complete entre 202 et 203, les conditions radio étaient mauvaies avant la déconnexion, La requete de deconnexion a ete envoyé par le RBC  avec retransmission des trames HDLC*5</t>
  </si>
  <si>
    <t>HO Complete entre 202 et 203</t>
  </si>
  <si>
    <t>Selon notre analyse, nous avons constaté que le HO non finalisé entre 320 et 319, les conditions radio étaient bonnes avant la déconnexion, La requete de deconnexion a ete envoyé par le RBC avec retransmission des trames HDLC*5</t>
  </si>
  <si>
    <t>HO Non finalisé entre 320 et 319</t>
  </si>
  <si>
    <t>Selon notre analyse, nous avons constaté que le HO non finalisé entre 318 et 317, les conditions radio étaient mauvaies avant la déconnexion, La requete de deconnexion a ete envoyé par le RBC avec retransmission des trames HDLC*5</t>
  </si>
  <si>
    <t>Selon notre analyse, nous avons constaté que le HO non finalisé entre 321 et 320, les conditions radio étaient bonnes avant la déconnexion, La requete de deconnexion a ete envoyé par le RBC avec retransmission des trames HDLC*5</t>
  </si>
  <si>
    <t>HO Non finalisé entre 321 et 320</t>
  </si>
  <si>
    <t>Selon notre analyse, nous avons constaté que le HO non finalisé  entre 226 et 327, les conditions radio étaient mauvaises avant la déconnexion, La requete de deconnexion a ete envoyé par le RBC avec retransmission des trames HDLC*5</t>
  </si>
  <si>
    <t>Selon notre analyse, nous avons constaté que le HO downlink quality non finalisé entre 226 et 327, les conditions radio étaient mauvaises lors du HO ce qui a engendré la déconnexion, La requete de deconnexion a ete envoyé par le MSC avec retransmission des trames HDLC*5</t>
  </si>
  <si>
    <t>HO Non finalisé entre 226 et 327</t>
  </si>
  <si>
    <t>Selon notre analyse, nous avons constaté que le HO  finalisé entre 202 et 203 , les conditions radio étaient  mauvaises avant la déconnexion, La requete de deconnexion a ete envoyé par le RBC avec retransmission des trames HDLC*5</t>
  </si>
  <si>
    <t xml:space="preserve">HO  finalisé entre 202 et 203 </t>
  </si>
  <si>
    <t>Selon notre analyse, nous avons constaté que le HO  non finalisé entre 325 et 224 , les conditions radio étaient  mauvaises avant la déconnexion, La requete de deconnexion a ete envoyé par le RBC avec retransmission des trames HDLC*5</t>
  </si>
  <si>
    <t>HO  non finalisé entre 325 et 224</t>
  </si>
  <si>
    <t>Selon notre analyse, nous avons constaté que le HO est complet entre 208 et 209 , les conditions radio étaient bonnes avant la déconnexion, La requete de deconnexion a ete envoyé par le bord  avec retransmission des trames HDLC*5</t>
  </si>
  <si>
    <t>HO complet entre 208 et 209</t>
  </si>
  <si>
    <t>Selon notre analyse, nous avons constaté que le train s'est connecté au cellule 233, les conditions radio étaient bonnes avant la déconnexion, La requete de deconnexion a ete envoyé par le bord sans retransmission des trames HDLC</t>
  </si>
  <si>
    <t>En attente du mise en place des tirroirs filtrés + Analyse en cours des relevés DRU/JRU de la rame + Zone sous surveillance par le NOC</t>
  </si>
  <si>
    <t>le train s'est connecté au cellule 233</t>
  </si>
  <si>
    <t>Pas de retranssmision des trames HDLC</t>
  </si>
  <si>
    <t>Selon notre analyse, nous avons constaté que le HO est complet entre 303 et 302 , les conditions radio étaient mauvais avant la déconnexion, La requete de deconnexion a ete envoyé par le RBC  avec retransmission des trames HDLC*5</t>
  </si>
  <si>
    <t>Selon notre analyse, nous avons constaté que le HO est non complet entre 230 et 231 ,les conditions radio étaient bonnes avant la déconnexion, La requete de deconnexion a ete envoyé par le RBC suite au retransmission des trames HDLC</t>
  </si>
  <si>
    <t>HO Non complet entre 230 et 231</t>
  </si>
  <si>
    <t>Selon notre analyse, nous avons constaté que le HO est complet entre 205 et 206 ,les conditions radio étaient bonnes avant la déconnexion, La requete de deconnexion a ete envoyé par le bord suite au retransmission des trames HDLC</t>
  </si>
  <si>
    <t>HO Non complet entre 205 et 206</t>
  </si>
  <si>
    <t>Selon notre analyse, nous avons constaté que le HO est complet entre 311 et 310 ,les conditions radio étaient bonnes avant la déconnexion, La requete de deconnexion a ete envoyé par le RBC suite au retransmission des trames HDLC</t>
  </si>
  <si>
    <t>HO Non finaliser entre 311 et 310</t>
  </si>
  <si>
    <t>Selon notre analyse, nous avons constaté que le HO est complet entre 206 et 207 ,les conditions radio étaient bonnes avant la déconnexion, La requete de deconnexion a ete envoyé par le bord suite au retransmission des trames HDLC</t>
  </si>
  <si>
    <t>En attente de pousser les analyse coté RBC</t>
  </si>
  <si>
    <t>HO  complet entre 206 et 207</t>
  </si>
  <si>
    <t>Selon notre analyse, nous avons constaté que le HO est complet entre 204 et 303 ,les conditions radio étaient bonnes avant la déconnexion, La requete de deconnexion a ete envoyé par le bord suite au retransmission des trames HDLC</t>
  </si>
  <si>
    <t>HO complet entre 204 et 303</t>
  </si>
  <si>
    <t>Selon notre analyse, nous avons constaté que le HO est Non finaliser entre 303 et 202 ,les conditions radio étaient Mauvaises avant la déconnexion, La requete de deconnexion a ete envoyé par le bord suite au retransmission des trames HDLC</t>
  </si>
  <si>
    <t>Non finaliser entre 303 et 202</t>
  </si>
  <si>
    <t>Selon notre analyse, nous avons constaté que le HO est Complet entre 302 et 201 avec Downlink quality ,les conditions radio étaient Mauvaises avant la déconnexion, La requete de deconnexion a ete envoyé par le RBC  suite au retransmission des trames HDLC</t>
  </si>
  <si>
    <t>HO complet entre 302 et 201</t>
  </si>
  <si>
    <t>Selon notre analyse, nous avons constaté que le HO est complet entre 202 et 303 , les conditions radio étaient mauvaises avant la déconnexion, La requete de deconnexion a ete envoyé par le RBC  avec retransmission des trames HDLC*5</t>
  </si>
  <si>
    <t>Selon notre analyse, nous avons constaté que le HO est Non finalisé entre 317 et 218 , les conditions radio en UPLINK étaient Mauvaises (Le downlink était OK) avant la déconnexion, La requete de deconnexion a ete envoyé par la BTS sans retransmission des trames HDLC</t>
  </si>
  <si>
    <t>Zone sous surveillance par l'équipe SOR</t>
  </si>
  <si>
    <t>HO Non finaliser entre 317 et 218</t>
  </si>
  <si>
    <t>dl Rxqual=0 (Ul rxqual = 7)</t>
  </si>
  <si>
    <t>dl rx level=-76 (ul rx level = -87)</t>
  </si>
  <si>
    <t>Selon notre analyse, nous avons constaté que le HO est complet entre 202 et 203 , les conditions radio étaient mauvaises avant la déconnexion, La requete de deconnexion a ete envoyé par le RBC  avec retransmission des trames HDLC*5</t>
  </si>
  <si>
    <t>Selon notre analyse, nous avons constaté que le HO est non finalisé entre 202 et 203 , les conditions radio étaient mauvaises avant la déconnexion, La requete de deconnexion a ete envoyé par le RBC  avec retransmission des trames HDLC*5</t>
  </si>
  <si>
    <t>Selon notre analyse, nous avons constaté que le HO est Complete entre 202 et 203 , les conditions radio étaient mauvaises avant la déconnexion, La requete de deconnexion a ete envoyé par le RBC  avec retransmission des trames HDLC*5</t>
  </si>
  <si>
    <t>Selon notre analyse, nous avons constaté que le HO est non Complete entre 203 et 302 , les conditions radio étaient mauvaises avant la déconnexion, La requete de deconnexion a ete envoyé par le RBC  avec retransmission des trames HDLC*5</t>
  </si>
  <si>
    <t>HO non finalisé entre 203 et 302</t>
  </si>
  <si>
    <t>Selon notre analyse, nous avons constaté que le HO est non finalisé entre 222 et 223, les conditions radio étaient Bonnes avant la déconnexion, La requete de deconnexion a ete envoyé par le RBC  avec retransmission des trames HDLC*5</t>
  </si>
  <si>
    <t>HO non finalisé entre 222 et 223</t>
  </si>
  <si>
    <t>Selon notre analyse, nous avons constaté que le HO n'est pas Complete entre 202 et 303 , les conditions radio étaient mauvaises avant la déconnexion, La requete de deconnexion a ete envoyé par le RBC  avec retransmission des trames HDLC*5</t>
  </si>
  <si>
    <t>Selon notre analyse, nous avons constaté que le HO est Non finalisé entre 303 et 202 , les conditions radio étaient mauvaises avant la déconnexion, La requete de deconnexion a ete envoyé par le RBC  avec retransmission des trames HDLC*5</t>
  </si>
  <si>
    <t>Selon notre analyse, nous avons constaté que le HO est non finalisé entre 222 et 223, les conditions radio étaient Bonne avant la déconnexion, La requete de deconnexion a ete envoyé par le Bord  sans retransmission des trames HDLC*5</t>
  </si>
  <si>
    <t>dl rx level=-88</t>
  </si>
  <si>
    <t>Selon notre analyse, nous avons constaté que le HO est non finalisé entre 203 et 202, les conditions radio étaient Bonne avant la déconnexion, La requete de deconnexion a ete envoyé par le Bord  sans retransmission des trames HDLC*5</t>
  </si>
  <si>
    <t>HO non finalisé entre 203 et 202</t>
  </si>
  <si>
    <t>Selon notre analyse, nous avons constaté que le HO est complet entre 234 et 233, les conditions radio sont mauvaises  La requete de deconnexion a ete envoyé par le  RBC  avec retransmission des trames HDLC*5</t>
  </si>
  <si>
    <t>HO complet entre 234 et 233</t>
  </si>
  <si>
    <t>Retranssmision des trames HDLC*5</t>
  </si>
  <si>
    <t>Selon notre analyse, nous avons constaté que le HO est complet entre  214 et 215, les conditions radio sont Bonnes  La requete de deconnexion a ete envoyé par le RBC  sans retransmission des trames HDLC</t>
  </si>
  <si>
    <t>HO complet entre 214 et 215</t>
  </si>
  <si>
    <t>Pas de Retranssmision des trames HDLC</t>
  </si>
  <si>
    <t>Selon notre analyse, nous avons constaté que le HO Complet entre 302 et 302, les conditions radio étaient mauvaises avant la déconnexion, La requete de deconnexion a ete envoyé par le Bord  sans retransmission des trames HDLC*5</t>
  </si>
  <si>
    <t>HO Complet entre 302 et 303</t>
  </si>
  <si>
    <t>Selon notre analyse, nous avons constaté que le HO non finalisé entre 202 et 203, les conditions radio étaient mauvaises avant la déconnexion, La requete de deconnexion a ete envoyé par le  RBC  avec retransmission des trames HDLC*5</t>
  </si>
  <si>
    <t>Selon notre analyse, nous avons constaté que le HO non finalisé entre 202 et 303, les conditions radio étaient bonnes  avant la déconnexion, La requete de deconnexion a ete envoyé par le  RBC  avec retransmission des trames HDLC*5</t>
  </si>
  <si>
    <t>Selon notre analyse, nous avons constaté que le HO non finalisé entre 225 et 226, les conditions radio étaient bonnes  avant la déconnexion, La requete de deconnexion a ete envoyé par le  RBC  avec retransmission des trames HDLC*5</t>
  </si>
  <si>
    <t>Selon notre analyse, nous avons constaté que le HO non finalisé entre 228 et 227, les conditions radio étaient bonnes  avant la déconnexion, La requete de deconnexion a ete envoyé par le  RBC  avec retransmission des trames HDLC*5</t>
  </si>
  <si>
    <t>HO non finalisé entre 228 et 227</t>
  </si>
  <si>
    <t>Selon notre analyse, nous avons constaté que le HO complet entre 222 et 221, les conditions radio étaient bonnes  avant la déconnexion, La requete de deconnexion a ete envoyé par le  RBC  avec retransmission des trames HDLC*5</t>
  </si>
  <si>
    <t>HO complet entre 222 et 221</t>
  </si>
  <si>
    <t>Selon notre analyse, nous avons constaté que le HO Non finalisé entre 302 et 203 avec Downlink quality , les conditions radio étaient mauvaise  avant la déconnexion, La requete de deconnexion a ete envoyé par le  bord  Sans  retransmission des trames HDLC</t>
  </si>
  <si>
    <t>Selon notre analyse, nous avons constaté que le HO complet entre 302 et 203  , les conditions radio étaient mauvaises avant la déconnexion, La requete de deconnexion a ete envoyé par le  RBC  avec  retransmission des trames HDLC*5</t>
  </si>
  <si>
    <t>Selon notre analyse, nous avons constaté que le HO complet entre 303 et 202  , les conditions radio étaient Bonne avant la déconnexion, La requete de deconnexion a ete envoyé par le  RBC  avec  retransmission des trames HDLC*5</t>
  </si>
  <si>
    <t>Selon notre analyse, nous avons constaté que le HO non finalisé entre 303et 201, les conditions radio étaient mauvaises avant la déconnexion, La requete de deconnexion a ete envoyé par le  RBC  avec  retransmission des trames HDLC*5</t>
  </si>
  <si>
    <t>HO non finalisé entre 303 et 201</t>
  </si>
  <si>
    <t>Selon notre analyse, nous avons constaté que le HO non finalisé entre 332 et 331, les conditions radio étaient mauvaises en uplink avant la déconnexion, La requete de deconnexion a ete envoyé par le  bord  avec  retransmission des trames HDLC*5</t>
  </si>
  <si>
    <t>Selon notre analyse, nous avons constaté que le HO Complet entre 202 et 203 avec Downlink quality, les conditions radio étaient Mauvaise avant la déconnexion, La requete de deconnexion a ete envoyé par le RBC  avec  retransmission des trames HDLC*5</t>
  </si>
  <si>
    <t>Selon notre analyse, nous avons constaté que le HO non finalisé entre 202 et 203, les conditions radio étaient Mauvaise avant la déconnexion, La requete de deconnexion a ete envoyé par le RBC  avec  retransmission des trames HDLC*5</t>
  </si>
  <si>
    <t>Selon notre analyse, nous avons constaté que le HO complet entre 202 et 203, les conditions radio étaient Mauvaise avant la déconnexion, La requete de deconnexion a ete envoyé par le RBC  avec  retransmission des trames HDLC*5</t>
  </si>
  <si>
    <t>Selon notre analyse, nous avons constaté que le HO non finalisé entre 228 et 227, les conditions radio étaient mauvaises en uplink avant la déconnexion, La requete de deconnexion a ete envoyé par le  RBC  avec retransmission des trames HDLC*5</t>
  </si>
  <si>
    <t>Selon notre analyse, nous avons constaté que le HO complet entre 303 et 202, les conditions radio étaient Mauvaise avant la déconnexion, La requete de deconnexion a ete envoyé par le RBC  avec  retransmission des trames HDLC*5</t>
  </si>
  <si>
    <t>Selon notre analyse, nous avons constaté que le HO est Non finalisé entre 219 et 218 , les conditions radio en UPLINK étaient Mauvaises (Le downlink était OK) avant la déconnexion, La requete de deconnexion a ete envoyé par la RBC avec retransmission des trames HDLC</t>
  </si>
  <si>
    <t>HO Non finaliser entre 219 et 218</t>
  </si>
  <si>
    <t>Selon notre analyse, nous avons constaté que le HO non finalisé entre 303 et 202, les conditions radio étaient Mauvaise avant la déconnexion, La requete de deconnexion a ete envoyé par le RBC  avec  retransmission des trames HDLC*5</t>
  </si>
  <si>
    <t>Selon notre analyse, nous avons constaté que le HO Complet entre 202 et 301, les conditions radio étaient Mauvaise avant la déconnexion, La requete de deconnexion a ete envoyé par le RBC  avec  retransmission des trames HDLC*5</t>
  </si>
  <si>
    <t>Selon notre analyse, nous avons constaté que le HO Non finalisé  entre 202 et 203, les conditions radio étaient Mauvaise avant la déconnexion, La requete de deconnexion a ete envoyé par le RBC  avec  retransmission des trames HDLC*5</t>
  </si>
  <si>
    <t>Selon notre analyse, nous avons constaté que le HO complet  entre 203 et 302, les conditions radio étaient Mauvaise avant la déconnexion, La requete de deconnexion a ete envoyé par le RBC avec retransmission des trames HDLC*5</t>
  </si>
  <si>
    <t>Selon notre analyse, nous avons constaté que le HO Non finalisé  entre 302 et 203, les conditions radio étaient Mauvaise avant la déconnexion, La requete de deconnexion a ete envoyé par le Bord  avec  retransmission des trames HDLC*3</t>
  </si>
  <si>
    <t>Selon notre analyse, nous avons constaté que le HO Non finalisé  entre 202 et 303, les conditions radio étaient Mauvaise avant la déconnexion, La requete de deconnexion a ete envoyé par le RBC  avec  retransmission des trames HDLC*5</t>
  </si>
  <si>
    <t>HO  finalisé entre 214 et 215</t>
  </si>
  <si>
    <t xml:space="preserve">dl Rxqual=0 </t>
  </si>
  <si>
    <t>Selon notre analyse, nous avons constaté que le HO est complet entre  214 et 215, les conditions radio sont Bonnes  La requete de deconnexion a ete envoyé par le RBC avec retransmission des trames HDLC</t>
  </si>
  <si>
    <t>Selon notre analyse, nous avons constaté que le HO est non finalisé entre  214 et 215, les conditions radio sont mauvaises en uplink  La requete de deconnexion a ete envoyé par le RBC avec retransmission des trames HDLC</t>
  </si>
  <si>
    <t>Selon notre analyse, nous avons constaté que le HO est complet entre  214 et 215, les conditions radio sont bonne La requete de deconnexion a ete envoyé par le bord avec retransmission des trames HDLC</t>
  </si>
  <si>
    <t>HO  complet entre 214 et 215</t>
  </si>
  <si>
    <t>Selon notre analyse, nous avons constaté que le HO est complet entre  223 et 224 les conditions radio sont bonne La requete de deconnexion a ete envoyé par le RBC sans de  retransmission des trames HDLC</t>
  </si>
  <si>
    <t>HO  complet entre 223 et 224</t>
  </si>
  <si>
    <t>No Semaine</t>
  </si>
  <si>
    <t>Description</t>
  </si>
  <si>
    <t>Motif</t>
  </si>
  <si>
    <t xml:space="preserve">Excès de vitesse, Groupe de balise incohérent, Avec arrêt d’urgence </t>
  </si>
  <si>
    <t>Reserve Travaux</t>
  </si>
  <si>
    <t>Traitement du point d'information par la solution d'impédance le 16/04</t>
  </si>
  <si>
    <t>Groupe de balise incohérent</t>
  </si>
  <si>
    <t>Responsabilité MOE, trancon de l'Installation non mis en service (hors perimetre infra)</t>
  </si>
  <si>
    <t>Signalé a MOE, verification de l'eurobalise et surveillance du passage de circulation</t>
  </si>
  <si>
    <t>16:19:00 et 16:27:00</t>
  </si>
  <si>
    <t>86,3 et 86,9</t>
  </si>
  <si>
    <t>Traitement du point d'information par la solution d'impédance le 29/04</t>
  </si>
  <si>
    <t>10h13</t>
  </si>
  <si>
    <t>signal répété fermé</t>
  </si>
  <si>
    <t>Traitement du point d'information par la solution d'impédance le jour meme, un mail a été adressé au MOE pour approfondir les investigations</t>
  </si>
  <si>
    <t>16h57</t>
  </si>
  <si>
    <t>2034
2042</t>
  </si>
  <si>
    <t>1201
1203</t>
  </si>
  <si>
    <t>86,7 et 86,45
86,5 et 86,8</t>
  </si>
  <si>
    <t>15h12</t>
  </si>
  <si>
    <t>17h00</t>
  </si>
  <si>
    <t>signal  fermé</t>
  </si>
  <si>
    <t>Traitement du point d'information par la solution d'impédance le jour meme</t>
  </si>
  <si>
    <t>28/05/2025</t>
  </si>
  <si>
    <t>10h35</t>
  </si>
  <si>
    <t>Remplacement de l'eurobalise, et essai statique du signal</t>
  </si>
  <si>
    <t>17h33
17h41</t>
  </si>
  <si>
    <t>87,019
86,710</t>
  </si>
  <si>
    <t>18h28
18h34</t>
  </si>
  <si>
    <t>29/05/2025</t>
  </si>
  <si>
    <t>19h21
19h29</t>
  </si>
  <si>
    <t>86,800
86,500</t>
  </si>
  <si>
    <t>En cours d'investigation, attente retour alstom</t>
  </si>
  <si>
    <t>12h23
12h27</t>
  </si>
  <si>
    <t>95+100
94+950</t>
  </si>
  <si>
    <t>signal Fermé (avec déclenchement alerte radio)</t>
  </si>
  <si>
    <t>Elément de sectionnement BRB défectueux, bon après
 remplacement et essai statique</t>
  </si>
  <si>
    <t>Remplacement de l'element de sectionement defectueux</t>
  </si>
  <si>
    <t>20h41</t>
  </si>
  <si>
    <t>86+700</t>
  </si>
  <si>
    <t>Signal fermé</t>
  </si>
  <si>
    <t>22h30 : Balise fonctionne normale
 après passage plusieurs circulation</t>
  </si>
  <si>
    <t>Investigations en cours avec ALSTOM (La solution d'impedence est installée, l'essai statique de l'eurobalise RAS)</t>
  </si>
  <si>
    <t>15h37
20h43
21h36</t>
  </si>
  <si>
    <t>2034
2054
2058</t>
  </si>
  <si>
    <t>1201
1208+1202
1201</t>
  </si>
  <si>
    <t>87+600</t>
  </si>
  <si>
    <t>raccordement à la terre du câble 3NSS, PI toujours sous surveillance</t>
  </si>
  <si>
    <t>16h32</t>
  </si>
  <si>
    <t>86+700
86+450</t>
  </si>
  <si>
    <t>19h16
21h40</t>
  </si>
  <si>
    <t>1045
1057</t>
  </si>
  <si>
    <t>1204/1211
1209</t>
  </si>
  <si>
    <t>115+100</t>
  </si>
  <si>
    <t>Groupe de balise incohérent « Train trip »</t>
  </si>
  <si>
    <t>en cours</t>
  </si>
  <si>
    <t>Traitement du point d'information par la solution d'impédance est prévu le 07/05.</t>
  </si>
  <si>
    <t>19h30</t>
  </si>
  <si>
    <t>86+700
86+500 86+800</t>
  </si>
  <si>
    <t>Bon après vérification et serrage des connecteurs 
de la zone sur le terrain. 
Installation reste sous surveillance. Pour le signal 114+76 les investigations sont en cours</t>
  </si>
  <si>
    <t>En attente d'un retour de la part Alstom, un FAX est en cours de traitement par la DMI pour envoi à Alstom</t>
  </si>
  <si>
    <t>17h29</t>
  </si>
  <si>
    <t>86+500 86+800</t>
  </si>
  <si>
    <t>19h30 : Bon après changement d’émetteur
 de zone adjacente 87.8 v2 par TU de zone 116.19</t>
  </si>
  <si>
    <t>En attente d'un retour de la part d'Alstom</t>
  </si>
  <si>
    <t>18h24</t>
  </si>
  <si>
    <t>87+500</t>
  </si>
  <si>
    <t>A 20h00 balise fonctionnelle après 
passage des circulation RAS</t>
  </si>
  <si>
    <t>23h36</t>
  </si>
  <si>
    <t>84+450</t>
  </si>
  <si>
    <t xml:space="preserve">Bon après passage de circulation </t>
  </si>
  <si>
    <t>17h13</t>
  </si>
  <si>
    <t>14+500</t>
  </si>
  <si>
    <t>18h41</t>
  </si>
  <si>
    <t>27+700</t>
  </si>
  <si>
    <t xml:space="preserve">Intervention SE terminé à 20h35 </t>
  </si>
  <si>
    <t>12h57</t>
  </si>
  <si>
    <t>25+300</t>
  </si>
  <si>
    <t xml:space="preserve">13h30
Bon après désactivation de group balise </t>
  </si>
  <si>
    <t>05h00</t>
  </si>
  <si>
    <t>86+400</t>
  </si>
  <si>
    <t>07h30 bon après passage deuxième circulation</t>
  </si>
  <si>
    <t> </t>
  </si>
  <si>
    <t>15h30</t>
  </si>
  <si>
    <t>114+700</t>
  </si>
  <si>
    <t>Groupe de Balise Rencontré en rouge</t>
  </si>
  <si>
    <t>17h10, Bon après passage de trois circulations</t>
  </si>
  <si>
    <t>L’analyse des logs de l’enclenchement n’a révélé aucun dysfonctionnement. Une demande a été transmise à ALSTOM afin d’approfondir les investigations.</t>
  </si>
  <si>
    <t>123+400</t>
  </si>
  <si>
    <t>O.S</t>
  </si>
  <si>
    <t>16h30, Bon après passage du 2eme train, RAS après vérification</t>
  </si>
  <si>
    <t>après analyse des logs de l'enclenchement, une perte fugitive de communication entre la carte TEBD et l'eurobalise a été constaté, action corrective : rearmement de la carte TEBD et surveillance de l'installation</t>
  </si>
  <si>
    <t>22h17</t>
  </si>
  <si>
    <t>111+200</t>
  </si>
  <si>
    <t>un signal répété fermé</t>
  </si>
  <si>
    <t>Installation fonctionne normale bon après vérification</t>
  </si>
  <si>
    <t>Le Point d'information a été surveillé, pas d'anomalie détéctée</t>
  </si>
  <si>
    <t>16h17</t>
  </si>
  <si>
    <t>99+400</t>
  </si>
  <si>
    <t>Sur vitesse / acquittement de l’OS</t>
  </si>
  <si>
    <t xml:space="preserve">Balise fonctionne normale bon après passage du train </t>
  </si>
  <si>
    <t>05h49</t>
  </si>
  <si>
    <t>116.25</t>
  </si>
  <si>
    <t xml:space="preserve">07h30 
Mauvais contact au niveau de BRB bon après remise en état </t>
  </si>
  <si>
    <t>14h21</t>
  </si>
  <si>
    <t>110+600</t>
  </si>
  <si>
    <t xml:space="preserve">Sur vitesse
L’OS </t>
  </si>
  <si>
    <t>Le signal 110.6 a été répeté fermé lors du passage de train.</t>
  </si>
  <si>
    <t>Balise déja équipé par la soulution d'impédence proposé par ALSTOM, le comportement du PI a été surveillé pendant le passage de trois circulation</t>
  </si>
  <si>
    <t>Bon après essai de commutation au niveau de balise du signal 110.6 V1I</t>
  </si>
  <si>
    <t>19h25</t>
  </si>
  <si>
    <t>111+300</t>
  </si>
  <si>
    <t xml:space="preserve">Sémaphore au lieu VL au niveau ETCS </t>
  </si>
  <si>
    <t xml:space="preserve"> rétabli à 20h30 après passage du deuxième train  20h30</t>
  </si>
  <si>
    <t>17h18</t>
  </si>
  <si>
    <t>116+57</t>
  </si>
  <si>
    <t>Voie libre répeté fermé</t>
  </si>
  <si>
    <t xml:space="preserve">18h30
Bon après passage du deuxième train </t>
  </si>
  <si>
    <t>Pas d'anomalie detecté par l'équipe, bon après passage de la deuxieme circulation</t>
  </si>
  <si>
    <t>21h10</t>
  </si>
  <si>
    <t>13+800</t>
  </si>
  <si>
    <t>Bon après passage circulation</t>
  </si>
  <si>
    <t>Trancon non exploité de l'ETCS N1</t>
  </si>
  <si>
    <t>06h12</t>
  </si>
  <si>
    <t>13+200</t>
  </si>
  <si>
    <t xml:space="preserve">10h00
Bon après couverture de la balise au km 13+50 </t>
  </si>
  <si>
    <t>07h10</t>
  </si>
  <si>
    <t>13+300</t>
  </si>
  <si>
    <t>10h00
Bon après couverture de la balise au km 13+50</t>
  </si>
  <si>
    <t>08h20</t>
  </si>
  <si>
    <t>18h10</t>
  </si>
  <si>
    <t>12+100</t>
  </si>
  <si>
    <t>19h03</t>
  </si>
  <si>
    <t>12+000</t>
  </si>
  <si>
    <t>10h00
Bon après couverture de la balise au km 12</t>
  </si>
  <si>
    <t>20h11</t>
  </si>
  <si>
    <t>12+200</t>
  </si>
  <si>
    <t>10h00
Bon après couverture de la balise au km 12+200</t>
  </si>
  <si>
    <t>12h14</t>
  </si>
  <si>
    <t>97+00</t>
  </si>
  <si>
    <t xml:space="preserve">Groupe de balise rencontré rouge </t>
  </si>
  <si>
    <t xml:space="preserve">Bon après remplacement carte COM-5 gérant les dites balises </t>
  </si>
  <si>
    <t>Remplacement de la carte defectueuse</t>
  </si>
  <si>
    <t>12h25</t>
  </si>
  <si>
    <t>Groupe de balise rencontré rouge</t>
  </si>
  <si>
    <t>Bon après remplacement carte COM-5 gérant les dites balises</t>
  </si>
  <si>
    <t>11h30</t>
  </si>
  <si>
    <t>121+000</t>
  </si>
  <si>
    <t>Groupe balise raté de lecture</t>
  </si>
  <si>
    <r>
      <t>Bon après passage autre circulation RAS</t>
    </r>
    <r>
      <rPr>
        <b/>
        <sz val="6"/>
        <color rgb="FF0000FF"/>
        <rFont val="Calibri"/>
        <family val="2"/>
      </rPr>
      <t xml:space="preserve"> </t>
    </r>
  </si>
  <si>
    <t>cause_racine</t>
  </si>
  <si>
    <t>Contributeurs</t>
  </si>
  <si>
    <t>Motrice</t>
  </si>
  <si>
    <t>Parcours</t>
  </si>
  <si>
    <t>début</t>
  </si>
  <si>
    <t>fin</t>
  </si>
  <si>
    <t>Interavlle</t>
  </si>
  <si>
    <t>Sites GSM-R</t>
  </si>
  <si>
    <t>Sous Systeme</t>
  </si>
  <si>
    <t>Evenement</t>
  </si>
  <si>
    <t>C/R GSM-R</t>
  </si>
  <si>
    <t>2081/2082</t>
  </si>
  <si>
    <t>GSMR_01/02</t>
  </si>
  <si>
    <t>Alstom</t>
  </si>
  <si>
    <t>2001/2002</t>
  </si>
  <si>
    <t>GSM-R</t>
  </si>
  <si>
    <t>AMI LGV</t>
  </si>
  <si>
    <t>2005/2006</t>
  </si>
  <si>
    <t>AMI CCR SIG</t>
  </si>
  <si>
    <t>2009/2010</t>
  </si>
  <si>
    <t>GSMR_04/05</t>
  </si>
  <si>
    <t>RBC/GSM-R</t>
  </si>
  <si>
    <t>AMI CCR GSMR</t>
  </si>
  <si>
    <t>2013/2014</t>
  </si>
  <si>
    <t>GSMR_05/06</t>
  </si>
  <si>
    <t>RBC/GSMR</t>
  </si>
  <si>
    <t>GSM-R/Bord</t>
  </si>
  <si>
    <t>SMMRGV</t>
  </si>
  <si>
    <t>2017/2018</t>
  </si>
  <si>
    <t>GSMR_06/07</t>
  </si>
  <si>
    <t>Externe</t>
  </si>
  <si>
    <t>Huawei</t>
  </si>
  <si>
    <t>2021/2022</t>
  </si>
  <si>
    <t>GSMR_07/08</t>
  </si>
  <si>
    <t>GSM-R/RBC</t>
  </si>
  <si>
    <t>Thalès</t>
  </si>
  <si>
    <t>2029/2030</t>
  </si>
  <si>
    <t>Huawei/Thalès</t>
  </si>
  <si>
    <t>2025/2026</t>
  </si>
  <si>
    <t>GSMR_09/10</t>
  </si>
  <si>
    <t>Tous</t>
  </si>
  <si>
    <t>2033/2034</t>
  </si>
  <si>
    <t>GSMR_10/11</t>
  </si>
  <si>
    <t>2037/2038</t>
  </si>
  <si>
    <t>GSMR_11/12</t>
  </si>
  <si>
    <t>2041/2042</t>
  </si>
  <si>
    <t>2045/2046</t>
  </si>
  <si>
    <t>2049/2050</t>
  </si>
  <si>
    <t>GSMR_14/15</t>
  </si>
  <si>
    <t>2053/2054</t>
  </si>
  <si>
    <t>GSMR_15/16</t>
  </si>
  <si>
    <t>2057/2058</t>
  </si>
  <si>
    <t>2061/2062</t>
  </si>
  <si>
    <t>10071/10072</t>
  </si>
  <si>
    <t>GSMR_18/19</t>
  </si>
  <si>
    <t>1081/1082</t>
  </si>
  <si>
    <t>1001/1002</t>
  </si>
  <si>
    <t>1005/1006</t>
  </si>
  <si>
    <t>GSMR_21/22</t>
  </si>
  <si>
    <t>1009/1010</t>
  </si>
  <si>
    <t>GSMR_22/23</t>
  </si>
  <si>
    <t>1013/1014</t>
  </si>
  <si>
    <t>1017/1018</t>
  </si>
  <si>
    <t>GSMR_24/25</t>
  </si>
  <si>
    <t>1021/1022</t>
  </si>
  <si>
    <t>1025/1026</t>
  </si>
  <si>
    <t>1029/1030</t>
  </si>
  <si>
    <t>GSMR_27/28</t>
  </si>
  <si>
    <t>1033/1034</t>
  </si>
  <si>
    <t>GSMR_28/29</t>
  </si>
  <si>
    <t>1037/1038</t>
  </si>
  <si>
    <t>GSMR_29/30</t>
  </si>
  <si>
    <t>1041/1042</t>
  </si>
  <si>
    <t>GSMR_30/31</t>
  </si>
  <si>
    <t>1045/1046</t>
  </si>
  <si>
    <t>GSMR_31/32</t>
  </si>
  <si>
    <t>1049/1050</t>
  </si>
  <si>
    <t>1053/1054</t>
  </si>
  <si>
    <t>1057/1058</t>
  </si>
  <si>
    <t>1061/1062</t>
  </si>
  <si>
    <t>10075/10076</t>
  </si>
  <si>
    <t>Temps Perdu</t>
  </si>
  <si>
    <t>Traces ABIS 
A fournir par Huawei</t>
  </si>
  <si>
    <t>Traces RBC
A fournir par  AMI CCR</t>
  </si>
  <si>
    <t>Traces Expandium (GSMR)
A fournir par GSMR</t>
  </si>
  <si>
    <t xml:space="preserve">Fichier MRU </t>
  </si>
  <si>
    <t>Temps perdu2</t>
  </si>
  <si>
    <t>arrêt du train suite à un message de défaut " arrêt d'urgence inconditionnel" sur l'IHM aux alentours du site 18-19</t>
  </si>
  <si>
    <t xml:space="preserve">aucune déconnexion </t>
  </si>
  <si>
    <t>à fournir</t>
  </si>
  <si>
    <t>Fait</t>
  </si>
  <si>
    <t>arrêt du train suite à une perte de liaison entre RBC et PAI</t>
  </si>
  <si>
    <t>RAS</t>
  </si>
  <si>
    <t>H.O complet  entre 222 et 321,Bonne  qualité /niveau  de signal Requête de déconnexion a été envoyé par RBC</t>
  </si>
  <si>
    <t>H.O complet  entre 203 et 204,Bonne  qualité /niveau  de signal Requête de déconnexion a été envoyé par RBC</t>
  </si>
  <si>
    <t xml:space="preserve">Echec de connexion supervision radio  ayant causé  un arrêt de train , </t>
  </si>
  <si>
    <t xml:space="preserve">un problème au niveau des deux cartes DDPU du site GSM-R 2 </t>
  </si>
  <si>
    <t>incide</t>
  </si>
  <si>
    <t>Echec de connexion supervision radio  ayant causé un Arret de Train post Trip</t>
  </si>
  <si>
    <t>Echec de connexion supervision radio  ayant causé un Arret de Train En FS</t>
  </si>
  <si>
    <t>Echec de connexion supervision radio  ayant causé un Arret de Train En mode Post trip</t>
  </si>
  <si>
    <t>Bord/RBC</t>
  </si>
  <si>
    <t>on attendant croisement des traces JRU</t>
  </si>
  <si>
    <t xml:space="preserve">Echec de connexion supervision radio  ayant causé un Arret de Train </t>
  </si>
  <si>
    <t>Echec de connexion supervision radio  ayant causé un Arret de Train mode Trip</t>
  </si>
  <si>
    <t>GSMR/BORD</t>
  </si>
  <si>
    <t xml:space="preserve">Echec de connexion supervision radio ayant causé un Arret de Train </t>
  </si>
  <si>
    <t xml:space="preserve">                                                                                                                                                                                                                                                                                                                                                                                                                                                                                                                                                                                                                                                                                                                                                                                                                                                                                                                                                                                                                                                                                                                                                                                                                                                                                                                                                                                                                                                                                                                                                                                                                                                                                                                                                                                                                                                                                                                                                                                                                                                                                                                                                                                                                                                                                                                                                                                                                                                                                                                                                                                                                                                                                                                                                                                                                                                                                                                                                                                                                                                                                                                                                                                                                                                                                                                                                                                                                                                                                                                                                                                                           </t>
  </si>
  <si>
    <t>ok</t>
  </si>
  <si>
    <t>07:22:20</t>
  </si>
  <si>
    <t>2005</t>
  </si>
  <si>
    <t>1201</t>
  </si>
  <si>
    <t>Echec de connexion supervision radio ayant causé un arrêt de train</t>
  </si>
  <si>
    <t>1060</t>
  </si>
  <si>
    <t>Echec de connexion supervision radio ayant causé un arrêt de train En Mode FS</t>
  </si>
  <si>
    <t>7.321</t>
  </si>
  <si>
    <t xml:space="preserve">M2 </t>
  </si>
  <si>
    <t>GSM-R_03/02</t>
  </si>
  <si>
    <t>GSM-R_03/04</t>
  </si>
  <si>
    <t>H.O : Complet  entre 303 et 303</t>
  </si>
  <si>
    <t>GSMR16/17</t>
  </si>
  <si>
    <t>GSMR03/04</t>
  </si>
  <si>
    <t xml:space="preserve"> 12:44:42</t>
  </si>
  <si>
    <t>* Etat H.O : Ho complet entre 232 et 233
* qualité /niveau de signal : dl rx-qual=0, dl rx level = -48 dbm
    *Requête de déconnexion a été envoyée par le bord</t>
  </si>
  <si>
    <t xml:space="preserve"> HO complet entre 232 et 233</t>
  </si>
  <si>
    <t>(Tous)</t>
  </si>
  <si>
    <t>VRAI</t>
  </si>
  <si>
    <t>Nombre de Rame</t>
  </si>
  <si>
    <t/>
  </si>
  <si>
    <t>Sous-Système</t>
  </si>
  <si>
    <t>Nb dcnx</t>
  </si>
  <si>
    <t>Nombre</t>
  </si>
  <si>
    <t>Sous système mis encause</t>
  </si>
  <si>
    <t>Total</t>
  </si>
  <si>
    <t>Total général</t>
  </si>
  <si>
    <t>Étiquettes de colonnes</t>
  </si>
  <si>
    <t>Nombre de Intervalle</t>
  </si>
  <si>
    <t>Étiquettes de lignes</t>
  </si>
  <si>
    <t>Total 1203</t>
  </si>
  <si>
    <t>Total 1204</t>
  </si>
  <si>
    <t>Total 1205</t>
  </si>
  <si>
    <t>Total 1206</t>
  </si>
  <si>
    <t>Total 1207</t>
  </si>
  <si>
    <t>Total 1208</t>
  </si>
  <si>
    <t>Total 1209</t>
  </si>
  <si>
    <t>2024</t>
  </si>
  <si>
    <t>fév</t>
  </si>
  <si>
    <t>mar</t>
  </si>
  <si>
    <t>avr</t>
  </si>
  <si>
    <t>jan</t>
  </si>
  <si>
    <t>mai</t>
  </si>
  <si>
    <t>août</t>
  </si>
  <si>
    <t>sept</t>
  </si>
  <si>
    <t>oct</t>
  </si>
  <si>
    <t>nov</t>
  </si>
  <si>
    <t>2025</t>
  </si>
  <si>
    <t>jui</t>
  </si>
  <si>
    <t>juil</t>
  </si>
  <si>
    <t>déc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</si>
</sst>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 h:mm;@"/>
    <numFmt numFmtId="165" formatCode="0.000"/>
    <numFmt numFmtId="166" formatCode="[$-40C]d\-mmm;@"/>
    <numFmt numFmtId="167" formatCode="[$-F400]h:mm:ss\ AM/PM"/>
  </numFmts>
  <fonts count="36">
    <font>
      <sz val="11"/>
      <color theme="1"/>
      <name val="Calibri"/>
      <family val="2"/>
      <scheme val="minor"/>
    </font>
    <font>
      <b/>
      <sz val="11"/>
      <color theme="1"/>
      <name val="Calibri"/>
      <family val="2"/>
      <scheme val="minor"/>
    </font>
    <font>
      <sz val="9"/>
      <name val="Calibri Light"/>
      <family val="2"/>
      <scheme val="major"/>
    </font>
    <font>
      <sz val="10"/>
      <name val="Calibri Light"/>
      <family val="2"/>
      <scheme val="major"/>
    </font>
    <font>
      <sz val="10"/>
      <color theme="1"/>
      <name val="Calibri Light"/>
      <family val="2"/>
      <scheme val="major"/>
    </font>
    <font>
      <sz val="9"/>
      <color theme="1"/>
      <name val="Times New Roman"/>
      <family val="1"/>
    </font>
    <font>
      <sz val="9"/>
      <color rgb="FF000000"/>
      <name val="Times New Roman"/>
      <family val="1"/>
    </font>
    <font>
      <sz val="9"/>
      <name val="Times New Roman"/>
      <family val="1"/>
    </font>
    <font>
      <sz val="9"/>
      <color theme="1"/>
      <name val="Arial"/>
      <family val="2"/>
    </font>
    <font>
      <sz val="9"/>
      <color rgb="FFFF0000"/>
      <name val="Times New Roman"/>
      <family val="1"/>
    </font>
    <font>
      <sz val="9"/>
      <color rgb="FF000000"/>
      <name val="Segoe UI"/>
      <family val="2"/>
    </font>
    <font>
      <sz val="9"/>
      <color theme="1"/>
      <name val="Calibri"/>
      <family val="2"/>
      <scheme val="minor"/>
    </font>
    <font>
      <sz val="11"/>
      <color theme="1"/>
      <name val="Arial"/>
      <family val="2"/>
    </font>
    <font>
      <sz val="11"/>
      <color rgb="FF000000"/>
      <name val="Calibri"/>
      <family val="2"/>
      <scheme val="minor"/>
    </font>
    <font>
      <sz val="9"/>
      <color theme="1"/>
      <name val="Calibri Light"/>
      <family val="2"/>
      <scheme val="major"/>
    </font>
    <font>
      <sz val="9"/>
      <color rgb="FF000000"/>
      <name val="Arial"/>
      <family val="2"/>
    </font>
    <font>
      <sz val="11"/>
      <color theme="1"/>
      <name val="Aptos"/>
      <family val="2"/>
    </font>
    <font>
      <sz val="11"/>
      <color rgb="FF000000"/>
      <name val="Aptos"/>
      <family val="2"/>
    </font>
    <font>
      <sz val="11"/>
      <name val="Aptos"/>
      <family val="2"/>
    </font>
    <font>
      <sz val="11"/>
      <color rgb="FFFF0000"/>
      <name val="Aptos"/>
      <family val="2"/>
    </font>
    <font>
      <sz val="8"/>
      <name val="Calibri"/>
      <family val="2"/>
      <scheme val="minor"/>
    </font>
    <font>
      <sz val="11"/>
      <color rgb="FF000000"/>
      <name val="Calibri"/>
      <family val="2"/>
    </font>
    <font>
      <sz val="11"/>
      <color rgb="FF9C0006"/>
      <name val="Calibri"/>
      <family val="2"/>
      <scheme val="minor"/>
    </font>
    <font>
      <sz val="11"/>
      <color rgb="FF9C0006"/>
      <name val="Aptos"/>
      <family val="2"/>
    </font>
    <font>
      <sz val="11"/>
      <color theme="1" tint="4.9989318521683403E-2"/>
      <name val="Aptos"/>
      <family val="2"/>
    </font>
    <font>
      <sz val="12"/>
      <color theme="1"/>
      <name val="Aptos"/>
      <family val="2"/>
    </font>
    <font>
      <sz val="12"/>
      <color rgb="FF000000"/>
      <name val="Aptos"/>
      <family val="2"/>
    </font>
    <font>
      <sz val="11"/>
      <color rgb="FF242424"/>
      <name val="Aptos"/>
      <family val="2"/>
    </font>
    <font>
      <sz val="11"/>
      <color theme="1"/>
      <name val="Calibri"/>
      <family val="2"/>
    </font>
    <font>
      <sz val="11"/>
      <color rgb="FF212121"/>
      <name val="Aptos"/>
      <family val="2"/>
      <charset val="1"/>
    </font>
    <font>
      <sz val="11"/>
      <color theme="1"/>
      <name val="Aptos"/>
    </font>
    <font>
      <sz val="11"/>
      <color rgb="FF000000"/>
      <name val="Aptos"/>
    </font>
    <font>
      <sz val="11"/>
      <name val="Aptos"/>
    </font>
    <font>
      <sz val="11"/>
      <color rgb="FF000000"/>
      <name val="Calibri"/>
    </font>
    <font>
      <sz val="11"/>
      <color rgb="FFFF0000"/>
      <name val="Aptos"/>
    </font>
    <font>
      <b/>
      <sz val="6"/>
      <color rgb="FF0000FF"/>
      <name val="Calibri"/>
      <family val="2"/>
    </font>
  </fonts>
  <fills count="16">
    <fill>
      <patternFill patternType="none"/>
    </fill>
    <fill>
      <patternFill patternType="gray125"/>
    </fill>
    <fill>
      <patternFill patternType="solid">
        <fgColor rgb="FFFF9900"/>
        <bgColor theme="9"/>
      </patternFill>
    </fill>
    <fill>
      <patternFill patternType="solid">
        <fgColor rgb="FFFFFF00"/>
        <bgColor theme="9"/>
      </patternFill>
    </fill>
    <fill>
      <patternFill patternType="solid">
        <fgColor rgb="FF00B0F0"/>
        <bgColor theme="9"/>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9900"/>
        <bgColor rgb="FF70AD47"/>
      </patternFill>
    </fill>
    <fill>
      <patternFill patternType="solid">
        <fgColor rgb="FFFFFFFF"/>
        <bgColor rgb="FF000000"/>
      </patternFill>
    </fill>
    <fill>
      <patternFill patternType="solid">
        <fgColor rgb="FFFF0000"/>
        <bgColor indexed="64"/>
      </patternFill>
    </fill>
    <fill>
      <patternFill patternType="solid">
        <fgColor rgb="FFFFFFFF"/>
        <bgColor indexed="64"/>
      </patternFill>
    </fill>
    <fill>
      <patternFill patternType="solid">
        <fgColor rgb="FFFFC7CE"/>
        <bgColor rgb="FF000000"/>
      </patternFill>
    </fill>
    <fill>
      <patternFill patternType="solid">
        <fgColor rgb="FFFFC7CE"/>
      </patternFill>
    </fill>
    <fill>
      <patternFill patternType="solid">
        <fgColor rgb="FFF4B084"/>
        <bgColor indexed="64"/>
      </patternFill>
    </fill>
  </fills>
  <borders count="24">
    <border>
      <left/>
      <right/>
      <top/>
      <bottom/>
      <diagonal/>
    </border>
    <border>
      <left/>
      <right style="thin">
        <color indexed="64"/>
      </right>
      <top/>
      <bottom style="thin">
        <color indexed="64"/>
      </bottom>
      <diagonal/>
    </border>
    <border>
      <left style="thin">
        <color auto="1"/>
      </left>
      <right style="thin">
        <color indexed="64"/>
      </right>
      <top/>
      <bottom style="thin">
        <color indexed="64"/>
      </bottom>
      <diagonal/>
    </border>
    <border>
      <left style="thin">
        <color auto="1"/>
      </left>
      <right style="thin">
        <color indexed="64"/>
      </right>
      <top style="thin">
        <color auto="1"/>
      </top>
      <bottom style="thin">
        <color indexed="64"/>
      </bottom>
      <diagonal/>
    </border>
    <border>
      <left/>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auto="1"/>
      </top>
      <bottom style="thin">
        <color indexed="64"/>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auto="1"/>
      </left>
      <right/>
      <top style="thin">
        <color auto="1"/>
      </top>
      <bottom/>
      <diagonal/>
    </border>
    <border>
      <left style="thin">
        <color auto="1"/>
      </left>
      <right/>
      <top style="thin">
        <color auto="1"/>
      </top>
      <bottom style="thin">
        <color rgb="FF000000"/>
      </bottom>
      <diagonal/>
    </border>
    <border>
      <left/>
      <right/>
      <top style="thin">
        <color rgb="FF000000"/>
      </top>
      <bottom style="thin">
        <color rgb="FF000000"/>
      </bottom>
      <diagonal/>
    </border>
    <border>
      <left/>
      <right/>
      <top style="thin">
        <color rgb="FF000000"/>
      </top>
      <bottom/>
      <diagonal/>
    </border>
  </borders>
  <cellStyleXfs count="3">
    <xf numFmtId="0" fontId="0" fillId="0" borderId="0"/>
    <xf numFmtId="0" fontId="12" fillId="0" borderId="0"/>
    <xf numFmtId="0" fontId="22" fillId="14" borderId="0" applyNumberFormat="0" applyBorder="0" applyAlignment="0" applyProtection="0"/>
  </cellStyleXfs>
  <cellXfs count="287">
    <xf numFmtId="0" fontId="0" fillId="0" borderId="0" xfId="0"/>
    <xf numFmtId="0" fontId="0" fillId="0" borderId="0" xfId="0" applyAlignment="1">
      <alignment horizontal="center" vertical="center"/>
    </xf>
    <xf numFmtId="0" fontId="0" fillId="0" borderId="0" xfId="0" applyAlignment="1">
      <alignment horizontal="left"/>
    </xf>
    <xf numFmtId="0" fontId="12" fillId="0" borderId="0" xfId="1"/>
    <xf numFmtId="0" fontId="12" fillId="0" borderId="0" xfId="1" applyAlignment="1">
      <alignment horizontal="center" vertical="center"/>
    </xf>
    <xf numFmtId="0" fontId="12" fillId="0" borderId="4" xfId="1" applyBorder="1" applyAlignment="1">
      <alignment horizontal="center" vertical="center"/>
    </xf>
    <xf numFmtId="0" fontId="12" fillId="0" borderId="5" xfId="1" applyBorder="1" applyAlignment="1">
      <alignment horizontal="center" vertical="center"/>
    </xf>
    <xf numFmtId="0" fontId="12" fillId="0" borderId="6" xfId="1" applyBorder="1" applyAlignment="1">
      <alignment horizontal="center" vertical="center"/>
    </xf>
    <xf numFmtId="0" fontId="13" fillId="0" borderId="2" xfId="1" applyFont="1" applyBorder="1" applyAlignment="1">
      <alignment horizontal="center" vertical="center"/>
    </xf>
    <xf numFmtId="165" fontId="13" fillId="0" borderId="2" xfId="1" applyNumberFormat="1" applyFont="1" applyBorder="1" applyAlignment="1">
      <alignment horizontal="center" vertical="center"/>
    </xf>
    <xf numFmtId="0" fontId="1" fillId="0" borderId="0" xfId="1" applyFont="1" applyAlignment="1">
      <alignment horizontal="center" vertical="center"/>
    </xf>
    <xf numFmtId="0" fontId="8" fillId="0" borderId="0" xfId="1" applyFont="1" applyAlignment="1">
      <alignment horizontal="center" vertical="center"/>
    </xf>
    <xf numFmtId="0" fontId="8" fillId="6" borderId="0" xfId="1" applyFont="1" applyFill="1" applyAlignment="1">
      <alignment horizontal="center" vertical="center"/>
    </xf>
    <xf numFmtId="0" fontId="8" fillId="0" borderId="0" xfId="1" applyFont="1" applyAlignment="1">
      <alignment horizontal="center"/>
    </xf>
    <xf numFmtId="0" fontId="8" fillId="0" borderId="0" xfId="1" applyFont="1"/>
    <xf numFmtId="0" fontId="14" fillId="0" borderId="0" xfId="1" applyFont="1" applyAlignment="1">
      <alignment horizontal="center" vertical="center"/>
    </xf>
    <xf numFmtId="166" fontId="2" fillId="2" borderId="2" xfId="1" applyNumberFormat="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4" borderId="2" xfId="1" applyFont="1" applyFill="1" applyBorder="1" applyAlignment="1">
      <alignment horizontal="center" vertical="center" wrapText="1"/>
    </xf>
    <xf numFmtId="0" fontId="2" fillId="3" borderId="2" xfId="1" applyFont="1" applyFill="1" applyBorder="1" applyAlignment="1">
      <alignment horizontal="center" vertical="center" wrapText="1"/>
    </xf>
    <xf numFmtId="165" fontId="2" fillId="2" borderId="2" xfId="1" applyNumberFormat="1" applyFont="1" applyFill="1" applyBorder="1" applyAlignment="1">
      <alignment horizontal="center" vertical="center" wrapText="1"/>
    </xf>
    <xf numFmtId="1" fontId="2" fillId="2" borderId="2" xfId="1" applyNumberFormat="1" applyFont="1" applyFill="1" applyBorder="1" applyAlignment="1">
      <alignment horizontal="center" vertical="center" wrapText="1"/>
    </xf>
    <xf numFmtId="49" fontId="2" fillId="2" borderId="2" xfId="1" applyNumberFormat="1" applyFont="1" applyFill="1" applyBorder="1" applyAlignment="1">
      <alignment horizontal="center" vertical="center" wrapText="1"/>
    </xf>
    <xf numFmtId="164" fontId="2" fillId="2" borderId="2" xfId="1" applyNumberFormat="1" applyFont="1" applyFill="1" applyBorder="1" applyAlignment="1">
      <alignment horizontal="center" vertical="center" wrapText="1"/>
    </xf>
    <xf numFmtId="164" fontId="3" fillId="2" borderId="2" xfId="1" applyNumberFormat="1" applyFont="1" applyFill="1" applyBorder="1" applyAlignment="1">
      <alignment horizontal="center" vertical="center" wrapText="1"/>
    </xf>
    <xf numFmtId="1" fontId="2" fillId="2" borderId="1" xfId="1" applyNumberFormat="1" applyFont="1" applyFill="1" applyBorder="1" applyAlignment="1">
      <alignment horizontal="center" vertical="center" wrapText="1"/>
    </xf>
    <xf numFmtId="165" fontId="5" fillId="6" borderId="6" xfId="0" applyNumberFormat="1" applyFont="1" applyFill="1" applyBorder="1" applyAlignment="1">
      <alignment vertical="center"/>
    </xf>
    <xf numFmtId="0" fontId="12" fillId="6" borderId="0" xfId="1" applyFill="1"/>
    <xf numFmtId="0" fontId="0" fillId="6" borderId="7" xfId="0" applyFill="1" applyBorder="1" applyAlignment="1">
      <alignment horizontal="center" vertical="center"/>
    </xf>
    <xf numFmtId="0" fontId="0" fillId="6" borderId="8" xfId="0" applyFill="1" applyBorder="1" applyAlignment="1">
      <alignment horizontal="center" vertical="center" wrapText="1"/>
    </xf>
    <xf numFmtId="14" fontId="5" fillId="8" borderId="9" xfId="0" applyNumberFormat="1" applyFont="1" applyFill="1" applyBorder="1" applyAlignment="1">
      <alignment horizontal="center" vertical="center"/>
    </xf>
    <xf numFmtId="0" fontId="11" fillId="0" borderId="0" xfId="0" applyFont="1" applyAlignment="1">
      <alignment horizontal="center" vertical="center" wrapText="1"/>
    </xf>
    <xf numFmtId="0" fontId="5" fillId="0" borderId="10" xfId="0" applyFont="1" applyBorder="1" applyAlignment="1">
      <alignment horizontal="center" vertical="center"/>
    </xf>
    <xf numFmtId="165" fontId="7" fillId="0" borderId="10" xfId="0" applyNumberFormat="1" applyFont="1" applyBorder="1" applyAlignment="1">
      <alignment horizontal="center" vertical="center" wrapText="1"/>
    </xf>
    <xf numFmtId="0" fontId="7" fillId="0" borderId="10" xfId="0" applyFont="1" applyBorder="1" applyAlignment="1">
      <alignment horizontal="center" vertical="center" wrapText="1"/>
    </xf>
    <xf numFmtId="0" fontId="7" fillId="6" borderId="10" xfId="0" applyFont="1" applyFill="1" applyBorder="1" applyAlignment="1">
      <alignment horizontal="center" vertical="center" wrapText="1"/>
    </xf>
    <xf numFmtId="0" fontId="5" fillId="6" borderId="10" xfId="0" applyFont="1" applyFill="1" applyBorder="1" applyAlignment="1">
      <alignment horizontal="center" vertical="center"/>
    </xf>
    <xf numFmtId="0" fontId="7" fillId="6" borderId="10" xfId="0" applyFont="1" applyFill="1" applyBorder="1" applyAlignment="1">
      <alignment horizontal="center" vertical="center"/>
    </xf>
    <xf numFmtId="165" fontId="9" fillId="0" borderId="10" xfId="0" applyNumberFormat="1" applyFont="1" applyBorder="1" applyAlignment="1">
      <alignment horizontal="center" vertical="center" wrapText="1"/>
    </xf>
    <xf numFmtId="0" fontId="8" fillId="0" borderId="10" xfId="0" applyFont="1" applyBorder="1" applyAlignment="1">
      <alignment horizontal="center" vertical="center" wrapText="1"/>
    </xf>
    <xf numFmtId="165" fontId="5" fillId="6" borderId="10" xfId="0" applyNumberFormat="1" applyFont="1" applyFill="1" applyBorder="1" applyAlignment="1">
      <alignment horizontal="center" vertical="center"/>
    </xf>
    <xf numFmtId="21" fontId="6" fillId="10" borderId="10" xfId="0" applyNumberFormat="1" applyFont="1" applyFill="1" applyBorder="1" applyAlignment="1">
      <alignment horizontal="center" vertical="center"/>
    </xf>
    <xf numFmtId="0" fontId="8" fillId="6" borderId="10" xfId="0" applyFont="1" applyFill="1" applyBorder="1" applyAlignment="1">
      <alignment horizontal="center" vertical="center" wrapText="1"/>
    </xf>
    <xf numFmtId="0" fontId="5" fillId="8" borderId="10" xfId="0" applyFont="1" applyFill="1" applyBorder="1" applyAlignment="1">
      <alignment horizontal="center" vertical="center"/>
    </xf>
    <xf numFmtId="0" fontId="9" fillId="6" borderId="10" xfId="0" applyFont="1" applyFill="1" applyBorder="1" applyAlignment="1">
      <alignment horizontal="center" vertical="center"/>
    </xf>
    <xf numFmtId="21" fontId="5" fillId="6" borderId="10" xfId="0" applyNumberFormat="1" applyFont="1" applyFill="1" applyBorder="1" applyAlignment="1">
      <alignment horizontal="center" vertical="center"/>
    </xf>
    <xf numFmtId="0" fontId="5" fillId="6" borderId="10" xfId="0" applyFont="1" applyFill="1" applyBorder="1" applyAlignment="1">
      <alignment horizontal="center" vertical="center" wrapText="1"/>
    </xf>
    <xf numFmtId="0" fontId="5" fillId="11" borderId="10" xfId="0" applyFont="1" applyFill="1" applyBorder="1" applyAlignment="1">
      <alignment horizontal="center" vertical="center"/>
    </xf>
    <xf numFmtId="0" fontId="15" fillId="10" borderId="10" xfId="0" applyFont="1" applyFill="1" applyBorder="1" applyAlignment="1">
      <alignment horizontal="center" vertical="center" wrapText="1"/>
    </xf>
    <xf numFmtId="0" fontId="7" fillId="10" borderId="10" xfId="0" applyFont="1" applyFill="1" applyBorder="1" applyAlignment="1">
      <alignment horizontal="center" vertical="center" wrapText="1"/>
    </xf>
    <xf numFmtId="21" fontId="6" fillId="6" borderId="10" xfId="0" applyNumberFormat="1" applyFont="1" applyFill="1" applyBorder="1" applyAlignment="1">
      <alignment horizontal="center" vertical="center"/>
    </xf>
    <xf numFmtId="0" fontId="13" fillId="0" borderId="10" xfId="1" applyFont="1" applyBorder="1" applyAlignment="1">
      <alignment horizontal="center" vertical="center"/>
    </xf>
    <xf numFmtId="0" fontId="1" fillId="0" borderId="10" xfId="1" applyFont="1" applyBorder="1" applyAlignment="1">
      <alignment horizontal="center" vertical="center"/>
    </xf>
    <xf numFmtId="0" fontId="12" fillId="0" borderId="10" xfId="1" applyBorder="1" applyAlignment="1">
      <alignment horizontal="center"/>
    </xf>
    <xf numFmtId="0" fontId="12" fillId="0" borderId="10" xfId="1" applyBorder="1" applyAlignment="1">
      <alignment horizontal="center" vertical="center"/>
    </xf>
    <xf numFmtId="165" fontId="13" fillId="0" borderId="10" xfId="1" applyNumberFormat="1" applyFont="1" applyBorder="1" applyAlignment="1">
      <alignment horizontal="center" vertical="center"/>
    </xf>
    <xf numFmtId="0" fontId="12" fillId="0" borderId="10" xfId="1" applyBorder="1"/>
    <xf numFmtId="1" fontId="4" fillId="5" borderId="10" xfId="1" applyNumberFormat="1" applyFont="1" applyFill="1" applyBorder="1" applyAlignment="1">
      <alignment horizontal="center" vertical="center" wrapText="1"/>
    </xf>
    <xf numFmtId="14" fontId="5" fillId="0" borderId="10" xfId="1" applyNumberFormat="1" applyFont="1" applyBorder="1" applyAlignment="1">
      <alignment horizontal="center" vertical="center"/>
    </xf>
    <xf numFmtId="167" fontId="5" fillId="0" borderId="10" xfId="1" applyNumberFormat="1" applyFont="1" applyBorder="1" applyAlignment="1">
      <alignment horizontal="center" vertical="center"/>
    </xf>
    <xf numFmtId="0" fontId="5" fillId="0" borderId="10" xfId="1" applyFont="1" applyBorder="1" applyAlignment="1">
      <alignment horizontal="center" vertical="center"/>
    </xf>
    <xf numFmtId="165" fontId="5" fillId="0" borderId="10" xfId="1" applyNumberFormat="1" applyFont="1" applyBorder="1" applyAlignment="1">
      <alignment horizontal="center" vertical="center"/>
    </xf>
    <xf numFmtId="165" fontId="9" fillId="0" borderId="10" xfId="1" applyNumberFormat="1" applyFont="1" applyBorder="1" applyAlignment="1">
      <alignment horizontal="left" vertical="center" wrapText="1"/>
    </xf>
    <xf numFmtId="0" fontId="7" fillId="0" borderId="10" xfId="1" applyFont="1" applyBorder="1" applyAlignment="1">
      <alignment horizontal="left" vertical="center" wrapText="1"/>
    </xf>
    <xf numFmtId="0" fontId="8" fillId="0" borderId="10" xfId="1" applyFont="1" applyBorder="1"/>
    <xf numFmtId="0" fontId="5" fillId="0" borderId="10" xfId="1" applyFont="1" applyBorder="1" applyAlignment="1">
      <alignment horizontal="center" vertical="center" wrapText="1"/>
    </xf>
    <xf numFmtId="0" fontId="8" fillId="0" borderId="10" xfId="1" applyFont="1" applyBorder="1" applyAlignment="1">
      <alignment wrapText="1"/>
    </xf>
    <xf numFmtId="0" fontId="8" fillId="6" borderId="10" xfId="1" applyFont="1" applyFill="1" applyBorder="1"/>
    <xf numFmtId="21" fontId="5" fillId="0" borderId="10" xfId="1" applyNumberFormat="1" applyFont="1" applyBorder="1" applyAlignment="1">
      <alignment horizontal="center" vertical="center"/>
    </xf>
    <xf numFmtId="0" fontId="7" fillId="6" borderId="10" xfId="1" applyFont="1" applyFill="1" applyBorder="1" applyAlignment="1">
      <alignment horizontal="center" vertical="center" wrapText="1"/>
    </xf>
    <xf numFmtId="0" fontId="7" fillId="0" borderId="10" xfId="1" applyFont="1" applyBorder="1" applyAlignment="1">
      <alignment horizontal="center" vertical="center" wrapText="1"/>
    </xf>
    <xf numFmtId="165" fontId="7" fillId="0" borderId="10" xfId="1" applyNumberFormat="1" applyFont="1" applyBorder="1" applyAlignment="1">
      <alignment horizontal="left" vertical="center" wrapText="1"/>
    </xf>
    <xf numFmtId="14" fontId="5" fillId="6" borderId="10" xfId="1" applyNumberFormat="1" applyFont="1" applyFill="1" applyBorder="1" applyAlignment="1">
      <alignment horizontal="center" vertical="center"/>
    </xf>
    <xf numFmtId="0" fontId="5" fillId="6" borderId="10" xfId="1" applyFont="1" applyFill="1" applyBorder="1" applyAlignment="1">
      <alignment horizontal="center" vertical="center" wrapText="1"/>
    </xf>
    <xf numFmtId="0" fontId="5" fillId="6" borderId="10" xfId="1" applyFont="1" applyFill="1" applyBorder="1" applyAlignment="1">
      <alignment horizontal="center" vertical="center"/>
    </xf>
    <xf numFmtId="14" fontId="7" fillId="0" borderId="10" xfId="1" applyNumberFormat="1" applyFont="1" applyBorder="1" applyAlignment="1">
      <alignment horizontal="center" vertical="center"/>
    </xf>
    <xf numFmtId="165" fontId="9" fillId="0" borderId="10" xfId="1" applyNumberFormat="1" applyFont="1" applyBorder="1" applyAlignment="1">
      <alignment horizontal="center" vertical="center" wrapText="1"/>
    </xf>
    <xf numFmtId="21" fontId="5" fillId="6" borderId="10" xfId="1" applyNumberFormat="1" applyFont="1" applyFill="1" applyBorder="1" applyAlignment="1">
      <alignment horizontal="center" vertical="center"/>
    </xf>
    <xf numFmtId="165" fontId="5" fillId="6" borderId="10" xfId="1" applyNumberFormat="1" applyFont="1" applyFill="1" applyBorder="1" applyAlignment="1">
      <alignment horizontal="center" vertical="center"/>
    </xf>
    <xf numFmtId="0" fontId="8" fillId="6" borderId="10" xfId="1" applyFont="1" applyFill="1" applyBorder="1" applyAlignment="1">
      <alignment horizontal="center" vertical="center" wrapText="1"/>
    </xf>
    <xf numFmtId="0" fontId="8" fillId="0" borderId="10" xfId="1" applyFont="1" applyBorder="1" applyAlignment="1">
      <alignment horizontal="center" vertical="center" wrapText="1"/>
    </xf>
    <xf numFmtId="0" fontId="10" fillId="0" borderId="10" xfId="1" applyFont="1" applyBorder="1" applyAlignment="1">
      <alignment horizontal="center" vertical="center"/>
    </xf>
    <xf numFmtId="0" fontId="5" fillId="7" borderId="10" xfId="1" applyFont="1" applyFill="1" applyBorder="1" applyAlignment="1">
      <alignment horizontal="center" vertical="center" wrapText="1"/>
    </xf>
    <xf numFmtId="165" fontId="9" fillId="6" borderId="10" xfId="1" applyNumberFormat="1" applyFont="1" applyFill="1" applyBorder="1" applyAlignment="1">
      <alignment horizontal="center" vertical="center" wrapText="1"/>
    </xf>
    <xf numFmtId="14" fontId="5" fillId="8" borderId="10" xfId="1" applyNumberFormat="1" applyFont="1" applyFill="1" applyBorder="1" applyAlignment="1">
      <alignment horizontal="center" vertical="center"/>
    </xf>
    <xf numFmtId="0" fontId="5" fillId="8" borderId="10" xfId="1" applyFont="1" applyFill="1" applyBorder="1" applyAlignment="1">
      <alignment horizontal="center" vertical="center"/>
    </xf>
    <xf numFmtId="1" fontId="4" fillId="5" borderId="10" xfId="0" applyNumberFormat="1" applyFont="1" applyFill="1" applyBorder="1" applyAlignment="1">
      <alignment horizontal="center" vertical="center"/>
    </xf>
    <xf numFmtId="14" fontId="5" fillId="8" borderId="10" xfId="0" applyNumberFormat="1" applyFont="1" applyFill="1" applyBorder="1" applyAlignment="1">
      <alignment horizontal="center" vertical="center"/>
    </xf>
    <xf numFmtId="165" fontId="9" fillId="6" borderId="10" xfId="0" applyNumberFormat="1" applyFont="1" applyFill="1" applyBorder="1" applyAlignment="1">
      <alignment horizontal="center" vertical="center"/>
    </xf>
    <xf numFmtId="0" fontId="0" fillId="0" borderId="10" xfId="0" applyBorder="1" applyAlignment="1">
      <alignment horizontal="center" vertical="center"/>
    </xf>
    <xf numFmtId="0" fontId="16" fillId="0" borderId="0" xfId="0" applyFont="1" applyAlignment="1">
      <alignment horizontal="center" vertical="center"/>
    </xf>
    <xf numFmtId="0" fontId="16" fillId="0" borderId="10" xfId="0" applyFont="1" applyBorder="1" applyAlignment="1">
      <alignment horizontal="center" vertical="center"/>
    </xf>
    <xf numFmtId="1" fontId="16" fillId="0" borderId="0" xfId="0" applyNumberFormat="1" applyFont="1" applyAlignment="1">
      <alignment horizontal="center" vertical="center"/>
    </xf>
    <xf numFmtId="0" fontId="16" fillId="0" borderId="0" xfId="0" applyFont="1" applyAlignment="1">
      <alignment horizontal="center" vertical="center" wrapText="1"/>
    </xf>
    <xf numFmtId="0" fontId="16" fillId="6" borderId="10" xfId="0" applyFont="1" applyFill="1" applyBorder="1" applyAlignment="1">
      <alignment horizontal="center" vertical="center"/>
    </xf>
    <xf numFmtId="0" fontId="16" fillId="6" borderId="3" xfId="0" applyFont="1" applyFill="1" applyBorder="1" applyAlignment="1">
      <alignment horizontal="center" vertical="center"/>
    </xf>
    <xf numFmtId="165" fontId="19" fillId="0" borderId="10" xfId="0" applyNumberFormat="1" applyFont="1" applyBorder="1" applyAlignment="1">
      <alignment horizontal="center" vertical="center" wrapText="1"/>
    </xf>
    <xf numFmtId="0" fontId="16" fillId="0" borderId="11" xfId="0" applyFont="1" applyBorder="1" applyAlignment="1">
      <alignment horizontal="center" vertical="center"/>
    </xf>
    <xf numFmtId="14" fontId="0" fillId="0" borderId="10" xfId="0" applyNumberFormat="1" applyBorder="1" applyAlignment="1">
      <alignment horizontal="center" vertical="center"/>
    </xf>
    <xf numFmtId="21" fontId="0" fillId="0" borderId="10" xfId="0" applyNumberFormat="1" applyBorder="1" applyAlignment="1">
      <alignment horizontal="center" vertical="center"/>
    </xf>
    <xf numFmtId="0" fontId="0" fillId="0" borderId="10" xfId="0" applyBorder="1" applyAlignment="1">
      <alignment horizontal="center" vertical="center" wrapText="1"/>
    </xf>
    <xf numFmtId="14" fontId="13" fillId="0" borderId="10" xfId="0" applyNumberFormat="1" applyFont="1" applyBorder="1" applyAlignment="1">
      <alignment horizontal="center" vertical="center" wrapText="1"/>
    </xf>
    <xf numFmtId="20" fontId="13" fillId="0" borderId="10"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0" fillId="0" borderId="10" xfId="0" applyBorder="1"/>
    <xf numFmtId="0" fontId="0" fillId="0" borderId="0" xfId="0" pivotButton="1"/>
    <xf numFmtId="0" fontId="0" fillId="0" borderId="10" xfId="0" pivotButton="1" applyBorder="1"/>
    <xf numFmtId="0" fontId="0" fillId="0" borderId="10" xfId="0" pivotButton="1" applyBorder="1" applyAlignment="1">
      <alignment vertical="center"/>
    </xf>
    <xf numFmtId="0" fontId="0" fillId="0" borderId="10" xfId="0" applyBorder="1" applyAlignment="1">
      <alignment vertical="center"/>
    </xf>
    <xf numFmtId="0" fontId="0" fillId="0" borderId="10" xfId="0" applyBorder="1" applyAlignment="1">
      <alignment horizontal="left"/>
    </xf>
    <xf numFmtId="0" fontId="11" fillId="0" borderId="10" xfId="0" pivotButton="1" applyFont="1" applyBorder="1" applyAlignment="1">
      <alignment horizontal="left" vertical="center" wrapText="1"/>
    </xf>
    <xf numFmtId="0" fontId="0" fillId="0" borderId="10" xfId="0" pivotButton="1" applyBorder="1" applyAlignment="1">
      <alignment horizontal="center" vertical="center"/>
    </xf>
    <xf numFmtId="0" fontId="0" fillId="0" borderId="10" xfId="0" pivotButton="1" applyBorder="1" applyAlignment="1">
      <alignment horizontal="left"/>
    </xf>
    <xf numFmtId="0" fontId="11" fillId="0" borderId="10" xfId="0" applyFont="1" applyBorder="1" applyAlignment="1">
      <alignment horizontal="center" vertical="center" wrapText="1"/>
    </xf>
    <xf numFmtId="0" fontId="0" fillId="0" borderId="10" xfId="0" applyBorder="1" applyAlignment="1">
      <alignment horizontal="left" indent="1"/>
    </xf>
    <xf numFmtId="1" fontId="16" fillId="0" borderId="10" xfId="0" applyNumberFormat="1" applyFont="1" applyBorder="1" applyAlignment="1">
      <alignment horizontal="center" vertical="center"/>
    </xf>
    <xf numFmtId="0" fontId="17" fillId="10" borderId="10" xfId="0" applyFont="1" applyFill="1" applyBorder="1" applyAlignment="1">
      <alignment horizontal="center" vertical="center" wrapText="1"/>
    </xf>
    <xf numFmtId="0" fontId="17" fillId="0" borderId="10" xfId="0" applyFont="1" applyBorder="1" applyAlignment="1">
      <alignment horizontal="center" vertical="center" wrapText="1"/>
    </xf>
    <xf numFmtId="0" fontId="17" fillId="0" borderId="10" xfId="0" applyFont="1" applyBorder="1" applyAlignment="1">
      <alignment horizontal="center" vertical="center"/>
    </xf>
    <xf numFmtId="0" fontId="16" fillId="6" borderId="10" xfId="0" applyFont="1" applyFill="1" applyBorder="1" applyAlignment="1">
      <alignment horizontal="center" vertical="center" wrapText="1"/>
    </xf>
    <xf numFmtId="1" fontId="16" fillId="5" borderId="10" xfId="0" applyNumberFormat="1" applyFont="1" applyFill="1" applyBorder="1" applyAlignment="1">
      <alignment horizontal="center" vertical="center"/>
    </xf>
    <xf numFmtId="14" fontId="16" fillId="8" borderId="10" xfId="0" applyNumberFormat="1" applyFont="1" applyFill="1" applyBorder="1" applyAlignment="1">
      <alignment horizontal="center" vertical="center"/>
    </xf>
    <xf numFmtId="165" fontId="16" fillId="6" borderId="10" xfId="0" applyNumberFormat="1" applyFont="1" applyFill="1" applyBorder="1" applyAlignment="1">
      <alignment horizontal="center" vertical="center"/>
    </xf>
    <xf numFmtId="21" fontId="17" fillId="0" borderId="10" xfId="0" applyNumberFormat="1" applyFont="1" applyBorder="1" applyAlignment="1">
      <alignment horizontal="center" vertical="center"/>
    </xf>
    <xf numFmtId="0" fontId="18" fillId="6" borderId="10" xfId="0" applyFont="1" applyFill="1" applyBorder="1" applyAlignment="1">
      <alignment horizontal="center" vertical="center"/>
    </xf>
    <xf numFmtId="0" fontId="18" fillId="0" borderId="10" xfId="0" applyFont="1" applyBorder="1" applyAlignment="1">
      <alignment horizontal="center" vertical="center" wrapText="1"/>
    </xf>
    <xf numFmtId="0" fontId="18" fillId="6" borderId="10" xfId="0" applyFont="1" applyFill="1" applyBorder="1" applyAlignment="1">
      <alignment horizontal="center" vertical="center" wrapText="1"/>
    </xf>
    <xf numFmtId="0" fontId="16" fillId="0" borderId="10" xfId="0" applyFont="1" applyBorder="1" applyAlignment="1">
      <alignment horizontal="center" vertical="center" wrapText="1"/>
    </xf>
    <xf numFmtId="0" fontId="17" fillId="0" borderId="10" xfId="1" applyFont="1" applyBorder="1" applyAlignment="1">
      <alignment horizontal="center" vertical="center"/>
    </xf>
    <xf numFmtId="0" fontId="17" fillId="10" borderId="10" xfId="0" applyFont="1" applyFill="1" applyBorder="1" applyAlignment="1">
      <alignment horizontal="center" vertical="center"/>
    </xf>
    <xf numFmtId="0" fontId="19" fillId="0" borderId="10" xfId="0" applyFont="1" applyBorder="1" applyAlignment="1">
      <alignment horizontal="center" vertical="center"/>
    </xf>
    <xf numFmtId="14" fontId="16" fillId="6" borderId="10" xfId="0" applyNumberFormat="1" applyFont="1" applyFill="1" applyBorder="1" applyAlignment="1">
      <alignment horizontal="center" vertical="center"/>
    </xf>
    <xf numFmtId="1" fontId="17" fillId="0" borderId="10" xfId="0" applyNumberFormat="1" applyFont="1" applyBorder="1" applyAlignment="1">
      <alignment horizontal="center" vertical="center"/>
    </xf>
    <xf numFmtId="165" fontId="16" fillId="0" borderId="10" xfId="0" applyNumberFormat="1" applyFont="1" applyBorder="1" applyAlignment="1">
      <alignment horizontal="center" vertical="center"/>
    </xf>
    <xf numFmtId="0" fontId="18" fillId="0" borderId="10" xfId="0" applyFont="1" applyBorder="1" applyAlignment="1">
      <alignment horizontal="center" vertical="center"/>
    </xf>
    <xf numFmtId="14" fontId="16" fillId="0" borderId="10" xfId="0" applyNumberFormat="1" applyFont="1" applyBorder="1" applyAlignment="1">
      <alignment horizontal="center" vertical="center"/>
    </xf>
    <xf numFmtId="1" fontId="17" fillId="6" borderId="10" xfId="0" applyNumberFormat="1" applyFont="1" applyFill="1" applyBorder="1" applyAlignment="1">
      <alignment horizontal="center" vertical="center"/>
    </xf>
    <xf numFmtId="21" fontId="17" fillId="10" borderId="10" xfId="0" applyNumberFormat="1" applyFont="1" applyFill="1" applyBorder="1" applyAlignment="1">
      <alignment horizontal="center" vertical="center"/>
    </xf>
    <xf numFmtId="14" fontId="18" fillId="0" borderId="10" xfId="0" applyNumberFormat="1" applyFont="1" applyBorder="1" applyAlignment="1">
      <alignment horizontal="center" vertical="center"/>
    </xf>
    <xf numFmtId="1" fontId="16" fillId="6" borderId="10" xfId="0" applyNumberFormat="1" applyFont="1" applyFill="1" applyBorder="1" applyAlignment="1">
      <alignment horizontal="center" vertical="center"/>
    </xf>
    <xf numFmtId="0" fontId="16" fillId="7" borderId="10" xfId="0" applyFont="1" applyFill="1" applyBorder="1" applyAlignment="1">
      <alignment horizontal="center" vertical="center"/>
    </xf>
    <xf numFmtId="165" fontId="18" fillId="6" borderId="10" xfId="0" applyNumberFormat="1" applyFont="1" applyFill="1" applyBorder="1" applyAlignment="1">
      <alignment horizontal="center" vertical="center"/>
    </xf>
    <xf numFmtId="0" fontId="16" fillId="8" borderId="10" xfId="0" applyFont="1" applyFill="1" applyBorder="1" applyAlignment="1">
      <alignment horizontal="center" vertical="center"/>
    </xf>
    <xf numFmtId="21" fontId="16" fillId="6" borderId="10" xfId="0" applyNumberFormat="1" applyFont="1" applyFill="1" applyBorder="1" applyAlignment="1">
      <alignment horizontal="center" vertical="center"/>
    </xf>
    <xf numFmtId="21" fontId="17" fillId="6" borderId="10" xfId="0" applyNumberFormat="1" applyFont="1" applyFill="1" applyBorder="1" applyAlignment="1">
      <alignment horizontal="center" vertical="center"/>
    </xf>
    <xf numFmtId="0" fontId="17" fillId="8" borderId="10" xfId="0" applyFont="1" applyFill="1" applyBorder="1" applyAlignment="1">
      <alignment horizontal="center" vertical="center"/>
    </xf>
    <xf numFmtId="49" fontId="0" fillId="0" borderId="10" xfId="0" applyNumberFormat="1" applyBorder="1" applyAlignment="1">
      <alignment horizontal="center" vertical="center"/>
    </xf>
    <xf numFmtId="0" fontId="21" fillId="0" borderId="10" xfId="0" applyFont="1" applyBorder="1" applyAlignment="1">
      <alignment horizontal="center" vertical="center" wrapText="1"/>
    </xf>
    <xf numFmtId="0" fontId="17" fillId="12" borderId="10" xfId="0" applyFont="1" applyFill="1" applyBorder="1" applyAlignment="1">
      <alignment horizontal="center" vertical="center" wrapText="1"/>
    </xf>
    <xf numFmtId="0" fontId="16" fillId="0" borderId="8" xfId="0" applyFont="1" applyBorder="1" applyAlignment="1">
      <alignment horizontal="center" vertical="center"/>
    </xf>
    <xf numFmtId="0" fontId="16" fillId="6" borderId="12" xfId="0" applyFont="1" applyFill="1" applyBorder="1" applyAlignment="1">
      <alignment horizontal="center" vertical="center"/>
    </xf>
    <xf numFmtId="0" fontId="17" fillId="6" borderId="10" xfId="0" applyFont="1" applyFill="1" applyBorder="1" applyAlignment="1">
      <alignment horizontal="center" vertical="center"/>
    </xf>
    <xf numFmtId="0" fontId="23" fillId="14" borderId="10" xfId="2" applyFont="1" applyBorder="1" applyAlignment="1">
      <alignment horizontal="center" vertical="center"/>
    </xf>
    <xf numFmtId="165" fontId="23" fillId="14" borderId="10" xfId="2" applyNumberFormat="1" applyFont="1" applyBorder="1" applyAlignment="1">
      <alignment horizontal="center" vertical="center"/>
    </xf>
    <xf numFmtId="1" fontId="18" fillId="2" borderId="10" xfId="0" applyNumberFormat="1" applyFont="1" applyFill="1" applyBorder="1" applyAlignment="1">
      <alignment horizontal="center" vertical="center"/>
    </xf>
    <xf numFmtId="14" fontId="18" fillId="2" borderId="10" xfId="0" applyNumberFormat="1" applyFont="1" applyFill="1" applyBorder="1" applyAlignment="1">
      <alignment horizontal="center" vertical="center"/>
    </xf>
    <xf numFmtId="0" fontId="18" fillId="9" borderId="10" xfId="0" applyFont="1" applyFill="1" applyBorder="1" applyAlignment="1">
      <alignment horizontal="center" vertical="center"/>
    </xf>
    <xf numFmtId="164" fontId="18" fillId="2" borderId="10" xfId="0" applyNumberFormat="1" applyFont="1" applyFill="1" applyBorder="1" applyAlignment="1">
      <alignment horizontal="center" vertical="center"/>
    </xf>
    <xf numFmtId="0" fontId="18" fillId="2" borderId="10" xfId="0" applyFont="1" applyFill="1" applyBorder="1" applyAlignment="1">
      <alignment horizontal="center" vertical="center"/>
    </xf>
    <xf numFmtId="165" fontId="18" fillId="2" borderId="10" xfId="0" applyNumberFormat="1" applyFont="1" applyFill="1" applyBorder="1" applyAlignment="1">
      <alignment horizontal="center" vertical="center"/>
    </xf>
    <xf numFmtId="0" fontId="16" fillId="11" borderId="10" xfId="0" applyFont="1" applyFill="1" applyBorder="1" applyAlignment="1">
      <alignment horizontal="center" vertical="center"/>
    </xf>
    <xf numFmtId="0" fontId="16" fillId="11" borderId="10" xfId="2" applyFont="1" applyFill="1" applyBorder="1" applyAlignment="1">
      <alignment horizontal="center" vertical="center"/>
    </xf>
    <xf numFmtId="0" fontId="16" fillId="6" borderId="10" xfId="2" applyFont="1" applyFill="1" applyBorder="1" applyAlignment="1">
      <alignment horizontal="center" vertical="center"/>
    </xf>
    <xf numFmtId="1" fontId="16" fillId="6" borderId="10" xfId="2" applyNumberFormat="1" applyFont="1" applyFill="1" applyBorder="1" applyAlignment="1">
      <alignment horizontal="center" vertical="center"/>
    </xf>
    <xf numFmtId="1" fontId="16" fillId="11" borderId="10" xfId="2" applyNumberFormat="1" applyFont="1" applyFill="1" applyBorder="1" applyAlignment="1">
      <alignment horizontal="center" vertical="center"/>
    </xf>
    <xf numFmtId="0" fontId="24" fillId="6" borderId="10" xfId="2" applyFont="1" applyFill="1" applyBorder="1" applyAlignment="1">
      <alignment horizontal="center" vertical="center"/>
    </xf>
    <xf numFmtId="0" fontId="0" fillId="0" borderId="0" xfId="0" applyAlignment="1">
      <alignment horizontal="left" indent="1"/>
    </xf>
    <xf numFmtId="14" fontId="0" fillId="0" borderId="0" xfId="0" applyNumberFormat="1" applyAlignment="1">
      <alignment horizontal="left" indent="2"/>
    </xf>
    <xf numFmtId="22" fontId="0" fillId="0" borderId="0" xfId="0" applyNumberFormat="1" applyAlignment="1">
      <alignment horizontal="left" indent="2"/>
    </xf>
    <xf numFmtId="0" fontId="24" fillId="11" borderId="10" xfId="2" applyFont="1" applyFill="1" applyBorder="1" applyAlignment="1">
      <alignment horizontal="center" vertical="center"/>
    </xf>
    <xf numFmtId="14" fontId="21" fillId="0" borderId="10" xfId="0" applyNumberFormat="1" applyFont="1" applyBorder="1" applyAlignment="1">
      <alignment horizontal="center" vertical="center"/>
    </xf>
    <xf numFmtId="0" fontId="21" fillId="0" borderId="10" xfId="0" applyFont="1" applyBorder="1" applyAlignment="1">
      <alignment horizontal="center" vertical="center"/>
    </xf>
    <xf numFmtId="165" fontId="19" fillId="13" borderId="10" xfId="0" applyNumberFormat="1" applyFont="1" applyFill="1" applyBorder="1" applyAlignment="1">
      <alignment horizontal="center" vertical="center" wrapText="1"/>
    </xf>
    <xf numFmtId="0" fontId="21" fillId="10" borderId="10" xfId="0" applyFont="1" applyFill="1" applyBorder="1" applyAlignment="1">
      <alignment horizontal="center" vertical="center"/>
    </xf>
    <xf numFmtId="0" fontId="18" fillId="11" borderId="10" xfId="2" applyFont="1" applyFill="1" applyBorder="1" applyAlignment="1">
      <alignment horizontal="center" vertical="center"/>
    </xf>
    <xf numFmtId="0" fontId="16" fillId="6" borderId="13" xfId="0" applyFont="1" applyFill="1" applyBorder="1" applyAlignment="1">
      <alignment horizontal="center" vertical="center"/>
    </xf>
    <xf numFmtId="0" fontId="16" fillId="0" borderId="7" xfId="0" applyFont="1" applyBorder="1" applyAlignment="1">
      <alignment horizontal="center" vertical="center"/>
    </xf>
    <xf numFmtId="21" fontId="16" fillId="0" borderId="10" xfId="0" applyNumberFormat="1" applyFont="1" applyBorder="1" applyAlignment="1">
      <alignment horizontal="center" vertical="center"/>
    </xf>
    <xf numFmtId="0" fontId="16" fillId="0" borderId="0" xfId="0" applyFont="1" applyAlignment="1">
      <alignment vertical="center"/>
    </xf>
    <xf numFmtId="0" fontId="0" fillId="0" borderId="10" xfId="0" applyBorder="1" applyAlignment="1">
      <alignment horizontal="center"/>
    </xf>
    <xf numFmtId="165" fontId="18" fillId="0" borderId="10" xfId="0" applyNumberFormat="1" applyFont="1" applyBorder="1" applyAlignment="1">
      <alignment horizontal="center" vertical="center"/>
    </xf>
    <xf numFmtId="165" fontId="19" fillId="0" borderId="10" xfId="0" applyNumberFormat="1" applyFont="1" applyBorder="1" applyAlignment="1">
      <alignment horizontal="center" vertical="center"/>
    </xf>
    <xf numFmtId="0" fontId="18" fillId="10" borderId="10" xfId="0" applyFont="1" applyFill="1" applyBorder="1" applyAlignment="1">
      <alignment horizontal="center" vertical="center"/>
    </xf>
    <xf numFmtId="0" fontId="0" fillId="6" borderId="0" xfId="0" applyFill="1"/>
    <xf numFmtId="0" fontId="17" fillId="12" borderId="10" xfId="0" applyFont="1" applyFill="1" applyBorder="1" applyAlignment="1">
      <alignment horizontal="center" vertical="center"/>
    </xf>
    <xf numFmtId="22" fontId="17" fillId="10" borderId="10" xfId="0" applyNumberFormat="1" applyFont="1" applyFill="1" applyBorder="1" applyAlignment="1">
      <alignment horizontal="center" vertical="center"/>
    </xf>
    <xf numFmtId="14" fontId="26" fillId="15" borderId="10" xfId="0" applyNumberFormat="1" applyFont="1" applyFill="1" applyBorder="1" applyAlignment="1">
      <alignment horizontal="center" vertical="center"/>
    </xf>
    <xf numFmtId="21" fontId="25" fillId="0" borderId="10" xfId="0" applyNumberFormat="1" applyFont="1" applyBorder="1" applyAlignment="1">
      <alignment horizontal="center" vertical="center"/>
    </xf>
    <xf numFmtId="0" fontId="25" fillId="0" borderId="10" xfId="0" applyFont="1" applyBorder="1" applyAlignment="1">
      <alignment horizontal="center" vertical="center"/>
    </xf>
    <xf numFmtId="165" fontId="18" fillId="6" borderId="10" xfId="0" applyNumberFormat="1" applyFont="1" applyFill="1" applyBorder="1" applyAlignment="1">
      <alignment horizontal="center" vertical="center" wrapText="1"/>
    </xf>
    <xf numFmtId="0" fontId="19" fillId="0" borderId="10" xfId="0" applyFont="1" applyBorder="1" applyAlignment="1">
      <alignment horizontal="center" vertical="center" wrapText="1"/>
    </xf>
    <xf numFmtId="0" fontId="17" fillId="6" borderId="10"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27" fillId="0" borderId="10" xfId="0" applyFont="1" applyBorder="1" applyAlignment="1">
      <alignment horizontal="center" vertical="center" wrapText="1"/>
    </xf>
    <xf numFmtId="0" fontId="0" fillId="0" borderId="0" xfId="0" applyAlignment="1">
      <alignment horizontal="center" vertical="center" wrapText="1"/>
    </xf>
    <xf numFmtId="49" fontId="18" fillId="2" borderId="10" xfId="0" applyNumberFormat="1" applyFont="1" applyFill="1" applyBorder="1" applyAlignment="1">
      <alignment horizontal="center" vertical="center"/>
    </xf>
    <xf numFmtId="0" fontId="18" fillId="3" borderId="10" xfId="0" applyFont="1" applyFill="1" applyBorder="1" applyAlignment="1">
      <alignment horizontal="center" vertical="center"/>
    </xf>
    <xf numFmtId="0" fontId="18" fillId="4" borderId="10" xfId="0" applyFont="1" applyFill="1" applyBorder="1" applyAlignment="1">
      <alignment horizontal="center" vertical="center"/>
    </xf>
    <xf numFmtId="166" fontId="18" fillId="2" borderId="10" xfId="0" applyNumberFormat="1" applyFont="1" applyFill="1" applyBorder="1" applyAlignment="1">
      <alignment horizontal="center" vertical="center"/>
    </xf>
    <xf numFmtId="0" fontId="0" fillId="0" borderId="8" xfId="0" applyBorder="1" applyAlignment="1">
      <alignment horizontal="center" vertical="center"/>
    </xf>
    <xf numFmtId="0" fontId="0" fillId="0" borderId="14" xfId="0" applyBorder="1" applyAlignment="1">
      <alignment horizontal="center" vertical="center"/>
    </xf>
    <xf numFmtId="14" fontId="0" fillId="0" borderId="14" xfId="0" applyNumberFormat="1" applyBorder="1" applyAlignment="1">
      <alignment horizontal="center" vertical="center"/>
    </xf>
    <xf numFmtId="0" fontId="16" fillId="6" borderId="14" xfId="0" applyFont="1" applyFill="1" applyBorder="1" applyAlignment="1">
      <alignment horizontal="center" vertical="center"/>
    </xf>
    <xf numFmtId="0" fontId="0" fillId="0" borderId="14" xfId="0" applyBorder="1" applyAlignment="1">
      <alignment horizontal="center" vertical="center" wrapText="1"/>
    </xf>
    <xf numFmtId="0" fontId="0" fillId="0" borderId="12" xfId="0" applyBorder="1" applyAlignment="1">
      <alignment horizontal="center" vertical="center"/>
    </xf>
    <xf numFmtId="14" fontId="0" fillId="0" borderId="12" xfId="0" applyNumberFormat="1" applyBorder="1" applyAlignment="1">
      <alignment horizontal="center" vertical="center"/>
    </xf>
    <xf numFmtId="0" fontId="0" fillId="0" borderId="12" xfId="0" applyBorder="1" applyAlignment="1">
      <alignment horizontal="center" vertical="center" wrapText="1"/>
    </xf>
    <xf numFmtId="0" fontId="0" fillId="0" borderId="7" xfId="0" applyBorder="1" applyAlignment="1">
      <alignment horizontal="center" vertical="center"/>
    </xf>
    <xf numFmtId="0" fontId="28" fillId="0" borderId="8" xfId="0" applyFont="1" applyBorder="1" applyAlignment="1">
      <alignment horizontal="center" vertical="center" wrapText="1"/>
    </xf>
    <xf numFmtId="0" fontId="0" fillId="0" borderId="16" xfId="0" applyBorder="1" applyAlignment="1">
      <alignment horizontal="center" vertical="center"/>
    </xf>
    <xf numFmtId="0" fontId="18" fillId="6" borderId="8" xfId="0" applyFont="1" applyFill="1" applyBorder="1" applyAlignment="1">
      <alignment horizontal="center" vertical="center"/>
    </xf>
    <xf numFmtId="0" fontId="18" fillId="6" borderId="14" xfId="0" applyFont="1" applyFill="1" applyBorder="1" applyAlignment="1">
      <alignment horizontal="center" vertical="center"/>
    </xf>
    <xf numFmtId="0" fontId="18" fillId="6" borderId="9" xfId="0" applyFont="1" applyFill="1" applyBorder="1" applyAlignment="1">
      <alignment horizontal="center" vertical="center"/>
    </xf>
    <xf numFmtId="0" fontId="17" fillId="12" borderId="6" xfId="0" applyFont="1" applyFill="1" applyBorder="1" applyAlignment="1">
      <alignment horizontal="center" vertical="center" wrapText="1"/>
    </xf>
    <xf numFmtId="0" fontId="16" fillId="0" borderId="14" xfId="0" applyFont="1" applyBorder="1" applyAlignment="1">
      <alignment horizontal="center" vertical="center"/>
    </xf>
    <xf numFmtId="165" fontId="19" fillId="0" borderId="14" xfId="0" applyNumberFormat="1" applyFont="1" applyBorder="1" applyAlignment="1">
      <alignment horizontal="center" vertical="center" wrapText="1"/>
    </xf>
    <xf numFmtId="165" fontId="19" fillId="0" borderId="12" xfId="0" applyNumberFormat="1" applyFont="1" applyBorder="1" applyAlignment="1">
      <alignment horizontal="center" vertical="center" wrapText="1"/>
    </xf>
    <xf numFmtId="0" fontId="21" fillId="0" borderId="8" xfId="0" applyFont="1" applyBorder="1" applyAlignment="1">
      <alignment horizontal="center" vertical="center" wrapText="1"/>
    </xf>
    <xf numFmtId="0" fontId="16" fillId="6" borderId="8" xfId="0" applyFont="1" applyFill="1" applyBorder="1" applyAlignment="1">
      <alignment horizontal="center" vertical="center"/>
    </xf>
    <xf numFmtId="165" fontId="19" fillId="0" borderId="8" xfId="0" applyNumberFormat="1" applyFont="1" applyBorder="1" applyAlignment="1">
      <alignment horizontal="center" vertical="center" wrapText="1"/>
    </xf>
    <xf numFmtId="0" fontId="21" fillId="0" borderId="15"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2" xfId="0" applyFont="1" applyBorder="1" applyAlignment="1">
      <alignment horizontal="center" vertical="center"/>
    </xf>
    <xf numFmtId="0" fontId="29" fillId="0" borderId="8" xfId="0" applyFont="1" applyBorder="1" applyAlignment="1">
      <alignment horizontal="center" vertical="center"/>
    </xf>
    <xf numFmtId="0" fontId="18" fillId="6" borderId="12" xfId="0" applyFont="1" applyFill="1" applyBorder="1" applyAlignment="1">
      <alignment horizontal="center" vertical="center"/>
    </xf>
    <xf numFmtId="0" fontId="18" fillId="6" borderId="17" xfId="0" applyFont="1" applyFill="1" applyBorder="1" applyAlignment="1">
      <alignment horizontal="center" vertical="center"/>
    </xf>
    <xf numFmtId="0" fontId="0" fillId="0" borderId="13" xfId="0" applyBorder="1" applyAlignment="1">
      <alignment horizontal="center" vertical="center"/>
    </xf>
    <xf numFmtId="0" fontId="28" fillId="0" borderId="12" xfId="0" applyFont="1" applyBorder="1" applyAlignment="1">
      <alignment horizontal="center" vertical="center" wrapText="1"/>
    </xf>
    <xf numFmtId="0" fontId="0" fillId="0" borderId="8" xfId="0" applyBorder="1" applyAlignment="1">
      <alignment horizontal="center" vertical="center" wrapText="1"/>
    </xf>
    <xf numFmtId="14" fontId="0" fillId="0" borderId="8" xfId="0" applyNumberFormat="1" applyBorder="1" applyAlignment="1">
      <alignment horizontal="center" vertical="center"/>
    </xf>
    <xf numFmtId="21" fontId="16" fillId="0" borderId="8" xfId="0" applyNumberFormat="1" applyFont="1" applyBorder="1" applyAlignment="1">
      <alignment horizontal="center" vertical="center"/>
    </xf>
    <xf numFmtId="0" fontId="16" fillId="6" borderId="6" xfId="0" applyFont="1" applyFill="1" applyBorder="1" applyAlignment="1">
      <alignment horizontal="center" vertical="center"/>
    </xf>
    <xf numFmtId="0" fontId="0" fillId="0" borderId="10" xfId="0" applyBorder="1" applyAlignment="1">
      <alignment horizontal="left" vertical="center" wrapText="1"/>
    </xf>
    <xf numFmtId="0" fontId="0" fillId="0" borderId="0" xfId="0" applyAlignment="1">
      <alignment horizontal="center"/>
    </xf>
    <xf numFmtId="0" fontId="0" fillId="0" borderId="0" xfId="0" applyAlignment="1">
      <alignment horizontal="center" wrapText="1"/>
    </xf>
    <xf numFmtId="1" fontId="30" fillId="5" borderId="10" xfId="0" applyNumberFormat="1" applyFont="1" applyFill="1" applyBorder="1" applyAlignment="1">
      <alignment horizontal="center" vertical="center"/>
    </xf>
    <xf numFmtId="14" fontId="30" fillId="8" borderId="6" xfId="0" applyNumberFormat="1" applyFont="1" applyFill="1" applyBorder="1" applyAlignment="1">
      <alignment horizontal="center" vertical="center"/>
    </xf>
    <xf numFmtId="21" fontId="30" fillId="0" borderId="8" xfId="0" applyNumberFormat="1" applyFont="1" applyBorder="1" applyAlignment="1">
      <alignment horizontal="center" vertical="center"/>
    </xf>
    <xf numFmtId="0" fontId="30" fillId="6" borderId="9" xfId="0" applyFont="1" applyFill="1" applyBorder="1" applyAlignment="1">
      <alignment horizontal="center" vertical="center"/>
    </xf>
    <xf numFmtId="0" fontId="30" fillId="0" borderId="10" xfId="0" applyFont="1" applyBorder="1" applyAlignment="1">
      <alignment horizontal="center" vertical="center"/>
    </xf>
    <xf numFmtId="21" fontId="30" fillId="6" borderId="6" xfId="0" applyNumberFormat="1" applyFont="1" applyFill="1" applyBorder="1" applyAlignment="1">
      <alignment horizontal="center" vertical="center"/>
    </xf>
    <xf numFmtId="1" fontId="30" fillId="6" borderId="10" xfId="0" applyNumberFormat="1" applyFont="1" applyFill="1" applyBorder="1" applyAlignment="1">
      <alignment horizontal="center" vertical="center"/>
    </xf>
    <xf numFmtId="0" fontId="30" fillId="11" borderId="10" xfId="0" applyFont="1" applyFill="1" applyBorder="1" applyAlignment="1">
      <alignment horizontal="center" vertical="center"/>
    </xf>
    <xf numFmtId="0" fontId="30" fillId="6" borderId="10" xfId="0" applyFont="1" applyFill="1" applyBorder="1" applyAlignment="1">
      <alignment horizontal="center" vertical="center"/>
    </xf>
    <xf numFmtId="0" fontId="31" fillId="0" borderId="10" xfId="0" applyFont="1" applyBorder="1" applyAlignment="1">
      <alignment horizontal="center" vertical="center"/>
    </xf>
    <xf numFmtId="0" fontId="31" fillId="12" borderId="10" xfId="0" applyFont="1" applyFill="1" applyBorder="1" applyAlignment="1">
      <alignment horizontal="center" vertical="center" wrapText="1"/>
    </xf>
    <xf numFmtId="0" fontId="31" fillId="12" borderId="21" xfId="0" applyFont="1" applyFill="1" applyBorder="1" applyAlignment="1">
      <alignment horizontal="center" vertical="center" wrapText="1"/>
    </xf>
    <xf numFmtId="0" fontId="32" fillId="6" borderId="8"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10" xfId="0" applyFont="1" applyFill="1" applyBorder="1" applyAlignment="1">
      <alignment horizontal="center" vertical="center"/>
    </xf>
    <xf numFmtId="21" fontId="17" fillId="10" borderId="14" xfId="0" applyNumberFormat="1" applyFont="1" applyFill="1" applyBorder="1" applyAlignment="1">
      <alignment horizontal="center" vertical="center"/>
    </xf>
    <xf numFmtId="1" fontId="16" fillId="6" borderId="14" xfId="0" applyNumberFormat="1" applyFont="1" applyFill="1" applyBorder="1" applyAlignment="1">
      <alignment horizontal="center" vertical="center"/>
    </xf>
    <xf numFmtId="0" fontId="17" fillId="0" borderId="14" xfId="0" applyFont="1" applyBorder="1" applyAlignment="1">
      <alignment horizontal="center" vertical="center"/>
    </xf>
    <xf numFmtId="0" fontId="17" fillId="12" borderId="14" xfId="0" applyFont="1" applyFill="1" applyBorder="1" applyAlignment="1">
      <alignment horizontal="center" vertical="center" wrapText="1"/>
    </xf>
    <xf numFmtId="14" fontId="16" fillId="8" borderId="6" xfId="0" applyNumberFormat="1" applyFont="1" applyFill="1" applyBorder="1" applyAlignment="1">
      <alignment horizontal="center" vertical="center"/>
    </xf>
    <xf numFmtId="0" fontId="16" fillId="6" borderId="9" xfId="0" applyFont="1" applyFill="1" applyBorder="1" applyAlignment="1">
      <alignment horizontal="center" vertical="center"/>
    </xf>
    <xf numFmtId="21" fontId="16" fillId="6" borderId="6" xfId="0" applyNumberFormat="1" applyFont="1" applyFill="1" applyBorder="1" applyAlignment="1">
      <alignment horizontal="center" vertical="center"/>
    </xf>
    <xf numFmtId="0" fontId="17" fillId="12" borderId="9" xfId="0" applyFont="1" applyFill="1" applyBorder="1" applyAlignment="1">
      <alignment horizontal="center" vertical="center" wrapText="1"/>
    </xf>
    <xf numFmtId="0" fontId="16" fillId="0" borderId="6" xfId="0" applyFont="1" applyBorder="1" applyAlignment="1">
      <alignment horizontal="center" vertical="center"/>
    </xf>
    <xf numFmtId="0" fontId="18" fillId="6" borderId="7" xfId="0" applyFont="1" applyFill="1" applyBorder="1" applyAlignment="1">
      <alignment horizontal="center" vertical="center"/>
    </xf>
    <xf numFmtId="0" fontId="17" fillId="12" borderId="20" xfId="0" applyFont="1" applyFill="1" applyBorder="1" applyAlignment="1">
      <alignment horizontal="center" vertical="center" wrapText="1"/>
    </xf>
    <xf numFmtId="0" fontId="17" fillId="12" borderId="21" xfId="0" applyFont="1" applyFill="1" applyBorder="1" applyAlignment="1">
      <alignment horizontal="center" vertical="center" wrapText="1"/>
    </xf>
    <xf numFmtId="14" fontId="21" fillId="0" borderId="8" xfId="0" applyNumberFormat="1" applyFont="1" applyBorder="1" applyAlignment="1">
      <alignment horizontal="center" vertical="center"/>
    </xf>
    <xf numFmtId="0" fontId="21" fillId="0" borderId="8" xfId="0" applyFont="1" applyBorder="1" applyAlignment="1">
      <alignment horizontal="center" vertical="center"/>
    </xf>
    <xf numFmtId="14" fontId="21" fillId="0" borderId="12" xfId="0" applyNumberFormat="1" applyFont="1" applyBorder="1" applyAlignment="1">
      <alignment horizontal="center" vertical="center"/>
    </xf>
    <xf numFmtId="0" fontId="16" fillId="6" borderId="15" xfId="0" applyFont="1" applyFill="1" applyBorder="1" applyAlignment="1">
      <alignment horizontal="center" vertical="center"/>
    </xf>
    <xf numFmtId="165" fontId="19" fillId="0" borderId="7" xfId="0" applyNumberFormat="1" applyFont="1" applyBorder="1" applyAlignment="1">
      <alignment horizontal="center" vertical="center" wrapText="1"/>
    </xf>
    <xf numFmtId="0" fontId="28" fillId="0" borderId="19" xfId="0" applyFont="1" applyBorder="1" applyAlignment="1">
      <alignment horizontal="center" vertical="center" wrapText="1"/>
    </xf>
    <xf numFmtId="0" fontId="0" fillId="0" borderId="15" xfId="0" applyBorder="1" applyAlignment="1">
      <alignment horizontal="center" vertical="center"/>
    </xf>
    <xf numFmtId="0" fontId="16" fillId="6" borderId="19" xfId="0" applyFont="1" applyFill="1" applyBorder="1" applyAlignment="1">
      <alignment horizontal="center" vertical="center"/>
    </xf>
    <xf numFmtId="165" fontId="19" fillId="0" borderId="22" xfId="0" applyNumberFormat="1" applyFont="1" applyBorder="1" applyAlignment="1">
      <alignment horizontal="center" vertical="center" wrapText="1"/>
    </xf>
    <xf numFmtId="0" fontId="21" fillId="0" borderId="19" xfId="0" applyFont="1" applyBorder="1" applyAlignment="1">
      <alignment horizontal="center" vertical="center" wrapText="1"/>
    </xf>
    <xf numFmtId="0" fontId="28" fillId="0" borderId="22" xfId="0" applyFont="1" applyBorder="1" applyAlignment="1">
      <alignment horizontal="center" vertical="center" wrapText="1"/>
    </xf>
    <xf numFmtId="0" fontId="31" fillId="12" borderId="9" xfId="0" applyFont="1" applyFill="1" applyBorder="1" applyAlignment="1">
      <alignment horizontal="center" vertical="center" wrapText="1"/>
    </xf>
    <xf numFmtId="0" fontId="0" fillId="0" borderId="19" xfId="0" applyBorder="1" applyAlignment="1">
      <alignment horizontal="center" vertical="center"/>
    </xf>
    <xf numFmtId="165" fontId="19" fillId="0" borderId="23" xfId="0" applyNumberFormat="1" applyFont="1" applyBorder="1" applyAlignment="1">
      <alignment horizontal="center" vertical="center" wrapText="1"/>
    </xf>
    <xf numFmtId="0" fontId="28" fillId="0" borderId="23" xfId="0" applyFont="1" applyBorder="1" applyAlignment="1">
      <alignment horizontal="center" vertical="center" wrapText="1"/>
    </xf>
    <xf numFmtId="0" fontId="30" fillId="6" borderId="8" xfId="0" applyFont="1" applyFill="1" applyBorder="1" applyAlignment="1">
      <alignment horizontal="center" vertical="center"/>
    </xf>
    <xf numFmtId="165" fontId="34" fillId="0" borderId="8" xfId="0" applyNumberFormat="1" applyFont="1" applyBorder="1" applyAlignment="1">
      <alignment horizontal="center" vertical="center" wrapText="1"/>
    </xf>
    <xf numFmtId="0" fontId="33" fillId="0" borderId="8" xfId="0" applyFont="1" applyBorder="1" applyAlignment="1">
      <alignment horizontal="center" vertical="center" wrapText="1"/>
    </xf>
    <xf numFmtId="0" fontId="31" fillId="12" borderId="6"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0" borderId="18" xfId="0" applyBorder="1" applyAlignment="1">
      <alignment horizontal="center" vertical="center" wrapText="1"/>
    </xf>
    <xf numFmtId="0" fontId="0" fillId="0" borderId="8" xfId="0" applyBorder="1" applyAlignment="1">
      <alignment horizontal="center" vertical="center" wrapText="1"/>
    </xf>
    <xf numFmtId="0" fontId="0" fillId="0" borderId="13" xfId="0" applyBorder="1" applyAlignment="1">
      <alignment horizontal="center" vertical="center" wrapText="1"/>
    </xf>
    <xf numFmtId="0" fontId="12" fillId="0" borderId="0" xfId="1" applyAlignment="1">
      <alignment horizontal="center" vertical="top"/>
    </xf>
  </cellXfs>
  <cellStyles count="3">
    <cellStyle name="Insatisfaisant" xfId="2" builtinId="27"/>
    <cellStyle name="Normal" xfId="0" builtinId="0"/>
    <cellStyle name="Normal 2" xfId="1" xr:uid="{00000000-0005-0000-0000-000001000000}"/>
  </cellStyles>
  <dxfs count="226">
    <dxf>
      <fill>
        <patternFill>
          <bgColor rgb="FF92D050"/>
        </patternFill>
      </fill>
    </dxf>
    <dxf>
      <font>
        <b/>
        <i val="0"/>
        <color theme="0"/>
      </font>
      <fill>
        <patternFill>
          <bgColor rgb="FFFF0000"/>
        </patternFill>
      </fill>
    </dxf>
    <dxf>
      <fill>
        <patternFill>
          <bgColor rgb="FFFFFF00"/>
        </patternFill>
      </fill>
    </dxf>
    <dxf>
      <fill>
        <patternFill>
          <bgColor rgb="FF92D050"/>
        </patternFill>
      </fill>
    </dxf>
    <dxf>
      <font>
        <b/>
        <i val="0"/>
        <color theme="0"/>
      </font>
      <fill>
        <patternFill>
          <bgColor rgb="FFFF0000"/>
        </patternFill>
      </fill>
    </dxf>
    <dxf>
      <fill>
        <patternFill>
          <bgColor rgb="FFFFFF00"/>
        </patternFill>
      </fill>
    </dxf>
    <dxf>
      <fill>
        <patternFill>
          <bgColor rgb="FF92D050"/>
        </patternFill>
      </fill>
    </dxf>
    <dxf>
      <font>
        <b/>
        <i val="0"/>
        <color theme="0"/>
      </font>
      <fill>
        <patternFill>
          <bgColor rgb="FFFF0000"/>
        </patternFill>
      </fill>
    </dxf>
    <dxf>
      <fill>
        <patternFill>
          <bgColor rgb="FFFFFF00"/>
        </patternFill>
      </fill>
    </dxf>
    <dxf>
      <fill>
        <patternFill>
          <bgColor rgb="FF92D050"/>
        </patternFill>
      </fill>
    </dxf>
    <dxf>
      <font>
        <b/>
        <i val="0"/>
        <color theme="0"/>
      </font>
      <fill>
        <patternFill>
          <bgColor rgb="FFFF0000"/>
        </patternFill>
      </fill>
    </dxf>
    <dxf>
      <fill>
        <patternFill>
          <bgColor rgb="FFFFFF00"/>
        </patternFill>
      </fill>
    </dxf>
    <dxf>
      <fill>
        <patternFill>
          <bgColor rgb="FF92D050"/>
        </patternFill>
      </fill>
    </dxf>
    <dxf>
      <font>
        <b/>
        <i val="0"/>
        <color theme="0"/>
      </font>
      <fill>
        <patternFill>
          <bgColor rgb="FFFF0000"/>
        </patternFill>
      </fill>
    </dxf>
    <dxf>
      <fill>
        <patternFill>
          <bgColor rgb="FFFFFF00"/>
        </patternFill>
      </fill>
    </dxf>
    <dxf>
      <fill>
        <patternFill>
          <bgColor rgb="FF92D050"/>
        </patternFill>
      </fill>
    </dxf>
    <dxf>
      <font>
        <b/>
        <i val="0"/>
        <color theme="0"/>
      </font>
      <fill>
        <patternFill>
          <bgColor rgb="FFFF0000"/>
        </patternFill>
      </fill>
    </dxf>
    <dxf>
      <fill>
        <patternFill>
          <bgColor rgb="FFFFFF00"/>
        </patternFill>
      </fill>
    </dxf>
    <dxf>
      <fill>
        <patternFill>
          <bgColor rgb="FF92D050"/>
        </patternFill>
      </fill>
    </dxf>
    <dxf>
      <font>
        <b/>
        <i val="0"/>
        <color theme="0"/>
      </font>
      <fill>
        <patternFill>
          <bgColor rgb="FFFF0000"/>
        </patternFill>
      </fill>
    </dxf>
    <dxf>
      <fill>
        <patternFill>
          <bgColor rgb="FFFFFF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92D050"/>
        </pattern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theme="0"/>
      </font>
      <fill>
        <patternFill>
          <bgColor rgb="FFFF0000"/>
        </patternFill>
      </fill>
    </dxf>
    <dxf>
      <fill>
        <patternFill>
          <bgColor rgb="FFFFFF00"/>
        </patternFill>
      </fill>
    </dxf>
    <dxf>
      <fill>
        <patternFill>
          <bgColor rgb="FF92D05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theme="0"/>
      </font>
      <fill>
        <patternFill>
          <bgColor rgb="FFFF0000"/>
        </patternFill>
      </fill>
    </dxf>
    <dxf>
      <fill>
        <patternFill>
          <bgColor rgb="FFFFFF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ill>
        <patternFill>
          <bgColor rgb="FFFFFF00"/>
        </patternFill>
      </fill>
    </dxf>
    <dxf>
      <font>
        <b/>
        <i val="0"/>
        <color theme="0"/>
      </font>
      <fill>
        <patternFill>
          <bgColor rgb="FFFF0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wrapText="1" readingOrder="0"/>
    </dxf>
    <dxf>
      <alignment vertical="center" readingOrder="0"/>
    </dxf>
    <dxf>
      <alignment vertical="center" readingOrder="0"/>
    </dxf>
    <dxf>
      <alignment vertic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9"/>
      </font>
    </dxf>
    <dxf>
      <font>
        <sz val="9"/>
      </font>
    </dxf>
    <dxf>
      <alignment wrapText="1" readingOrder="0"/>
    </dxf>
    <dxf>
      <alignment wrapText="1" readingOrder="0"/>
    </dxf>
    <dxf>
      <alignment vertical="center" readingOrder="0"/>
    </dxf>
    <dxf>
      <alignment vertical="center" readingOrder="0"/>
    </dxf>
    <dxf>
      <alignment horizontal="left" readingOrder="0"/>
    </dxf>
    <dxf>
      <alignment horizontal="left" readingOrder="0"/>
    </dxf>
    <dxf>
      <alignment horizontal="center" readingOrder="0"/>
    </dxf>
    <dxf>
      <alignment horizontal="right" readingOrder="0"/>
    </dxf>
    <dxf>
      <alignment horizontal="lef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9"/>
      </font>
    </dxf>
    <dxf>
      <alignment wrapText="1" readingOrder="0"/>
    </dxf>
    <dxf>
      <alignment vertical="center" readingOrder="0"/>
    </dxf>
    <dxf>
      <alignment horizontal="left" readingOrder="0"/>
    </dxf>
    <dxf>
      <alignment horizontal="left" readingOrder="0"/>
    </dxf>
    <dxf>
      <alignment horizontal="center" readingOrder="0"/>
    </dxf>
    <dxf>
      <alignment horizontal="right" readingOrder="0"/>
    </dxf>
    <dxf>
      <alignment horizontal="lef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font>
        <sz val="10"/>
      </font>
    </dxf>
    <dxf>
      <font>
        <sz val="10"/>
      </font>
    </dxf>
    <dxf>
      <font>
        <sz val="11"/>
      </font>
    </dxf>
    <dxf>
      <font>
        <sz val="11"/>
      </font>
    </dxf>
    <dxf>
      <font>
        <sz val="10"/>
      </font>
    </dxf>
    <dxf>
      <font>
        <sz val="10"/>
      </font>
    </dxf>
    <dxf>
      <font>
        <sz val="11"/>
      </font>
    </dxf>
    <dxf>
      <font>
        <sz val="11"/>
      </font>
    </dxf>
    <dxf>
      <alignment wrapText="1" readingOrder="0"/>
    </dxf>
    <dxf>
      <font>
        <sz val="10"/>
      </font>
    </dxf>
    <dxf>
      <font>
        <sz val="9"/>
      </font>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[Suivi des déconnexions ERTMS et actions correctives.xlsx]Synthèse Hebdo!Tableau croisé dynamique5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Déconnexion</a:t>
            </a:r>
            <a:r>
              <a:rPr lang="fr-FR" baseline="0"/>
              <a:t> par intervalle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87613550793716E-2"/>
          <c:y val="0.16056277056277057"/>
          <c:w val="0.87578955615622678"/>
          <c:h val="0.62585029144084259"/>
        </c:manualLayout>
      </c:layout>
      <c:barChart>
        <c:barDir val="col"/>
        <c:grouping val="clustered"/>
        <c:varyColors val="0"/>
        <c:ser>
          <c:idx val="0"/>
          <c:order val="0"/>
          <c:tx>
            <c:strRef>
              <c:f>'Synthèse Hebdo'!$L$4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'Synthèse Hebdo'!$K$5:$K$6</c:f>
              <c:strCache>
                <c:ptCount val="1"/>
                <c:pt idx="0">
                  <c:v>GSMR_02/03</c:v>
                </c:pt>
              </c:strCache>
            </c:strRef>
          </c:cat>
          <c:val>
            <c:numRef>
              <c:f>'Synthèse Hebdo'!$L$5:$L$6</c:f>
              <c:numCache>
                <c:formatCode>General</c:formatCode>
                <c:ptCount val="1"/>
                <c:pt idx="0">
                  <c:v>6</c:v>
                </c:pt>
              </c:numCache>
            </c:numRef>
          </c:val>
          <c:extLst>
            <c:ext xmlns:c16="http://schemas.microsoft.com/office/drawing/2014/chart" uri="{C3380CC4-5D6E-409C-BE32-E72D297353CC}">
              <c16:uniqueId val="{00000000-2B1A-4D9A-B66B-055382301329}"/>
            </c:ext>
          </c:extLst>
        </c:ser>
        <c:dLbls>
          <c:dLblPos val="inEnd"/>
          <c:showLegendKey val="0"/>
          <c:showVal val="1"/>
          <c:showCatName val="0"/>
          <c:showSerName val="0"/>
          <c:showPercent val="0"/>
          <c:showBubbleSize val="0"/>
        </c:dLbls>
        <c:gapWidth val="219"/>
        <c:overlap val="-27"/>
        <c:axId val="2126121856"/>
        <c:axId val="2126117504"/>
      </c:barChart>
      <c:catAx>
        <c:axId val="212612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Intervalles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26117504"/>
        <c:crosses val="autoZero"/>
        <c:auto val="1"/>
        <c:lblAlgn val="ctr"/>
        <c:lblOffset val="100"/>
        <c:noMultiLvlLbl val="0"/>
      </c:catAx>
      <c:valAx>
        <c:axId val="2126117504"/>
        <c:scaling>
          <c:orientation val="minMax"/>
          <c:max val="1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Nombre de déconnexions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26121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[Suivi des déconnexions ERTMS et actions correctives.xlsx]Synthèse Hebdo!Tableau croisé dynamique7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Déconnexions par rame/motrice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'Synthèse Hebdo'!$B$4:$B$5</c:f>
              <c:strCache>
                <c:ptCount val="1"/>
                <c:pt idx="0">
                  <c:v>M1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'Synthèse Hebdo'!$A$6:$A$11</c:f>
              <c:strCache>
                <c:ptCount val="5"/>
                <c:pt idx="0">
                  <c:v>1204</c:v>
                </c:pt>
                <c:pt idx="1">
                  <c:v>1205</c:v>
                </c:pt>
                <c:pt idx="2">
                  <c:v>1206</c:v>
                </c:pt>
                <c:pt idx="3">
                  <c:v>1207</c:v>
                </c:pt>
                <c:pt idx="4">
                  <c:v>1210</c:v>
                </c:pt>
              </c:strCache>
            </c:strRef>
          </c:cat>
          <c:val>
            <c:numRef>
              <c:f>'Synthèse Hebdo'!$B$6:$B$11</c:f>
              <c:numCache>
                <c:formatCode>General</c:formatCode>
                <c:ptCount val="5"/>
                <c:pt idx="0">
                  <c:v>1</c:v>
                </c:pt>
                <c:pt idx="1">
                  <c:v>1</c:v>
                </c:pt>
                <c:pt idx="2">
                  <c:v>1</c:v>
                </c:pt>
                <c:pt idx="4">
                  <c:v>1</c:v>
                </c:pt>
              </c:numCache>
            </c:numRef>
          </c:val>
          <c:extLst>
            <c:ext xmlns:c16="http://schemas.microsoft.com/office/drawing/2014/chart" uri="{C3380CC4-5D6E-409C-BE32-E72D297353CC}">
              <c16:uniqueId val="{00000000-F259-4C48-A4B1-BA7BABBF959C}"/>
            </c:ext>
          </c:extLst>
        </c:ser>
        <c:ser>
          <c:idx val="1"/>
          <c:order val="1"/>
          <c:tx>
            <c:strRef>
              <c:f>'Synthèse Hebdo'!$C$4:$C$5</c:f>
              <c:strCache>
                <c:ptCount val="1"/>
                <c:pt idx="0">
                  <c:v>M2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'Synthèse Hebdo'!$A$6:$A$11</c:f>
              <c:strCache>
                <c:ptCount val="5"/>
                <c:pt idx="0">
                  <c:v>1204</c:v>
                </c:pt>
                <c:pt idx="1">
                  <c:v>1205</c:v>
                </c:pt>
                <c:pt idx="2">
                  <c:v>1206</c:v>
                </c:pt>
                <c:pt idx="3">
                  <c:v>1207</c:v>
                </c:pt>
                <c:pt idx="4">
                  <c:v>1210</c:v>
                </c:pt>
              </c:strCache>
            </c:strRef>
          </c:cat>
          <c:val>
            <c:numRef>
              <c:f>'Synthèse Hebdo'!$C$6:$C$11</c:f>
              <c:numCache>
                <c:formatCode>General</c:formatCode>
                <c:ptCount val="5"/>
                <c:pt idx="3">
                  <c:v>2</c:v>
                </c:pt>
              </c:numCache>
            </c:numRef>
          </c:val>
          <c:extLst>
            <c:ext xmlns:c16="http://schemas.microsoft.com/office/drawing/2014/chart" uri="{C3380CC4-5D6E-409C-BE32-E72D297353CC}">
              <c16:uniqueId val="{00000000-4EC5-4F5E-A3B1-FE00AFBB595A}"/>
            </c:ext>
          </c:extLst>
        </c:ser>
        <c:dLbls>
          <c:dLblPos val="ctr"/>
          <c:showLegendKey val="0"/>
          <c:showVal val="1"/>
          <c:showCatName val="0"/>
          <c:showSerName val="0"/>
          <c:showPercent val="0"/>
          <c:showBubbleSize val="0"/>
        </c:dLbls>
        <c:gapWidth val="219"/>
        <c:overlap val="100"/>
        <c:axId val="2126110432"/>
        <c:axId val="2126119136"/>
      </c:barChart>
      <c:catAx>
        <c:axId val="2126110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26119136"/>
        <c:crosses val="autoZero"/>
        <c:auto val="1"/>
        <c:lblAlgn val="ctr"/>
        <c:lblOffset val="100"/>
        <c:noMultiLvlLbl val="0"/>
      </c:catAx>
      <c:valAx>
        <c:axId val="2126119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Nombre de déconnexions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26110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[Suivi des déconnexions ERTMS et actions correctives.xlsx]Synthèse Hebdo!Tableau croisé dynamique6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Déconnexion par rame/sous systéme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'Synthèse Hebdo'!$O$4:$O$5</c:f>
              <c:strCache>
                <c:ptCount val="1"/>
                <c:pt idx="0">
                  <c:v>BORD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'Synthèse Hebdo'!$N$6:$N$11</c:f>
              <c:strCache>
                <c:ptCount val="5"/>
                <c:pt idx="0">
                  <c:v>1204</c:v>
                </c:pt>
                <c:pt idx="1">
                  <c:v>1205</c:v>
                </c:pt>
                <c:pt idx="2">
                  <c:v>1206</c:v>
                </c:pt>
                <c:pt idx="3">
                  <c:v>1207</c:v>
                </c:pt>
                <c:pt idx="4">
                  <c:v>1210</c:v>
                </c:pt>
              </c:strCache>
            </c:strRef>
          </c:cat>
          <c:val>
            <c:numRef>
              <c:f>'Synthèse Hebdo'!$O$6:$O$11</c:f>
              <c:numCache>
                <c:formatCode>General</c:formatCode>
                <c:ptCount val="5"/>
                <c:pt idx="0">
                  <c:v>1</c:v>
                </c:pt>
                <c:pt idx="1">
                  <c:v>1</c:v>
                </c:pt>
                <c:pt idx="2">
                  <c:v>1</c:v>
                </c:pt>
                <c:pt idx="3">
                  <c:v>2</c:v>
                </c:pt>
                <c:pt idx="4">
                  <c:v>1</c:v>
                </c:pt>
              </c:numCache>
            </c:numRef>
          </c:val>
          <c:extLst>
            <c:ext xmlns:c16="http://schemas.microsoft.com/office/drawing/2014/chart" uri="{C3380CC4-5D6E-409C-BE32-E72D297353CC}">
              <c16:uniqueId val="{00000000-80FE-4366-84F3-BA0085FABBA4}"/>
            </c:ext>
          </c:extLst>
        </c:ser>
        <c:dLbls>
          <c:dLblPos val="ctr"/>
          <c:showLegendKey val="0"/>
          <c:showVal val="1"/>
          <c:showCatName val="0"/>
          <c:showSerName val="0"/>
          <c:showPercent val="0"/>
          <c:showBubbleSize val="0"/>
        </c:dLbls>
        <c:gapWidth val="150"/>
        <c:overlap val="100"/>
        <c:axId val="2126115328"/>
        <c:axId val="2126119680"/>
      </c:barChart>
      <c:catAx>
        <c:axId val="2126115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26119680"/>
        <c:crosses val="autoZero"/>
        <c:auto val="1"/>
        <c:lblAlgn val="ctr"/>
        <c:lblOffset val="100"/>
        <c:noMultiLvlLbl val="0"/>
      </c:catAx>
      <c:valAx>
        <c:axId val="2126119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Nombre de déconnexions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2611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[Suivi des déconnexions ERTMS et actions correctives.xlsx]Synthèse Hebdo!Tableau croisé dynamique4</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Sous systémes mis en cause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'Synthèse Hebdo'!$H$4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'Synthèse Hebdo'!$G$5:$G$6</c:f>
              <c:strCache>
                <c:ptCount val="1"/>
                <c:pt idx="0">
                  <c:v>BORD</c:v>
                </c:pt>
              </c:strCache>
            </c:strRef>
          </c:cat>
          <c:val>
            <c:numRef>
              <c:f>'Synthèse Hebdo'!$H$5:$H$6</c:f>
              <c:numCache>
                <c:formatCode>General</c:formatCode>
                <c:ptCount val="1"/>
                <c:pt idx="0">
                  <c:v>6</c:v>
                </c:pt>
              </c:numCache>
            </c:numRef>
          </c:val>
          <c:extLst>
            <c:ext xmlns:c16="http://schemas.microsoft.com/office/drawing/2014/chart" uri="{C3380CC4-5D6E-409C-BE32-E72D297353CC}">
              <c16:uniqueId val="{00000001-D092-4A0D-B74A-76CCFF732C28}"/>
            </c:ext>
          </c:extLst>
        </c:ser>
        <c:dLbls>
          <c:showLegendKey val="0"/>
          <c:showVal val="0"/>
          <c:showCatName val="0"/>
          <c:showSerName val="0"/>
          <c:showPercent val="0"/>
          <c:showBubbleSize val="0"/>
        </c:dLbls>
        <c:gapWidth val="219"/>
        <c:overlap val="-27"/>
        <c:axId val="2126115872"/>
        <c:axId val="2126120768"/>
      </c:barChart>
      <c:catAx>
        <c:axId val="212611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26120768"/>
        <c:crosses val="autoZero"/>
        <c:auto val="1"/>
        <c:lblAlgn val="ctr"/>
        <c:lblOffset val="100"/>
        <c:noMultiLvlLbl val="0"/>
      </c:catAx>
      <c:valAx>
        <c:axId val="212612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26115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[Suivi des déconnexions ERTMS et actions correctives.xlsx]Synthèse Hebdo!Tableau croisé dynamique1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Propositionement des Arrets et Ralentissemrent Par Intervalle GSMR</a:t>
            </a:r>
          </a:p>
        </c:rich>
      </c:tx>
      <c:layout>
        <c:manualLayout>
          <c:xMode val="edge"/>
          <c:yMode val="edge"/>
          <c:x val="0.13470131196683496"/>
          <c:y val="2.8625333107123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'Synthèse Hebdo'!$AC$6:$AC$7</c:f>
              <c:strCache>
                <c:ptCount val="1"/>
                <c:pt idx="0">
                  <c:v>Arrêt du train</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'Synthèse Hebdo'!$AB$8:$AB$9</c:f>
              <c:strCache>
                <c:ptCount val="1"/>
                <c:pt idx="0">
                  <c:v>GSMR_02/03</c:v>
                </c:pt>
              </c:strCache>
            </c:strRef>
          </c:cat>
          <c:val>
            <c:numRef>
              <c:f>'Synthèse Hebdo'!$AC$8:$AC$9</c:f>
              <c:numCache>
                <c:formatCode>General</c:formatCode>
                <c:ptCount val="1"/>
                <c:pt idx="0">
                  <c:v>2</c:v>
                </c:pt>
              </c:numCache>
            </c:numRef>
          </c:val>
          <c:extLst>
            <c:ext xmlns:c16="http://schemas.microsoft.com/office/drawing/2014/chart" uri="{C3380CC4-5D6E-409C-BE32-E72D297353CC}">
              <c16:uniqueId val="{00000001-AF48-4F2C-89F0-1359079406D9}"/>
            </c:ext>
          </c:extLst>
        </c:ser>
        <c:ser>
          <c:idx val="1"/>
          <c:order val="1"/>
          <c:tx>
            <c:strRef>
              <c:f>'Synthèse Hebdo'!$AD$6:$AD$7</c:f>
              <c:strCache>
                <c:ptCount val="1"/>
                <c:pt idx="0">
                  <c:v>Ralentissement du train</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'Synthèse Hebdo'!$AB$8:$AB$9</c:f>
              <c:strCache>
                <c:ptCount val="1"/>
                <c:pt idx="0">
                  <c:v>GSMR_02/03</c:v>
                </c:pt>
              </c:strCache>
            </c:strRef>
          </c:cat>
          <c:val>
            <c:numRef>
              <c:f>'Synthèse Hebdo'!$AD$8:$AD$9</c:f>
              <c:numCache>
                <c:formatCode>General</c:formatCode>
                <c:ptCount val="1"/>
                <c:pt idx="0">
                  <c:v>4</c:v>
                </c:pt>
              </c:numCache>
            </c:numRef>
          </c:val>
          <c:extLst>
            <c:ext xmlns:c16="http://schemas.microsoft.com/office/drawing/2014/chart" uri="{C3380CC4-5D6E-409C-BE32-E72D297353CC}">
              <c16:uniqueId val="{00000000-6B05-4F4E-97BC-DC348D46D2CF}"/>
            </c:ext>
          </c:extLst>
        </c:ser>
        <c:dLbls>
          <c:dLblPos val="ctr"/>
          <c:showLegendKey val="0"/>
          <c:showVal val="1"/>
          <c:showCatName val="0"/>
          <c:showSerName val="0"/>
          <c:showPercent val="0"/>
          <c:showBubbleSize val="0"/>
        </c:dLbls>
        <c:gapWidth val="219"/>
        <c:overlap val="100"/>
        <c:axId val="1909977168"/>
        <c:axId val="1909974448"/>
      </c:barChart>
      <c:catAx>
        <c:axId val="190997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09974448"/>
        <c:crosses val="autoZero"/>
        <c:auto val="1"/>
        <c:lblAlgn val="ctr"/>
        <c:lblOffset val="100"/>
        <c:noMultiLvlLbl val="0"/>
      </c:catAx>
      <c:valAx>
        <c:axId val="190997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09977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[Suivi des déconnexions ERTMS et actions correctives.xlsx]Synthèse Hebdo!Tableau croisé dynamique2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Sous Systéme mis en Cause Par Intervalle GSMR</a:t>
            </a:r>
          </a:p>
        </c:rich>
      </c:tx>
      <c:layout>
        <c:manualLayout>
          <c:xMode val="edge"/>
          <c:yMode val="edge"/>
          <c:x val="0.2426415151054091"/>
          <c:y val="2.63534937149439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'Synthèse Hebdo'!$AS$6:$AS$7</c:f>
              <c:strCache>
                <c:ptCount val="1"/>
                <c:pt idx="0">
                  <c:v>BORD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'Synthèse Hebdo'!$AR$8:$AR$9</c:f>
              <c:strCache>
                <c:ptCount val="1"/>
                <c:pt idx="0">
                  <c:v>GSMR_02/03</c:v>
                </c:pt>
              </c:strCache>
            </c:strRef>
          </c:cat>
          <c:val>
            <c:numRef>
              <c:f>'Synthèse Hebdo'!$AS$8:$AS$9</c:f>
              <c:numCache>
                <c:formatCode>General</c:formatCode>
                <c:ptCount val="1"/>
                <c:pt idx="0">
                  <c:v>6</c:v>
                </c:pt>
              </c:numCache>
            </c:numRef>
          </c:val>
          <c:extLst>
            <c:ext xmlns:c16="http://schemas.microsoft.com/office/drawing/2014/chart" uri="{C3380CC4-5D6E-409C-BE32-E72D297353CC}">
              <c16:uniqueId val="{00000001-1EA9-406C-92D6-9F1A9BE5393A}"/>
            </c:ext>
          </c:extLst>
        </c:ser>
        <c:dLbls>
          <c:dLblPos val="ctr"/>
          <c:showLegendKey val="0"/>
          <c:showVal val="1"/>
          <c:showCatName val="0"/>
          <c:showSerName val="0"/>
          <c:showPercent val="0"/>
          <c:showBubbleSize val="0"/>
        </c:dLbls>
        <c:gapWidth val="150"/>
        <c:overlap val="100"/>
        <c:axId val="72926528"/>
        <c:axId val="72930336"/>
      </c:barChart>
      <c:catAx>
        <c:axId val="729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930336"/>
        <c:crosses val="autoZero"/>
        <c:auto val="1"/>
        <c:lblAlgn val="ctr"/>
        <c:lblOffset val="100"/>
        <c:noMultiLvlLbl val="0"/>
      </c:catAx>
      <c:valAx>
        <c:axId val="7293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92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[Suivi des déconnexions ERTMS et actions correctives.xlsx]Synthèse Hebdo!Tableau croisé dynamique3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Nombre de deconnexions des rames par intervalle GSMR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'Synthèse Hebdo'!$BT$6:$BT$7</c:f>
              <c:strCache>
                <c:ptCount val="1"/>
                <c:pt idx="0">
                  <c:v>GSMR_02/03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'Synthèse Hebdo'!$BS$8:$BS$18</c:f>
              <c:multiLvlStrCache>
                <c:ptCount val="5"/>
                <c:lvl>
                  <c:pt idx="0">
                    <c:v>M1</c:v>
                  </c:pt>
                  <c:pt idx="1">
                    <c:v>M1</c:v>
                  </c:pt>
                  <c:pt idx="2">
                    <c:v>M1</c:v>
                  </c:pt>
                  <c:pt idx="3">
                    <c:v>M2</c:v>
                  </c:pt>
                  <c:pt idx="4">
                    <c:v>M1</c:v>
                  </c:pt>
                </c:lvl>
                <c:lvl>
                  <c:pt idx="0">
                    <c:v>1204</c:v>
                  </c:pt>
                  <c:pt idx="1">
                    <c:v>1205</c:v>
                  </c:pt>
                  <c:pt idx="2">
                    <c:v>1206</c:v>
                  </c:pt>
                  <c:pt idx="3">
                    <c:v>1207</c:v>
                  </c:pt>
                  <c:pt idx="4">
                    <c:v>1210</c:v>
                  </c:pt>
                </c:lvl>
              </c:multiLvlStrCache>
            </c:multiLvlStrRef>
          </c:cat>
          <c:val>
            <c:numRef>
              <c:f>'Synthèse Hebdo'!$BT$8:$BT$18</c:f>
              <c:numCache>
                <c:formatCode>General</c:formatCode>
                <c:ptCount val="5"/>
                <c:pt idx="0">
                  <c:v>1</c:v>
                </c:pt>
                <c:pt idx="1">
                  <c:v>1</c:v>
                </c:pt>
                <c:pt idx="2">
                  <c:v>1</c:v>
                </c:pt>
                <c:pt idx="3">
                  <c:v>2</c:v>
                </c:pt>
                <c:pt idx="4">
                  <c:v>1</c:v>
                </c:pt>
              </c:numCache>
            </c:numRef>
          </c:val>
          <c:extLst>
            <c:ext xmlns:c16="http://schemas.microsoft.com/office/drawing/2014/chart" uri="{C3380CC4-5D6E-409C-BE32-E72D297353CC}">
              <c16:uniqueId val="{00000001-188B-4894-98C7-F050DF556790}"/>
            </c:ext>
          </c:extLst>
        </c:ser>
        <c:dLbls>
          <c:dLblPos val="ctr"/>
          <c:showLegendKey val="0"/>
          <c:showVal val="1"/>
          <c:showCatName val="0"/>
          <c:showSerName val="0"/>
          <c:showPercent val="0"/>
          <c:showBubbleSize val="0"/>
        </c:dLbls>
        <c:gapWidth val="219"/>
        <c:overlap val="100"/>
        <c:axId val="72917824"/>
        <c:axId val="72929792"/>
      </c:barChart>
      <c:catAx>
        <c:axId val="7291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929792"/>
        <c:crosses val="autoZero"/>
        <c:auto val="1"/>
        <c:lblAlgn val="ctr"/>
        <c:lblOffset val="100"/>
        <c:noMultiLvlLbl val="0"/>
      </c:catAx>
      <c:valAx>
        <c:axId val="7292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91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16452</xdr:rowOff>
    </xdr:from>
    <xdr:to>
      <xdr:col>8</xdr:col>
      <xdr:colOff>1171575</xdr:colOff>
      <xdr:row>53</xdr:row>
      <xdr:rowOff>92652</xdr:rowOff>
    </xdr:to>
    <xdr:graphicFrame macro="">
      <xdr:nvGraphicFramePr>
        <xdr:cNvPr id="4" name="Graphique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180975</xdr:rowOff>
    </xdr:from>
    <xdr:to>
      <xdr:col>8</xdr:col>
      <xdr:colOff>1162050</xdr:colOff>
      <xdr:row>38</xdr:row>
      <xdr:rowOff>9525</xdr:rowOff>
    </xdr:to>
    <xdr:graphicFrame macro="">
      <xdr:nvGraphicFramePr>
        <xdr:cNvPr id="9" name="Graphique 3">
          <a:extLst>
            <a:ext uri="{FF2B5EF4-FFF2-40B4-BE49-F238E27FC236}">
              <a16:creationId xmlns:a16="http://schemas.microsoft.com/office/drawing/2014/main" id="{00000000-0008-0000-0200-000004000000}"/>
            </a:ext>
            <a:ext uri="{147F2762-F138-4A5C-976F-8EAC2B608ADB}">
              <a16:predDERef xmlns:a16="http://schemas.microsoft.com/office/drawing/2014/main" pre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1152525</xdr:colOff>
      <xdr:row>22</xdr:row>
      <xdr:rowOff>171450</xdr:rowOff>
    </xdr:from>
    <xdr:to>
      <xdr:col>15</xdr:col>
      <xdr:colOff>0</xdr:colOff>
      <xdr:row>38</xdr:row>
      <xdr:rowOff>9525</xdr:rowOff>
    </xdr:to>
    <xdr:graphicFrame macro="">
      <xdr:nvGraphicFramePr>
        <xdr:cNvPr id="18" name="Graphique 4">
          <a:extLst>
            <a:ext uri="{FF2B5EF4-FFF2-40B4-BE49-F238E27FC236}">
              <a16:creationId xmlns:a16="http://schemas.microsoft.com/office/drawing/2014/main" id="{00000000-0008-0000-0200-000005000000}"/>
            </a:ext>
            <a:ext uri="{147F2762-F138-4A5C-976F-8EAC2B608ADB}">
              <a16:predDERef xmlns:a16="http://schemas.microsoft.com/office/drawing/2014/main" pre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1190625</xdr:colOff>
      <xdr:row>38</xdr:row>
      <xdr:rowOff>9525</xdr:rowOff>
    </xdr:from>
    <xdr:to>
      <xdr:col>15</xdr:col>
      <xdr:colOff>28575</xdr:colOff>
      <xdr:row>53</xdr:row>
      <xdr:rowOff>76200</xdr:rowOff>
    </xdr:to>
    <xdr:graphicFrame macro="">
      <xdr:nvGraphicFramePr>
        <xdr:cNvPr id="11" name="Graphique 2">
          <a:extLst>
            <a:ext uri="{FF2B5EF4-FFF2-40B4-BE49-F238E27FC236}">
              <a16:creationId xmlns:a16="http://schemas.microsoft.com/office/drawing/2014/main" id="{049F4DF8-988A-054D-A9E5-078E6CD2D138}"/>
            </a:ext>
            <a:ext uri="{147F2762-F138-4A5C-976F-8EAC2B608ADB}">
              <a16:predDERef xmlns:a16="http://schemas.microsoft.com/office/drawing/2014/main" pre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1857375</xdr:colOff>
      <xdr:row>22</xdr:row>
      <xdr:rowOff>161925</xdr:rowOff>
    </xdr:from>
    <xdr:to>
      <xdr:col>29</xdr:col>
      <xdr:colOff>361950</xdr:colOff>
      <xdr:row>37</xdr:row>
      <xdr:rowOff>171450</xdr:rowOff>
    </xdr:to>
    <xdr:graphicFrame macro="">
      <xdr:nvGraphicFramePr>
        <xdr:cNvPr id="8" name="Graphique 1">
          <a:extLst>
            <a:ext uri="{FF2B5EF4-FFF2-40B4-BE49-F238E27FC236}">
              <a16:creationId xmlns:a16="http://schemas.microsoft.com/office/drawing/2014/main" id="{392D91EC-A681-BD9D-2C0C-5CF8F5167FBB}"/>
            </a:ext>
            <a:ext uri="{147F2762-F138-4A5C-976F-8EAC2B608ADB}">
              <a16:predDERef xmlns:a16="http://schemas.microsoft.com/office/drawing/2014/main" pred="{049F4DF8-988A-054D-A9E5-078E6CD2D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1847850</xdr:colOff>
      <xdr:row>37</xdr:row>
      <xdr:rowOff>161925</xdr:rowOff>
    </xdr:from>
    <xdr:to>
      <xdr:col>29</xdr:col>
      <xdr:colOff>361950</xdr:colOff>
      <xdr:row>53</xdr:row>
      <xdr:rowOff>85725</xdr:rowOff>
    </xdr:to>
    <xdr:graphicFrame macro="">
      <xdr:nvGraphicFramePr>
        <xdr:cNvPr id="10" name="Graphique 3">
          <a:extLst>
            <a:ext uri="{FF2B5EF4-FFF2-40B4-BE49-F238E27FC236}">
              <a16:creationId xmlns:a16="http://schemas.microsoft.com/office/drawing/2014/main" id="{C36924F6-5A31-C023-A5C7-ECFDBBE49706}"/>
            </a:ext>
            <a:ext uri="{147F2762-F138-4A5C-976F-8EAC2B608ADB}">
              <a16:predDERef xmlns:a16="http://schemas.microsoft.com/office/drawing/2014/main" pred="{392D91EC-A681-BD9D-2C0C-5CF8F5167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342899</xdr:colOff>
      <xdr:row>22</xdr:row>
      <xdr:rowOff>161925</xdr:rowOff>
    </xdr:from>
    <xdr:to>
      <xdr:col>43</xdr:col>
      <xdr:colOff>381000</xdr:colOff>
      <xdr:row>53</xdr:row>
      <xdr:rowOff>95250</xdr:rowOff>
    </xdr:to>
    <xdr:graphicFrame macro="">
      <xdr:nvGraphicFramePr>
        <xdr:cNvPr id="2" name="Graphique 1">
          <a:extLst>
            <a:ext uri="{FF2B5EF4-FFF2-40B4-BE49-F238E27FC236}">
              <a16:creationId xmlns:a16="http://schemas.microsoft.com/office/drawing/2014/main" id="{61445439-CD42-83D9-8F4C-021BDAB9CB2B}"/>
            </a:ext>
            <a:ext uri="{147F2762-F138-4A5C-976F-8EAC2B608ADB}">
              <a16:predDERef xmlns:a16="http://schemas.microsoft.com/office/drawing/2014/main" pred="{C36924F6-5A31-C023-A5C7-ECFDBBE49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M47471/Desktop/Suivi%20d&#233;connexions%20et%20actions%2020-06-2024.xlsx" TargetMode="External"/><Relationship Id="rId1" Type="http://schemas.openxmlformats.org/officeDocument/2006/relationships/externalLinkPath" Target="/Users/M47471/Desktop/Suivi%20d&#233;connexions%20et%20actions%2020-06-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aphique3"/>
      <sheetName val="Graphique2"/>
      <sheetName val="Graphique1"/>
      <sheetName val="Data"/>
      <sheetName val="Synthèse"/>
    </sheetNames>
    <sheetDataSet>
      <sheetData sheetId="0" refreshError="1"/>
      <sheetData sheetId="1" refreshError="1"/>
      <sheetData sheetId="2" refreshError="1"/>
      <sheetData sheetId="3"/>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6059.415331828706" createdVersion="8" refreshedVersion="8" minRefreshableVersion="3" recordCount="1393" xr:uid="{8CC2B2D8-DA2F-4D4F-AB6A-810464155D8A}">
  <cacheSource type="worksheet">
    <worksheetSource ref="A1:AH1394" sheet="Data"/>
  </cacheSource>
  <cacheFields count="36">
    <cacheField name="N° ordre" numFmtId="1">
      <sharedItems containsSemiMixedTypes="0" containsString="0" containsNumber="1" containsInteger="1" minValue="1" maxValue="1393"/>
    </cacheField>
    <cacheField name="7 derniers jours?" numFmtId="1">
      <sharedItems/>
    </cacheField>
    <cacheField name="Date" numFmtId="14">
      <sharedItems containsSemiMixedTypes="0" containsNonDate="0" containsDate="1" containsString="0" minDate="2024-01-06T00:00:00" maxDate="2025-08-29T00:00:00" count="514">
        <d v="2024-01-06T00:00:00"/>
        <d v="2024-01-10T00:00:00"/>
        <d v="2024-01-11T00:00:00"/>
        <d v="2024-01-13T00:00:00"/>
        <d v="2024-01-16T00:00:00"/>
        <d v="2024-01-17T00:00:00"/>
        <d v="2024-01-20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9T00:00:00"/>
        <d v="2024-02-10T00:00:00"/>
        <d v="2024-02-11T00:00:00"/>
        <d v="2024-02-12T00:00:00"/>
        <d v="2024-02-13T00:00:00"/>
        <d v="2024-02-14T00:00:00"/>
        <d v="2024-02-15T00:00:00"/>
        <d v="2024-02-17T00:00:00"/>
        <d v="2024-02-18T00:00:00"/>
        <d v="2024-02-19T00:00:00"/>
        <d v="2024-02-21T00:00:00"/>
        <d v="2024-02-23T00:00:00"/>
        <d v="2024-02-24T00:00:00"/>
        <d v="2024-02-25T00:00:00"/>
        <d v="2024-02-26T00:00:00"/>
        <d v="2024-02-27T00:00:00"/>
        <d v="2024-02-28T00:00:00"/>
        <d v="2024-03-01T00:00:00"/>
        <d v="2024-03-02T00:00:00"/>
        <d v="2024-03-03T00:00:00"/>
        <d v="2024-03-04T00:00:00"/>
        <d v="2024-03-05T00:00:00"/>
        <d v="2024-03-06T00:00:00"/>
        <d v="2024-03-07T00:00:00"/>
        <d v="2024-03-09T00:00:00"/>
        <d v="2024-03-10T00:00:00"/>
        <d v="2024-03-11T00:00:00"/>
        <d v="2024-03-12T00:00:00"/>
        <d v="2024-03-14T00:00:00"/>
        <d v="2024-03-15T00:00:00"/>
        <d v="2024-03-18T00:00:00"/>
        <d v="2024-03-19T00:00:00"/>
        <d v="2024-03-21T00:00:00"/>
        <d v="2024-03-23T00:00:00"/>
        <d v="2024-03-25T00:00:00"/>
        <d v="2024-03-29T00:00:00"/>
        <d v="2024-03-30T00:00:00"/>
        <d v="2024-03-31T00:00:00"/>
        <d v="2024-04-03T00:00:00"/>
        <d v="2024-04-04T00:00:00"/>
        <d v="2024-04-05T00:00:00"/>
        <d v="2024-04-06T00:00:00"/>
        <d v="2024-04-07T00:00:00"/>
        <d v="2024-04-08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7T00:00:00"/>
        <d v="2024-05-19T00:00:00"/>
        <d v="2024-05-21T00:00:00"/>
        <d v="2024-05-22T00:00:00"/>
        <d v="2024-05-23T00:00:00"/>
        <d v="2024-05-25T14:29:27"/>
        <d v="2024-05-25T15:26:26"/>
        <d v="2024-05-25T15:50:18"/>
        <d v="2024-05-26T09:31:00"/>
        <d v="2024-05-26T10:06:46"/>
        <d v="2024-05-27T09:58:56"/>
        <d v="2024-05-27T16:15:20"/>
        <d v="2024-05-27T16:20:40"/>
        <d v="2024-05-27T18:05:37"/>
        <d v="2024-05-27T21:24:48"/>
        <d v="2024-05-28T09:59:56"/>
        <d v="2024-05-28T10:05:16"/>
        <d v="2024-05-28T14:05:00"/>
        <d v="2024-05-28T20:06:54"/>
        <d v="2024-05-29T05:15:29"/>
        <d v="2024-05-29T10:03:58"/>
        <d v="2024-05-29T10:05:37"/>
        <d v="2024-05-29T17:08:44"/>
        <d v="2024-05-29T19:04:42"/>
        <d v="2024-05-29T22:28:54"/>
        <d v="2024-05-30T22:28:54"/>
        <d v="2024-05-31T00:00:00"/>
        <d v="2024-06-01T00:00:00"/>
        <d v="2024-06-02T00:00:00"/>
        <d v="2024-06-03T00:00:00"/>
        <d v="2024-06-04T00:00:00"/>
        <d v="2024-06-05T00:00:00"/>
        <d v="2024-06-06T00:00:00"/>
        <d v="2024-06-08T00:00:00"/>
        <d v="2024-06-09T00:00:00"/>
        <d v="2024-06-10T00:00:00"/>
        <d v="2024-06-11T00:00:00"/>
        <d v="2024-06-13T00:00:00"/>
        <d v="2024-06-14T00:00:00"/>
        <d v="2024-06-16T00:00:00"/>
        <d v="2024-06-17T00:00:00"/>
        <d v="2024-06-18T00:00:00"/>
        <d v="2024-06-19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5T00:00:00"/>
        <d v="2024-08-16T00:00:00"/>
        <d v="2024-08-17T00:00:00"/>
        <d v="2024-08-18T00:00:00"/>
        <d v="2024-08-19T00:00:00"/>
        <d v="2024-08-20T00:00:00"/>
        <d v="2024-08-21T00:00:00"/>
        <d v="2024-08-23T00:00:00"/>
        <d v="2024-08-24T00:00:00"/>
        <d v="2024-08-25T00:00:00"/>
        <d v="2024-08-26T00:00:00"/>
        <d v="2024-08-27T00:00:00"/>
        <d v="2024-08-28T00:00:00"/>
        <d v="2024-08-29T00:00:00"/>
        <d v="2024-08-30T00:00:00"/>
        <d v="2024-08-31T00:00:00"/>
        <d v="2024-09-01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4T00:00:00"/>
        <d v="2024-12-15T00:00:00"/>
        <d v="2024-12-16T00:00:00"/>
        <d v="2024-12-17T00:00:00"/>
        <d v="2024-12-18T00:00:00"/>
        <d v="2024-12-19T00:00:00"/>
        <d v="2024-12-20T00:00:00"/>
        <d v="2024-12-21T00:00:00"/>
        <d v="2024-12-22T00:00:00"/>
        <d v="2024-12-23T00:00:00"/>
        <d v="2024-12-24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3T00:00:00"/>
        <d v="2025-01-14T00:00:00"/>
        <d v="2025-01-15T00:00:00"/>
        <d v="2025-01-18T00:00:00"/>
        <d v="2025-01-19T00:00:00"/>
        <d v="2025-01-21T00:00:00"/>
        <d v="2025-01-23T00:00:00"/>
        <d v="2025-01-24T00:00:00"/>
        <d v="2025-01-25T00:00:00"/>
        <d v="2025-01-26T00:00:00"/>
        <d v="2025-01-28T00:00:00"/>
        <d v="2025-01-29T00:00:00"/>
        <d v="2025-01-30T00:00:00"/>
        <d v="2025-01-31T00:00:00"/>
        <d v="2025-02-01T00:00:00"/>
        <d v="2025-02-02T00:00:00"/>
        <d v="2025-02-05T00:00:00"/>
        <d v="2025-02-06T00:00:00"/>
        <d v="2025-02-07T00:00:00"/>
        <d v="2025-02-08T00:00:00"/>
        <d v="2025-02-09T00:00:00"/>
        <d v="2025-02-10T00:00:00"/>
        <d v="2025-02-11T00:00:00"/>
        <d v="2025-02-13T00:00:00"/>
        <d v="2025-02-14T00:00:00"/>
        <d v="2025-02-15T00:00:00"/>
        <d v="2025-02-16T00:00:00"/>
        <d v="2025-02-18T00:00:00"/>
        <d v="2025-02-19T00:00:00"/>
        <d v="2025-02-20T00:00:00"/>
        <d v="2025-02-21T00:00:00"/>
        <d v="2025-02-22T00:00:00"/>
        <d v="2025-02-23T00:00:00"/>
        <d v="2025-02-24T00:00:00"/>
        <d v="2025-02-25T00:00:00"/>
        <d v="2025-02-26T00:00:00"/>
        <d v="2025-03-01T00:00:00"/>
        <d v="2025-03-05T00:00:00"/>
        <d v="2025-03-08T00:00:00"/>
        <d v="2025-03-09T00:00:00"/>
        <d v="2025-03-10T00:00:00"/>
        <d v="2025-03-11T00:00:00"/>
        <d v="2025-03-12T00:00:00"/>
        <d v="2025-03-13T00:00:00"/>
        <d v="2025-03-14T00:00:00"/>
        <d v="2025-03-15T00:00:00"/>
        <d v="2025-03-17T00:00:00"/>
        <d v="2025-03-18T00:00:00"/>
        <d v="2025-03-20T00:00:00"/>
        <d v="2025-03-21T00:00:00"/>
        <d v="2025-03-23T00:00:00"/>
        <d v="2025-03-26T00:00:00"/>
        <d v="2025-03-28T00:00:00"/>
        <d v="2025-03-29T00:00:00"/>
        <d v="2025-04-01T00:00:00"/>
        <d v="2025-04-02T00:00:00"/>
        <d v="2025-04-03T00:00:00"/>
        <d v="2025-04-04T00:00:00"/>
        <d v="2025-04-06T00:00:00"/>
        <d v="2025-04-07T00:00:00"/>
        <d v="2025-04-08T00:00:00"/>
        <d v="2025-04-10T00:00:00"/>
        <d v="2025-04-12T00:00:00"/>
        <d v="2025-04-13T00:00:00"/>
        <d v="2025-04-14T00:00:00"/>
        <d v="2025-04-16T00:00:00"/>
        <d v="2025-04-18T00:00:00"/>
        <d v="2025-04-20T00:00:00"/>
        <d v="2025-04-21T00:00:00"/>
        <d v="2025-04-22T00:00:00"/>
        <d v="2025-04-23T00:00:00"/>
        <d v="2025-04-24T00:00:00"/>
        <d v="2025-04-25T00:00:00"/>
        <d v="2025-04-26T00:00:00"/>
        <d v="2025-04-27T00:00:00"/>
        <d v="2025-04-28T00:00:00"/>
        <d v="2025-04-29T00:00:00"/>
        <d v="2025-04-30T00:00:00"/>
        <d v="2025-05-01T00:00:00"/>
        <d v="2025-05-02T00:00:00"/>
        <d v="2025-05-04T00:00:00"/>
        <d v="2025-05-05T00:00:00"/>
        <d v="2025-05-06T00:00:00"/>
        <d v="2025-05-07T00:00:00"/>
        <d v="2025-05-08T00:00:00"/>
        <d v="2025-05-10T00:00:00"/>
        <d v="2025-05-11T00:00:00"/>
        <d v="2025-05-15T00:00:00"/>
        <d v="2025-05-16T00:00:00"/>
        <d v="2025-05-17T00:00:00"/>
        <d v="2025-05-18T00:00:00"/>
        <d v="2025-05-19T00:00:00"/>
        <d v="2025-05-20T00:00:00"/>
        <d v="2025-05-23T00:00:00"/>
        <d v="2025-05-24T00:00:00"/>
        <d v="2025-05-25T00:00:00"/>
        <d v="2025-05-26T00:00:00"/>
        <d v="2025-05-27T00:00:00"/>
        <d v="2025-05-28T00:00:00"/>
        <d v="2025-05-29T00:00:00"/>
        <d v="2025-06-04T00:00:00"/>
        <d v="2025-06-06T00:00:00"/>
        <d v="2025-06-08T00:00:00"/>
        <d v="2025-06-09T00:00:00"/>
        <d v="2025-06-10T00:00:00"/>
        <d v="2025-06-11T00:00:00"/>
        <d v="2025-06-13T00:00:00"/>
        <d v="2025-06-14T00:00:00"/>
        <d v="2025-06-15T00:00:00"/>
        <d v="2025-06-18T00:00:00"/>
        <d v="2025-06-20T00:00:00"/>
        <d v="2025-06-21T00:00:00"/>
        <d v="2025-06-22T00:00:00"/>
        <d v="2025-06-23T00:00:00"/>
        <d v="2025-06-24T00:00:00"/>
        <d v="2025-06-25T00:00:00"/>
        <d v="2025-06-26T00:00:00"/>
        <d v="2025-06-27T00:00:00"/>
        <d v="2025-06-29T00:00:00"/>
        <d v="2025-06-30T00:00:00"/>
        <d v="2025-07-01T00:00:00"/>
        <d v="2025-07-02T00:00:00"/>
        <d v="2025-07-03T00:00:00"/>
        <d v="2025-07-04T00:00:00"/>
        <d v="2025-07-05T00:00:00"/>
        <d v="2025-07-06T00:00:00"/>
        <d v="2025-07-07T00:00:00"/>
        <d v="2025-07-08T00:00:00"/>
        <d v="2025-07-10T00:00:00"/>
        <d v="2025-07-12T00:00:00"/>
        <d v="2025-07-13T00:00:00"/>
        <d v="2025-07-14T00:00:00"/>
        <d v="2025-07-15T00:00:00"/>
        <d v="2025-07-16T00:00:00"/>
        <d v="2025-07-17T00:00:00"/>
        <d v="2025-07-18T00:00:00"/>
        <d v="2025-07-19T00:00:00"/>
        <d v="2025-07-20T00:00:00"/>
        <d v="2025-07-22T00:00:00"/>
        <d v="2025-07-23T00:00:00"/>
        <d v="2025-07-24T00:00:00"/>
        <d v="2025-07-25T00:00:00"/>
        <d v="2025-07-26T00:00:00"/>
        <d v="2025-07-27T00:00:00"/>
        <d v="2025-07-28T00:00:00"/>
        <d v="2025-07-29T00:00:00"/>
        <d v="2025-07-30T00:00:00"/>
        <d v="2025-07-3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20T00:00:00"/>
        <d v="2025-08-21T00:00:00"/>
        <d v="2025-08-22T00:00:00"/>
        <d v="2025-08-24T00:00:00"/>
        <d v="2025-08-25T00:00:00"/>
        <d v="2025-08-27T00:00:00"/>
        <d v="2025-08-28T00:00:00"/>
      </sharedItems>
      <fieldGroup par="35"/>
    </cacheField>
    <cacheField name="Heure" numFmtId="0">
      <sharedItems containsDate="1" containsBlank="1" containsMixedTypes="1" minDate="1899-12-30T00:04:23" maxDate="1899-12-31T00:04:07"/>
    </cacheField>
    <cacheField name="N° Train" numFmtId="0">
      <sharedItems containsBlank="1" containsMixedTypes="1" containsNumber="1" containsInteger="1" minValue="1001" maxValue="15652"/>
    </cacheField>
    <cacheField name="Rame" numFmtId="0">
      <sharedItems containsMixedTypes="1" containsNumber="1" containsInteger="1" minValue="1201" maxValue="1212" count="16">
        <n v="1208"/>
        <n v="1211"/>
        <n v="1205"/>
        <n v="1207"/>
        <n v="1209"/>
        <n v="1203"/>
        <n v="1212"/>
        <n v="1206"/>
        <n v="1202"/>
        <n v="1204"/>
        <n v="1201"/>
        <n v="1210"/>
        <s v="1205 "/>
        <s v="1211 "/>
        <s v="1204 "/>
        <s v="1201 "/>
      </sharedItems>
    </cacheField>
    <cacheField name="Motrice / Cab" numFmtId="0">
      <sharedItems count="2">
        <s v="M1"/>
        <s v="M2"/>
      </sharedItems>
    </cacheField>
    <cacheField name="MRM" numFmtId="0">
      <sharedItems containsBlank="1" containsMixedTypes="1" containsNumber="1" containsInteger="1" minValue="1007" maxValue="7218"/>
    </cacheField>
    <cacheField name="IMEI" numFmtId="0">
      <sharedItems containsBlank="1" containsMixedTypes="1" containsNumber="1" minValue="6.13" maxValue="604070051706194"/>
    </cacheField>
    <cacheField name="Sens" numFmtId="0">
      <sharedItems/>
    </cacheField>
    <cacheField name="Km" numFmtId="0">
      <sharedItems containsMixedTypes="1" containsNumber="1" minValue="4" maxValue="205.125"/>
    </cacheField>
    <cacheField name="Intervalle" numFmtId="0">
      <sharedItems containsBlank="1" count="37">
        <s v="GSMR_12/13"/>
        <s v="GSMR_19/20"/>
        <s v="GSMR_02/03"/>
        <s v="GSMR_25/26"/>
        <s v="GSMR_30/31"/>
        <s v="GSMR_33/RAC"/>
        <s v="GSMR_22/23"/>
        <s v="GSMR_05/06"/>
        <s v="GSMR_17/18"/>
        <s v="GSMR_27/28"/>
        <s v="GSMR_23/24"/>
        <s v="GSMR_14/15"/>
        <s v="GSMR_16/17"/>
        <s v="GSMR_13/14"/>
        <s v="GSMR_07/08"/>
        <s v="GSMR_15/16"/>
        <s v="GSMR_08/09"/>
        <s v="GSMR_20/21"/>
        <s v="GSMR_26/27"/>
        <s v="GSMR_32/33"/>
        <s v="GSMR_04/05"/>
        <s v="GSMR_11/12"/>
        <s v="GSMR_03/04"/>
        <s v="GSMR_10/11"/>
        <s v="GSMR_18/19"/>
        <s v="GSMR_06/07"/>
        <s v="GSMR_24/25"/>
        <s v="GSMR_29/30"/>
        <s v="GSMR_28/29"/>
        <s v="GSMR_09/10"/>
        <s v="GSMR_21/22"/>
        <s v="GSMR_31/32"/>
        <s v="GSMR_08/07"/>
        <s v="GSMR 34/33"/>
        <m u="1"/>
        <e v="#N/A" u="1"/>
        <s v="Ralentissement du train" u="1"/>
      </sharedItems>
    </cacheField>
    <cacheField name="Niveau ETCS" numFmtId="0">
      <sharedItems/>
    </cacheField>
    <cacheField name="Evénement " numFmtId="0">
      <sharedItems/>
    </cacheField>
    <cacheField name="Cause_racine" numFmtId="0">
      <sharedItems containsBlank="1" longText="1"/>
    </cacheField>
    <cacheField name="Analyse SMMRGV" numFmtId="0">
      <sharedItems containsBlank="1" longText="1"/>
    </cacheField>
    <cacheField name="Sous Système mis en cause" numFmtId="0">
      <sharedItems containsBlank="1" count="16">
        <s v="BORD"/>
        <s v="GSMR"/>
        <s v="BORD/GSMR"/>
        <s v="RBC"/>
        <s v="Signalisation"/>
        <s v="Non specifie"/>
        <s v="RBC/BORD"/>
        <s v="GSMR/RBC"/>
        <s v="GSMR "/>
        <s v="BORD/RBC"/>
        <s v="A définir"/>
        <s v="GSMR / BORD"/>
        <m u="1"/>
        <s v="NA" u="1"/>
        <s v="A definir" u="1"/>
        <s v="dl rx level=-65" u="1"/>
      </sharedItems>
    </cacheField>
    <cacheField name="Action" numFmtId="0">
      <sharedItems containsBlank="1"/>
    </cacheField>
    <cacheField name="Execution HO" numFmtId="0">
      <sharedItems containsBlank="1"/>
    </cacheField>
    <cacheField name="RxQual" numFmtId="0">
      <sharedItems containsBlank="1"/>
    </cacheField>
    <cacheField name="RxLev" numFmtId="0">
      <sharedItems containsBlank="1"/>
    </cacheField>
    <cacheField name="Voisinage (10sec)" numFmtId="0">
      <sharedItems containsBlank="1"/>
    </cacheField>
    <cacheField name="Com DTE-DCE" numFmtId="0">
      <sharedItems containsBlank="1"/>
    </cacheField>
    <cacheField name="Ecart" numFmtId="0">
      <sharedItems containsBlank="1"/>
    </cacheField>
    <cacheField name="Retransmission trames HDLC/T.70" numFmtId="0">
      <sharedItems containsBlank="1"/>
    </cacheField>
    <cacheField name="Alarmes BTS" numFmtId="0">
      <sharedItems containsNonDate="0" containsString="0" containsBlank="1"/>
    </cacheField>
    <cacheField name="Traité par" numFmtId="0">
      <sharedItems containsBlank="1"/>
    </cacheField>
    <cacheField name="CIRE" numFmtId="0">
      <sharedItems containsNonDate="0" containsString="0" containsBlank="1"/>
    </cacheField>
    <cacheField name="CIERS" numFmtId="0">
      <sharedItems containsNonDate="0" containsString="0" containsBlank="1"/>
    </cacheField>
    <cacheField name="Acquittement AUC" numFmtId="0">
      <sharedItems containsBlank="1"/>
    </cacheField>
    <cacheField name="BUG RBC" numFmtId="0">
      <sharedItems containsNonDate="0" containsString="0" containsBlank="1"/>
    </cacheField>
    <cacheField name="Liens PAI" numFmtId="0">
      <sharedItems containsNonDate="0" containsString="0" containsBlank="1"/>
    </cacheField>
    <cacheField name="Pilote" numFmtId="0">
      <sharedItems containsNonDate="0" containsString="0" containsBlank="1"/>
    </cacheField>
    <cacheField name="Échéance" numFmtId="0">
      <sharedItems containsNonDate="0" containsString="0" containsBlank="1"/>
    </cacheField>
    <cacheField name="Mois (Date)" numFmtId="0" databaseField="0">
      <fieldGroup base="2">
        <rangePr groupBy="months" startDate="2024-01-06T00:00:00" endDate="2025-08-29T00:00:00"/>
        <groupItems count="14">
          <s v="&lt;06/01/2024"/>
          <s v="jan"/>
          <s v="fév"/>
          <s v="mar"/>
          <s v="avr"/>
          <s v="mai"/>
          <s v="jui"/>
          <s v="juil"/>
          <s v="août"/>
          <s v="sept"/>
          <s v="oct"/>
          <s v="nov"/>
          <s v="déc"/>
          <s v="&gt;29/08/2025"/>
        </groupItems>
      </fieldGroup>
    </cacheField>
    <cacheField name="Années (Date)" numFmtId="0" databaseField="0">
      <fieldGroup base="2">
        <rangePr groupBy="years" startDate="2024-01-06T00:00:00" endDate="2025-08-29T00:00:00"/>
        <groupItems count="4">
          <s v="&lt;06/01/2024"/>
          <s v="2024"/>
          <s v="2025"/>
          <s v="&gt;29/08/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6059.415339467596" createdVersion="6" refreshedVersion="8" minRefreshableVersion="3" recordCount="3008" xr:uid="{00000000-000A-0000-FFFF-FFFF82000000}">
  <cacheSource type="worksheet">
    <worksheetSource ref="A1:AH1048576" sheet="Data"/>
  </cacheSource>
  <cacheFields count="34">
    <cacheField name="N° ordre" numFmtId="0">
      <sharedItems containsString="0" containsBlank="1" containsNumber="1" containsInteger="1" minValue="1" maxValue="1577"/>
    </cacheField>
    <cacheField name="7 derniers jours?" numFmtId="0">
      <sharedItems containsBlank="1" count="3">
        <b v="0"/>
        <b v="1"/>
        <m/>
      </sharedItems>
    </cacheField>
    <cacheField name="Date" numFmtId="0">
      <sharedItems containsNonDate="0" containsDate="1" containsString="0" containsBlank="1" minDate="2024-01-06T00:00:00" maxDate="2026-02-05T00:00:00" count="621">
        <d v="2024-01-06T00:00:00"/>
        <d v="2024-01-10T00:00:00"/>
        <d v="2024-01-11T00:00:00"/>
        <d v="2024-01-13T00:00:00"/>
        <d v="2024-01-16T00:00:00"/>
        <d v="2024-01-17T00:00:00"/>
        <d v="2024-01-20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9T00:00:00"/>
        <d v="2024-02-10T00:00:00"/>
        <d v="2024-02-11T00:00:00"/>
        <d v="2024-02-12T00:00:00"/>
        <d v="2024-02-13T00:00:00"/>
        <d v="2024-02-14T00:00:00"/>
        <d v="2024-02-15T00:00:00"/>
        <d v="2024-02-17T00:00:00"/>
        <d v="2024-02-18T00:00:00"/>
        <d v="2024-02-19T00:00:00"/>
        <d v="2024-02-21T00:00:00"/>
        <d v="2024-02-23T00:00:00"/>
        <d v="2024-02-24T00:00:00"/>
        <d v="2024-02-25T00:00:00"/>
        <d v="2024-02-26T00:00:00"/>
        <d v="2024-02-27T00:00:00"/>
        <d v="2024-02-28T00:00:00"/>
        <d v="2024-03-01T00:00:00"/>
        <d v="2024-03-02T00:00:00"/>
        <d v="2024-03-03T00:00:00"/>
        <d v="2024-03-04T00:00:00"/>
        <d v="2024-03-05T00:00:00"/>
        <d v="2024-03-06T00:00:00"/>
        <d v="2024-03-07T00:00:00"/>
        <d v="2024-03-09T00:00:00"/>
        <d v="2024-03-10T00:00:00"/>
        <d v="2024-03-11T00:00:00"/>
        <d v="2024-03-12T00:00:00"/>
        <d v="2024-03-14T00:00:00"/>
        <d v="2024-03-15T00:00:00"/>
        <d v="2024-03-18T00:00:00"/>
        <d v="2024-03-19T00:00:00"/>
        <d v="2024-03-21T00:00:00"/>
        <d v="2024-03-23T00:00:00"/>
        <d v="2024-03-25T00:00:00"/>
        <d v="2024-03-29T00:00:00"/>
        <d v="2024-03-30T00:00:00"/>
        <d v="2024-03-31T00:00:00"/>
        <d v="2024-04-03T00:00:00"/>
        <d v="2024-04-04T00:00:00"/>
        <d v="2024-04-05T00:00:00"/>
        <d v="2024-04-06T00:00:00"/>
        <d v="2024-04-07T00:00:00"/>
        <d v="2024-04-08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7T00:00:00"/>
        <d v="2024-05-19T00:00:00"/>
        <d v="2024-05-21T00:00:00"/>
        <d v="2024-05-22T00:00:00"/>
        <d v="2024-05-23T00:00:00"/>
        <d v="2024-05-25T14:29:27"/>
        <d v="2024-05-25T15:26:26"/>
        <d v="2024-05-25T15:50:18"/>
        <d v="2024-05-26T09:31:00"/>
        <d v="2024-05-26T10:06:46"/>
        <d v="2024-05-27T09:58:56"/>
        <d v="2024-05-27T16:15:20"/>
        <d v="2024-05-27T16:20:40"/>
        <d v="2024-05-27T18:05:37"/>
        <d v="2024-05-27T21:24:48"/>
        <d v="2024-05-28T09:59:56"/>
        <d v="2024-05-28T10:05:16"/>
        <d v="2024-05-28T14:05:00"/>
        <d v="2024-05-28T20:06:54"/>
        <d v="2024-05-29T05:15:29"/>
        <d v="2024-05-29T10:03:58"/>
        <d v="2024-05-29T10:05:37"/>
        <d v="2024-05-29T17:08:44"/>
        <d v="2024-05-29T19:04:42"/>
        <d v="2024-05-29T22:28:54"/>
        <d v="2024-05-30T22:28:54"/>
        <d v="2024-05-31T00:00:00"/>
        <d v="2024-06-01T00:00:00"/>
        <d v="2024-06-02T00:00:00"/>
        <d v="2024-06-03T00:00:00"/>
        <d v="2024-06-04T00:00:00"/>
        <d v="2024-06-05T00:00:00"/>
        <d v="2024-06-06T00:00:00"/>
        <d v="2024-06-08T00:00:00"/>
        <d v="2024-06-09T00:00:00"/>
        <d v="2024-06-10T00:00:00"/>
        <d v="2024-06-11T00:00:00"/>
        <d v="2024-06-13T00:00:00"/>
        <d v="2024-06-14T00:00:00"/>
        <d v="2024-06-16T00:00:00"/>
        <d v="2024-06-17T00:00:00"/>
        <d v="2024-06-18T00:00:00"/>
        <d v="2024-06-19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5T00:00:00"/>
        <d v="2024-08-16T00:00:00"/>
        <d v="2024-08-17T00:00:00"/>
        <d v="2024-08-18T00:00:00"/>
        <d v="2024-08-19T00:00:00"/>
        <d v="2024-08-20T00:00:00"/>
        <d v="2024-08-21T00:00:00"/>
        <d v="2024-08-23T00:00:00"/>
        <d v="2024-08-24T00:00:00"/>
        <d v="2024-08-25T00:00:00"/>
        <d v="2024-08-26T00:00:00"/>
        <d v="2024-08-27T00:00:00"/>
        <d v="2024-08-28T00:00:00"/>
        <d v="2024-08-29T00:00:00"/>
        <d v="2024-08-30T00:00:00"/>
        <d v="2024-08-31T00:00:00"/>
        <d v="2024-09-01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4T00:00:00"/>
        <d v="2024-12-15T00:00:00"/>
        <d v="2024-12-16T00:00:00"/>
        <d v="2024-12-17T00:00:00"/>
        <d v="2024-12-18T00:00:00"/>
        <d v="2024-12-19T00:00:00"/>
        <d v="2024-12-20T00:00:00"/>
        <d v="2024-12-21T00:00:00"/>
        <d v="2024-12-22T00:00:00"/>
        <d v="2024-12-23T00:00:00"/>
        <d v="2024-12-24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3T00:00:00"/>
        <d v="2025-01-14T00:00:00"/>
        <d v="2025-01-15T00:00:00"/>
        <d v="2025-01-18T00:00:00"/>
        <d v="2025-01-19T00:00:00"/>
        <d v="2025-01-21T00:00:00"/>
        <d v="2025-01-23T00:00:00"/>
        <d v="2025-01-24T00:00:00"/>
        <d v="2025-01-25T00:00:00"/>
        <d v="2025-01-26T00:00:00"/>
        <d v="2025-01-28T00:00:00"/>
        <d v="2025-01-29T00:00:00"/>
        <d v="2025-01-30T00:00:00"/>
        <d v="2025-01-31T00:00:00"/>
        <d v="2025-02-01T00:00:00"/>
        <d v="2025-02-02T00:00:00"/>
        <d v="2025-02-05T00:00:00"/>
        <d v="2025-02-06T00:00:00"/>
        <d v="2025-02-07T00:00:00"/>
        <d v="2025-02-08T00:00:00"/>
        <d v="2025-02-09T00:00:00"/>
        <d v="2025-02-10T00:00:00"/>
        <d v="2025-02-11T00:00:00"/>
        <d v="2025-02-13T00:00:00"/>
        <d v="2025-02-14T00:00:00"/>
        <d v="2025-02-15T00:00:00"/>
        <d v="2025-02-16T00:00:00"/>
        <d v="2025-02-18T00:00:00"/>
        <d v="2025-02-19T00:00:00"/>
        <d v="2025-02-20T00:00:00"/>
        <d v="2025-02-21T00:00:00"/>
        <d v="2025-02-22T00:00:00"/>
        <d v="2025-02-23T00:00:00"/>
        <d v="2025-02-24T00:00:00"/>
        <d v="2025-02-25T00:00:00"/>
        <d v="2025-02-26T00:00:00"/>
        <d v="2025-03-01T00:00:00"/>
        <d v="2025-03-05T00:00:00"/>
        <d v="2025-03-08T00:00:00"/>
        <d v="2025-03-09T00:00:00"/>
        <d v="2025-03-10T00:00:00"/>
        <d v="2025-03-11T00:00:00"/>
        <d v="2025-03-12T00:00:00"/>
        <d v="2025-03-13T00:00:00"/>
        <d v="2025-03-14T00:00:00"/>
        <d v="2025-03-15T00:00:00"/>
        <d v="2025-03-17T00:00:00"/>
        <d v="2025-03-18T00:00:00"/>
        <d v="2025-03-20T00:00:00"/>
        <d v="2025-03-21T00:00:00"/>
        <d v="2025-03-23T00:00:00"/>
        <d v="2025-03-26T00:00:00"/>
        <d v="2025-03-28T00:00:00"/>
        <d v="2025-03-29T00:00:00"/>
        <d v="2025-04-01T00:00:00"/>
        <d v="2025-04-02T00:00:00"/>
        <d v="2025-04-03T00:00:00"/>
        <d v="2025-04-04T00:00:00"/>
        <d v="2025-04-06T00:00:00"/>
        <d v="2025-04-07T00:00:00"/>
        <d v="2025-04-08T00:00:00"/>
        <d v="2025-04-10T00:00:00"/>
        <d v="2025-04-12T00:00:00"/>
        <d v="2025-04-13T00:00:00"/>
        <d v="2025-04-14T00:00:00"/>
        <d v="2025-04-16T00:00:00"/>
        <d v="2025-04-18T00:00:00"/>
        <d v="2025-04-20T00:00:00"/>
        <d v="2025-04-21T00:00:00"/>
        <d v="2025-04-22T00:00:00"/>
        <d v="2025-04-23T00:00:00"/>
        <d v="2025-04-24T00:00:00"/>
        <d v="2025-04-25T00:00:00"/>
        <d v="2025-04-26T00:00:00"/>
        <d v="2025-04-27T00:00:00"/>
        <d v="2025-04-28T00:00:00"/>
        <d v="2025-04-29T00:00:00"/>
        <d v="2025-04-30T00:00:00"/>
        <d v="2025-05-01T00:00:00"/>
        <d v="2025-05-02T00:00:00"/>
        <d v="2025-05-04T00:00:00"/>
        <d v="2025-05-05T00:00:00"/>
        <d v="2025-05-06T00:00:00"/>
        <d v="2025-05-07T00:00:00"/>
        <d v="2025-05-08T00:00:00"/>
        <d v="2025-05-10T00:00:00"/>
        <d v="2025-05-11T00:00:00"/>
        <d v="2025-05-15T00:00:00"/>
        <d v="2025-05-16T00:00:00"/>
        <d v="2025-05-17T00:00:00"/>
        <d v="2025-05-18T00:00:00"/>
        <d v="2025-05-19T00:00:00"/>
        <d v="2025-05-20T00:00:00"/>
        <d v="2025-05-23T00:00:00"/>
        <d v="2025-05-24T00:00:00"/>
        <d v="2025-05-25T00:00:00"/>
        <d v="2025-05-26T00:00:00"/>
        <d v="2025-05-27T00:00:00"/>
        <d v="2025-05-28T00:00:00"/>
        <d v="2025-05-29T00:00:00"/>
        <d v="2025-06-04T00:00:00"/>
        <d v="2025-06-06T00:00:00"/>
        <d v="2025-06-08T00:00:00"/>
        <d v="2025-06-09T00:00:00"/>
        <d v="2025-06-10T00:00:00"/>
        <d v="2025-06-11T00:00:00"/>
        <d v="2025-06-13T00:00:00"/>
        <d v="2025-06-14T00:00:00"/>
        <d v="2025-06-15T00:00:00"/>
        <d v="2025-06-18T00:00:00"/>
        <d v="2025-06-20T00:00:00"/>
        <d v="2025-06-21T00:00:00"/>
        <d v="2025-06-22T00:00:00"/>
        <d v="2025-06-23T00:00:00"/>
        <d v="2025-06-24T00:00:00"/>
        <d v="2025-06-25T00:00:00"/>
        <d v="2025-06-26T00:00:00"/>
        <d v="2025-06-27T00:00:00"/>
        <d v="2025-06-29T00:00:00"/>
        <d v="2025-06-30T00:00:00"/>
        <d v="2025-07-01T00:00:00"/>
        <d v="2025-07-02T00:00:00"/>
        <d v="2025-07-03T00:00:00"/>
        <d v="2025-07-04T00:00:00"/>
        <d v="2025-07-05T00:00:00"/>
        <d v="2025-07-06T00:00:00"/>
        <d v="2025-07-07T00:00:00"/>
        <d v="2025-07-08T00:00:00"/>
        <d v="2025-07-10T00:00:00"/>
        <d v="2025-07-12T00:00:00"/>
        <d v="2025-07-13T00:00:00"/>
        <d v="2025-07-14T00:00:00"/>
        <d v="2025-07-15T00:00:00"/>
        <d v="2025-07-16T00:00:00"/>
        <d v="2025-07-17T00:00:00"/>
        <d v="2025-07-18T00:00:00"/>
        <d v="2025-07-19T00:00:00"/>
        <d v="2025-07-20T00:00:00"/>
        <d v="2025-07-22T00:00:00"/>
        <d v="2025-07-23T00:00:00"/>
        <d v="2025-07-24T00:00:00"/>
        <d v="2025-07-25T00:00:00"/>
        <d v="2025-07-26T00:00:00"/>
        <d v="2025-07-27T00:00:00"/>
        <d v="2025-07-28T00:00:00"/>
        <d v="2025-07-29T00:00:00"/>
        <d v="2025-07-30T00:00:00"/>
        <d v="2025-07-3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20T00:00:00"/>
        <d v="2025-08-21T00:00:00"/>
        <d v="2025-08-22T00:00:00"/>
        <d v="2025-08-24T00:00:00"/>
        <d v="2025-08-25T00:00:00"/>
        <d v="2025-08-27T00:00:00"/>
        <d v="2025-08-28T00:00:00"/>
        <d v="2025-08-29T00:00:00"/>
        <d v="2025-08-30T00:00:00"/>
        <d v="2025-09-02T00:00:00"/>
        <d v="2025-09-03T00:00:00"/>
        <d v="2025-09-04T00:00:00"/>
        <d v="2025-09-05T00:00:00"/>
        <d v="2025-09-06T00:00:00"/>
        <d v="2025-09-07T00:00:00"/>
        <d v="2025-09-08T00:00:00"/>
        <d v="2025-09-09T00:00:00"/>
        <d v="2025-09-11T00:00:00"/>
        <d v="2025-09-12T00:00:00"/>
        <d v="2025-09-13T00:00:00"/>
        <d v="2025-09-14T00:00:00"/>
        <d v="2025-09-17T00:00:00"/>
        <d v="2025-09-18T00:00:00"/>
        <d v="2025-09-19T00:00:00"/>
        <d v="2025-09-20T00:00:00"/>
        <d v="2025-09-21T00:00:00"/>
        <d v="2025-09-23T00:00:00"/>
        <d v="2025-09-25T00:00:00"/>
        <d v="2025-09-26T00:00:00"/>
        <d v="2025-09-27T00:00:00"/>
        <d v="2025-09-28T00:00:00"/>
        <d v="2025-10-01T00:00:00"/>
        <d v="2025-10-02T00:00:00"/>
        <d v="2025-10-03T00:00:00"/>
        <d v="2025-10-04T00:00:00"/>
        <d v="2025-10-05T00:00:00"/>
        <d v="2025-10-06T00:00:00"/>
        <d v="2025-10-07T00:00:00"/>
        <d v="2025-10-08T00:00:00"/>
        <d v="2025-10-09T00:00:00"/>
        <d v="2025-10-10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1T00:00:00"/>
        <d v="2025-11-05T00:00:00"/>
        <d v="2025-11-06T00:00:00"/>
        <d v="2025-11-07T00:00:00"/>
        <d v="2025-11-09T00:00:00"/>
        <d v="2025-11-11T00:00:00"/>
        <d v="2025-11-12T00:00:00"/>
        <d v="2025-11-14T00:00:00"/>
        <d v="2025-11-15T00:00:00"/>
        <d v="2025-11-16T00:00:00"/>
        <d v="2025-11-17T00:00:00"/>
        <d v="2025-11-18T00:00:00"/>
        <d v="2025-11-19T00:00:00"/>
        <d v="2025-11-21T00:00:00"/>
        <d v="2025-11-26T00:00:00"/>
        <d v="2025-11-28T00:00:00"/>
        <d v="2025-11-29T00:00:00"/>
        <d v="2025-12-01T00:00:00"/>
        <d v="2025-12-04T00:00:00"/>
        <d v="2025-12-06T00:00:00"/>
        <d v="2025-12-07T00:00:00"/>
        <d v="2025-12-08T00:00:00"/>
        <d v="2025-12-11T00:00:00"/>
        <d v="2025-12-14T00:00:00"/>
        <d v="2025-12-15T00:00:00"/>
        <d v="2025-12-17T00:00:00"/>
        <d v="2025-12-18T00:00:00"/>
        <d v="2025-12-19T00:00:00"/>
        <d v="2025-12-20T00:00:00"/>
        <d v="2025-12-21T00:00:00"/>
        <d v="2025-12-22T00:00:00"/>
        <d v="2025-12-23T00:00:00"/>
        <d v="2025-12-24T00:00:00"/>
        <d v="2025-12-25T00:00:00"/>
        <d v="2025-12-28T00:00:00"/>
        <d v="2025-12-30T00:00:00"/>
        <d v="2025-12-31T00:00:00"/>
        <d v="2026-01-05T00:00:00"/>
        <d v="2026-01-08T00:00:00"/>
        <d v="2026-01-09T00:00:00"/>
        <d v="2026-01-10T00:00:00"/>
        <d v="2026-01-11T00:00:00"/>
        <d v="2026-01-14T00:00:00"/>
        <d v="2026-01-17T00:00:00"/>
        <d v="2026-01-19T00:00:00"/>
        <d v="2026-01-20T00:00:00"/>
        <d v="2026-01-24T00:00:00"/>
        <d v="2026-01-25T00:00:00"/>
        <d v="2026-01-27T00:00:00"/>
        <d v="2026-01-28T00:00:00"/>
        <d v="2026-01-29T00:00:00"/>
        <d v="2026-02-01T00:00:00"/>
        <d v="2026-02-02T00:00:00"/>
        <d v="2026-02-03T00:00:00"/>
        <d v="2026-02-04T00:00:00"/>
        <m/>
      </sharedItems>
      <fieldGroup base="2">
        <rangePr groupBy="months" startDate="2024-01-06T00:00:00" endDate="2026-02-05T00:00:00"/>
        <groupItems count="14">
          <s v="(vide)"/>
          <s v="jan"/>
          <s v="fév"/>
          <s v="mar"/>
          <s v="avr"/>
          <s v="mai"/>
          <s v="jui"/>
          <s v="juil"/>
          <s v="août"/>
          <s v="sept"/>
          <s v="oct"/>
          <s v="nov"/>
          <s v="déc"/>
          <s v="&gt;05/02/2026"/>
        </groupItems>
      </fieldGroup>
    </cacheField>
    <cacheField name="Heure" numFmtId="0">
      <sharedItems containsDate="1" containsBlank="1" containsMixedTypes="1" minDate="1899-12-30T00:04:23" maxDate="1899-12-31T00:04:07"/>
    </cacheField>
    <cacheField name="N° Train" numFmtId="0">
      <sharedItems containsBlank="1" containsMixedTypes="1" containsNumber="1" containsInteger="1" minValue="1001" maxValue="100071"/>
    </cacheField>
    <cacheField name="Rame" numFmtId="0">
      <sharedItems containsBlank="1" containsMixedTypes="1" containsNumber="1" containsInteger="1" minValue="1107" maxValue="1212" count="19">
        <n v="1208"/>
        <n v="1211"/>
        <n v="1205"/>
        <n v="1207"/>
        <n v="1209"/>
        <n v="1203"/>
        <n v="1212"/>
        <n v="1206"/>
        <n v="1202"/>
        <n v="1204"/>
        <n v="1201"/>
        <n v="1210"/>
        <s v="1205 "/>
        <s v="1211 "/>
        <s v="1204 "/>
        <s v="1201 "/>
        <s v="1209 "/>
        <m/>
        <n v="1107" u="1"/>
      </sharedItems>
    </cacheField>
    <cacheField name="Motrice / Cab" numFmtId="0">
      <sharedItems containsBlank="1" count="5">
        <s v="M1"/>
        <s v="M2"/>
        <m/>
        <s v="M3" u="1"/>
        <s v="M2 " u="1"/>
      </sharedItems>
    </cacheField>
    <cacheField name="MRM" numFmtId="0">
      <sharedItems containsBlank="1" containsMixedTypes="1" containsNumber="1" containsInteger="1" minValue="1004" maxValue="7281"/>
    </cacheField>
    <cacheField name="IMEI" numFmtId="0">
      <sharedItems containsBlank="1" containsMixedTypes="1" containsNumber="1" minValue="6.13" maxValue="604070051706194"/>
    </cacheField>
    <cacheField name="Sens" numFmtId="0">
      <sharedItems containsBlank="1"/>
    </cacheField>
    <cacheField name="Km" numFmtId="0">
      <sharedItems containsBlank="1" containsMixedTypes="1" containsNumber="1" minValue="4" maxValue="205.125"/>
    </cacheField>
    <cacheField name="Intervalle" numFmtId="0">
      <sharedItems containsBlank="1" count="61">
        <s v="GSMR_12/13"/>
        <s v="GSMR_19/20"/>
        <s v="GSMR_02/03"/>
        <s v="GSMR_25/26"/>
        <s v="GSMR_30/31"/>
        <s v="GSMR_33/RAC"/>
        <s v="GSMR_22/23"/>
        <s v="GSMR_05/06"/>
        <s v="GSMR_17/18"/>
        <s v="GSMR_27/28"/>
        <s v="GSMR_23/24"/>
        <s v="GSMR_14/15"/>
        <s v="GSMR_16/17"/>
        <s v="GSMR_13/14"/>
        <s v="GSMR_07/08"/>
        <s v="GSMR_15/16"/>
        <s v="GSMR_08/09"/>
        <s v="GSMR_20/21"/>
        <s v="GSMR_26/27"/>
        <s v="GSMR_32/33"/>
        <s v="GSMR_04/05"/>
        <s v="GSMR_11/12"/>
        <s v="GSMR_03/04"/>
        <s v="GSMR_10/11"/>
        <s v="GSMR_18/19"/>
        <s v="GSMR_06/07"/>
        <s v="GSMR_24/25"/>
        <s v="GSMR_29/30"/>
        <s v="GSMR_28/29"/>
        <s v="GSMR_09/10"/>
        <s v="GSMR_21/22"/>
        <s v="GSMR_31/32"/>
        <s v="GSMR_08/07"/>
        <s v="GSMR 34/33"/>
        <m/>
        <e v="#N/A" u="1"/>
        <s v="                                " u="1"/>
        <s v="GSM-R_19/20" u="1"/>
        <s v="GSM-R_31/32" u="1"/>
        <s v="GSMR16/17" u="1"/>
        <s v="GSM-R_30/31" u="1"/>
        <s v="GSM-R_19/21" u="1"/>
        <s v="GSMR_18/17" u="1"/>
        <s v="GSM-R_29/30" u="1"/>
        <s v="GSM-R_06/07" u="1"/>
        <s v="GSM-R_03/02" u="1"/>
        <s v="GSMR03/04" u="1"/>
        <s v="GSM-R_17/18" u="1"/>
        <s v="GSM-R_05/06" u="1"/>
        <s v="GSM-R_27/28" u="1"/>
        <s v="GSM-R_24/23" u="1"/>
        <s v="GSM-R_03/04" u="1"/>
        <s v="GSM-R_02/03" u="1"/>
        <s v="GSM-R_33/RAC" u="1"/>
        <s v="GSM-R_13/14" u="1"/>
        <s v="GSMR_26/25" u="1"/>
        <s v="GSM-R_23/24" u="1"/>
        <s v="GSM-R_08/07" u="1"/>
        <s v="GSMR_16/15" u="1"/>
        <s v="GSM-R_18/17" u="1"/>
        <s v="GSM-R_20/21" u="1"/>
      </sharedItems>
    </cacheField>
    <cacheField name="Niveau ETCS" numFmtId="0">
      <sharedItems containsBlank="1"/>
    </cacheField>
    <cacheField name="Evénement " numFmtId="0">
      <sharedItems containsBlank="1" count="6">
        <s v="Ralentissement du train"/>
        <s v="Arrêt du train"/>
        <m/>
        <s v="          Arrêt du train" u="1"/>
        <s v="Arrêt du train en mode FS" u="1"/>
        <s v="RAS" u="1"/>
      </sharedItems>
    </cacheField>
    <cacheField name="Cause_racine" numFmtId="0">
      <sharedItems containsBlank="1" longText="1"/>
    </cacheField>
    <cacheField name="Analyse SMMRGV" numFmtId="0">
      <sharedItems containsBlank="1" longText="1"/>
    </cacheField>
    <cacheField name="Sous Système mis en cause" numFmtId="0">
      <sharedItems containsBlank="1" count="30">
        <s v="BORD"/>
        <s v="GSMR"/>
        <s v="BORD/GSMR"/>
        <s v="RBC"/>
        <s v="Signalisation"/>
        <s v="Non specifie"/>
        <s v="RBC/BORD"/>
        <s v="GSMR/RBC"/>
        <s v="GSMR "/>
        <s v="BORD/RBC"/>
        <s v="A définir"/>
        <s v="GSMR / BORD"/>
        <m/>
        <s v="NA" u="1"/>
        <s v="A definir" u="1"/>
        <s v="Bord /GSMR" u="1"/>
        <s v="GSMR/BORD" u="1"/>
        <s v="-" u="1"/>
        <s v="A Définir apres analyse " u="1"/>
        <s v="BORD/GSMR " u="1"/>
        <s v="GSM-R" u="1"/>
        <s v=" Bord/RBC" u="1"/>
        <s v="BOIRD" u="1"/>
        <s v="signalisation " u="1"/>
        <s v=" " u="1"/>
        <s v=" RBC" u="1"/>
        <s v=" BORD" u="1"/>
        <s v=" GSMR" u="1"/>
        <s v="GSM-R " u="1"/>
        <s v="GSM-R/BORD" u="1"/>
      </sharedItems>
    </cacheField>
    <cacheField name="Action" numFmtId="0">
      <sharedItems containsBlank="1" longText="1"/>
    </cacheField>
    <cacheField name="Execution HO" numFmtId="0">
      <sharedItems containsBlank="1"/>
    </cacheField>
    <cacheField name="RxQual" numFmtId="0">
      <sharedItems containsBlank="1"/>
    </cacheField>
    <cacheField name="RxLev" numFmtId="0">
      <sharedItems containsBlank="1"/>
    </cacheField>
    <cacheField name="Voisinage (10sec)" numFmtId="0">
      <sharedItems containsBlank="1"/>
    </cacheField>
    <cacheField name="Com DTE-DCE" numFmtId="0">
      <sharedItems containsBlank="1"/>
    </cacheField>
    <cacheField name="Ecart" numFmtId="0">
      <sharedItems containsBlank="1"/>
    </cacheField>
    <cacheField name="Retransmission trames HDLC/T.70" numFmtId="0">
      <sharedItems containsBlank="1"/>
    </cacheField>
    <cacheField name="Alarmes BTS" numFmtId="0">
      <sharedItems containsNonDate="0" containsString="0" containsBlank="1"/>
    </cacheField>
    <cacheField name="Traité par" numFmtId="0">
      <sharedItems containsBlank="1"/>
    </cacheField>
    <cacheField name="CIRE" numFmtId="0">
      <sharedItems containsNonDate="0" containsString="0" containsBlank="1"/>
    </cacheField>
    <cacheField name="CIERS" numFmtId="0">
      <sharedItems containsNonDate="0" containsString="0" containsBlank="1"/>
    </cacheField>
    <cacheField name="Acquittement AUC" numFmtId="0">
      <sharedItems containsBlank="1"/>
    </cacheField>
    <cacheField name="BUG RBC" numFmtId="0">
      <sharedItems containsNonDate="0" containsString="0" containsBlank="1"/>
    </cacheField>
    <cacheField name="Liens PAI" numFmtId="0">
      <sharedItems containsNonDate="0" containsString="0" containsBlank="1"/>
    </cacheField>
    <cacheField name="Pilote" numFmtId="0">
      <sharedItems containsNonDate="0" containsString="0" containsBlank="1"/>
    </cacheField>
    <cacheField name="Échéance" numFmtId="0">
      <sharedItems containsNonDate="0" containsString="0" containsBlank="1"/>
    </cacheField>
  </cacheFields>
  <extLst>
    <ext xmlns:x14="http://schemas.microsoft.com/office/spreadsheetml/2009/9/main" uri="{725AE2AE-9491-48be-B2B4-4EB974FC3084}">
      <x14:pivotCacheDefinition pivotCacheId="1761770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3">
  <r>
    <n v="1"/>
    <b v="0"/>
    <x v="0"/>
    <d v="1899-12-30T09:20:26"/>
    <n v="2013"/>
    <x v="0"/>
    <x v="0"/>
    <n v="1037"/>
    <n v="35214500045488"/>
    <s v="Tanger/Casa"/>
    <n v="68.956000000000003"/>
    <x v="0"/>
    <s v="N2"/>
    <s v="Ralentissement du train"/>
    <s v="H.O non finalisé entre 212 et 213,bonne qualité / niveau de signal Requête de déconnexion a été envoyé par le RBC"/>
    <m/>
    <x v="0"/>
    <m/>
    <s v="H.O non finalisé entre 212 et 213"/>
    <s v="dl Rxqual=3"/>
    <s v="dl rx level= -63 dbm"/>
    <s v="NOK"/>
    <s v="NOK"/>
    <s v="moyenne"/>
    <s v="retransmission des trames HDLC*5"/>
    <m/>
    <m/>
    <m/>
    <m/>
    <m/>
    <m/>
    <m/>
    <m/>
    <m/>
  </r>
  <r>
    <n v="2"/>
    <b v="0"/>
    <x v="1"/>
    <d v="1899-12-30T10:28:18"/>
    <n v="2017"/>
    <x v="1"/>
    <x v="0"/>
    <n v="1029"/>
    <n v="35214500045449"/>
    <s v="Tanger/Casa"/>
    <n v="108.206"/>
    <x v="1"/>
    <s v="N2"/>
    <s v="Ralentissement du train"/>
    <s v="H.O non finalisé entre 219 et 220,bonne qualité / niveau de signal Requête de déconnexion a été envoyé par le RBC"/>
    <m/>
    <x v="1"/>
    <s v="dans l'attente des mesures radio "/>
    <s v="recule non reussi entre 219 et 220"/>
    <s v="dl Rxqual=3"/>
    <s v="dl rx level= -78 dbm"/>
    <s v="NOK"/>
    <s v="OK"/>
    <s v="Mauvais"/>
    <s v="retransmission des trames HDLC*5"/>
    <m/>
    <m/>
    <m/>
    <m/>
    <m/>
    <m/>
    <m/>
    <m/>
    <m/>
  </r>
  <r>
    <n v="3"/>
    <b v="0"/>
    <x v="1"/>
    <d v="1899-12-30T08:05:42"/>
    <n v="2009"/>
    <x v="2"/>
    <x v="0"/>
    <n v="7217"/>
    <n v="35214500044557"/>
    <s v="Tanger/Casa"/>
    <n v="6.13"/>
    <x v="2"/>
    <s v="N2"/>
    <s v="Ralentissement du train"/>
    <s v="recule non reussi  202 et 201,Mauvaise qualité de signal Requête de déconnexion a été envoyé par le RBC"/>
    <m/>
    <x v="2"/>
    <m/>
    <s v="recule non reussi entre 202 et 201"/>
    <s v="dl Rxqual=7"/>
    <s v="dl rx level= -53 dbm"/>
    <s v="NOK"/>
    <s v="OK"/>
    <s v="Mauvais"/>
    <s v="retransmission des trames HDLC*5"/>
    <m/>
    <m/>
    <m/>
    <m/>
    <m/>
    <m/>
    <m/>
    <m/>
    <m/>
  </r>
  <r>
    <n v="4"/>
    <b v="0"/>
    <x v="2"/>
    <d v="1899-12-30T16:05:51"/>
    <n v="2041"/>
    <x v="3"/>
    <x v="0"/>
    <n v="1046"/>
    <n v="35214500038730"/>
    <s v="Tanger/Casa"/>
    <n v="6.13"/>
    <x v="2"/>
    <s v="N2"/>
    <s v="Arrêt du train"/>
    <s v="H.O non finalisé entre 202 et 203,Mauvaise qualité  de signal Requête de déconnexion a été envoyé par le RBC"/>
    <m/>
    <x v="1"/>
    <s v="Le 14/01 Changement de cable coaxial  de la rame 1207 M1 "/>
    <s v="H.O non finalisé entre 202 et 203"/>
    <s v="dl Rxqual=7"/>
    <s v="dl rx level= -53 dbm"/>
    <s v="NOK"/>
    <s v="OK"/>
    <s v="moyenne"/>
    <s v="retransmission des trames HDLC*5"/>
    <m/>
    <m/>
    <m/>
    <m/>
    <m/>
    <m/>
    <m/>
    <m/>
    <m/>
  </r>
  <r>
    <n v="5"/>
    <b v="0"/>
    <x v="3"/>
    <d v="1899-12-30T14:35:49"/>
    <n v="2033"/>
    <x v="4"/>
    <x v="0"/>
    <n v="7208"/>
    <n v="35214500004427"/>
    <s v="Tanger/Casa"/>
    <n v="147.876"/>
    <x v="3"/>
    <s v="N2"/>
    <s v="Ralentissement du train"/>
    <s v="enchainement 325-&gt;226-&gt;228-&gt;227 ; mauvaise  qualité de signal , requête déconnexion envoyé par le RBC"/>
    <m/>
    <x v="2"/>
    <s v="le 09/01  verification de VSWR de l'antenne de la rame 1209 M1"/>
    <s v="325-&gt;226-&gt;228-&gt;227"/>
    <s v="dl Rxqual=7"/>
    <s v="dl rx level= -97 dbm"/>
    <s v="NOK"/>
    <m/>
    <s v="moyenne"/>
    <s v="retransmission des trames HDLC*3"/>
    <m/>
    <m/>
    <m/>
    <m/>
    <m/>
    <m/>
    <m/>
    <m/>
    <m/>
  </r>
  <r>
    <n v="6"/>
    <b v="0"/>
    <x v="4"/>
    <d v="1899-12-30T12:36:13"/>
    <n v="2025"/>
    <x v="3"/>
    <x v="0"/>
    <n v="1046"/>
    <n v="35214500038730"/>
    <s v="Tanger/Casa"/>
    <n v="147.876"/>
    <x v="3"/>
    <s v="N2"/>
    <s v="Ralentissement du train"/>
    <s v="recule de la cellule 327 vers la cellule 325 , bonne qualité/niveau de signal , requête déconnexion envoyé par le RBC"/>
    <m/>
    <x v="2"/>
    <m/>
    <s v="recule 327 vers 325"/>
    <s v="dl Rxqual=0"/>
    <s v="dl rx level= -79 dbm"/>
    <s v="NOK"/>
    <s v="OK"/>
    <s v="moyenne"/>
    <s v="retransmission des trames HDLC*5"/>
    <m/>
    <m/>
    <m/>
    <m/>
    <m/>
    <m/>
    <m/>
    <m/>
    <m/>
  </r>
  <r>
    <n v="7"/>
    <b v="0"/>
    <x v="5"/>
    <d v="1899-12-30T17:04:36"/>
    <n v="1037"/>
    <x v="5"/>
    <x v="1"/>
    <n v="1026"/>
    <n v="35214500045083"/>
    <s v="Casa/Tanger"/>
    <n v="7.3209999999999997"/>
    <x v="2"/>
    <s v="N2"/>
    <s v="Arrêt du train"/>
    <s v="H.O complet  entre 303 et 202,Mauvaise qualité  de signal Requête de déconnexion a été envoyé par le Bord"/>
    <m/>
    <x v="1"/>
    <m/>
    <s v="H.O Complet entre 303 et 202"/>
    <s v="dl Rxqual=7"/>
    <s v="dl rx level= -57 dbm"/>
    <s v="OK"/>
    <s v="OK"/>
    <s v="moyenne"/>
    <s v="retransmission des trames HDLC*5"/>
    <m/>
    <m/>
    <m/>
    <m/>
    <m/>
    <m/>
    <m/>
    <m/>
    <m/>
  </r>
  <r>
    <n v="8"/>
    <b v="0"/>
    <x v="5"/>
    <d v="1899-12-30T10:42:39"/>
    <n v="2017"/>
    <x v="6"/>
    <x v="0"/>
    <n v="1057"/>
    <n v="35214500045187"/>
    <s v="Tanger/Casa"/>
    <n v="179.149"/>
    <x v="4"/>
    <s v="N2"/>
    <s v="Ralentissement du train"/>
    <s v="H.O non finalisé entre 230 et 231,bonne qualité / niveau de signal Requête de déconnexion a été envoyé par le RBC"/>
    <m/>
    <x v="0"/>
    <m/>
    <s v="H.O non finalisé entre 230 et 231"/>
    <s v="dl Rxqual=2"/>
    <s v="dl rx level= -69 dbm"/>
    <s v="OK"/>
    <s v="OK"/>
    <s v="moyenne"/>
    <s v="retransmission des trames HDLC*5"/>
    <m/>
    <m/>
    <m/>
    <m/>
    <m/>
    <m/>
    <m/>
    <m/>
    <m/>
  </r>
  <r>
    <n v="9"/>
    <b v="0"/>
    <x v="6"/>
    <d v="1899-12-30T16:24:53"/>
    <n v="1037"/>
    <x v="7"/>
    <x v="1"/>
    <n v="1040"/>
    <m/>
    <s v="Casa/Tanger"/>
    <n v="202.125"/>
    <x v="5"/>
    <s v="N2"/>
    <s v="Ralentissement du train"/>
    <s v="H.O complet  entre 234 et 333,Mauvaise qualité  de signal Requête de déconnexion a été envoyé par le RBC"/>
    <m/>
    <x v="1"/>
    <m/>
    <s v="H.O Complet entre 234 et 333"/>
    <s v="dl Rxqual=7"/>
    <s v="dl rx level= -65 dbm"/>
    <s v="NOK"/>
    <s v="OK"/>
    <s v="moyenne"/>
    <s v="retransmission des trames HDLC*5"/>
    <m/>
    <m/>
    <m/>
    <m/>
    <m/>
    <m/>
    <m/>
    <m/>
    <m/>
  </r>
  <r>
    <n v="10"/>
    <b v="0"/>
    <x v="7"/>
    <d v="1899-12-30T20:46:39"/>
    <m/>
    <x v="8"/>
    <x v="1"/>
    <n v="1022"/>
    <n v="35214500045326"/>
    <s v="Casa/Tanger"/>
    <n v="127.815"/>
    <x v="6"/>
    <s v="N2"/>
    <s v="Ralentissement du train"/>
    <s v="H.O non finalisé entre 223 et 222,Mauvaise qualité de signal Requête de déconnexion a été envoyé par le RBC"/>
    <m/>
    <x v="1"/>
    <m/>
    <s v="H.O non finalisé entre 223 et 222"/>
    <s v="dl Rxqual=7"/>
    <s v="dl rx level= -66 dbm"/>
    <s v="OK"/>
    <s v="OK"/>
    <s v="Mauvais"/>
    <s v="retransmission des trames HDLC*5"/>
    <m/>
    <m/>
    <m/>
    <m/>
    <m/>
    <m/>
    <m/>
    <m/>
    <m/>
  </r>
  <r>
    <n v="11"/>
    <b v="0"/>
    <x v="7"/>
    <d v="1899-12-30T17:12:56"/>
    <n v="1037"/>
    <x v="5"/>
    <x v="1"/>
    <n v="1026"/>
    <n v="35214500045083"/>
    <s v="Casa/Tanger"/>
    <n v="7.3209999999999997"/>
    <x v="2"/>
    <s v="N2"/>
    <s v="Arrêt du train"/>
    <s v="H.O complet  entre 303 et 202,Mauvaise qualité  de signal Requête de déconnexion a été envoyé par le RBC"/>
    <m/>
    <x v="2"/>
    <m/>
    <s v="H.O Complet entre 303 et 202"/>
    <s v="dl Rxqual=7"/>
    <s v="dl rx level= -57 dbm"/>
    <s v="OK"/>
    <s v="OK"/>
    <s v="moyenne"/>
    <s v="retransmission des trames HDLC*5"/>
    <m/>
    <m/>
    <m/>
    <m/>
    <m/>
    <m/>
    <m/>
    <m/>
    <m/>
  </r>
  <r>
    <n v="12"/>
    <b v="0"/>
    <x v="8"/>
    <d v="1899-12-30T18:27:36"/>
    <n v="2049"/>
    <x v="4"/>
    <x v="0"/>
    <n v="7208"/>
    <n v="35214500004427"/>
    <s v="Tanger/Casa"/>
    <n v="108.206"/>
    <x v="1"/>
    <s v="N2"/>
    <s v="Ralentissement du train"/>
    <s v="H.O complet  entre 219 et 320,Mauvaise qualité de signal Requête de déconnexion a été envoyé par le Bord"/>
    <m/>
    <x v="0"/>
    <m/>
    <s v="H.O Complet entre 219 et 320"/>
    <s v="dl Rxqual=7"/>
    <s v="dl rx level= -70 dbm"/>
    <s v="OK"/>
    <s v="OK"/>
    <s v="moyenne"/>
    <s v="retransmission des trames HDLC*3"/>
    <m/>
    <m/>
    <m/>
    <m/>
    <m/>
    <m/>
    <m/>
    <m/>
    <m/>
  </r>
  <r>
    <n v="13"/>
    <b v="0"/>
    <x v="9"/>
    <d v="1899-12-30T17:11:55"/>
    <n v="2045"/>
    <x v="0"/>
    <x v="0"/>
    <n v="1037"/>
    <n v="35214500045488"/>
    <s v="Tanger/Casa"/>
    <n v="25.91"/>
    <x v="7"/>
    <s v="N2"/>
    <s v="Ralentissement du train"/>
    <s v="H.O non finalisé entre 205 et 206,Mauvaise qualité de signal Requête de déconnexion a été envoyé par le RBC"/>
    <m/>
    <x v="0"/>
    <m/>
    <s v="H.O non finalisé entre 205 et 206"/>
    <s v="dl Rxqual=6"/>
    <s v="dl rx level= -87 dbm"/>
    <s v="NOK"/>
    <s v="OK"/>
    <s v="moyenne"/>
    <s v="retransmission des trames HDLC*5"/>
    <m/>
    <m/>
    <m/>
    <m/>
    <m/>
    <m/>
    <m/>
    <m/>
    <m/>
  </r>
  <r>
    <n v="14"/>
    <b v="0"/>
    <x v="9"/>
    <d v="1899-12-30T22:28:59"/>
    <n v="1061"/>
    <x v="6"/>
    <x v="1"/>
    <n v="1072"/>
    <n v="35214500045424"/>
    <s v="Casa/Tanger"/>
    <n v="177.85"/>
    <x v="4"/>
    <s v="N2"/>
    <s v="Ralentissement du train"/>
    <s v="recule  de la cellule 330vers la cellue 331,Mauvaise qualité de signal Requête de déconnexion a été envoyé par le RBC"/>
    <m/>
    <x v="0"/>
    <m/>
    <s v="Recule de 330  vers 331"/>
    <s v="dl Rxqual=7"/>
    <s v="dl rx level= -68 dbm"/>
    <s v="OK"/>
    <s v="OK"/>
    <s v="Bon"/>
    <s v="retransmission des trames HDLC*5"/>
    <m/>
    <m/>
    <m/>
    <m/>
    <m/>
    <m/>
    <m/>
    <m/>
    <m/>
  </r>
  <r>
    <n v="15"/>
    <b v="0"/>
    <x v="10"/>
    <d v="1899-12-30T18:35:18"/>
    <n v="2049"/>
    <x v="9"/>
    <x v="0"/>
    <n v="1052"/>
    <n v="35214500043740"/>
    <s v="Tanger/Casa"/>
    <n v="144.32599999999999"/>
    <x v="3"/>
    <s v="N2"/>
    <s v="Arrêt du train"/>
    <s v="H.O complet  entre 224 et 225,Bonne  qualité  de signal Requête de déconnexion a été envoyé par le RBC"/>
    <m/>
    <x v="0"/>
    <m/>
    <s v="H.O Complet entre 224 et 225"/>
    <s v="dl Rxqual=1"/>
    <s v="dl rx level= -64 dbm"/>
    <s v="OK"/>
    <s v="OK"/>
    <s v="Mauvais"/>
    <s v="pas de retransmission des trames HDLC"/>
    <m/>
    <m/>
    <m/>
    <m/>
    <m/>
    <m/>
    <m/>
    <m/>
    <m/>
  </r>
  <r>
    <n v="16"/>
    <b v="0"/>
    <x v="11"/>
    <d v="1899-12-30T19:45:40"/>
    <m/>
    <x v="9"/>
    <x v="1"/>
    <n v="1030"/>
    <n v="35214500045348"/>
    <s v="Casa/Tanger"/>
    <n v="96.316999999999993"/>
    <x v="8"/>
    <s v="N2"/>
    <s v="Ralentissement du train"/>
    <s v="H.O complet  entre 319 et 318,Bonne  qualité /niveau  de signal Requête de déconnexion a été envoyé a travers la BTS"/>
    <m/>
    <x v="3"/>
    <s v="En attente de verification des traces RBC"/>
    <s v="H.O Complet entre 319 et318"/>
    <s v="dl Rxqual=0"/>
    <s v="dl rx level= -56 dbm"/>
    <s v="OK"/>
    <s v="NOK"/>
    <s v="moyenne"/>
    <s v="retransmission des trames HDLC*5"/>
    <m/>
    <m/>
    <m/>
    <m/>
    <m/>
    <m/>
    <m/>
    <m/>
    <m/>
  </r>
  <r>
    <n v="17"/>
    <b v="0"/>
    <x v="12"/>
    <d v="1899-12-30T18:39:59"/>
    <n v="1045"/>
    <x v="3"/>
    <x v="1"/>
    <n v="1007"/>
    <m/>
    <s v="Casa/Tanger"/>
    <n v="127.815"/>
    <x v="6"/>
    <s v="N2"/>
    <s v="Ralentissement du train"/>
    <s v="deux tentative de H.O nn reussi entre 323 et 322 ,mauvaise qualité de signal , requête déconnexion envoyé par le RBC"/>
    <m/>
    <x v="1"/>
    <s v=" Permutation des cartes radio active / stand by au niveau de la cellule 22 le 05/02"/>
    <s v="H.O non finalisé entre 323 et 22"/>
    <s v="dl Rxqual=6"/>
    <s v="dl rx level= -77 dbm"/>
    <s v="OK"/>
    <s v="OK"/>
    <s v="Mauvais"/>
    <s v="retransmission des trames HDLC*5"/>
    <m/>
    <m/>
    <m/>
    <m/>
    <m/>
    <m/>
    <m/>
    <m/>
    <m/>
  </r>
  <r>
    <n v="18"/>
    <b v="0"/>
    <x v="12"/>
    <d v="1899-12-30T19:29:16"/>
    <n v="1049"/>
    <x v="6"/>
    <x v="1"/>
    <n v="1020"/>
    <n v="35214500045494"/>
    <s v="Casa/Tanger"/>
    <n v="177.85"/>
    <x v="4"/>
    <s v="N2"/>
    <s v="Ralentissement du train"/>
    <s v="ping pong / recule non reussi entre 331 eeet 232 ,Mauvaise qualité   de signal Requête de déconnexion a été envoyé par le Bord"/>
    <m/>
    <x v="0"/>
    <s v="Attente reponse ingenieurie  SMM-RGV"/>
    <s v="Ping pong entre 330 et 331"/>
    <s v="dl Rxqual=5"/>
    <s v="dl rx level= -63 dbm"/>
    <s v="OK"/>
    <s v="OK"/>
    <s v="Bon"/>
    <s v="retransmission des trames HDLC*5"/>
    <m/>
    <m/>
    <m/>
    <m/>
    <m/>
    <m/>
    <m/>
    <m/>
    <m/>
  </r>
  <r>
    <n v="19"/>
    <b v="0"/>
    <x v="12"/>
    <d v="1899-12-30T09:38:49"/>
    <n v="2013"/>
    <x v="6"/>
    <x v="0"/>
    <n v="1056"/>
    <n v="35214500045217"/>
    <s v="Tanger/Casa"/>
    <n v="162.89500000000001"/>
    <x v="9"/>
    <s v="N2"/>
    <s v="Ralentissement du train"/>
    <s v="H.O complet  entre 327 et 328,Bonne  qualité /niveau  de signal Requête de déconnexion a été envoyé a travers la BTS"/>
    <m/>
    <x v="4"/>
    <m/>
    <s v="H.O Complet entre 327et328"/>
    <s v="dl Rxqual=0"/>
    <s v="dl rx level= -48 dbm"/>
    <s v="OK"/>
    <s v="NOK"/>
    <s v="Mauvais"/>
    <s v="retransmission des trames HDLC*5"/>
    <m/>
    <m/>
    <m/>
    <m/>
    <m/>
    <m/>
    <m/>
    <m/>
    <m/>
  </r>
  <r>
    <n v="20"/>
    <b v="0"/>
    <x v="12"/>
    <d v="1899-12-30T09:38:50"/>
    <m/>
    <x v="1"/>
    <x v="1"/>
    <n v="3063"/>
    <n v="35214500046055"/>
    <s v="Casa/Tanger"/>
    <n v="130.48400000000001"/>
    <x v="10"/>
    <s v="N2"/>
    <s v="Ralentissement du train"/>
    <s v="H.O complet  entre 324 et 323,Bonne  qualité /niveau  de signal Requête de déconnexion a été envoyé a travers la BTS"/>
    <m/>
    <x v="4"/>
    <m/>
    <s v="H.O Complet entre 324 et323"/>
    <s v="dl Rxqual=0"/>
    <s v="dl rx level= -48 dbm"/>
    <s v="OK"/>
    <s v="NOK"/>
    <s v="Mauvais"/>
    <s v="retransmission des trames HDLC*5"/>
    <m/>
    <m/>
    <m/>
    <m/>
    <m/>
    <m/>
    <m/>
    <m/>
    <m/>
  </r>
  <r>
    <n v="21"/>
    <b v="0"/>
    <x v="13"/>
    <d v="1899-12-30T07:36:22"/>
    <n v="10075"/>
    <x v="6"/>
    <x v="1"/>
    <n v="1020"/>
    <n v="35214500045494"/>
    <s v="Casa/Tanger"/>
    <n v="79.281999999999996"/>
    <x v="11"/>
    <s v="N2"/>
    <s v="Ralentissement du train"/>
    <s v="H.O complet  entre 315 et 314,Bonne  qualité /niveau  de signal Requête de déconnexion a été envoyé par RBC"/>
    <m/>
    <x v="0"/>
    <s v="Attente reponse ingenieurie  SMM-RGV"/>
    <s v="H.O Complet entre 315 et314"/>
    <s v="dl Rxqual=0"/>
    <s v="dl rx level= -59 dbm"/>
    <s v="OK"/>
    <s v="OK"/>
    <s v="Mauvais"/>
    <s v="pas de retransmission des trames HDLC"/>
    <m/>
    <m/>
    <m/>
    <m/>
    <m/>
    <m/>
    <m/>
    <m/>
    <m/>
  </r>
  <r>
    <n v="22"/>
    <b v="0"/>
    <x v="14"/>
    <d v="1899-12-30T11:05:56"/>
    <n v="1013"/>
    <x v="1"/>
    <x v="1"/>
    <n v="3062"/>
    <m/>
    <s v="Casa/Tanger"/>
    <n v="7.3209999999999997"/>
    <x v="2"/>
    <s v="N2"/>
    <s v="Ralentissement du train"/>
    <s v="H.O complet  entre 303 et 202,Bonne  qualité /niveau  de signal Requête de déconnexion a été envoyé par RBC"/>
    <m/>
    <x v="5"/>
    <s v="Programmer une reunion afin d'analyser les traces "/>
    <s v="H.O Complet entre 303 et202"/>
    <s v="dl Rxqual=0"/>
    <s v="dl rx level= -53 dbm"/>
    <s v="OK"/>
    <s v="OK"/>
    <s v="Bon"/>
    <s v="retransmission des trames HDLC*5"/>
    <m/>
    <m/>
    <m/>
    <m/>
    <m/>
    <m/>
    <m/>
    <m/>
    <m/>
  </r>
  <r>
    <n v="23"/>
    <b v="0"/>
    <x v="15"/>
    <d v="1899-12-30T11:25:11"/>
    <n v="2021"/>
    <x v="3"/>
    <x v="0"/>
    <n v="1047"/>
    <n v="35214500038727"/>
    <s v="Tanger/Casa"/>
    <n v="91.364999999999995"/>
    <x v="12"/>
    <s v="N2"/>
    <s v="Ralentissement du train"/>
    <s v="H.O complet  entre 216 et 217,Bonne  qualité /niveau  de signal Requête de déconnexion a été envoyé par RBC"/>
    <m/>
    <x v="4"/>
    <m/>
    <s v="H.O Complet entre 216 et217"/>
    <s v="dl Rxqual=0"/>
    <s v="dl rx level= -48 dbm"/>
    <s v="OK"/>
    <s v="OK"/>
    <m/>
    <s v="retransmission des trames HDLC*5"/>
    <m/>
    <m/>
    <m/>
    <m/>
    <m/>
    <m/>
    <m/>
    <m/>
    <m/>
  </r>
  <r>
    <n v="24"/>
    <b v="0"/>
    <x v="15"/>
    <d v="1899-12-30T08:05:00"/>
    <n v="2009"/>
    <x v="4"/>
    <x v="0"/>
    <n v="7208"/>
    <n v="35214500004427"/>
    <s v="Tanger/Casa"/>
    <n v="5.73"/>
    <x v="2"/>
    <s v="N2"/>
    <s v="Arrêt du train"/>
    <s v="ping pong entre 201 et 302 ,Bonne qualité de signal Requête de déconnexion a été envoyé par le RBC"/>
    <m/>
    <x v="0"/>
    <m/>
    <s v="Ping pong entre 201 et 302"/>
    <s v="dl Rxqual=0"/>
    <s v="dl rx level= -48 dbm"/>
    <s v="OK"/>
    <s v="OK"/>
    <s v="Mauvais"/>
    <s v="retransmission des trames HDLC*5"/>
    <m/>
    <m/>
    <m/>
    <m/>
    <m/>
    <m/>
    <m/>
    <m/>
    <m/>
  </r>
  <r>
    <n v="25"/>
    <b v="0"/>
    <x v="16"/>
    <d v="1899-12-30T11:49:20"/>
    <n v="1017"/>
    <x v="6"/>
    <x v="1"/>
    <n v="1072"/>
    <n v="35214500045424"/>
    <s v="Casa/Tanger"/>
    <n v="73.525999999999996"/>
    <x v="13"/>
    <s v="N2"/>
    <s v="Ralentissement du train"/>
    <s v="probléme de communication entre Bord et RBC , 4 requête train position envoyé par Bord Ho complèt entre 214 et 313"/>
    <m/>
    <x v="4"/>
    <s v="Remplacement de balise 510442-1 la nuit du 06-02 au 07/02"/>
    <s v="H.O Complet entre 314 et 213"/>
    <s v="dl Rxqual=3"/>
    <s v="dl rx level= -60 dbm"/>
    <s v="OK"/>
    <s v="NOK"/>
    <s v="Mauvais"/>
    <s v="retransmission des trames HDLC*5"/>
    <m/>
    <m/>
    <m/>
    <m/>
    <m/>
    <m/>
    <m/>
    <m/>
    <m/>
  </r>
  <r>
    <n v="26"/>
    <b v="0"/>
    <x v="17"/>
    <d v="1899-12-30T09:49:56"/>
    <n v="1009"/>
    <x v="4"/>
    <x v="1"/>
    <n v="1032"/>
    <n v="35214500040638"/>
    <s v="Casa/Tanger"/>
    <n v="74.712999999999994"/>
    <x v="13"/>
    <s v="N2"/>
    <s v="Ralentissement du train"/>
    <s v="défaut de lecture Balise au point d'information 510442-1, HO non finalisé entre 314 et 313"/>
    <m/>
    <x v="4"/>
    <m/>
    <s v="H.O non finalisé entre 314 et 313"/>
    <s v="dl Rxqual=3"/>
    <s v="dl rx level= -71 dbm"/>
    <s v="OK"/>
    <s v="OK"/>
    <s v="Bon"/>
    <s v="retransmission des trames HDLC*5"/>
    <m/>
    <m/>
    <m/>
    <m/>
    <m/>
    <m/>
    <m/>
    <m/>
    <m/>
  </r>
  <r>
    <n v="27"/>
    <b v="0"/>
    <x v="17"/>
    <d v="1899-12-30T15:57:10"/>
    <n v="1033"/>
    <x v="4"/>
    <x v="1"/>
    <n v="1032"/>
    <n v="35214500040638"/>
    <s v="Casa/Tanger"/>
    <n v="39.215000000000003"/>
    <x v="14"/>
    <s v="N2"/>
    <s v="Ralentissement du train"/>
    <s v="H.O non finalisé entre 308 et 307 , Bonne qualité/ niveau de signal , une requête déconnexion envoyé par le Bord"/>
    <m/>
    <x v="0"/>
    <m/>
    <s v="H.O non finalisé entre 308 et 307"/>
    <s v="dl Rxqual=2"/>
    <s v="dl rx level= -65 dbm"/>
    <s v="NOK"/>
    <s v="OK"/>
    <s v="Bon"/>
    <s v="retransmission des trames HDLC*5"/>
    <m/>
    <m/>
    <m/>
    <m/>
    <m/>
    <m/>
    <m/>
    <m/>
    <m/>
  </r>
  <r>
    <n v="28"/>
    <b v="0"/>
    <x v="18"/>
    <d v="1899-12-30T08:20:33"/>
    <n v="2009"/>
    <x v="3"/>
    <x v="0"/>
    <n v="1046"/>
    <n v="35214500038730"/>
    <s v="Casa/Tanger"/>
    <n v="70.144000000000005"/>
    <x v="0"/>
    <s v="N2"/>
    <s v="Ralentissement du train"/>
    <s v="H.O complet  entre 312 et 213,Bonne  qualité /niveau  de signal Requête de déconnexion a été envoyé par RBC"/>
    <m/>
    <x v="3"/>
    <s v="Remplacement de  l'ensemble du circuit antennaire du GSM-R3/4 qui se compose de : IHM MONOMODE (Version 1M3)  ;Tiroir Radio MONODE(Version 1M3);Cable Coaxial neuf ;Antenne GSM-R3/4 neuve&lt;=&gt; S08"/>
    <s v="H.O Complet entre 312 et 213"/>
    <s v="dl Rxqual=2"/>
    <s v="dl rx level= -60 dbm"/>
    <s v="OK"/>
    <s v="OK"/>
    <s v="Mauvais"/>
    <s v="retransmission des trames HDLC*4"/>
    <m/>
    <m/>
    <m/>
    <m/>
    <m/>
    <m/>
    <m/>
    <m/>
    <m/>
  </r>
  <r>
    <n v="29"/>
    <b v="0"/>
    <x v="19"/>
    <d v="1899-12-30T22:38:16"/>
    <n v="1061"/>
    <x v="2"/>
    <x v="1"/>
    <n v="1050"/>
    <n v="35214500045357"/>
    <s v="Tanger/Casa"/>
    <n v="131.78899999999999"/>
    <x v="10"/>
    <s v="N2"/>
    <s v="Ralentissement du train"/>
    <s v="H.O complet  entre 324 et 323,moyenne qualité de signal Requête de déconnexion a été envoyé par RBC"/>
    <m/>
    <x v="0"/>
    <m/>
    <s v="H.O Complet entre 324 et 323"/>
    <s v="dl Rxqual=5"/>
    <s v="dl rx level= -77 dbm"/>
    <s v="OK"/>
    <s v="OK"/>
    <s v="Mauvais"/>
    <s v="retransmission des trames HDLC*5"/>
    <m/>
    <m/>
    <m/>
    <m/>
    <m/>
    <m/>
    <m/>
    <m/>
    <m/>
  </r>
  <r>
    <n v="30"/>
    <b v="0"/>
    <x v="20"/>
    <d v="1899-12-30T11:24:16"/>
    <n v="2021"/>
    <x v="0"/>
    <x v="0"/>
    <n v="1037"/>
    <n v="35214500045488"/>
    <s v="Tanger/Casa"/>
    <n v="84.451999999999998"/>
    <x v="15"/>
    <s v="N2"/>
    <s v="Ralentissement du train"/>
    <s v="H.O complet  entre 215 et 216,Bonne  qualité /niveau  de signal Requête de déconnexion a été envoyé par RBC"/>
    <m/>
    <x v="6"/>
    <s v="Rame verifié  durant la semaine S06 par smmrgv ; vswr bon ; puissance 37 ; 33"/>
    <s v="H.O Complet entre 215 et 216"/>
    <s v="dl Rxqual=3"/>
    <s v="dl rx level= -66 dbm"/>
    <s v="OK"/>
    <s v="OK"/>
    <s v="Bon"/>
    <s v="retransmission des trames HDLC*5"/>
    <m/>
    <m/>
    <m/>
    <m/>
    <m/>
    <m/>
    <m/>
    <m/>
    <m/>
  </r>
  <r>
    <n v="31"/>
    <b v="0"/>
    <x v="21"/>
    <d v="1899-12-30T12:15:16"/>
    <n v="2025"/>
    <x v="0"/>
    <x v="0"/>
    <n v="1036"/>
    <n v="35214500045461"/>
    <s v="Tanger/Casa"/>
    <n v="45.829000000000001"/>
    <x v="16"/>
    <s v="N2"/>
    <s v="Ralentissement du train"/>
    <s v="H.O complet  entre 207 et 208,Bonne  qualité /niveau  de signal Requête de déconnexion a été envoyé par RBC"/>
    <m/>
    <x v="5"/>
    <s v="rame verifié Puissance 32,9 ; vswr bon "/>
    <s v="H.O Complet entre 207 et 208"/>
    <s v="dl Rxqual=0"/>
    <s v="dl rx level= -51 dbm"/>
    <s v="OK"/>
    <s v="OK"/>
    <s v="Mauvais "/>
    <s v="retransmission des trames HDLC*5"/>
    <m/>
    <m/>
    <m/>
    <m/>
    <m/>
    <m/>
    <m/>
    <m/>
    <m/>
  </r>
  <r>
    <n v="32"/>
    <b v="0"/>
    <x v="21"/>
    <d v="1899-12-30T07:43:25"/>
    <n v="1001"/>
    <x v="7"/>
    <x v="1"/>
    <n v="1041"/>
    <n v="35214500045477"/>
    <s v="Casa/Tanger"/>
    <n v="111.97499999999999"/>
    <x v="17"/>
    <s v="N2"/>
    <s v="Ralentissement du train"/>
    <s v="H.O complet  entre 321 et 320,Bonne  qualité /niveau  de signal Requête de déconnexion a été envoyé par RBC"/>
    <m/>
    <x v="0"/>
    <s v="En attente de verification de la chaine antennaire de la rame "/>
    <s v="H.O Complet entre 321 et 320"/>
    <s v="dl Rxqual=0"/>
    <s v="dl rx level= -48 dbm"/>
    <s v="OK"/>
    <s v="OK"/>
    <s v="Mauvais "/>
    <s v="retransmission des trames HDLC*5"/>
    <m/>
    <m/>
    <m/>
    <m/>
    <m/>
    <m/>
    <m/>
    <m/>
    <m/>
  </r>
  <r>
    <n v="33"/>
    <b v="0"/>
    <x v="21"/>
    <d v="1899-12-30T10:39:30"/>
    <n v="1013"/>
    <x v="0"/>
    <x v="1"/>
    <n v="1045"/>
    <n v="35214500045098"/>
    <s v="Casa/Tanger"/>
    <n v="125.206"/>
    <x v="6"/>
    <s v="N2"/>
    <s v="Ralentissement du train"/>
    <s v="H.O complet  entre 323 et 222,Bonne  qualité /niveau  de signal Requête de déconnexion a été envoyé par RBC"/>
    <m/>
    <x v="1"/>
    <s v="Rame verifié par SMMRGV &quot; Puissance 36,68 ; VSWR bon . Verification des tilts mecanique &quot;bon&quot; , switching des cartes radio &quot; aucune amélioration&quot; ;   "/>
    <s v="H.O Complet entre 323 et 222"/>
    <s v="dl Rxqual=0"/>
    <s v="dl rx level= -48 dbm"/>
    <s v="OK"/>
    <s v="OK"/>
    <s v="Mauvais "/>
    <s v="retransmission des trames HDLC*5"/>
    <m/>
    <m/>
    <m/>
    <m/>
    <m/>
    <m/>
    <m/>
    <m/>
    <m/>
  </r>
  <r>
    <n v="34"/>
    <b v="0"/>
    <x v="21"/>
    <d v="1899-12-30T09:12:45"/>
    <n v="2013"/>
    <x v="7"/>
    <x v="0"/>
    <n v="1054"/>
    <n v="35214500022752"/>
    <s v="Tanger/Casa"/>
    <n v="26.739000000000001"/>
    <x v="7"/>
    <s v="N2"/>
    <s v="Ralentissement du train"/>
    <s v="H.O complet  entre 205 et 206,Bonne  qualité /niveau  de signal Requête de déconnexion a été envoyé par RBC"/>
    <m/>
    <x v="0"/>
    <s v="En attente de verification de la chaine antennaire de la rame "/>
    <s v="H.O Complet entre 205 et 206"/>
    <s v="dl Rxqual=0"/>
    <s v="dl rx level= -62 dbm"/>
    <s v="OK"/>
    <s v="OK"/>
    <s v="Mauvais "/>
    <s v="retransmission des trames HDLC*5"/>
    <m/>
    <m/>
    <m/>
    <m/>
    <m/>
    <m/>
    <m/>
    <m/>
    <m/>
  </r>
  <r>
    <n v="35"/>
    <b v="0"/>
    <x v="22"/>
    <d v="1899-12-30T10:43:18"/>
    <n v="2017"/>
    <x v="1"/>
    <x v="0"/>
    <n v="1029"/>
    <n v="35214500045449"/>
    <s v="Tanger/Casa"/>
    <n v="179.149"/>
    <x v="4"/>
    <s v="N2"/>
    <s v="Ralentissement du train"/>
    <s v="H.O Failure  entre 330 et 331,Bonne  qualité /niveau  de signal Requête de déconnexion a été envoyé par le Bord"/>
    <m/>
    <x v="3"/>
    <m/>
    <s v="H.O non finalisé entre 330 et 231"/>
    <s v="dl Rxqual=0"/>
    <s v="dl rx level= -68 dbm"/>
    <s v="OK"/>
    <s v="OK"/>
    <s v="Bon"/>
    <s v="retransmission des trames HDLC*4"/>
    <m/>
    <m/>
    <m/>
    <m/>
    <m/>
    <m/>
    <m/>
    <m/>
    <m/>
  </r>
  <r>
    <n v="36"/>
    <b v="0"/>
    <x v="22"/>
    <d v="1899-12-30T18:20:34"/>
    <n v="2049"/>
    <x v="4"/>
    <x v="0"/>
    <n v="1058"/>
    <n v="35214500044293"/>
    <s v="Tanger/Casa"/>
    <n v="66.701999999999998"/>
    <x v="0"/>
    <s v="N2"/>
    <s v="Ralentissement du train"/>
    <s v="H.O complet  entre 211 et 212,Bonne  qualité /niveau  de signal Requête de déconnexion a été envoyé par RBC"/>
    <m/>
    <x v="0"/>
    <s v="dans l'attente de verification de la rame 1209 "/>
    <s v="H.O Complet entre 211 et 212"/>
    <s v="dl Rxqual=0"/>
    <s v="dl rx level= -47 dbm"/>
    <s v="OK"/>
    <s v="OK"/>
    <m/>
    <s v="retransmission des trames HDLC*5"/>
    <m/>
    <m/>
    <m/>
    <m/>
    <m/>
    <m/>
    <m/>
    <m/>
    <m/>
  </r>
  <r>
    <n v="37"/>
    <b v="0"/>
    <x v="23"/>
    <d v="1899-12-30T22:34:09"/>
    <n v="1061"/>
    <x v="6"/>
    <x v="1"/>
    <n v="1020"/>
    <n v="35214500045494"/>
    <s v="Casa/Tanger"/>
    <n v="153.68600000000001"/>
    <x v="18"/>
    <s v="N2"/>
    <s v="Arrêt du train"/>
    <s v="H.O Failure  entre 327 et 326,Bonne  qualité /niveau  de signal Requête de déconnexion a été envoyé par le RBC"/>
    <m/>
    <x v="0"/>
    <s v="reverification de la rame 1212 M2"/>
    <s v="H.O non finalisé entre 327 et 326"/>
    <s v="dl Rxqual=0"/>
    <s v="dl rx level= -64 dbm"/>
    <s v="OK"/>
    <s v="OK"/>
    <m/>
    <s v="retransmission des trames HDLC*5"/>
    <m/>
    <m/>
    <m/>
    <m/>
    <m/>
    <m/>
    <m/>
    <m/>
    <m/>
  </r>
  <r>
    <n v="38"/>
    <b v="0"/>
    <x v="24"/>
    <d v="1899-12-30T18:25:39"/>
    <m/>
    <x v="5"/>
    <x v="1"/>
    <n v="1027"/>
    <m/>
    <s v="Casa/Tanger"/>
    <n v="186.87"/>
    <x v="19"/>
    <s v="N2"/>
    <s v="Ralentissement du train"/>
    <s v="H.O complet  entre 234 et 233,Bonne  qualité /niveau  de signal Requête de déconnexion a été envoyé par RBC"/>
    <m/>
    <x v="6"/>
    <s v="Des requêtes envoyé par le bord , aucune reponse cote RBC"/>
    <s v="H.O Complet entre 234 et 233"/>
    <s v="dl Rxqual=2"/>
    <s v="dl rx level= -69 dbm"/>
    <m/>
    <s v="NOK"/>
    <m/>
    <s v="retransmission des trames HDLC*5"/>
    <m/>
    <m/>
    <m/>
    <m/>
    <m/>
    <m/>
    <m/>
    <m/>
    <m/>
  </r>
  <r>
    <n v="39"/>
    <b v="0"/>
    <x v="24"/>
    <d v="1899-12-30T08:42:08"/>
    <n v="1005"/>
    <x v="0"/>
    <x v="1"/>
    <n v="1045"/>
    <n v="35214500045098"/>
    <s v="Casa/Tanger"/>
    <n v="111.97499999999999"/>
    <x v="17"/>
    <s v="N2"/>
    <s v="Ralentissement du train"/>
    <s v="H.O complet  entre 321 et 320,Bonne  qualité /niveau  de signal Requête de déconnexion a été envoyé par RBC"/>
    <m/>
    <x v="0"/>
    <s v="Ecart de la rame mauvais ; à verifier"/>
    <s v="H.O Complet entre 321 et 320"/>
    <s v="dl Rxqual=0"/>
    <s v="dl rx level= -48 dbm"/>
    <s v="OK"/>
    <s v="OK"/>
    <m/>
    <s v="retransmission des trames HDLC*5"/>
    <m/>
    <m/>
    <m/>
    <m/>
    <m/>
    <m/>
    <m/>
    <m/>
    <m/>
  </r>
  <r>
    <n v="40"/>
    <b v="0"/>
    <x v="24"/>
    <d v="1899-12-30T13:38:28"/>
    <n v="1025"/>
    <x v="2"/>
    <x v="1"/>
    <n v="1051"/>
    <n v="35214500045495"/>
    <s v="Casa/Tanger"/>
    <n v="130.48400000000001"/>
    <x v="10"/>
    <s v="N2"/>
    <s v="Ralentissement du train"/>
    <s v="H.O complet  entre 324 et 223,Bonne  qualité /niveau  de signal Requête de déconnexion a été envoyé par RBC"/>
    <m/>
    <x v="0"/>
    <m/>
    <s v="H.O Complet entre 324 et 223"/>
    <s v="dl Rxqual=0"/>
    <s v="dl rx level= -48 dbm"/>
    <s v="OK"/>
    <s v="OK"/>
    <m/>
    <s v="retransmission des trames HDLC*5"/>
    <m/>
    <m/>
    <m/>
    <m/>
    <m/>
    <m/>
    <m/>
    <m/>
    <m/>
  </r>
  <r>
    <n v="41"/>
    <b v="0"/>
    <x v="25"/>
    <d v="1899-12-30T10:48:25"/>
    <n v="1013"/>
    <x v="9"/>
    <x v="1"/>
    <n v="1031"/>
    <m/>
    <s v="Casa/Tanger"/>
    <n v="79.281999999999996"/>
    <x v="11"/>
    <s v="N2"/>
    <s v="Ralentissement du train"/>
    <s v="H.O complet  entre 315 et 314,Bonne  qualité /niveau  de signal Requête de déconnexion a été envoyé par RBC"/>
    <m/>
    <x v="5"/>
    <m/>
    <s v="H.O Complet entre 315 et 314"/>
    <s v="dl Rxqual=0"/>
    <s v="dl rx level= -52 dbm"/>
    <m/>
    <s v="OK"/>
    <s v="Bon"/>
    <s v="retransmission des trames HDLC*5"/>
    <m/>
    <m/>
    <m/>
    <m/>
    <m/>
    <m/>
    <m/>
    <m/>
    <m/>
  </r>
  <r>
    <n v="42"/>
    <b v="0"/>
    <x v="26"/>
    <d v="1899-12-30T22:48:24"/>
    <n v="1061"/>
    <x v="3"/>
    <x v="1"/>
    <n v="1008"/>
    <n v="35214500045654"/>
    <s v="Casa/Tanger"/>
    <n v="81.777000000000001"/>
    <x v="15"/>
    <s v="N2"/>
    <s v="Ralentissement du train"/>
    <s v="H.O complet  entre 216 et 315,Bonne  qualité /niveau  de signal Requête de déconnexion a été envoyé par le RBC"/>
    <m/>
    <x v="5"/>
    <m/>
    <s v="H.O Complet entre 216 et 315"/>
    <s v="dl Rxqual=3"/>
    <s v="dl rx level= -68 dbm"/>
    <s v="OK"/>
    <s v="OK"/>
    <m/>
    <s v="retransmission des trames HDLC*5"/>
    <m/>
    <m/>
    <m/>
    <m/>
    <m/>
    <m/>
    <m/>
    <m/>
    <m/>
  </r>
  <r>
    <n v="43"/>
    <b v="0"/>
    <x v="26"/>
    <d v="1899-12-30T08:10:40"/>
    <n v="2009"/>
    <x v="0"/>
    <x v="0"/>
    <n v="1036"/>
    <n v="35214500045461"/>
    <s v="Tanger/Casa"/>
    <n v="21.55"/>
    <x v="20"/>
    <s v="N2"/>
    <s v="Ralentissement du train"/>
    <s v="H.O complet  entre 204 et 205,Bonne  qualité /niveau  de signal Requête de déconnexion a été envoyé par le RBC"/>
    <m/>
    <x v="5"/>
    <s v="Puissance de la rame 1208 M1 dégradé"/>
    <s v="H.O Complet entre 204 et 205"/>
    <s v="dl Rxqual=0"/>
    <s v="dl rx level= -48 dbm"/>
    <s v="OK"/>
    <s v="OK"/>
    <m/>
    <s v="retransmission des trames HDLC*5"/>
    <m/>
    <m/>
    <m/>
    <m/>
    <m/>
    <m/>
    <m/>
    <m/>
    <m/>
  </r>
  <r>
    <n v="44"/>
    <b v="0"/>
    <x v="27"/>
    <d v="1899-12-30T09:51:04"/>
    <m/>
    <x v="8"/>
    <x v="1"/>
    <n v="1023"/>
    <n v="35214500045408"/>
    <s v="Casa/Tanger"/>
    <n v="87.186999999999998"/>
    <x v="12"/>
    <s v="N2"/>
    <s v="Arrêt du train"/>
    <s v="H.O complet  entre 317 et 316,Bonne  qualité /niveau  de signal Requête de déconnexion a été envoyé par le RBC , absence de réponse coté bord , dans l'attente d'analyse des traces JRU"/>
    <m/>
    <x v="0"/>
    <m/>
    <s v="H.O Complet entre 317 et 316"/>
    <s v="dl Rxqual=2"/>
    <s v="dl rx level= -48 dbm"/>
    <s v="OK"/>
    <s v="OK"/>
    <m/>
    <s v="retransmission des trames HDLC*5"/>
    <m/>
    <m/>
    <m/>
    <m/>
    <m/>
    <m/>
    <m/>
    <m/>
    <m/>
  </r>
  <r>
    <n v="45"/>
    <b v="0"/>
    <x v="27"/>
    <d v="1899-12-30T11:19:34"/>
    <n v="2021"/>
    <x v="8"/>
    <x v="0"/>
    <n v="1043"/>
    <n v="35214500045200"/>
    <s v="Tanger/Casa"/>
    <n v="64.387"/>
    <x v="21"/>
    <s v="N2"/>
    <s v="Ralentissement du train"/>
    <s v="H.O Failure  entre 211 et 212,Bonne  qualité /niveau  de signal Requête de déconnexion a été envoyé par le RBC"/>
    <m/>
    <x v="2"/>
    <m/>
    <s v="H.O non finalisé entre 211 et 212 "/>
    <s v="dl Rxqual=2"/>
    <s v="dl rx level= -68 dbm"/>
    <s v="OK"/>
    <s v="OK"/>
    <m/>
    <s v="retransmission des trames HDLC*5"/>
    <m/>
    <m/>
    <m/>
    <m/>
    <m/>
    <m/>
    <m/>
    <m/>
    <m/>
  </r>
  <r>
    <n v="46"/>
    <b v="0"/>
    <x v="28"/>
    <d v="1899-12-30T09:25:30"/>
    <n v="1010"/>
    <x v="2"/>
    <x v="1"/>
    <n v="1050"/>
    <n v="35214500045357"/>
    <s v="Casa/Tanger"/>
    <n v="188.245"/>
    <x v="5"/>
    <s v="N2"/>
    <s v="Ralentissement du train"/>
    <s v="H.O complet  entre 234 et 233,Bonne  qualité /niveau  de signal Requête de déconnexion a été envoyé par le RBC"/>
    <m/>
    <x v="0"/>
    <s v="verification de la chaine antennaire"/>
    <s v="H.O Complet entre 234 et 233"/>
    <s v="dl Rxqual=2"/>
    <s v="dl rx level= -48 dbm"/>
    <s v="OK"/>
    <s v="OK"/>
    <m/>
    <s v="retransmission des trames HDLC*5"/>
    <m/>
    <m/>
    <m/>
    <m/>
    <m/>
    <m/>
    <m/>
    <m/>
    <m/>
  </r>
  <r>
    <n v="47"/>
    <b v="0"/>
    <x v="28"/>
    <d v="1899-12-30T09:38:33"/>
    <n v="1010"/>
    <x v="2"/>
    <x v="1"/>
    <n v="1051"/>
    <n v="35214500045495"/>
    <s v="Casa/Tanger"/>
    <n v="186.87"/>
    <x v="19"/>
    <s v="N2"/>
    <s v="Arrêt du train"/>
    <s v="H.O complet  entre 333 et 332,Bonne  qualité /niveau  de signal Requête de déconnexion a été envoyé a travers la BTS"/>
    <m/>
    <x v="0"/>
    <s v="verification de la chaine antennaire"/>
    <s v="H.O Complet entre 333 et 332"/>
    <s v="dl Rxqual=0"/>
    <s v="dl rx level= -50 dbm"/>
    <s v="OK"/>
    <s v="OK"/>
    <m/>
    <m/>
    <m/>
    <m/>
    <m/>
    <m/>
    <m/>
    <m/>
    <m/>
    <m/>
    <m/>
  </r>
  <r>
    <n v="48"/>
    <b v="0"/>
    <x v="28"/>
    <d v="1899-12-30T10:26:03"/>
    <n v="1010"/>
    <x v="2"/>
    <x v="1"/>
    <n v="1051"/>
    <n v="35214500045495"/>
    <s v="Casa/Tanger"/>
    <n v="7.3209999999999997"/>
    <x v="2"/>
    <s v="N2"/>
    <s v="Ralentissement du train"/>
    <s v="H.O complet  entre 303 et 202,Bonne  qualité /niveau  de signal Requête de déconnexion a été envoyé par le Bord"/>
    <m/>
    <x v="0"/>
    <s v="verification de la chaine antennaire"/>
    <s v="H.O Complet entre 303 et 202"/>
    <m/>
    <m/>
    <s v="OK"/>
    <s v="OK"/>
    <m/>
    <s v="retransmission des trames HDLC*4"/>
    <m/>
    <m/>
    <m/>
    <m/>
    <m/>
    <m/>
    <m/>
    <m/>
    <m/>
  </r>
  <r>
    <n v="49"/>
    <b v="0"/>
    <x v="28"/>
    <d v="1899-12-30T11:08:38"/>
    <n v="2021"/>
    <x v="9"/>
    <x v="0"/>
    <n v="4497"/>
    <m/>
    <s v="Tanger/Casa"/>
    <n v="14.99"/>
    <x v="22"/>
    <s v="N2"/>
    <s v="Ralentissement du train"/>
    <s v="H.O complet  entre 303 et 204,Bonne  qualité /niveau  de signal Requête de déconnexion a été envoyé par RBC"/>
    <m/>
    <x v="5"/>
    <m/>
    <s v="H.O Complet entre 303 et 204"/>
    <s v="dl Rxqual=0"/>
    <s v="dl rx level= -48 dbm"/>
    <s v="OK"/>
    <s v="OK"/>
    <s v="moyenne"/>
    <s v="retransmission des trames HDLC*5"/>
    <m/>
    <m/>
    <m/>
    <m/>
    <m/>
    <m/>
    <m/>
    <m/>
    <m/>
  </r>
  <r>
    <n v="50"/>
    <b v="0"/>
    <x v="28"/>
    <d v="1899-12-30T18:18:02"/>
    <m/>
    <x v="3"/>
    <x v="0"/>
    <m/>
    <m/>
    <s v="Tanger/Casa"/>
    <n v="58.71"/>
    <x v="23"/>
    <s v="N2"/>
    <s v="Ralentissement du train"/>
    <s v="H.O non finalisé entre 323 et 222,Bonne  qualité /niveau  de signal Requête de déconnexion a été envoyé par RBC"/>
    <m/>
    <x v="0"/>
    <s v="experimentation coté bord le 15/02/2024"/>
    <s v="H.O Complet entre 210 et 211"/>
    <s v="dl Rxqual=0"/>
    <s v="dl rx level= -67 dbm"/>
    <s v="OK"/>
    <s v="OK"/>
    <m/>
    <s v="retransmission des trames HDLC*5"/>
    <m/>
    <m/>
    <m/>
    <m/>
    <m/>
    <m/>
    <m/>
    <m/>
    <m/>
  </r>
  <r>
    <n v="51"/>
    <b v="0"/>
    <x v="29"/>
    <d v="1899-12-30T09:39:41"/>
    <n v="1009"/>
    <x v="4"/>
    <x v="1"/>
    <m/>
    <m/>
    <s v="Casa/Tanger"/>
    <n v="125.206"/>
    <x v="6"/>
    <s v="N2"/>
    <s v="Arrêt du train"/>
    <s v="H.O complet  entre 323 et 222,Bonne  qualité /niveau  de signal Requête de déconnexion a été envoyé par RBC"/>
    <m/>
    <x v="3"/>
    <s v="fonctionement anormal du RBC &quot;AUI non justifié&quot; ; attente reception de rapport de conduite"/>
    <s v="H.O Complet entre 323 et 222"/>
    <s v="dl Rxqual=0"/>
    <s v="dl rx level= -48 dbm"/>
    <s v="OK"/>
    <s v="OK"/>
    <m/>
    <s v="retransmission des trames HDLC*5"/>
    <m/>
    <m/>
    <m/>
    <m/>
    <m/>
    <m/>
    <m/>
    <m/>
    <m/>
  </r>
  <r>
    <n v="52"/>
    <b v="0"/>
    <x v="29"/>
    <d v="1899-12-30T11:44:18"/>
    <n v="1017"/>
    <x v="1"/>
    <x v="1"/>
    <m/>
    <m/>
    <s v="Casa/Tanger"/>
    <n v="101.587"/>
    <x v="24"/>
    <s v="N2"/>
    <s v="Ralentissement du train"/>
    <s v="H.O complet  entre 319 et 318,  qualité de signal moyenne ,Requête de déconnexion a été envoyé par RBC"/>
    <m/>
    <x v="5"/>
    <m/>
    <s v="H.O Complet entre 319 et 318"/>
    <s v="dl Rxqual=4"/>
    <s v="dl rx level= -57 dbm"/>
    <s v="OK"/>
    <s v="OK"/>
    <m/>
    <s v="retransmission des trames HDLC*4"/>
    <m/>
    <m/>
    <m/>
    <m/>
    <m/>
    <m/>
    <m/>
    <m/>
    <m/>
  </r>
  <r>
    <n v="53"/>
    <b v="0"/>
    <x v="30"/>
    <d v="1899-12-30T22:38:48"/>
    <n v="1061"/>
    <x v="3"/>
    <x v="1"/>
    <n v="1007"/>
    <m/>
    <s v="Casa/Tanger"/>
    <n v="127.815"/>
    <x v="6"/>
    <s v="N2"/>
    <s v="Ralentissement du train"/>
    <s v="H.O Failure  entre 223 et 321,Mauvaise qualité /niveau  de signal Requête de déconnexion a été envoyé par le Bord"/>
    <m/>
    <x v="2"/>
    <m/>
    <s v="saut de la cellule 22"/>
    <s v="dl Rxqual=6"/>
    <s v="dl rx level= -77 dbm"/>
    <s v="OK"/>
    <s v="OK"/>
    <s v="Mauvais"/>
    <s v="retransmission des trames HDLC*4"/>
    <m/>
    <m/>
    <m/>
    <m/>
    <m/>
    <m/>
    <m/>
    <m/>
    <m/>
  </r>
  <r>
    <n v="54"/>
    <b v="0"/>
    <x v="30"/>
    <d v="1899-12-30T09:45:59"/>
    <n v="1009"/>
    <x v="3"/>
    <x v="1"/>
    <n v="1008"/>
    <n v="35214500045654"/>
    <s v="Casa/Tanger"/>
    <n v="94.953999999999994"/>
    <x v="8"/>
    <s v="N2"/>
    <s v="Ralentissement du train"/>
    <s v="H.O non finalisé entre 318 et 217,Mauvaise qualité /niveau  de signal Requête de déconnexion a été envoyé par Bord"/>
    <m/>
    <x v="2"/>
    <m/>
    <s v="H.O non finalisé entre 318 et 217"/>
    <s v="dl Rxqual=7"/>
    <s v="dl rx level= -85 dbm"/>
    <s v="OK"/>
    <s v="OK"/>
    <s v="Mauvais"/>
    <s v="retransmission des trames HDLC*5"/>
    <m/>
    <m/>
    <m/>
    <m/>
    <m/>
    <m/>
    <m/>
    <m/>
    <m/>
  </r>
  <r>
    <n v="55"/>
    <b v="0"/>
    <x v="30"/>
    <d v="1899-12-30T19:58:47"/>
    <n v="1049"/>
    <x v="2"/>
    <x v="1"/>
    <n v="1050"/>
    <n v="35214500045357"/>
    <s v="Casa/Tanger"/>
    <n v="32.625999999999998"/>
    <x v="25"/>
    <s v="N2"/>
    <s v="Ralentissement du train"/>
    <s v="H.O Failure  entre 307 et 306,Bonne qualité /niveau  de signal Requête de déconnexion a été envoyé par le Bord"/>
    <m/>
    <x v="0"/>
    <m/>
    <s v="H.O non finalisé entre 307 et 306"/>
    <s v="dl Rxqual=0"/>
    <s v="dl rx level= -62 dbm"/>
    <s v="NOK"/>
    <s v="OK"/>
    <m/>
    <s v="retransmission des trames HDLC*5"/>
    <m/>
    <m/>
    <m/>
    <m/>
    <m/>
    <m/>
    <m/>
    <m/>
    <m/>
  </r>
  <r>
    <n v="56"/>
    <b v="0"/>
    <x v="30"/>
    <d v="1899-12-30T18:35:30"/>
    <n v="2049"/>
    <x v="10"/>
    <x v="0"/>
    <n v="7198"/>
    <m/>
    <s v="Tanger/Casa"/>
    <n v="141.898"/>
    <x v="26"/>
    <s v="N2"/>
    <s v="Ralentissement du train"/>
    <s v="H.O complet  entre 224 et 225,Bonne  qualité /niveau  de signal Requête de déconnexion a été envoyé par RBC"/>
    <m/>
    <x v="0"/>
    <m/>
    <s v="H.O Complet entre 224 et 225"/>
    <s v="dl Rxqual=0"/>
    <s v="dl rx level= -71 dbm"/>
    <s v="OK"/>
    <s v="OK"/>
    <m/>
    <s v="retransmission des trames HDLC*5"/>
    <m/>
    <m/>
    <m/>
    <m/>
    <m/>
    <m/>
    <m/>
    <m/>
    <m/>
  </r>
  <r>
    <n v="57"/>
    <b v="0"/>
    <x v="31"/>
    <d v="1899-12-30T21:23:39"/>
    <n v="2061"/>
    <x v="6"/>
    <x v="0"/>
    <n v="1056"/>
    <n v="35214500045217"/>
    <s v="Tanger/Casa"/>
    <n v="87.655000000000001"/>
    <x v="12"/>
    <s v="N2"/>
    <s v="Ralentissement du train"/>
    <s v="H.O complet  entre 215 et 216, qualité de signal moyenne  ,Requête de déconnexion a été envoyé par RBC"/>
    <m/>
    <x v="0"/>
    <m/>
    <s v="H.O Complet entre 215 et 216"/>
    <s v="dl Rxqual=4"/>
    <s v="dl rx level= -67 dbm"/>
    <s v="OK"/>
    <s v="OK"/>
    <m/>
    <s v="retransmission des trames HDLC*5"/>
    <m/>
    <m/>
    <m/>
    <m/>
    <m/>
    <m/>
    <m/>
    <m/>
    <m/>
  </r>
  <r>
    <n v="58"/>
    <b v="0"/>
    <x v="32"/>
    <d v="1899-12-30T11:24:41"/>
    <n v="2021"/>
    <x v="8"/>
    <x v="0"/>
    <n v="1043"/>
    <n v="35214500045200"/>
    <s v="Tanger/Casa"/>
    <n v="91.364999999999995"/>
    <x v="12"/>
    <s v="N2"/>
    <s v="Ralentissement du train"/>
    <s v="H.O complet  entre 216 et 217,Bonne qualité de signal   ,Requête de déconnexion a été envoyé par RBC"/>
    <m/>
    <x v="5"/>
    <m/>
    <s v="H.O Complet entre 216 et 217"/>
    <s v="dl Rxqual=0"/>
    <s v="dl rx level= -48 dbm"/>
    <s v="OK"/>
    <s v="OK"/>
    <m/>
    <s v="retransmission des trames HDLC*5"/>
    <m/>
    <m/>
    <m/>
    <m/>
    <m/>
    <m/>
    <m/>
    <m/>
    <m/>
  </r>
  <r>
    <n v="59"/>
    <b v="0"/>
    <x v="32"/>
    <d v="1899-12-30T16:09:12"/>
    <n v="2041"/>
    <x v="9"/>
    <x v="0"/>
    <n v="1052"/>
    <n v="35214500043740"/>
    <s v="Tanger/Casa"/>
    <n v="14.99"/>
    <x v="22"/>
    <s v="N2"/>
    <s v="Ralentissement du train"/>
    <s v="H.O complet  entre 203 et 204,qualité de signal moyenne  ,Requête de déconnexion a été envoyé par RBC"/>
    <m/>
    <x v="0"/>
    <m/>
    <s v="H.O Complet entre 203 et 204"/>
    <s v="dl Rxqual=4"/>
    <s v="dl rx level= -81 dbm"/>
    <s v="OK"/>
    <s v="OK"/>
    <s v="Mauvais"/>
    <s v="retransmission des trames HDLC*5"/>
    <m/>
    <m/>
    <m/>
    <m/>
    <m/>
    <m/>
    <m/>
    <m/>
    <m/>
  </r>
  <r>
    <n v="60"/>
    <b v="0"/>
    <x v="33"/>
    <d v="1899-12-30T09:52:54"/>
    <n v="1010"/>
    <x v="4"/>
    <x v="1"/>
    <n v="1032"/>
    <n v="35214500040638"/>
    <s v="Casa/Tanger"/>
    <n v="94.953999999999994"/>
    <x v="8"/>
    <s v="N2"/>
    <s v="Ralentissement du train"/>
    <s v="H.O Failure  entre 318 et 217,mauvaise   qualité /niveau  de signal Requête de déconnexion a été envoyé par le Bord"/>
    <m/>
    <x v="0"/>
    <s v="dans l'attente de verification de la rame 1209 "/>
    <s v="H.O non finalisé entre 318 et 217"/>
    <s v="dl Rxqual=7"/>
    <s v="dl rx level= -78 dbm"/>
    <s v="OK"/>
    <s v="OK"/>
    <m/>
    <s v="retransmission des trames HDLC*4"/>
    <m/>
    <m/>
    <m/>
    <m/>
    <m/>
    <m/>
    <m/>
    <m/>
    <m/>
  </r>
  <r>
    <n v="61"/>
    <b v="0"/>
    <x v="33"/>
    <d v="1899-12-30T10:45:29"/>
    <m/>
    <x v="2"/>
    <x v="1"/>
    <n v="1035"/>
    <n v="35214500046011"/>
    <s v="Casa/Tanger"/>
    <n v="94.953999999999994"/>
    <x v="8"/>
    <s v="N2"/>
    <s v="Ralentissement du train"/>
    <s v="H.O Failure  entre 318 et 217,mauvaise   qualité /niveau  de signal Requête de déconnexion a été envoyé par le Bord"/>
    <m/>
    <x v="0"/>
    <s v="Tiroir remplacé  de la 1205 motrice 2 le 21/02/2024"/>
    <s v="H.O non finalisé entre 318 et 217"/>
    <s v="dl Rxqual=7"/>
    <s v="dl rx level= -80 dbm"/>
    <s v="OK"/>
    <s v="OK"/>
    <m/>
    <s v="pas de retransmission des trames HDLC"/>
    <m/>
    <m/>
    <m/>
    <m/>
    <m/>
    <m/>
    <m/>
    <m/>
    <m/>
  </r>
  <r>
    <n v="62"/>
    <b v="0"/>
    <x v="33"/>
    <d v="1899-12-30T18:35:25"/>
    <n v="1045"/>
    <x v="1"/>
    <x v="1"/>
    <n v="3063"/>
    <n v="35214500046055"/>
    <s v="Casa/Tanger"/>
    <n v="153.68600000000001"/>
    <x v="18"/>
    <s v="N2"/>
    <s v="Ralentissement du train"/>
    <s v="H.O complet  entre 327 et 326,Bonne  qualité de signal  ,Requête de déconnexion a été envoyé par RBC"/>
    <m/>
    <x v="0"/>
    <m/>
    <s v="H.O Complet entre 327 et 326"/>
    <s v="dl Rxqual=2"/>
    <s v="dl rx level= -61 dbm"/>
    <s v="OK"/>
    <s v="OK"/>
    <s v="Mauvais"/>
    <s v="retransmission des trames HDLC*5"/>
    <m/>
    <m/>
    <m/>
    <m/>
    <m/>
    <m/>
    <m/>
    <m/>
    <m/>
  </r>
  <r>
    <n v="63"/>
    <b v="0"/>
    <x v="33"/>
    <d v="1899-12-30T19:12:24"/>
    <n v="2053"/>
    <x v="2"/>
    <x v="0"/>
    <n v="7218"/>
    <n v="35214500045735"/>
    <s v="Tanger/Casa"/>
    <n v="28.457000000000001"/>
    <x v="7"/>
    <s v="N2"/>
    <s v="Arrêt du train"/>
    <s v="H.O complet  entre 205 et 206,  Bonne qualité de signal  ,Requête de déconnexion a été envoyé par RBC"/>
    <m/>
    <x v="0"/>
    <m/>
    <s v="H.O Complet entre 205 et 206"/>
    <s v="dl Rxqual=0"/>
    <s v="dl rx level= -47 dbm"/>
    <s v="OK"/>
    <s v="OK"/>
    <m/>
    <s v="retransmission des trames HDLC*5"/>
    <m/>
    <m/>
    <m/>
    <m/>
    <m/>
    <m/>
    <m/>
    <m/>
    <m/>
  </r>
  <r>
    <n v="64"/>
    <b v="0"/>
    <x v="33"/>
    <d v="1899-12-30T19:48:31"/>
    <m/>
    <x v="2"/>
    <x v="0"/>
    <n v="7218"/>
    <n v="35214500045735"/>
    <s v="Tanger/Casa"/>
    <n v="126.51"/>
    <x v="6"/>
    <s v="N2"/>
    <s v="Arrêt du train"/>
    <s v="H.O Failure  entre 222 et 323,mauvaise   qualité /niveau  de signal Requête de déconnexion a été envoyé par le Bord"/>
    <m/>
    <x v="0"/>
    <m/>
    <s v="H.O non finalisé entre 222 et 323"/>
    <s v="dl Rxqual=7"/>
    <s v="dl rx level= -110 dbm"/>
    <s v="OK"/>
    <s v="OK"/>
    <m/>
    <s v="retransmission des trames HDLC*5"/>
    <m/>
    <m/>
    <m/>
    <m/>
    <m/>
    <m/>
    <m/>
    <m/>
    <m/>
  </r>
  <r>
    <n v="65"/>
    <b v="0"/>
    <x v="34"/>
    <d v="1899-12-30T17:31:25"/>
    <m/>
    <x v="9"/>
    <x v="1"/>
    <n v="1031"/>
    <n v="35214500045491"/>
    <s v="Casa/Tanger"/>
    <n v="169.06"/>
    <x v="27"/>
    <s v="N2"/>
    <s v="Ralentissement du train"/>
    <s v="H.O complet  entre 330 et 329,  Bonne qualité de signal  ,Requête de déconnexion a été envoyé par RBC"/>
    <m/>
    <x v="0"/>
    <s v="A planifier apres"/>
    <s v="H.O Complet entre 330 et 329"/>
    <s v="dl Rxqual=5"/>
    <s v="dl rx level= -47 dbm"/>
    <s v="OK"/>
    <s v="OK"/>
    <m/>
    <s v="retransmission des trames HDLC*5"/>
    <m/>
    <m/>
    <m/>
    <m/>
    <m/>
    <m/>
    <m/>
    <m/>
    <m/>
  </r>
  <r>
    <n v="66"/>
    <b v="0"/>
    <x v="34"/>
    <d v="1899-12-30T18:51:52"/>
    <n v="1045"/>
    <x v="7"/>
    <x v="1"/>
    <n v="1041"/>
    <n v="35214500045477"/>
    <s v="Casa/Tanger"/>
    <n v="68.656000000000006"/>
    <x v="0"/>
    <s v="N2"/>
    <s v="Ralentissement du train"/>
    <s v="H.O Failure  entre 313 et 212,mauvaise   qualité /niveau  de signal Requête de déconnexion a été envoyé par le Bord"/>
    <m/>
    <x v="0"/>
    <s v="Planification Urgent pour verification par la SMMRGV"/>
    <s v="H.O non finalisé entre 313 et 212"/>
    <s v="dl Rxqual=7"/>
    <s v="dl rx level= -110 dbm"/>
    <s v="OK"/>
    <s v="OK"/>
    <m/>
    <s v="retransmission des trames HDLC*5"/>
    <m/>
    <m/>
    <m/>
    <m/>
    <m/>
    <m/>
    <m/>
    <m/>
    <m/>
  </r>
  <r>
    <n v="67"/>
    <b v="0"/>
    <x v="35"/>
    <d v="1899-12-30T06:58:14"/>
    <n v="10075"/>
    <x v="4"/>
    <x v="1"/>
    <n v="1032"/>
    <n v="35214500040638"/>
    <s v="Casa/Tanger"/>
    <n v="167.761"/>
    <x v="28"/>
    <s v="N2"/>
    <s v="Ralentissement du train"/>
    <s v="H.O complet  entre 330 et 329,  Bonne qualité de signal  ,Requête de déconnexion a été envoyé par RBC"/>
    <m/>
    <x v="0"/>
    <s v="Planification Urgent pour verification par la SMMRGV"/>
    <s v="H.O Complet entre 330 et 329"/>
    <s v="dl Rxqual=0"/>
    <s v="dl rx level= -57 dbm"/>
    <s v="OK"/>
    <s v="OK"/>
    <m/>
    <s v="retransmission des trames HDLC*5"/>
    <m/>
    <m/>
    <m/>
    <m/>
    <m/>
    <m/>
    <m/>
    <m/>
    <m/>
  </r>
  <r>
    <n v="68"/>
    <b v="0"/>
    <x v="35"/>
    <d v="1899-12-30T12:54:53"/>
    <n v="1021"/>
    <x v="10"/>
    <x v="1"/>
    <n v="1061"/>
    <n v="35214500042751"/>
    <s v="Casa/Tanger"/>
    <n v="54.222999999999999"/>
    <x v="29"/>
    <s v="N2"/>
    <s v="Arrêt du train"/>
    <s v="H.O complet  entre 224 et 323,  Bonne qualité de signal  ,Requête de déconnexion a été envoyé par RBC"/>
    <m/>
    <x v="0"/>
    <s v="A planifier apres"/>
    <s v="H.O Complet entre 224 et 323"/>
    <s v="dl Rxqual=1"/>
    <s v="dl rx level= -66 dbm"/>
    <s v="OK"/>
    <s v="OK"/>
    <m/>
    <s v="retransmission des trames HDLC*5"/>
    <m/>
    <m/>
    <m/>
    <m/>
    <m/>
    <m/>
    <m/>
    <m/>
    <m/>
  </r>
  <r>
    <n v="69"/>
    <b v="0"/>
    <x v="36"/>
    <d v="1899-12-30T14:02:33"/>
    <m/>
    <x v="6"/>
    <x v="1"/>
    <n v="1072"/>
    <n v="35214500045424"/>
    <s v="Casa/Tanger"/>
    <n v="14.93"/>
    <x v="22"/>
    <s v="N2"/>
    <s v="Ralentissement du train"/>
    <s v="H.O complet  entre 305 et 204,  qualité de signal moyenne   ,Requête de déconnexion a été envoyé par RBC"/>
    <m/>
    <x v="0"/>
    <s v="Planification Urgent pour verification par la SMMRGV"/>
    <s v="H.O Complet entre 305 et 204"/>
    <s v="dl Rxqual=4"/>
    <s v="dl rx level= -62 dbm"/>
    <s v="OK"/>
    <s v="OK"/>
    <m/>
    <s v="retransmission des trames HDLC*5"/>
    <m/>
    <m/>
    <m/>
    <m/>
    <m/>
    <m/>
    <m/>
    <m/>
    <m/>
  </r>
  <r>
    <n v="70"/>
    <b v="0"/>
    <x v="37"/>
    <d v="1899-12-30T08:38:58"/>
    <n v="2009"/>
    <x v="4"/>
    <x v="0"/>
    <n v="7208"/>
    <n v="35214500004427"/>
    <s v="Tanger/Casa"/>
    <n v="161.72200000000001"/>
    <x v="9"/>
    <s v="N2"/>
    <s v="Ralentissement du train"/>
    <s v="ping pong entre 227 et 228 ,Bonne qualité de signal Requête de déconnexion a été envoyé par le RBC"/>
    <m/>
    <x v="0"/>
    <s v="Planification Urgent pour verification par la SMMRGV"/>
    <s v="Ping pong  entre 227 et 228"/>
    <s v="dl Rxqual=2"/>
    <s v="dl rx level= -48 dbm"/>
    <s v="OK"/>
    <s v="OK"/>
    <m/>
    <s v="retransmission des trames HDLC*5"/>
    <m/>
    <m/>
    <m/>
    <m/>
    <m/>
    <m/>
    <m/>
    <m/>
    <m/>
  </r>
  <r>
    <n v="71"/>
    <b v="0"/>
    <x v="38"/>
    <d v="1899-12-30T08:48:13"/>
    <n v="1005"/>
    <x v="7"/>
    <x v="1"/>
    <n v="1041"/>
    <n v="35214500045477"/>
    <s v="Casa/Tanger"/>
    <n v="84.391999999999996"/>
    <x v="15"/>
    <s v="N2"/>
    <s v="Ralentissement du train"/>
    <s v="H.O complet  entre 317 et 216,  Bonne qualité de signal  ,Requête de déconnexion a été envoyé par RBC"/>
    <m/>
    <x v="0"/>
    <s v="Planification Urgent pour verification par la SMMRGV"/>
    <s v="H.O Complet entre 317 et 216"/>
    <s v="dl Rxqual=2"/>
    <s v="dl rx level= -62 dbm"/>
    <s v="OK"/>
    <s v="OK"/>
    <m/>
    <s v="retransmission des trames HDLC*5"/>
    <m/>
    <m/>
    <m/>
    <m/>
    <m/>
    <m/>
    <m/>
    <m/>
    <m/>
  </r>
  <r>
    <n v="72"/>
    <b v="0"/>
    <x v="38"/>
    <d v="1899-12-30T10:08:29"/>
    <n v="2017"/>
    <x v="7"/>
    <x v="0"/>
    <n v="1055"/>
    <n v="35214500036582"/>
    <s v="Tanger/Casa"/>
    <n v="13.712999999999999"/>
    <x v="22"/>
    <s v="N2"/>
    <s v="Ralentissement du train"/>
    <s v="H.O complet  entre 303 et 204,  Bonne qualité de signal  ,Requête de déconnexion a été envoyé par RBC"/>
    <m/>
    <x v="0"/>
    <s v="Planification Urgent pour verification par la SMMRGV"/>
    <s v="H.O Complet entre 303 et 204"/>
    <s v="dl Rxqual=0"/>
    <s v="dl rx level= -58 dbm"/>
    <s v="OK"/>
    <s v="OK"/>
    <m/>
    <s v="retransmission des trames HDLC*5"/>
    <m/>
    <m/>
    <m/>
    <m/>
    <m/>
    <m/>
    <m/>
    <m/>
    <m/>
  </r>
  <r>
    <n v="73"/>
    <b v="0"/>
    <x v="38"/>
    <d v="1899-12-30T19:17:25"/>
    <n v="2053"/>
    <x v="7"/>
    <x v="0"/>
    <n v="1055"/>
    <n v="35214500036582"/>
    <s v="Tanger/Casa"/>
    <n v="57.661999999999999"/>
    <x v="23"/>
    <s v="N2"/>
    <s v="Ralentissement du train"/>
    <s v="H.O complet  entre 209 et 210,  Bonne qualité de signal  ,Requête de déconnexion a été envoyé par RBC"/>
    <m/>
    <x v="0"/>
    <s v="Planification Urgent pour verification par la SMMRGV"/>
    <s v="H.O Complet entre 209 et 210"/>
    <s v="dl Rxqual=0"/>
    <s v="dl rx level= -62 dbm"/>
    <s v="OK"/>
    <s v="OK"/>
    <m/>
    <s v="retransmission des trames HDLC*5"/>
    <m/>
    <m/>
    <m/>
    <m/>
    <m/>
    <m/>
    <m/>
    <m/>
    <m/>
  </r>
  <r>
    <n v="74"/>
    <b v="0"/>
    <x v="39"/>
    <d v="1899-12-30T11:51:53"/>
    <n v="1018"/>
    <x v="4"/>
    <x v="1"/>
    <n v="1032"/>
    <n v="35214500040638"/>
    <s v="Casa/Tanger"/>
    <n v="73.525999999999996"/>
    <x v="13"/>
    <s v="N2"/>
    <s v="Ralentissement du train"/>
    <s v="H.O complet  entre 314 et 313,  Bonne qualité de signal  ,Requête de déconnexion a été envoyé par RBC"/>
    <m/>
    <x v="0"/>
    <s v="Planification Urgent pour verification par la SMMRGV"/>
    <s v="H.O Complet entre 314 et 313"/>
    <s v="dl Rxqual=0"/>
    <s v="dl rx level= -48 dbm"/>
    <s v="OK"/>
    <s v="OK"/>
    <m/>
    <s v="retransmission des trames HDLC*5"/>
    <m/>
    <m/>
    <m/>
    <m/>
    <m/>
    <m/>
    <m/>
    <m/>
    <m/>
  </r>
  <r>
    <n v="75"/>
    <b v="0"/>
    <x v="40"/>
    <d v="1899-12-30T04:29:49"/>
    <n v="2081"/>
    <x v="7"/>
    <x v="0"/>
    <n v="1055"/>
    <n v="35214500036582"/>
    <s v="Tanger/Casa"/>
    <n v="65.513999999999996"/>
    <x v="21"/>
    <s v="N2"/>
    <s v="Ralentissement du train"/>
    <s v="H.O complet  entre 211 et 212,  Bonne qualité de signal  ,Requête de déconnexion a été envoyé par RBC"/>
    <m/>
    <x v="0"/>
    <m/>
    <s v="H.O Complet entre 211 et 212"/>
    <s v="dl Rxqual=0"/>
    <s v="dl rx level= -65 dbm"/>
    <s v="OK"/>
    <s v="OK"/>
    <m/>
    <s v="retransmission des trames HDLC*5"/>
    <m/>
    <m/>
    <m/>
    <m/>
    <m/>
    <m/>
    <m/>
    <m/>
    <m/>
  </r>
  <r>
    <n v="76"/>
    <b v="0"/>
    <x v="40"/>
    <d v="1899-12-30T06:22:31"/>
    <n v="2001"/>
    <x v="0"/>
    <x v="0"/>
    <n v="1037"/>
    <n v="35214500045488"/>
    <s v="Tanger/Casa"/>
    <n v="80.47"/>
    <x v="11"/>
    <s v="N2"/>
    <s v="Ralentissement du train"/>
    <s v="H.O complet  entre 214 et 215,  Bonne qualité de signal  ,Requête de déconnexion a été envoyé par RBC"/>
    <m/>
    <x v="0"/>
    <s v="dans l'attente de verification de la rame "/>
    <s v="H.O Complet entre 214 et 215"/>
    <s v="dl Rxqual=0"/>
    <s v="dl rx level= -56 dbm"/>
    <s v="OK"/>
    <s v="OK"/>
    <m/>
    <s v="retransmission des trames HDLC*5"/>
    <m/>
    <m/>
    <m/>
    <m/>
    <m/>
    <m/>
    <m/>
    <m/>
    <m/>
  </r>
  <r>
    <n v="77"/>
    <b v="0"/>
    <x v="40"/>
    <d v="1899-12-30T11:06:13"/>
    <n v="1013"/>
    <x v="0"/>
    <x v="1"/>
    <n v="1045"/>
    <n v="35214500045098"/>
    <s v="Casa/Tanger"/>
    <n v="7.3209999999999997"/>
    <x v="2"/>
    <s v="N2"/>
    <s v="Ralentissement du train"/>
    <s v="H.O complet  entre 303 et 202,  Bonne qualité de signal  ,Requête de déconnexion a été envoyé par RBC"/>
    <m/>
    <x v="0"/>
    <s v="dans l'attente de verification de la rame "/>
    <s v="H.O Complet entre 303 et 202"/>
    <s v="dl Rxqual=0"/>
    <s v="dl rx level= -52 dbm"/>
    <s v="OK"/>
    <s v="OK"/>
    <m/>
    <s v="retransmission des trames HDLC*5"/>
    <m/>
    <m/>
    <m/>
    <m/>
    <m/>
    <m/>
    <m/>
    <m/>
    <m/>
  </r>
  <r>
    <n v="78"/>
    <b v="0"/>
    <x v="40"/>
    <d v="1899-12-30T13:04:51"/>
    <n v="1021"/>
    <x v="7"/>
    <x v="1"/>
    <n v="1040"/>
    <n v="35214500045480"/>
    <s v="Casa/Tanger"/>
    <n v="7.3209999999999997"/>
    <x v="2"/>
    <s v="N2"/>
    <s v="Ralentissement du train"/>
    <s v="H.O non finalisé entre  303 et 202,  Mauvaise qualité de signal  ,Requête de déconnexion a été envoyé par Bord"/>
    <m/>
    <x v="0"/>
    <m/>
    <s v="H.O Non Finalisé entre 303 et 202"/>
    <s v="dl Rxqual=5"/>
    <s v="dl rx level= -68 dbm"/>
    <s v="OK"/>
    <s v="OK"/>
    <m/>
    <s v="retransmission des trames HDLC*5"/>
    <m/>
    <m/>
    <m/>
    <m/>
    <m/>
    <m/>
    <m/>
    <m/>
    <m/>
  </r>
  <r>
    <n v="79"/>
    <b v="0"/>
    <x v="40"/>
    <d v="1899-12-30T15:31:46"/>
    <n v="2037"/>
    <x v="4"/>
    <x v="0"/>
    <n v="7208"/>
    <n v="35214500004427"/>
    <s v="Tanger/Casa"/>
    <n v="127.875"/>
    <x v="6"/>
    <s v="N2"/>
    <s v="Ralentissement du train"/>
    <s v="H.O complet  entre 222 et 323,  Bonne qualité de signal  ,Requête de déconnexion a été envoyé par RBC"/>
    <m/>
    <x v="0"/>
    <m/>
    <s v="H.O Complet entre 222 et 323"/>
    <s v="dl Rxqual=3"/>
    <s v="dl rx level= -48 dbm"/>
    <s v="OK"/>
    <s v="OK"/>
    <m/>
    <s v="retransmission des trames HDLC*5"/>
    <m/>
    <m/>
    <m/>
    <m/>
    <m/>
    <m/>
    <m/>
    <m/>
    <m/>
  </r>
  <r>
    <n v="80"/>
    <b v="0"/>
    <x v="40"/>
    <d v="1899-12-30T18:05:28"/>
    <n v="2049"/>
    <x v="0"/>
    <x v="0"/>
    <n v="1036"/>
    <n v="35214500045461"/>
    <s v="Tanger/Casa"/>
    <n v="7.3810000000000002"/>
    <x v="2"/>
    <s v="N2"/>
    <s v="Arrêt du train"/>
    <s v="H.O complet  entre 202 et 303,  Bonne qualité de signal  ,Requête de déconnexion a été envoyé par RBC"/>
    <m/>
    <x v="0"/>
    <s v="dans l'attente de verification de la rame "/>
    <s v="H.O Complet entre 202 et 303"/>
    <s v="dl Rxqual=3"/>
    <s v="dl rx level= -67 dbm"/>
    <s v="OK"/>
    <s v="OK"/>
    <m/>
    <s v="retransmission des trames HDLC*5"/>
    <m/>
    <m/>
    <m/>
    <m/>
    <m/>
    <m/>
    <m/>
    <m/>
    <m/>
  </r>
  <r>
    <n v="81"/>
    <b v="0"/>
    <x v="40"/>
    <d v="1899-12-30T19:31:05"/>
    <n v="1049"/>
    <x v="4"/>
    <x v="1"/>
    <n v="1033"/>
    <n v="35214500040707"/>
    <s v="Casa/Tanger"/>
    <n v="167.761"/>
    <x v="28"/>
    <s v="N2"/>
    <s v="Ralentissement du train"/>
    <s v="H.O complet  entre 330 et 329,  Mauvaise qualité de signal  ,Requête de déconnexion a été envoyé par RBC"/>
    <m/>
    <x v="0"/>
    <m/>
    <s v="H.O Complet entre 330 et 329"/>
    <s v="dl Rxqual=4"/>
    <s v="dl rx level= -57 dbm"/>
    <s v="OK"/>
    <s v="OK"/>
    <m/>
    <s v="retransmission des trames HDLC*5"/>
    <m/>
    <m/>
    <m/>
    <m/>
    <m/>
    <m/>
    <m/>
    <m/>
    <m/>
  </r>
  <r>
    <n v="82"/>
    <b v="0"/>
    <x v="40"/>
    <d v="1899-12-30T20:40:15"/>
    <n v="1053"/>
    <x v="6"/>
    <x v="1"/>
    <n v="1072"/>
    <n v="35214500045424"/>
    <s v="Casa/Tanger"/>
    <n v="122.536"/>
    <x v="30"/>
    <s v="N2"/>
    <s v="Ralentissement du train"/>
    <s v="H.O complet  entre 222 et 321,  Bonne qualité de signal  ,Requête de déconnexion a été envoyé par Bord"/>
    <m/>
    <x v="0"/>
    <s v="dans l'attente de verification de la rame "/>
    <s v="H.O Complet entre 222 et 321"/>
    <s v="dl Rxqual=2"/>
    <s v="dl rx level= -76 dbm"/>
    <s v="OK"/>
    <s v="OK"/>
    <m/>
    <s v="retransmission des trames HDLC*5"/>
    <m/>
    <m/>
    <m/>
    <m/>
    <m/>
    <m/>
    <m/>
    <m/>
    <m/>
  </r>
  <r>
    <n v="83"/>
    <b v="0"/>
    <x v="41"/>
    <d v="1899-12-30T17:32:01"/>
    <n v="2045"/>
    <x v="0"/>
    <x v="0"/>
    <n v="1037"/>
    <n v="35214500045488"/>
    <s v="Tanger/Casa"/>
    <n v="126.51"/>
    <x v="6"/>
    <s v="N2"/>
    <s v="Ralentissement du train"/>
    <s v="H.O non finalisé entre  222 et 223,  Bonne qualité de signal  ,Requête de déconnexion a été envoyé par RBC"/>
    <m/>
    <x v="0"/>
    <s v="dans l'attente de verification de la rame "/>
    <s v="H.O Non Finalisé entre 222 et 223"/>
    <s v="dl Rxqual=1"/>
    <s v="dl rx level= -78 dbm"/>
    <s v="OK"/>
    <s v="NOK"/>
    <m/>
    <s v="retransmission des trames HDLC*5"/>
    <m/>
    <m/>
    <m/>
    <m/>
    <m/>
    <m/>
    <m/>
    <m/>
    <m/>
  </r>
  <r>
    <n v="84"/>
    <b v="0"/>
    <x v="42"/>
    <d v="1899-12-30T08:58:09"/>
    <n v="1005"/>
    <x v="0"/>
    <x v="1"/>
    <n v="1044"/>
    <n v="35214500045131"/>
    <s v="Casa/Tanger"/>
    <n v="32.625999999999998"/>
    <x v="25"/>
    <s v="N2"/>
    <s v="Ralentissement du train"/>
    <s v="H.O complet  entre 307 et 306,  Bonne qualité de signal  ,Requête de déconnexion a été envoyé par RBC"/>
    <m/>
    <x v="0"/>
    <s v="dans l'attente de verification de la rame "/>
    <s v="H.O Complet entre 307 et 306"/>
    <s v="dl Rxqual=0"/>
    <s v="dl rx level= -57 dbm"/>
    <s v="OK"/>
    <s v="OK"/>
    <m/>
    <s v="retransmission des trames HDLC*5"/>
    <m/>
    <m/>
    <m/>
    <m/>
    <m/>
    <m/>
    <m/>
    <m/>
    <m/>
  </r>
  <r>
    <n v="85"/>
    <b v="0"/>
    <x v="43"/>
    <d v="1899-12-30T06:20:05"/>
    <n v="2001"/>
    <x v="6"/>
    <x v="0"/>
    <n v="1057"/>
    <n v="35214500045187"/>
    <s v="Tanger/Casa"/>
    <n v="68.956000000000003"/>
    <x v="0"/>
    <s v="N2"/>
    <s v="Ralentissement du train"/>
    <s v="H.O non finalisé entre 212 et 213,  Bonne qualité de signal  ,Requête de déconnexion a été envoyé par RBC"/>
    <m/>
    <x v="0"/>
    <s v="rame a été verifié ; vswr 1,73"/>
    <s v="H.O non finalisé entre 212 et 213"/>
    <s v="dl Rxqual=1"/>
    <s v="dl rx level= -63 dbm"/>
    <s v="NOK"/>
    <s v="OK"/>
    <m/>
    <s v="retransmission des trames HDLC*5"/>
    <m/>
    <m/>
    <m/>
    <m/>
    <m/>
    <m/>
    <m/>
    <m/>
    <m/>
  </r>
  <r>
    <n v="86"/>
    <b v="0"/>
    <x v="44"/>
    <d v="1899-12-30T11:55:44"/>
    <n v="1017"/>
    <x v="3"/>
    <x v="1"/>
    <n v="1008"/>
    <n v="35214500045654"/>
    <s v="Casa/Tanger"/>
    <n v="44.47"/>
    <x v="16"/>
    <s v="N2"/>
    <s v="Ralentissement du train"/>
    <s v="H.O complet  entre 309 et 308,  Bonne qualité de signal  ,Requête de déconnexion a été envoyé par RBC"/>
    <m/>
    <x v="0"/>
    <m/>
    <s v="H.O Complet entre 309 et 308"/>
    <s v="dl Rxqual=0"/>
    <s v="dl rx level= -47 dbm"/>
    <s v="OK"/>
    <s v="OK"/>
    <s v="Mauvais"/>
    <s v="retransmission des trames HDLC*5"/>
    <m/>
    <m/>
    <m/>
    <m/>
    <m/>
    <m/>
    <m/>
    <m/>
    <m/>
  </r>
  <r>
    <n v="87"/>
    <b v="0"/>
    <x v="44"/>
    <d v="1899-12-30T13:01:50"/>
    <n v="1021"/>
    <x v="2"/>
    <x v="1"/>
    <n v="1035"/>
    <n v="35214500046011"/>
    <s v="Casa/Tanger"/>
    <n v="17.59"/>
    <x v="20"/>
    <s v="N2"/>
    <s v="Ralentissement du train"/>
    <s v="H.O complet  entre 305 et 204,  Bonne qualité de signal  ,Requête de déconnexion a été envoyé par RBC"/>
    <m/>
    <x v="5"/>
    <m/>
    <s v="H.O Complet entre 305 et 204"/>
    <s v="dl Rxqual=0"/>
    <s v="dl rx level= -48 dbm"/>
    <s v="OK"/>
    <m/>
    <m/>
    <s v="retransmission des trames HDLC*5"/>
    <m/>
    <m/>
    <m/>
    <m/>
    <m/>
    <m/>
    <m/>
    <m/>
    <m/>
  </r>
  <r>
    <n v="88"/>
    <b v="0"/>
    <x v="44"/>
    <d v="1899-12-30T13:03:08"/>
    <n v="1021"/>
    <x v="2"/>
    <x v="1"/>
    <n v="1034"/>
    <m/>
    <s v="Casa/Tanger"/>
    <n v="13.712999999999999"/>
    <x v="22"/>
    <s v="N2"/>
    <s v="Ralentissement du train"/>
    <s v="accrochage au nouveau secteur 591 ,"/>
    <m/>
    <x v="1"/>
    <m/>
    <m/>
    <m/>
    <m/>
    <m/>
    <m/>
    <m/>
    <m/>
    <m/>
    <m/>
    <m/>
    <m/>
    <m/>
    <m/>
    <m/>
    <m/>
    <m/>
  </r>
  <r>
    <n v="89"/>
    <b v="0"/>
    <x v="44"/>
    <d v="1899-12-30T14:05:06"/>
    <n v="1025"/>
    <x v="4"/>
    <x v="1"/>
    <n v="1032"/>
    <n v="35214500040638"/>
    <s v="Casa/Tanger"/>
    <n v="7.3209999999999997"/>
    <x v="2"/>
    <s v="N2"/>
    <s v="Arrêt du train"/>
    <s v="H.O non finalisé entre 303 et 202,  Bonne qualité de signal  ,Requête de déconnexion a été envoyé par RBC"/>
    <m/>
    <x v="0"/>
    <m/>
    <s v="H.O Non Finalisé entre 303 et 202"/>
    <s v="dl Rxqual=3"/>
    <s v="dl rx level= -67 dbm"/>
    <s v="NOK"/>
    <s v="OK"/>
    <m/>
    <s v="retransmission des trames HDLC*5"/>
    <m/>
    <m/>
    <m/>
    <m/>
    <m/>
    <m/>
    <m/>
    <m/>
    <m/>
  </r>
  <r>
    <n v="90"/>
    <b v="0"/>
    <x v="44"/>
    <d v="1899-12-30T18:23:37"/>
    <m/>
    <x v="6"/>
    <x v="0"/>
    <n v="1057"/>
    <m/>
    <s v="Tanger/Casa"/>
    <n v="87.715000000000003"/>
    <x v="12"/>
    <s v="N2"/>
    <s v="Ralentissement du train"/>
    <s v="H.O complet entre 215 et 216;  Bonne qualité de signal  ,Requête de déconnexion a été envoyé par RBC"/>
    <m/>
    <x v="0"/>
    <s v="rame a été verifié ; vswr 1,73"/>
    <s v="H.O complet entre 215 et 216"/>
    <s v="dl Rxqual=4"/>
    <s v="dl rx level= -64 dbm"/>
    <s v="OK"/>
    <s v="NOK"/>
    <m/>
    <s v="retransmission des trames HDLC*5"/>
    <m/>
    <m/>
    <m/>
    <m/>
    <m/>
    <m/>
    <m/>
    <m/>
    <m/>
  </r>
  <r>
    <n v="91"/>
    <b v="0"/>
    <x v="44"/>
    <d v="1899-12-30T21:31:20"/>
    <n v="2061"/>
    <x v="3"/>
    <x v="0"/>
    <n v="1046"/>
    <n v="35229605039726"/>
    <s v="Tanger/Casa"/>
    <n v="127.875"/>
    <x v="6"/>
    <s v="N2"/>
    <s v="Ralentissement du train"/>
    <s v="H.O complet entre 222 et 223,  Bonne qualité de signal  ,Requête de déconnexion a été envoyé par RBC"/>
    <m/>
    <x v="0"/>
    <m/>
    <s v="H.O complet entre 222 et 223"/>
    <s v="dl Rxqual=1"/>
    <s v="dl rx level= -47 dbm"/>
    <s v="OK"/>
    <s v="OK"/>
    <m/>
    <s v="retransmission des trames HDLC*5"/>
    <m/>
    <m/>
    <m/>
    <m/>
    <m/>
    <m/>
    <m/>
    <m/>
    <m/>
  </r>
  <r>
    <n v="92"/>
    <b v="0"/>
    <x v="45"/>
    <d v="1899-12-30T06:24:02"/>
    <n v="1081"/>
    <x v="5"/>
    <x v="1"/>
    <n v="1027"/>
    <n v="35214500045083"/>
    <s v="Casa/Tanger"/>
    <n v="115.893"/>
    <x v="17"/>
    <s v="N2"/>
    <s v="Ralentissement du train"/>
    <s v="H.O comple entre 321 et 320,  Bonne qualité de signal  ,Requête de déconnexion a été envoyé par RBC"/>
    <m/>
    <x v="0"/>
    <m/>
    <s v="H.O complet entre 321 et 320"/>
    <s v="dl Rxqual=0"/>
    <s v="dl rx level= -65 dbm"/>
    <s v="OK"/>
    <s v="OK"/>
    <m/>
    <s v="retransmission des trames HDLC*5"/>
    <m/>
    <m/>
    <m/>
    <m/>
    <m/>
    <m/>
    <m/>
    <m/>
    <m/>
  </r>
  <r>
    <n v="93"/>
    <b v="0"/>
    <x v="46"/>
    <d v="1899-12-30T07:28:00"/>
    <n v="1001"/>
    <x v="3"/>
    <x v="1"/>
    <n v="1008"/>
    <n v="35214500045654"/>
    <s v="Casa/Tanger"/>
    <n v="180.38800000000001"/>
    <x v="4"/>
    <s v="N2"/>
    <s v="Ralentissement du train"/>
    <s v="H.O comple entre 331 et 330,  Bonne qualité de signal  ,Requête de déconnexion a été envoyé par RBC"/>
    <m/>
    <x v="0"/>
    <m/>
    <s v="H.O complet entre 331 et 330"/>
    <s v="dl Rxqual=0"/>
    <s v="dl rx level= -62dbm"/>
    <s v="OK"/>
    <s v="OK"/>
    <m/>
    <s v="retransmission des trames HDLC*5"/>
    <m/>
    <m/>
    <m/>
    <m/>
    <m/>
    <m/>
    <m/>
    <m/>
    <m/>
  </r>
  <r>
    <n v="94"/>
    <b v="0"/>
    <x v="46"/>
    <d v="1899-12-30T13:04:28"/>
    <n v="1021"/>
    <x v="9"/>
    <x v="1"/>
    <n v="1027"/>
    <n v="35214500045491"/>
    <s v="Casa/Tanger"/>
    <n v="9.0299999999999994"/>
    <x v="2"/>
    <s v="N2"/>
    <s v="Ralentissement du train"/>
    <s v="H.O comple entre 204 et 303,  mauvaise qualité de signal  ,Requête de déconnexion a été envoyé par RBC"/>
    <m/>
    <x v="0"/>
    <m/>
    <s v="H.O complet entre 204 et 303"/>
    <s v="dl Rxqual=5"/>
    <s v="dl rx level= -47 dbm"/>
    <s v="OK"/>
    <s v="OK"/>
    <m/>
    <s v="retransmission des trames HDLC*5"/>
    <m/>
    <m/>
    <m/>
    <m/>
    <m/>
    <m/>
    <m/>
    <m/>
    <m/>
  </r>
  <r>
    <n v="95"/>
    <b v="0"/>
    <x v="47"/>
    <d v="1899-12-30T14:35:29"/>
    <n v="2033"/>
    <x v="8"/>
    <x v="0"/>
    <n v="1042"/>
    <n v="5214500045498"/>
    <s v="Tanger/Casa"/>
    <n v="75.84"/>
    <x v="13"/>
    <s v="N2"/>
    <s v="Arrêt du train"/>
    <s v="H.O comple entre 213 et 214,  Bonne qualité de signal  ,Requête de déconnexion a été envoyé par RBC"/>
    <m/>
    <x v="0"/>
    <s v="Dans l'attente de la vérification de la rame"/>
    <s v="H.O complet entre 213 et 214"/>
    <s v="dl Rxqual=4"/>
    <s v="dl rx level= -48 dbm"/>
    <s v="OK"/>
    <s v="OK"/>
    <s v="Mauvais"/>
    <s v="retransmission des trames HDLC*5"/>
    <m/>
    <m/>
    <m/>
    <m/>
    <m/>
    <m/>
    <m/>
    <m/>
    <m/>
  </r>
  <r>
    <n v="96"/>
    <b v="0"/>
    <x v="47"/>
    <d v="1899-12-30T17:34:32"/>
    <n v="1041"/>
    <x v="2"/>
    <x v="1"/>
    <n v="1034"/>
    <n v="35214500043605"/>
    <s v="Casa/Tanger"/>
    <n v="149.01400000000001"/>
    <x v="3"/>
    <s v="N2"/>
    <s v="Ralentissement du train"/>
    <s v="H.O Non Finalisé entre 326 et 227,  Bonne qualité de signal  ,Requête de déconnexion a été envoyé par RBC"/>
    <m/>
    <x v="1"/>
    <s v=" _x000a_Analyse des statistiques HO"/>
    <s v="H.O Non Finalisé entre 326 et 227"/>
    <s v="dl Rxqual=2"/>
    <s v="dl rx level= -64 dbm"/>
    <s v="OK"/>
    <s v="OK"/>
    <m/>
    <s v="retransmission des trames HDLC*5"/>
    <m/>
    <m/>
    <m/>
    <m/>
    <m/>
    <m/>
    <m/>
    <m/>
    <m/>
  </r>
  <r>
    <n v="97"/>
    <b v="0"/>
    <x v="48"/>
    <d v="1899-12-30T10:30:09"/>
    <n v="1013"/>
    <x v="3"/>
    <x v="1"/>
    <n v="1008"/>
    <n v="35214500045654"/>
    <s v="Casa/Tanger"/>
    <n v="182.86500000000001"/>
    <x v="31"/>
    <s v="N2"/>
    <s v="Ralentissement du train"/>
    <s v="H.O Complet entre 332 et 331,  Bonne qualité de signal  ,Requête de déconnexion a été envoyé par RBC"/>
    <m/>
    <x v="0"/>
    <s v="Vérification de la chaine antennaire durant la s11"/>
    <s v="H.O complet entre 332 et 331"/>
    <s v="dl Rxqual=0"/>
    <s v="dl rx level= -47 dbm"/>
    <s v="OK"/>
    <s v="OK"/>
    <m/>
    <s v="retransmission des trames HDLC*5"/>
    <m/>
    <m/>
    <m/>
    <m/>
    <m/>
    <m/>
    <m/>
    <m/>
    <m/>
  </r>
  <r>
    <n v="98"/>
    <b v="0"/>
    <x v="48"/>
    <d v="1899-12-30T18:30:39"/>
    <n v="1045"/>
    <x v="7"/>
    <x v="1"/>
    <n v="1041"/>
    <n v="35214500045477"/>
    <s v="Casa/Tanger"/>
    <n v="171.53700000000001"/>
    <x v="27"/>
    <s v="N2"/>
    <s v="Ralentissement du train"/>
    <s v="H.O Complet entre 330 et 329,  Moyenne qualité de signal  ,Requête de déconnexion a été envoyé par RBC"/>
    <m/>
    <x v="0"/>
    <s v="Replanification de vérification de la rame"/>
    <s v="H.O complet entre 330 et 329"/>
    <s v="dl Rxqual=5"/>
    <s v="dl rx level= -48 dbm"/>
    <s v="OK"/>
    <s v="OK"/>
    <m/>
    <s v="retransmission des trames HDLC*5"/>
    <m/>
    <m/>
    <m/>
    <m/>
    <m/>
    <m/>
    <m/>
    <m/>
    <m/>
  </r>
  <r>
    <n v="99"/>
    <b v="0"/>
    <x v="49"/>
    <d v="1899-12-30T04:43:58"/>
    <n v="2081"/>
    <x v="2"/>
    <x v="0"/>
    <n v="7218"/>
    <n v="35214500045735"/>
    <s v="Tanger/Casa"/>
    <n v="101.587"/>
    <x v="24"/>
    <s v="N2"/>
    <s v="Ralentissement du train"/>
    <s v="H.O Complet entre 217 et 218,  Bonne qualité de signal  ,Requête de déconnexion a été envoyé par RBC"/>
    <m/>
    <x v="0"/>
    <s v=" _x000a_Demande de remplacement cab radio"/>
    <s v="H.O complet entre 217 et 218"/>
    <s v="dl Rxqual=0"/>
    <s v="dl rx level= -83 dbm"/>
    <s v="OK"/>
    <s v="OK"/>
    <m/>
    <s v="retransmission des trames HDLC*5"/>
    <m/>
    <m/>
    <m/>
    <m/>
    <m/>
    <m/>
    <m/>
    <m/>
    <m/>
  </r>
  <r>
    <n v="100"/>
    <b v="0"/>
    <x v="49"/>
    <d v="1899-12-30T14:45:17"/>
    <n v="2033"/>
    <x v="2"/>
    <x v="0"/>
    <n v="7217"/>
    <n v="35214500044557"/>
    <s v="Tanger/Casa"/>
    <n v="188.077"/>
    <x v="5"/>
    <s v="N2"/>
    <s v="Ralentissement du train"/>
    <s v="H.O Non Finalisé entre 232 et 233,  Bonne qualité de signal  ,Requête de déconnexion a été envoyé par RBC"/>
    <m/>
    <x v="1"/>
    <s v="Demande de remplacement cab radio suite à une puissance dégradée"/>
    <s v="H.O Non Finalisé entre 232 et 233"/>
    <s v="dl Rxqual=0"/>
    <s v="dl rx level= -53 dbm"/>
    <s v="NOK"/>
    <s v="OK"/>
    <m/>
    <s v="retransmission des trames HDLC*5"/>
    <m/>
    <m/>
    <m/>
    <m/>
    <m/>
    <m/>
    <m/>
    <m/>
    <m/>
  </r>
  <r>
    <n v="101"/>
    <b v="0"/>
    <x v="50"/>
    <d v="1899-12-30T05:12:01"/>
    <n v="10071"/>
    <x v="2"/>
    <x v="0"/>
    <n v="7217"/>
    <n v="35214500044557"/>
    <s v="Tanger/Casa"/>
    <n v="35.259"/>
    <x v="25"/>
    <s v="N2"/>
    <s v="Ralentissement du train"/>
    <s v="H.O Complet entre 206 et 207,  Bonne qualité de signal  ,Requête de déconnexion a été envoyé par RBC"/>
    <m/>
    <x v="0"/>
    <s v=" _x000a_Demande de remplacement cab radio"/>
    <s v="H.O complet entre 206 et 207"/>
    <s v="dl Rxqual=0"/>
    <s v="dl rx level= -53 dbm"/>
    <s v="OK"/>
    <s v="OK"/>
    <m/>
    <s v="retransmission des trames HDLC*5"/>
    <m/>
    <m/>
    <m/>
    <m/>
    <m/>
    <m/>
    <m/>
    <m/>
    <m/>
  </r>
  <r>
    <n v="102"/>
    <b v="0"/>
    <x v="50"/>
    <d v="1899-12-30T07:34:33"/>
    <n v="2005"/>
    <x v="7"/>
    <x v="0"/>
    <n v="1055"/>
    <n v="35214500036582"/>
    <s v="Tanger/Casa"/>
    <n v="139.48099999999999"/>
    <x v="26"/>
    <s v="N2"/>
    <s v="Ralentissement du train"/>
    <s v="H.O Complet entre 324 et 225,  Bonne qualité de signal  ,Requête de déconnexion a été envoyé par RBC"/>
    <m/>
    <x v="0"/>
    <s v=" _x000a_Replanification de vérification de la rame"/>
    <s v="H.O complet entre 324 et 225"/>
    <s v="dl Rxqual=0"/>
    <s v="dl rx level= -79 dbm"/>
    <s v="OK"/>
    <s v="OK"/>
    <m/>
    <s v="retransmission des trames HDLC*5"/>
    <m/>
    <m/>
    <m/>
    <m/>
    <m/>
    <m/>
    <m/>
    <m/>
    <m/>
  </r>
  <r>
    <n v="103"/>
    <b v="0"/>
    <x v="50"/>
    <d v="1899-12-30T17:42:49"/>
    <n v="1041"/>
    <x v="5"/>
    <x v="1"/>
    <m/>
    <n v="35214500045083"/>
    <s v="Casa/Tanger"/>
    <n v="114.607"/>
    <x v="17"/>
    <s v="N2"/>
    <s v="Ralentissement du train"/>
    <s v="H.O Complet entre 321 et 320,  Bonne qualité de signal  ,Requête de déconnexion a été envoyé par RBC"/>
    <m/>
    <x v="0"/>
    <s v=" _x000a_Dans l'attente de vérification de la rame"/>
    <s v="H.O complet entre 321 et 320"/>
    <s v="dl Rxqual=0"/>
    <s v="dl rx level= -73 dbm"/>
    <s v="OK"/>
    <s v="OK"/>
    <s v="Mauvais"/>
    <s v="retransmission des trames HDLC*5"/>
    <m/>
    <m/>
    <m/>
    <m/>
    <m/>
    <m/>
    <m/>
    <m/>
    <m/>
  </r>
  <r>
    <n v="104"/>
    <b v="0"/>
    <x v="51"/>
    <d v="1899-12-30T14:31:09"/>
    <n v="2033"/>
    <x v="4"/>
    <x v="0"/>
    <n v="7208"/>
    <n v="35214500004427"/>
    <s v="Tanger/Casa"/>
    <n v="123.901"/>
    <x v="30"/>
    <s v="N2"/>
    <s v="Ralentissement du train"/>
    <s v="H.O Complet entre 221 et 222,  Bonne qualité de signal  ,Requête de déconnexion a été envoyé par RBC"/>
    <m/>
    <x v="0"/>
    <s v="Vérification de la chaine antennaire durant la s11"/>
    <s v="H.O complet entre 221 et 222"/>
    <s v="dl Rxqual=0"/>
    <s v="dl rx level= -65 dbm"/>
    <s v="OK"/>
    <s v="OK"/>
    <m/>
    <s v="retransmission des trames HDLC*5"/>
    <m/>
    <m/>
    <m/>
    <m/>
    <m/>
    <m/>
    <m/>
    <m/>
    <m/>
  </r>
  <r>
    <n v="105"/>
    <b v="0"/>
    <x v="52"/>
    <d v="1899-12-30T09:28:57"/>
    <n v="1009"/>
    <x v="1"/>
    <x v="1"/>
    <n v="3062"/>
    <n v="35214500017596"/>
    <s v="Casa/Tanger"/>
    <n v="174.07400000000001"/>
    <x v="27"/>
    <s v="N2"/>
    <s v="Ralentissement du train"/>
    <s v="H.O Complet entre 331 et 330,  Mauvaise qualité de signal  ,Requête de déconnexion a été envoyé par RBC"/>
    <m/>
    <x v="1"/>
    <s v="Zone Sous surveillance"/>
    <s v="H.O complet entre 331 et 330"/>
    <s v="dl Rxqual=5"/>
    <s v="dl rx level= -58dbm"/>
    <s v="OK"/>
    <s v="OK"/>
    <s v="Bon"/>
    <s v="retransmission des trames HDLC*5"/>
    <m/>
    <m/>
    <m/>
    <m/>
    <m/>
    <m/>
    <m/>
    <m/>
    <m/>
  </r>
  <r>
    <n v="106"/>
    <b v="0"/>
    <x v="53"/>
    <d v="1899-12-30T16:38:57"/>
    <n v="1037"/>
    <x v="7"/>
    <x v="1"/>
    <n v="1041"/>
    <n v="35214500045477"/>
    <s v="Casa/Tanger"/>
    <n v="127.815"/>
    <x v="6"/>
    <s v="N2"/>
    <s v="Ralentissement du train"/>
    <s v="H.O non finalisé entre 223 et 222,  Mauvaise qualité de signal  ,Requête de déconnexion a été envoyé par RBC"/>
    <m/>
    <x v="0"/>
    <s v=" _x000a_Dans l'attente de vérification de la rame"/>
    <s v="H.O non Finalisé entre 223 et 222"/>
    <s v="dl Rxqual=7"/>
    <s v="dl rx level= -95 dbm"/>
    <s v="OK"/>
    <s v="OK"/>
    <m/>
    <s v="retransmission des trames HDLC*5"/>
    <m/>
    <m/>
    <m/>
    <m/>
    <m/>
    <m/>
    <m/>
    <m/>
    <m/>
  </r>
  <r>
    <n v="107"/>
    <b v="0"/>
    <x v="53"/>
    <d v="1899-12-30T17:04:42"/>
    <m/>
    <x v="7"/>
    <x v="1"/>
    <n v="1040"/>
    <n v="35214500045480"/>
    <s v="Casa/Tanger"/>
    <n v="7.3209999999999997"/>
    <x v="2"/>
    <s v="N2"/>
    <s v="Arrêt du train"/>
    <s v="H.O non finalisé entre 203 et 302, Mauvaise qualité de signal  ,Requête de déconnexion a été envoyé par RBC"/>
    <m/>
    <x v="0"/>
    <s v=" _x000a_Dans l'attente de vérification de la rame"/>
    <s v="H.O non Finalisé entre 203 et 302"/>
    <s v="dl Rxqual=7"/>
    <s v="dl rx level= -65 dbm"/>
    <s v="OK"/>
    <s v="OK"/>
    <m/>
    <s v="retransmission des trames HDLC*5"/>
    <m/>
    <m/>
    <m/>
    <m/>
    <m/>
    <m/>
    <m/>
    <m/>
    <m/>
  </r>
  <r>
    <n v="108"/>
    <b v="0"/>
    <x v="54"/>
    <s v=" 15:21:17"/>
    <n v="2037"/>
    <x v="0"/>
    <x v="0"/>
    <n v="1037"/>
    <n v="35214500045488"/>
    <s v="Tanger/Casa"/>
    <n v="75.585999999999999"/>
    <x v="13"/>
    <s v="N2"/>
    <s v="Ralentissement du train"/>
    <s v="H.O non finalisé entre 213 et 214,  Mauvaise qualité de signal  ,Requête de déconnexion a été envoyé par RBC"/>
    <m/>
    <x v="1"/>
    <s v="Zone Sous surveillance"/>
    <s v="H.O non finalisé entre 213 et 214"/>
    <s v="dl Rxqual=7"/>
    <s v="dl rx level= -79 dbm"/>
    <s v="OK"/>
    <s v="OK"/>
    <s v="moyen"/>
    <s v="retransmission des trames HDLC*5"/>
    <m/>
    <m/>
    <m/>
    <m/>
    <m/>
    <m/>
    <m/>
    <m/>
    <m/>
  </r>
  <r>
    <n v="109"/>
    <b v="0"/>
    <x v="55"/>
    <d v="1899-12-30T05:01:34"/>
    <n v="10071"/>
    <x v="2"/>
    <x v="0"/>
    <n v="7218"/>
    <n v="35214500045735"/>
    <s v="Tanger/Casa"/>
    <n v="7.3810000000000002"/>
    <x v="2"/>
    <s v="N2"/>
    <s v="Ralentissement du train"/>
    <s v="H.O non finalisé entre 202 et 203,  Bonne qualité de signal  ,Requête de déconnexion a été envoyé par RBC"/>
    <m/>
    <x v="1"/>
    <s v="Rame Sous surveillance"/>
    <s v="H.O non finalisé entre 202 et 203"/>
    <s v="dl Rxqual=0"/>
    <s v="dl rx level= -76 dbm"/>
    <s v="OK"/>
    <s v="OK"/>
    <m/>
    <s v="retransmission des trames HDLC*5"/>
    <m/>
    <m/>
    <m/>
    <m/>
    <m/>
    <m/>
    <m/>
    <m/>
    <m/>
  </r>
  <r>
    <n v="110"/>
    <b v="0"/>
    <x v="56"/>
    <d v="1899-12-30T14:04:43"/>
    <n v="1025"/>
    <x v="2"/>
    <x v="1"/>
    <n v="1034"/>
    <n v="35214500043605"/>
    <s v="Casa/Tanger"/>
    <n v="8.9700000000000006"/>
    <x v="2"/>
    <s v="N2"/>
    <s v="Ralentissement du train"/>
    <s v="H.O Complet entre 304 et 303,  Bonne qualité de signal  ,Requête de déconnexion a été envoyé par RBC"/>
    <m/>
    <x v="0"/>
    <s v="Rame Sous surveillance"/>
    <s v="H.O complet entre 304 et 303"/>
    <s v="dl Rxqual=2"/>
    <s v="dl rx level= -67 dbm"/>
    <s v="OK"/>
    <s v="OK"/>
    <s v="Mauvais"/>
    <s v="retransmission des trames HDLC*5"/>
    <m/>
    <m/>
    <m/>
    <m/>
    <m/>
    <m/>
    <m/>
    <m/>
    <m/>
  </r>
  <r>
    <n v="111"/>
    <b v="0"/>
    <x v="57"/>
    <d v="1899-12-30T23:44:38"/>
    <n v="10091"/>
    <x v="8"/>
    <x v="1"/>
    <n v="1023"/>
    <n v="35214500045408"/>
    <s v="Casa/Tanger"/>
    <n v="98.921999999999997"/>
    <x v="8"/>
    <s v="N2"/>
    <s v="Ralentissement du train"/>
    <s v="H.O Complet entre 319 et 318,  Bonne qualité de signal  ,Requête de déconnexion a été envoyé par RBC"/>
    <m/>
    <x v="0"/>
    <s v="Rame Sous surveillance"/>
    <s v="H.O complet entre 319 et 318"/>
    <s v="dl Rxqual=0"/>
    <s v="dl rx level= -72 dbm"/>
    <s v="OK"/>
    <s v="NOK"/>
    <s v="Mauvais"/>
    <s v="retransmission des trames HDLC*5"/>
    <m/>
    <m/>
    <m/>
    <m/>
    <m/>
    <m/>
    <m/>
    <m/>
    <m/>
  </r>
  <r>
    <n v="112"/>
    <b v="0"/>
    <x v="57"/>
    <d v="1899-12-30T00:05:06"/>
    <m/>
    <x v="8"/>
    <x v="1"/>
    <n v="1022"/>
    <n v="35214500045326"/>
    <s v="Casa/Tanger"/>
    <n v="7.3209999999999997"/>
    <x v="2"/>
    <s v="N2"/>
    <s v="Ralentissement du train"/>
    <s v="H.O Complet entre 303 et 302,  Bonne qualité de signal  ,Requête de déconnexion a été envoyé par RBC"/>
    <m/>
    <x v="0"/>
    <s v="Rame Sous surveillance"/>
    <s v="H.O complet entre 303 et 302"/>
    <s v="dl Rxqual=0"/>
    <s v="dl rx level= -61 dbm"/>
    <s v="OK"/>
    <s v="OK"/>
    <s v="Mauvais"/>
    <s v="retransmission des trames HDLC*5"/>
    <m/>
    <m/>
    <m/>
    <m/>
    <m/>
    <m/>
    <m/>
    <m/>
    <m/>
  </r>
  <r>
    <n v="113"/>
    <b v="0"/>
    <x v="58"/>
    <d v="1899-12-30T08:34:37"/>
    <n v="2009"/>
    <x v="4"/>
    <x v="0"/>
    <n v="1058"/>
    <n v="35214500044293"/>
    <s v="Tanger/Casa"/>
    <n v="140.65899999999999"/>
    <x v="26"/>
    <s v="N2"/>
    <s v="Ralentissement du train"/>
    <s v="H.O Complet entre 223 et 224,  Bonne qualité de signal  ,Requête de déconnexion a été envoyé par RBC"/>
    <m/>
    <x v="0"/>
    <s v="vérification de la Rame plannififé la semaine 15/04/2024"/>
    <s v="H.O complet entre 223 et 224"/>
    <s v="dl Rxqual=0"/>
    <s v="dl rx level= -72 dbm"/>
    <s v="OK"/>
    <s v="OK"/>
    <s v="Mauvais"/>
    <s v="retransmission des trames HDLC*5"/>
    <m/>
    <m/>
    <m/>
    <m/>
    <m/>
    <m/>
    <m/>
    <m/>
    <m/>
  </r>
  <r>
    <n v="114"/>
    <b v="0"/>
    <x v="58"/>
    <d v="1899-12-30T19:09:11"/>
    <n v="1046"/>
    <x v="3"/>
    <x v="1"/>
    <n v="1007"/>
    <n v="35214500045722"/>
    <s v="Casa/Tanger"/>
    <n v="7.3209999999999997"/>
    <x v="2"/>
    <s v="N2"/>
    <s v="Arrêt du train"/>
    <s v="H.O Complet entre 303 et 302,  mauvaise qualité de signal  ,Requête de déconnexion a été envoyé par RBC"/>
    <m/>
    <x v="0"/>
    <s v="Rame sous surveillance"/>
    <s v="H.O complet entre 303 et 302"/>
    <s v="dl Rxqual=7"/>
    <s v="dl rx level= -61 dbm"/>
    <s v="OK"/>
    <s v="OK"/>
    <s v="Mauvais"/>
    <s v="retransmission des trames HDLC*5"/>
    <m/>
    <m/>
    <m/>
    <m/>
    <m/>
    <m/>
    <m/>
    <m/>
    <m/>
  </r>
  <r>
    <n v="115"/>
    <b v="0"/>
    <x v="58"/>
    <d v="1899-12-30T22:43:42"/>
    <n v="10081"/>
    <x v="3"/>
    <x v="0"/>
    <n v="1047"/>
    <n v="35229605039441"/>
    <s v="Tanger/Casa"/>
    <n v="179.149"/>
    <x v="4"/>
    <s v="N2"/>
    <s v="Ralentissement du train"/>
    <s v="H.O Complet entre 230 et 231,  Bonne qualité de signal  ,Requête de déconnexion a été envoyé par RBC"/>
    <m/>
    <x v="5"/>
    <s v="en attente de croisement des traces GRU "/>
    <s v="H.O complet entre 230 et 231"/>
    <s v="dl Rxqual=0"/>
    <s v="dl rx level= -68 dbm"/>
    <s v="OK"/>
    <s v="OK"/>
    <s v="Bon"/>
    <s v="retransmission des trames HDLC*5"/>
    <m/>
    <m/>
    <m/>
    <m/>
    <m/>
    <m/>
    <m/>
    <m/>
    <m/>
  </r>
  <r>
    <n v="116"/>
    <b v="0"/>
    <x v="59"/>
    <d v="1899-12-30T09:04:36"/>
    <n v="2013"/>
    <x v="4"/>
    <x v="0"/>
    <n v="7208"/>
    <n v="35214500004427"/>
    <s v="Tanger/Casa"/>
    <n v="4.7069999999999999"/>
    <x v="2"/>
    <s v="N2"/>
    <s v="Arrêt du train"/>
    <s v="H.O Complet entre 201 et 302,  mauvaise qualité de signal  ,Requête de déconnexion a été envoyé par RBC"/>
    <m/>
    <x v="1"/>
    <s v="Analyse Spéctrale Prévu le 16/04/2024"/>
    <s v="H.O complet entre 201 et 302"/>
    <s v="dl Rxqual=6"/>
    <s v="dl rx level= -48 dbm"/>
    <s v="OK"/>
    <s v="OK"/>
    <s v="Mauvais"/>
    <s v="retransmission des trames HDLC*5"/>
    <m/>
    <m/>
    <m/>
    <m/>
    <m/>
    <m/>
    <m/>
    <m/>
    <m/>
  </r>
  <r>
    <n v="117"/>
    <b v="0"/>
    <x v="60"/>
    <d v="1899-12-30T15:33:49"/>
    <n v="2037"/>
    <x v="5"/>
    <x v="0"/>
    <n v="1024"/>
    <n v="35214500045122"/>
    <s v="Tanger/Casa"/>
    <n v="134.30000000000001"/>
    <x v="10"/>
    <s v="N2"/>
    <s v="Arrêt du train"/>
    <s v="H.O non finalisé entre 323 et 324  bonne qualité de signal  ,Requête de déconnexion a été envoyé par RBC"/>
    <m/>
    <x v="0"/>
    <s v="vérification de la chaine antennaire prévu"/>
    <s v="H.O complet entre 323 et 324"/>
    <s v="dl Rxqual=0"/>
    <s v="dl rx level= -70 dbm"/>
    <s v="OK"/>
    <s v="OK"/>
    <s v="Mauvais"/>
    <s v="retransmission des trames HDLC*5"/>
    <m/>
    <m/>
    <m/>
    <m/>
    <m/>
    <m/>
    <m/>
    <m/>
    <m/>
  </r>
  <r>
    <n v="118"/>
    <b v="0"/>
    <x v="61"/>
    <d v="1899-12-30T17:01:22"/>
    <n v="1038"/>
    <x v="8"/>
    <x v="1"/>
    <n v="1023"/>
    <n v="35214500045408"/>
    <s v="Casa/Tanger"/>
    <n v="26.739000000000001"/>
    <x v="7"/>
    <s v="N2"/>
    <s v="Ralentissement du train"/>
    <s v="H.O non finalisé entre 306 et 205  bonne qualité de signal  ,Requête de déconnexion a été envoyé par le MSC"/>
    <m/>
    <x v="0"/>
    <s v="rame SS"/>
    <s v="H.O non Finalisé entre 306 et 205"/>
    <s v="dl Rxqual=3"/>
    <s v="dl rx level= -92 dbm"/>
    <s v="OK"/>
    <s v="OK"/>
    <s v="Mauvais"/>
    <s v="retransmission des trames HDLC*5"/>
    <m/>
    <m/>
    <m/>
    <m/>
    <m/>
    <m/>
    <m/>
    <m/>
    <m/>
  </r>
  <r>
    <n v="119"/>
    <b v="0"/>
    <x v="62"/>
    <d v="1899-12-30T09:05:11"/>
    <n v="1005"/>
    <x v="9"/>
    <x v="1"/>
    <n v="1031"/>
    <n v="35214500045491"/>
    <s v="Casa/Tanger"/>
    <n v="8.9700000000000006"/>
    <x v="2"/>
    <s v="N2"/>
    <s v="Ralentissement du train"/>
    <s v="H.O non finalisé entre 204 et  303 bonne qualité de signal  ,Requête de déconnexion a été envoyé par le RBC"/>
    <m/>
    <x v="1"/>
    <s v="analyse Spéctrale Prévu le 16/04/2024"/>
    <s v="H.O non Finalisé entre  204 et 303"/>
    <s v="dl Rxqual=1"/>
    <s v="dl rx level= -72 dbm"/>
    <s v="OK"/>
    <s v="OK"/>
    <s v="Bon"/>
    <s v="retransmission des trames HDLC*5"/>
    <m/>
    <m/>
    <m/>
    <m/>
    <m/>
    <m/>
    <m/>
    <m/>
    <m/>
  </r>
  <r>
    <n v="120"/>
    <b v="0"/>
    <x v="62"/>
    <d v="1899-12-30T18:39:16"/>
    <n v="1045"/>
    <x v="10"/>
    <x v="1"/>
    <n v="1060"/>
    <n v="35214500005339"/>
    <s v="Casa/Tanger"/>
    <n v="127.815"/>
    <x v="6"/>
    <s v="N2"/>
    <s v="Ralentissement du train"/>
    <s v="H.O non finalisé entre 223 et 222 Mauvaise qualité de signal  ,Requête de déconnexion a été envoyé par le RBC"/>
    <m/>
    <x v="0"/>
    <s v="rame ss"/>
    <s v="H.O non Finalisé entre  223 et 222"/>
    <s v="dl Rxqual=7"/>
    <s v="dl rx level= -84 dbm"/>
    <s v="OK"/>
    <s v="OK"/>
    <s v="Mauvais"/>
    <s v="retransmission des trames HDLC*5"/>
    <m/>
    <m/>
    <m/>
    <m/>
    <m/>
    <m/>
    <m/>
    <m/>
    <m/>
  </r>
  <r>
    <n v="121"/>
    <b v="0"/>
    <x v="62"/>
    <d v="1899-12-30T22:21:45"/>
    <n v="10081"/>
    <x v="10"/>
    <x v="0"/>
    <n v="7198"/>
    <n v="35214500040520"/>
    <s v="Tanger/Casa"/>
    <n v="73.585999999999999"/>
    <x v="13"/>
    <s v="N2"/>
    <s v="Ralentissement du train"/>
    <s v="H.O non finalisé entre 213 et 214 Mauvaise qualité de signal  ,Requête de déconnexion a été envoyé par le RBC"/>
    <m/>
    <x v="0"/>
    <s v="rame ss"/>
    <s v="H.O non Finalisé entre  213 et 214"/>
    <s v="dl Rxqual=7"/>
    <s v="dl rx level= -82 dbm"/>
    <s v="OK"/>
    <s v="OK"/>
    <s v="Mauvais"/>
    <s v="retransmission des trames HDLC*5"/>
    <m/>
    <m/>
    <m/>
    <m/>
    <m/>
    <m/>
    <m/>
    <m/>
    <m/>
  </r>
  <r>
    <n v="122"/>
    <b v="0"/>
    <x v="63"/>
    <d v="1899-12-30T17:33:50"/>
    <n v="1041"/>
    <x v="4"/>
    <x v="1"/>
    <n v="1033"/>
    <n v="35214500040707"/>
    <s v="Casa/Tanger"/>
    <n v="177.85"/>
    <x v="4"/>
    <s v="N2"/>
    <s v="Ralentissement du train"/>
    <s v="H.O non finalisé entre 330 et 329 Mauvaise qualité de signal  ,Requête de déconnexion a été envoyé par le Bord"/>
    <m/>
    <x v="0"/>
    <m/>
    <s v="H.O non Finalisé entre  330 et 329"/>
    <s v="dl Rxqual=7"/>
    <s v="dl rx level= -50 dbm"/>
    <s v="OK"/>
    <s v="OK"/>
    <s v="Mauvais"/>
    <s v="retransmission des trames HDLC*5"/>
    <m/>
    <m/>
    <m/>
    <m/>
    <m/>
    <m/>
    <m/>
    <m/>
    <m/>
  </r>
  <r>
    <n v="123"/>
    <b v="0"/>
    <x v="64"/>
    <d v="1899-12-30T11:38:04"/>
    <n v="2021"/>
    <x v="6"/>
    <x v="0"/>
    <n v="1057"/>
    <n v="35214500045187"/>
    <s v="Tanger/Casa"/>
    <n v="158.298"/>
    <x v="9"/>
    <s v="N2"/>
    <s v="Ralentissement du train"/>
    <s v="H.O Complet entre 226 et 227 Bonne qualité de signal  ,Requête de déconnexion a été envoyé par le RBC"/>
    <m/>
    <x v="0"/>
    <s v="VSWR en attente d'atteindre 1,8 pour lancer une vérification"/>
    <s v="H.O Complet entre  226 et 227"/>
    <s v="dl Rxqual=0"/>
    <s v="dl rx level= -47 dbm"/>
    <s v="OK"/>
    <s v="OK"/>
    <s v="Mauvais"/>
    <s v="retransmission des trames HDLC*5"/>
    <m/>
    <m/>
    <m/>
    <m/>
    <m/>
    <m/>
    <m/>
    <m/>
    <m/>
  </r>
  <r>
    <n v="124"/>
    <b v="0"/>
    <x v="64"/>
    <d v="1899-12-30T16:34:49"/>
    <n v="2041"/>
    <x v="3"/>
    <x v="0"/>
    <n v="1046"/>
    <n v="35214500038730"/>
    <s v="Tanger/Casa"/>
    <n v="134.30000000000001"/>
    <x v="10"/>
    <s v="N2"/>
    <s v="Ralentissement du train"/>
    <s v="H.O Complet entre 323 et 324 Bonne qualité de signal  ,Requête de déconnexion a été envoyé par le RBC"/>
    <m/>
    <x v="0"/>
    <m/>
    <s v="H.O Complet entre 323 et 324"/>
    <s v="dl Rxqual=4"/>
    <s v="dl rx level= -58 dbm"/>
    <s v="OK"/>
    <s v="OK"/>
    <s v="Mauvais"/>
    <s v="retransmission des trames HDLC*5"/>
    <m/>
    <m/>
    <m/>
    <m/>
    <m/>
    <m/>
    <m/>
    <m/>
    <m/>
  </r>
  <r>
    <n v="125"/>
    <b v="0"/>
    <x v="64"/>
    <d v="1899-12-30T17:54:43"/>
    <n v="1041"/>
    <x v="8"/>
    <x v="1"/>
    <n v="1023"/>
    <n v="35214500045408"/>
    <s v="Casa/Tanger"/>
    <n v="60.945"/>
    <x v="21"/>
    <s v="N2"/>
    <s v="Ralentissement du train"/>
    <s v="H.O Complet entre 211 et 312 Bonne qualité de signal  ,Requête de déconnexion a été envoyé par le RBC"/>
    <m/>
    <x v="0"/>
    <s v="planification de la vérification en cours "/>
    <s v="H.O Complet entre 211 et 312"/>
    <s v="dl Rxqual=0"/>
    <s v="dl rx level= -47 dbm"/>
    <s v="OK"/>
    <s v="OK"/>
    <s v="Mauvais"/>
    <s v="retransmission des trames HDLC*5"/>
    <m/>
    <m/>
    <m/>
    <m/>
    <m/>
    <m/>
    <m/>
    <m/>
    <m/>
  </r>
  <r>
    <n v="126"/>
    <b v="0"/>
    <x v="65"/>
    <d v="1899-12-30T08:47:24"/>
    <n v="15121"/>
    <x v="0"/>
    <x v="1"/>
    <n v="1044"/>
    <n v="35214500045131"/>
    <s v="Casa/Tanger"/>
    <n v="182.86500000000001"/>
    <x v="31"/>
    <s v="N2"/>
    <s v="Ralentissement du train"/>
    <s v="H.O Complet entre 332 et 331,  mauvaise qualité de signal  ,Requête de déconnexion a été envoyé par RBC"/>
    <m/>
    <x v="0"/>
    <s v="planification de la vérification en cours "/>
    <s v="H.O complet entre 332 et 331"/>
    <s v="dl Rxqual=5"/>
    <s v="dl rx level= -42 dbm"/>
    <s v="OK"/>
    <s v="OK"/>
    <s v="Mauvais"/>
    <s v="retransmission des trames HDLC*5"/>
    <m/>
    <m/>
    <m/>
    <m/>
    <m/>
    <m/>
    <m/>
    <m/>
    <m/>
  </r>
  <r>
    <n v="127"/>
    <b v="0"/>
    <x v="65"/>
    <d v="1899-12-30T15:23:40"/>
    <n v="2037"/>
    <x v="1"/>
    <x v="0"/>
    <n v="1028"/>
    <n v="35214500045268"/>
    <s v="Tanger/Casa"/>
    <n v="86.238"/>
    <x v="12"/>
    <s v="N2"/>
    <s v="Ralentissement du train"/>
    <s v="H.O Complet entre 213 et 214,  bonne qualité de signal  ,Requête de déconnexion a été envoyé par RBC"/>
    <m/>
    <x v="0"/>
    <s v="planification de la vérification en cours "/>
    <s v="H.O complet entre 213 et 214"/>
    <s v="dl Rxqual=4"/>
    <s v="dl rx level= -58 dbm"/>
    <s v="OK"/>
    <s v="OK"/>
    <s v="Mauvais"/>
    <s v="retransmission des trames HDLC*5"/>
    <m/>
    <m/>
    <m/>
    <m/>
    <m/>
    <m/>
    <m/>
    <m/>
    <m/>
  </r>
  <r>
    <n v="128"/>
    <b v="0"/>
    <x v="65"/>
    <d v="1899-12-30T15:29:04"/>
    <n v="2037"/>
    <x v="1"/>
    <x v="0"/>
    <n v="1028"/>
    <n v="35214500045268"/>
    <s v="Tanger/Casa"/>
    <n v="92.561000000000007"/>
    <x v="12"/>
    <s v="N2"/>
    <s v="Arrêt du train"/>
    <s v="H.O Complet entre 215 et 216,  bonne qualité de signal  ,Requête de déconnexion a été envoyé par RBC"/>
    <m/>
    <x v="0"/>
    <m/>
    <s v="H.O complet entre 215 et 216"/>
    <s v="dl Rxqual=0"/>
    <s v="dl rx level= -62 dbm"/>
    <s v="OK"/>
    <s v="OK"/>
    <s v="Mauvais"/>
    <s v="retransmission des trames HDLC*5"/>
    <m/>
    <m/>
    <m/>
    <m/>
    <m/>
    <m/>
    <m/>
    <m/>
    <m/>
  </r>
  <r>
    <n v="129"/>
    <b v="0"/>
    <x v="66"/>
    <d v="1899-12-30T14:05:45"/>
    <n v="1025"/>
    <x v="4"/>
    <x v="1"/>
    <n v="1033"/>
    <n v="35214500040707"/>
    <s v="Casa/Tanger"/>
    <n v="7.3209999999999997"/>
    <x v="2"/>
    <s v="N2"/>
    <s v="Arrêt du train"/>
    <s v="H.O non finalisé entre 303 et 202 Mauvaise qualité de signal  ,Requête de déconnexion a été envoyé par le Bord"/>
    <m/>
    <x v="1"/>
    <s v="analyse Spéctrale Prévu "/>
    <s v="H.O non Finalisé entre  303 et 202"/>
    <s v="dl Rxqual=6"/>
    <s v="dl rx level= -55 dbm"/>
    <s v="OK"/>
    <s v="OK"/>
    <s v="Mauvais"/>
    <s v="retransmission des trames HDLC*4"/>
    <m/>
    <m/>
    <m/>
    <m/>
    <m/>
    <m/>
    <m/>
    <m/>
    <m/>
  </r>
  <r>
    <n v="130"/>
    <b v="0"/>
    <x v="66"/>
    <d v="1899-12-30T15:46:55"/>
    <n v="1033"/>
    <x v="0"/>
    <x v="1"/>
    <n v="1045"/>
    <n v="35214500045098"/>
    <s v="Casa/Tanger"/>
    <n v="94.953999999999994"/>
    <x v="8"/>
    <s v="N2"/>
    <s v="Ralentissement du train"/>
    <s v="H.O non finalisé entre 318 et 217 Mauvaise qualité de signal  ,Requête de déconnexion a été envoyé par le Bord"/>
    <m/>
    <x v="0"/>
    <m/>
    <s v="H.O non Finalisé entre  318 et 217"/>
    <s v="dl Rxqual=7"/>
    <s v="dl rx level= -79 dbm"/>
    <s v="OK"/>
    <s v="OK"/>
    <s v="Mauvais"/>
    <s v="retransmission des trames HDLC*4"/>
    <m/>
    <m/>
    <m/>
    <m/>
    <m/>
    <m/>
    <m/>
    <m/>
    <m/>
  </r>
  <r>
    <n v="131"/>
    <b v="0"/>
    <x v="66"/>
    <d v="1899-12-30T22:50:41"/>
    <n v="1061"/>
    <x v="5"/>
    <x v="1"/>
    <n v="1027"/>
    <n v="35214500045083"/>
    <s v="Casa/Tanger"/>
    <n v="76.968000000000004"/>
    <x v="11"/>
    <s v="N2"/>
    <s v="Ralentissement du train"/>
    <s v="H.O Complet entre 315 et 314,  bonne qualité de signal  ,Requête de déconnexion a été envoyé par RBC"/>
    <m/>
    <x v="0"/>
    <m/>
    <s v="H.O complet entre 315 et 314"/>
    <s v="dl Rxqual=0"/>
    <s v="dl rx level= -67 dbm"/>
    <s v="OK"/>
    <s v="OK"/>
    <s v="Mauvais"/>
    <s v="retransmission des trames HDLC*5"/>
    <m/>
    <m/>
    <m/>
    <m/>
    <m/>
    <m/>
    <m/>
    <m/>
    <m/>
  </r>
  <r>
    <n v="132"/>
    <b v="0"/>
    <x v="67"/>
    <d v="1899-12-30T08:13:33"/>
    <n v="10075"/>
    <x v="3"/>
    <x v="1"/>
    <n v="1008"/>
    <n v="35214500045654"/>
    <s v="Casa/Tanger"/>
    <n v="127.815"/>
    <x v="6"/>
    <s v="N2"/>
    <s v="Ralentissement du train"/>
    <s v="H.O Complet entre 224 et 323,  bonne qualité de signal  ,Requête de déconnexion a été envoyé par RBC"/>
    <m/>
    <x v="0"/>
    <s v="Vérification plannifié la semaine du 22"/>
    <s v="H.O complet entre 224 et 323"/>
    <s v="dl Rxqual=1"/>
    <s v="dl rx level= -77 dbm"/>
    <s v="OK"/>
    <s v="OK"/>
    <s v="Mauvais"/>
    <s v="retransmission des trames HDLC*5"/>
    <m/>
    <m/>
    <m/>
    <m/>
    <m/>
    <m/>
    <m/>
    <m/>
    <m/>
  </r>
  <r>
    <n v="133"/>
    <b v="0"/>
    <x v="67"/>
    <d v="1899-12-30T12:16:54"/>
    <n v="2025"/>
    <x v="7"/>
    <x v="0"/>
    <n v="1055"/>
    <n v="35214500036582"/>
    <s v="Tanger/Casa"/>
    <n v="52.289000000000001"/>
    <x v="29"/>
    <s v="N2"/>
    <s v="Ralentissement du train"/>
    <s v="H.O non finalisé entre 309 et 210 bonne qualité de signal  ,Requête de déconnexion a été envoyé par le Bord"/>
    <m/>
    <x v="0"/>
    <s v="planification de la vérification en cours "/>
    <s v="H.O non Finalisé entre  309 et 210"/>
    <s v="dl Rxqual=0"/>
    <s v="dl rx level= -66 dbm"/>
    <s v="OK"/>
    <s v="OK"/>
    <s v="Mauvais"/>
    <s v="retransmission des trames HDLC*4"/>
    <m/>
    <m/>
    <m/>
    <m/>
    <m/>
    <m/>
    <m/>
    <m/>
    <m/>
  </r>
  <r>
    <n v="134"/>
    <b v="0"/>
    <x v="67"/>
    <d v="1899-12-30T17:34:56"/>
    <n v="2045"/>
    <x v="9"/>
    <x v="0"/>
    <n v="1052"/>
    <n v="35214500043740"/>
    <s v="Tanger/Casa"/>
    <n v="133.07400000000001"/>
    <x v="10"/>
    <s v="N2"/>
    <s v="Ralentissement du train"/>
    <s v="H.O non finalisé entre 323 et 224 mauvaise qualité de signal  ,Requête de déconnexion a été envoyé par RBC"/>
    <m/>
    <x v="0"/>
    <m/>
    <s v="H.O non Finalisé entre  323 et 324"/>
    <s v="dl Rxqual=6"/>
    <s v="dl rx level= -63 dbm"/>
    <s v="OK"/>
    <s v="OK"/>
    <s v="Mauvais"/>
    <s v="retransmission des trames HDLC*5"/>
    <m/>
    <m/>
    <m/>
    <m/>
    <m/>
    <m/>
    <m/>
    <m/>
    <m/>
  </r>
  <r>
    <n v="135"/>
    <b v="0"/>
    <x v="67"/>
    <d v="1899-12-30T18:40:59"/>
    <n v="2049"/>
    <x v="7"/>
    <x v="0"/>
    <n v="1055"/>
    <n v="35214500036582"/>
    <s v="Tanger/Casa"/>
    <n v="175.37299999999999"/>
    <x v="4"/>
    <s v="N2"/>
    <s v="Ralentissement du train"/>
    <s v="H.O Complet entre 229 et 230  bonne qualité de signal  ,Requête de déconnexion a été envoyé par RBC"/>
    <m/>
    <x v="0"/>
    <s v="planification de la vérification en cours "/>
    <s v="H.O complet entre 224 et 323"/>
    <s v="dl Rxqual=0"/>
    <s v="dl rx level= -62 dbm"/>
    <s v="OK"/>
    <s v="NOK"/>
    <s v="moyen"/>
    <s v="retransmission des trames HDLC*5"/>
    <m/>
    <m/>
    <m/>
    <m/>
    <m/>
    <m/>
    <m/>
    <m/>
    <m/>
  </r>
  <r>
    <n v="136"/>
    <b v="0"/>
    <x v="67"/>
    <d v="1899-12-30T20:34:43"/>
    <n v="1053"/>
    <x v="2"/>
    <x v="1"/>
    <n v="1034"/>
    <n v="35214500036582"/>
    <s v="Casa/Tanger"/>
    <n v="154.82400000000001"/>
    <x v="18"/>
    <s v="N2"/>
    <s v="Ralentissement du train"/>
    <s v="H.O Complet entre 328 et 327  bonne qualité de signal  ,Requête de déconnexion a été envoyé par RBC"/>
    <m/>
    <x v="0"/>
    <m/>
    <s v="H.O complet entre 328 et 327"/>
    <s v="dl Rxqual=0"/>
    <s v="dl rx level= -62 dbm"/>
    <s v="OK"/>
    <s v="OK"/>
    <s v="Mauvais"/>
    <s v="retransmission des trames HDLC*5"/>
    <m/>
    <m/>
    <m/>
    <m/>
    <m/>
    <m/>
    <m/>
    <m/>
    <m/>
  </r>
  <r>
    <n v="137"/>
    <b v="0"/>
    <x v="68"/>
    <d v="1899-12-30T15:17:13"/>
    <n v="2037"/>
    <x v="0"/>
    <x v="0"/>
    <n v="1037"/>
    <n v="35214500045488"/>
    <s v="Tanger/Casa"/>
    <n v="53.600999999999999"/>
    <x v="29"/>
    <s v="N2"/>
    <s v="Ralentissement du train"/>
    <s v="H.O Complet entre 309 et 210  bonne qualité de signal  ,Requête de déconnexion a été envoyé par RBC"/>
    <m/>
    <x v="0"/>
    <s v="Planification de la vérification en cours "/>
    <s v="H.O complet entre 309 et 210"/>
    <s v="dl Rxqual=1"/>
    <s v="dl rx level= -70 dbm"/>
    <s v="OK"/>
    <s v="OK"/>
    <s v="Mauvais"/>
    <s v="retransmission des trames HDLC*5"/>
    <m/>
    <m/>
    <m/>
    <m/>
    <m/>
    <m/>
    <m/>
    <m/>
    <m/>
  </r>
  <r>
    <n v="138"/>
    <b v="0"/>
    <x v="69"/>
    <d v="1899-12-30T16:45:36"/>
    <m/>
    <x v="5"/>
    <x v="0"/>
    <n v="1025"/>
    <n v="35214500045073"/>
    <s v="Tanger/Casa"/>
    <n v="186.315"/>
    <x v="19"/>
    <s v="N2"/>
    <s v="Ralentissement du train"/>
    <s v="H.O Complet entre 231 et 232  bonne qualité de signal  ,Requête de déconnexion a été envoyé par RBC"/>
    <m/>
    <x v="0"/>
    <s v="Planification de la vérification en cours "/>
    <s v="H.O complet entre 231 et 232"/>
    <s v="dl Rxqual=0"/>
    <s v="dl rx level= -54 dbm"/>
    <s v="OK"/>
    <s v="OK"/>
    <s v="Mauvais"/>
    <s v="retransmission des trames HDLC*5"/>
    <m/>
    <m/>
    <m/>
    <m/>
    <m/>
    <m/>
    <m/>
    <m/>
    <m/>
  </r>
  <r>
    <n v="139"/>
    <b v="0"/>
    <x v="70"/>
    <d v="1899-12-30T07:16:54"/>
    <n v="10075"/>
    <x v="10"/>
    <x v="1"/>
    <n v="1025"/>
    <n v="35214500045073"/>
    <s v="Casa/Tanger"/>
    <n v="125.206"/>
    <x v="6"/>
    <s v="N2"/>
    <s v="Arrêt du train"/>
    <s v="H.O Complet entre 223 et 322  bonne qualité de signal  ,Requête de déconnexion a été envoyé par RBC"/>
    <m/>
    <x v="6"/>
    <s v="en attendant croisement des traces JRU"/>
    <s v="H.O complet entre 223 et 322"/>
    <s v="dl Rxqual=0"/>
    <s v="dl rx level= -78 dbm"/>
    <s v="OK"/>
    <s v="OK"/>
    <s v="Mauvais"/>
    <s v="retransmission des trames HDLC*5"/>
    <m/>
    <m/>
    <m/>
    <m/>
    <m/>
    <m/>
    <m/>
    <m/>
    <m/>
  </r>
  <r>
    <n v="140"/>
    <b v="0"/>
    <x v="71"/>
    <d v="1899-12-30T04:43:47"/>
    <n v="2081"/>
    <x v="3"/>
    <x v="0"/>
    <n v="1047"/>
    <n v="35214500038727"/>
    <s v="Tanger/Casa"/>
    <n v="98.981999999999999"/>
    <x v="8"/>
    <s v="N2"/>
    <s v="Ralentissement du train"/>
    <s v="H.O Complet entre 217 et 218  bonne qualité de signal  ,Requête de déconnexion a été envoyé par RBC"/>
    <m/>
    <x v="0"/>
    <s v="verification de la chaine antennaire"/>
    <s v="H.O complet entre 217 et 218"/>
    <s v="dl Rxqual=0"/>
    <s v="dl rx level= -79 dbm"/>
    <s v="OK"/>
    <s v="OK"/>
    <s v="Mauvais"/>
    <s v="retransmission des trames HDLC*5"/>
    <m/>
    <m/>
    <m/>
    <m/>
    <m/>
    <m/>
    <m/>
    <m/>
    <m/>
  </r>
  <r>
    <n v="141"/>
    <b v="0"/>
    <x v="71"/>
    <d v="1899-12-30T07:09:12"/>
    <n v="2005"/>
    <x v="3"/>
    <x v="0"/>
    <n v="1047"/>
    <n v="35214500038727"/>
    <s v="Tanger/Casa"/>
    <n v="14.99"/>
    <x v="22"/>
    <s v="N2"/>
    <s v="Ralentissement du train"/>
    <s v="Ho complet entre  203 et 204 bonne qualité de signal  ,Requête de déconnexion a été envoyé par RBC"/>
    <m/>
    <x v="0"/>
    <s v="verification de la chaine antennaire"/>
    <s v="Ho complet entre  203 et 204"/>
    <s v="dl Rxqual=0"/>
    <s v="dl rx level= -84 dbm"/>
    <s v="OK"/>
    <s v="OK"/>
    <m/>
    <s v="retransmission des trames HDLC*5"/>
    <m/>
    <m/>
    <m/>
    <m/>
    <m/>
    <m/>
    <m/>
    <m/>
    <m/>
  </r>
  <r>
    <n v="142"/>
    <b v="0"/>
    <x v="72"/>
    <d v="1899-12-30T13:42:25"/>
    <n v="1025"/>
    <x v="1"/>
    <x v="1"/>
    <n v="3063"/>
    <n v="35214500046055"/>
    <s v="Casa/Tanger"/>
    <n v="118.562"/>
    <x v="17"/>
    <s v="N2"/>
    <s v="Ralentissement du train"/>
    <s v="Ho Complet entre 321 et 320 bonne qualité de signal  ,Requête de déconnexion a été envoyé par RBC"/>
    <m/>
    <x v="0"/>
    <s v="Rame Sous surveillance"/>
    <s v="Ho Complet entre 321 et 320"/>
    <s v="dl Rxqual=0"/>
    <s v="dl rx level= -59 dbm"/>
    <s v="OK"/>
    <s v="OK"/>
    <m/>
    <s v="retransmission des trames HDLC*5"/>
    <m/>
    <m/>
    <m/>
    <m/>
    <m/>
    <m/>
    <m/>
    <m/>
    <m/>
  </r>
  <r>
    <n v="143"/>
    <b v="0"/>
    <x v="73"/>
    <d v="1899-12-30T18:21:50"/>
    <n v="2049"/>
    <x v="5"/>
    <x v="0"/>
    <n v="1025"/>
    <n v="35214500045073"/>
    <s v="Tanger/Casa"/>
    <n v="73.585999999999999"/>
    <x v="13"/>
    <s v="N2"/>
    <s v="Ralentissement du train"/>
    <s v="Ho non complet entre  213 et 214 mauvaise qualité de signal  ,Requête de déconnexion a été envoyé par RBC"/>
    <m/>
    <x v="2"/>
    <s v="Planification de la vérification en cours "/>
    <s v="Ho non complet entre  213 et 214"/>
    <s v="dl Rxqual=7"/>
    <s v="dl rx level= -77 dbm"/>
    <s v="OK"/>
    <s v="OK"/>
    <m/>
    <s v="retransmission des trames HDLC*5"/>
    <m/>
    <m/>
    <m/>
    <m/>
    <m/>
    <m/>
    <m/>
    <m/>
    <m/>
  </r>
  <r>
    <n v="144"/>
    <b v="0"/>
    <x v="74"/>
    <d v="1899-12-30T12:50:34"/>
    <n v="1021"/>
    <x v="8"/>
    <x v="1"/>
    <n v="1022"/>
    <n v="35214500045326"/>
    <s v="Casa/Tanger"/>
    <n v="73.525999999999996"/>
    <x v="13"/>
    <s v="N2"/>
    <s v="Ralentissement du train"/>
    <s v="Ho complet entre  314 et 213 mauvaise qualité de signal  ,Requête de déconnexion a été envoyé par RBC"/>
    <m/>
    <x v="1"/>
    <s v="Statistique HO zone 13-14 "/>
    <s v="Ho complet entre  314 et 213"/>
    <s v="dl Rxqual=5"/>
    <s v="dl rx level= -49 dbm"/>
    <s v="OK"/>
    <s v="OK"/>
    <m/>
    <s v="retransmission des trames HDLC*5"/>
    <m/>
    <m/>
    <m/>
    <m/>
    <m/>
    <m/>
    <m/>
    <m/>
    <m/>
  </r>
  <r>
    <n v="145"/>
    <b v="0"/>
    <x v="75"/>
    <d v="1899-12-30T20:04:18"/>
    <n v="1049"/>
    <x v="7"/>
    <x v="1"/>
    <n v="1040"/>
    <s v="-"/>
    <s v="Casa/Tanger"/>
    <n v="7.3209999999999997"/>
    <x v="2"/>
    <s v="N2"/>
    <s v="Ralentissement du train"/>
    <s v="H.O non finalisé entre 303 et 302 Mauvaise qualité de signal  ,Requête de déconnexion a été envoyé par RBC"/>
    <m/>
    <x v="2"/>
    <s v="Attente analyse spectrale"/>
    <s v="H.O non Finalisé entre  303 et 302"/>
    <s v="dl Rxqual=7"/>
    <s v="dl rx level= -68 dbm"/>
    <s v="OK"/>
    <s v="OK"/>
    <s v="Mauvais"/>
    <s v="retransmission des trames HDLC*5"/>
    <m/>
    <m/>
    <m/>
    <m/>
    <m/>
    <m/>
    <m/>
    <m/>
    <m/>
  </r>
  <r>
    <n v="146"/>
    <b v="0"/>
    <x v="76"/>
    <d v="1899-12-30T10:33:36"/>
    <n v="2018"/>
    <x v="4"/>
    <x v="0"/>
    <n v="1058"/>
    <s v="-"/>
    <s v="Tanger/Casa"/>
    <n v="135.58500000000001"/>
    <x v="10"/>
    <s v="N2"/>
    <s v="Ralentissement du train"/>
    <s v="H.O Complet entre 323 et 324  bonne qualité de signal  ,Requête de déconnexion a été envoyé par RBC"/>
    <m/>
    <x v="0"/>
    <s v="verification de la chaine antennaire"/>
    <s v="H.O complet entre 323 et 324"/>
    <s v="dl Rxqual=0"/>
    <s v="dl rx level= -70 dbm"/>
    <s v="OK"/>
    <s v="OK"/>
    <s v="Mauvais"/>
    <s v="retransmission des trames HDLC*5"/>
    <m/>
    <m/>
    <m/>
    <m/>
    <m/>
    <m/>
    <m/>
    <m/>
    <m/>
  </r>
  <r>
    <n v="147"/>
    <b v="0"/>
    <x v="77"/>
    <d v="1899-12-30T08:34:57"/>
    <n v="2009"/>
    <x v="7"/>
    <x v="0"/>
    <n v="1055"/>
    <s v="-"/>
    <s v="Tanger/Casa"/>
    <n v="146.738"/>
    <x v="3"/>
    <s v="N2"/>
    <s v="Ralentissement du train"/>
    <s v="H.O Complet entre 225 et 226  bonne qualité de signal  ,Requête de déconnexion a été envoyé par RBC"/>
    <m/>
    <x v="0"/>
    <s v="verification de la chaine antennaire"/>
    <s v="H.O complet entre 225 et 226"/>
    <s v="dl Rxqual=5"/>
    <s v="dl rx level= -72 dbm"/>
    <s v="OK"/>
    <s v="OK"/>
    <s v="moyen"/>
    <s v="retransmission des trames HDLC*5"/>
    <m/>
    <m/>
    <m/>
    <m/>
    <m/>
    <m/>
    <m/>
    <m/>
    <m/>
  </r>
  <r>
    <n v="148"/>
    <b v="0"/>
    <x v="77"/>
    <d v="1899-12-30T15:19:03"/>
    <n v="2037"/>
    <x v="5"/>
    <x v="0"/>
    <n v="1025"/>
    <s v="-"/>
    <s v="Tanger/Casa"/>
    <n v="56.555"/>
    <x v="23"/>
    <s v="N2"/>
    <s v="Arrêt du train"/>
    <s v="H.O Complet entre 209 et 210  bonne qualité de signal  ,Requête de déconnexion a été envoyé par RBC"/>
    <m/>
    <x v="0"/>
    <s v="verification de la chaine antennaire"/>
    <s v="H.O complet entre 209 et 210"/>
    <s v="dl Rxqual=5"/>
    <s v="dl rx level= -54 dbm"/>
    <s v="OK"/>
    <s v="OK"/>
    <s v="Mauvais"/>
    <s v="retransmission des trames HDLC*5"/>
    <m/>
    <m/>
    <m/>
    <m/>
    <m/>
    <m/>
    <m/>
    <m/>
    <m/>
  </r>
  <r>
    <n v="149"/>
    <b v="0"/>
    <x v="78"/>
    <d v="1899-12-30T14:08:39"/>
    <n v="2033"/>
    <x v="4"/>
    <x v="0"/>
    <n v="7208"/>
    <n v="35214500004427"/>
    <s v="Tanger/Casa"/>
    <n v="14.99"/>
    <x v="22"/>
    <s v="N2"/>
    <s v="Ralentissement du train"/>
    <s v="H.O Complet entre 303 et 204  bonne qualité de signal  ,Requête de déconnexion a été envoyé par RBC"/>
    <m/>
    <x v="0"/>
    <s v="verification de la chaine antennaire"/>
    <s v="H.O complet entre 303 et 204"/>
    <s v="dl Rxqual=1"/>
    <s v="dl rx level= -47 dbm"/>
    <s v="OK"/>
    <s v="OK"/>
    <s v="Mauvais"/>
    <s v="retransmission des trames HDLC*5"/>
    <m/>
    <m/>
    <m/>
    <m/>
    <m/>
    <m/>
    <m/>
    <m/>
    <m/>
  </r>
  <r>
    <n v="150"/>
    <b v="0"/>
    <x v="79"/>
    <d v="1899-12-30T12:58:13"/>
    <n v="1021"/>
    <x v="0"/>
    <x v="1"/>
    <n v="1045"/>
    <s v="-"/>
    <s v="Casa/Tanger"/>
    <n v="35.015999999999998"/>
    <x v="25"/>
    <s v="N2"/>
    <s v="Arrêt du train"/>
    <s v="H.O Complet entre 208 et 307  bonne qualité de signal  ,Requête de déconnexion a été envoyé par RBC"/>
    <m/>
    <x v="0"/>
    <s v="verification de la chaine antennaire"/>
    <s v="H.O complet entre 208 et 307"/>
    <s v="dl Rxqual=2"/>
    <s v="dl rx level= -67 dbm"/>
    <s v="OK"/>
    <s v="OK"/>
    <s v="Mauvais"/>
    <s v="retransmission des trames HDLC*5"/>
    <m/>
    <m/>
    <m/>
    <m/>
    <m/>
    <m/>
    <m/>
    <m/>
    <m/>
  </r>
  <r>
    <n v="151"/>
    <b v="0"/>
    <x v="79"/>
    <d v="1899-12-30T14:23:13"/>
    <n v="2033"/>
    <x v="8"/>
    <x v="0"/>
    <n v="1043"/>
    <s v="-"/>
    <s v="Tanger/Casa"/>
    <n v="81.777000000000001"/>
    <x v="15"/>
    <s v="N2"/>
    <s v="Ralentissement du train"/>
    <s v="H.O Complet entre 214 et 215 bonne qualité de signal ,Requête de déconnexion a été envoyé par RBC"/>
    <m/>
    <x v="0"/>
    <s v="verification de la chaine antennaire"/>
    <s v="H.O complet entre 214 et 215"/>
    <s v="dl Rxqual=5"/>
    <s v="dl rx level= -69 dbm"/>
    <s v="OK"/>
    <s v="OK"/>
    <s v="moyen"/>
    <s v="retransmission des trames HDLC*5"/>
    <m/>
    <m/>
    <m/>
    <m/>
    <m/>
    <m/>
    <m/>
    <m/>
    <m/>
  </r>
  <r>
    <n v="152"/>
    <b v="0"/>
    <x v="80"/>
    <d v="1899-12-30T09:55:29"/>
    <n v="1009"/>
    <x v="2"/>
    <x v="1"/>
    <n v="1035"/>
    <s v="-"/>
    <s v="Casa/Tanger"/>
    <n v="78.155000000000001"/>
    <x v="11"/>
    <s v="N2"/>
    <s v="Arrêt du train"/>
    <s v="H.O Complet entre 315 et 314 bonne qualité de signal ,Requête de déconnexion a été envoyé par RBC"/>
    <m/>
    <x v="0"/>
    <s v="verification de la chaine antennaire"/>
    <s v="H.O complet entre 315 et 314"/>
    <s v="dl Rxqual=0"/>
    <s v="dl rx level= -61 dbm"/>
    <s v="OK"/>
    <s v="OK"/>
    <s v="Mauvais"/>
    <s v="retransmission des trames HDLC*5"/>
    <m/>
    <m/>
    <m/>
    <m/>
    <m/>
    <m/>
    <m/>
    <m/>
    <m/>
  </r>
  <r>
    <n v="153"/>
    <b v="0"/>
    <x v="80"/>
    <d v="1899-12-30T18:40:00"/>
    <n v="1045"/>
    <x v="7"/>
    <x v="1"/>
    <n v="1040"/>
    <s v="-"/>
    <s v="Casa/Tanger"/>
    <n v="122.536"/>
    <x v="30"/>
    <s v="N2"/>
    <s v="Ralentissement du train"/>
    <s v="H.O non finalisé entre 222 et 321 Mauvaise qualité de signal  ,Requête de déconnexion a été envoyé par le Bord"/>
    <m/>
    <x v="0"/>
    <s v="verification de la chaine antennaire"/>
    <s v="H.O non Finalisé entre  222 et 321"/>
    <s v="dl Rxqual=7"/>
    <s v="dl rx level= -110 dbm"/>
    <s v="OK"/>
    <s v="OK"/>
    <s v="Mauvais"/>
    <s v="retransmission des trames HDLC*5"/>
    <m/>
    <m/>
    <m/>
    <m/>
    <m/>
    <m/>
    <m/>
    <m/>
    <m/>
  </r>
  <r>
    <n v="154"/>
    <b v="0"/>
    <x v="81"/>
    <d v="1899-12-30T10:31:10"/>
    <n v="1014"/>
    <x v="5"/>
    <x v="1"/>
    <n v="1027"/>
    <s v="-"/>
    <s v="Casa/Tanger"/>
    <n v="165.298"/>
    <x v="28"/>
    <s v="N2"/>
    <s v="Ralentissement du train"/>
    <s v="H.O non finalisé entre 328 et 327 Mauvaise qualité de signal  ,Requête de déconnexion a été envoyé par le Bord"/>
    <m/>
    <x v="0"/>
    <s v="verification de la chaine antennaire"/>
    <s v="H.O non Finalisé entre  328 et 327"/>
    <s v="dl Rxqual=7"/>
    <s v="dl rx level= -57 dbm"/>
    <s v="OK"/>
    <s v="NOK"/>
    <s v="moyen"/>
    <s v="retransmission des trames HDLC*5"/>
    <m/>
    <m/>
    <m/>
    <m/>
    <m/>
    <m/>
    <m/>
    <m/>
    <m/>
  </r>
  <r>
    <n v="155"/>
    <b v="0"/>
    <x v="81"/>
    <d v="1899-12-30T10:34:38"/>
    <n v="1014"/>
    <x v="5"/>
    <x v="1"/>
    <n v="1027"/>
    <s v="-"/>
    <s v="Casa/Tanger"/>
    <n v="152.488"/>
    <x v="18"/>
    <s v="N2"/>
    <s v="Ralentissement du train"/>
    <s v="H.O non finalisé entre 326 et 325 bonne qualité de signal  ,Requête de déconnexion a été envoyé par le Bord"/>
    <m/>
    <x v="0"/>
    <s v="verification de la chaine antennaire"/>
    <s v="H.O non Finalisé entre  326  et 325"/>
    <s v="dl Rxqual=0"/>
    <s v="dl rx level= -53 dbm"/>
    <s v="OK"/>
    <s v="OK"/>
    <s v="Mauvais"/>
    <s v="pas de retransmission des trames HDLC"/>
    <m/>
    <m/>
    <m/>
    <m/>
    <m/>
    <m/>
    <m/>
    <m/>
    <m/>
  </r>
  <r>
    <n v="156"/>
    <b v="0"/>
    <x v="81"/>
    <d v="1899-12-30T14:04:52"/>
    <n v="1025"/>
    <x v="0"/>
    <x v="1"/>
    <n v="1044"/>
    <s v="-"/>
    <s v="Casa/Tanger"/>
    <n v="7.3209999999999997"/>
    <x v="2"/>
    <s v="N2"/>
    <s v="Arrêt du train"/>
    <s v="H.O Complet entre 303 et 202  Mauvaise qualité de signal  ,Requête de déconnexion a été envoyé par RBC"/>
    <m/>
    <x v="2"/>
    <s v="Attente analyse spectrale"/>
    <s v="H.O Complet entre 303 et 202"/>
    <s v="dl Rxqual=7"/>
    <s v="dl rx level= -75 dbm"/>
    <s v="OK"/>
    <s v="OK"/>
    <s v="Mauvais"/>
    <s v="retransmission des trames HDLC*5"/>
    <m/>
    <m/>
    <m/>
    <m/>
    <m/>
    <m/>
    <m/>
    <m/>
    <m/>
  </r>
  <r>
    <n v="157"/>
    <b v="0"/>
    <x v="81"/>
    <d v="1899-12-30T17:49:48"/>
    <n v="1041"/>
    <x v="8"/>
    <x v="1"/>
    <n v="1022"/>
    <s v="-"/>
    <s v="Casa/Tanger"/>
    <n v="73.525999999999996"/>
    <x v="13"/>
    <s v="N2"/>
    <s v="Ralentissement du train"/>
    <s v="H.O Complet entre 323 et 222 bonne qualité de signal ,Requête de déconnexion a été envoyé par RBC"/>
    <m/>
    <x v="0"/>
    <s v="verification de la chaine antennaire"/>
    <s v="H.O Complet entre 323 et 222"/>
    <s v="dl Rxqual=4"/>
    <s v="dl rx level= -47 dbm"/>
    <s v="OK"/>
    <s v="OK"/>
    <s v="Mauvais"/>
    <s v="retransmission des trames HDLC*5"/>
    <m/>
    <m/>
    <m/>
    <m/>
    <m/>
    <m/>
    <m/>
    <m/>
    <m/>
  </r>
  <r>
    <n v="158"/>
    <b v="0"/>
    <x v="81"/>
    <d v="1899-12-30T20:04:14"/>
    <n v="1049"/>
    <x v="4"/>
    <x v="1"/>
    <n v="1033"/>
    <s v="-"/>
    <s v="Casa/Tanger"/>
    <n v="7.3209999999999997"/>
    <x v="2"/>
    <s v="N2"/>
    <s v="Arrêt du train"/>
    <s v="H.O Complet entre 303 et 302 Mauvaise qualité de signal ,Requête de déconnexion a été envoyé par RBC"/>
    <m/>
    <x v="2"/>
    <s v="Attente analyse spectrale"/>
    <s v="H.O Complet entre 303 et 302"/>
    <s v="dl Rxqual=7"/>
    <s v="dl rx level= -72 dbm"/>
    <s v="OK"/>
    <s v="OK"/>
    <s v="Mauvais"/>
    <s v="retransmission des trames HDLC*5"/>
    <m/>
    <m/>
    <m/>
    <m/>
    <m/>
    <m/>
    <m/>
    <m/>
    <m/>
  </r>
  <r>
    <n v="159"/>
    <b v="0"/>
    <x v="82"/>
    <d v="1899-12-30T18:13:24"/>
    <n v="2049"/>
    <x v="10"/>
    <x v="0"/>
    <n v="1033"/>
    <m/>
    <s v="Tanger/Casa"/>
    <n v="31.350999999999999"/>
    <x v="25"/>
    <s v="N2"/>
    <s v="Ralentissement du train"/>
    <s v="H.O Complet entre 206 et 207 bonne qualité de signal ,Requête de déconnexion a été envoyé par RBC"/>
    <m/>
    <x v="0"/>
    <s v="verification de la chaine antennaire"/>
    <s v="H.O Complet entre 206 et 207"/>
    <s v="dl Rxqual=1"/>
    <s v="dl rx level= -49 dbm"/>
    <s v="OK"/>
    <s v="OK"/>
    <s v="Mauvais"/>
    <s v="retransmission des trames HDLC*5"/>
    <m/>
    <m/>
    <m/>
    <m/>
    <m/>
    <m/>
    <m/>
    <m/>
    <m/>
  </r>
  <r>
    <n v="160"/>
    <b v="0"/>
    <x v="82"/>
    <d v="1899-12-30T21:39:59"/>
    <n v="1058"/>
    <x v="8"/>
    <x v="1"/>
    <n v="1023"/>
    <m/>
    <s v="Casa/Tanger"/>
    <n v="143.11199999999999"/>
    <x v="26"/>
    <s v="N2"/>
    <s v="Arrêt du train"/>
    <s v="H.O Complet entre 326 et 325 bonne qualité de signal ,Requête de déconnexion a été envoyé par RBC"/>
    <m/>
    <x v="0"/>
    <s v="verification de la chaine antennaire"/>
    <s v="H.O Complet entre 326 et 325"/>
    <s v="dl Rxqual=2"/>
    <s v="dl rx level= -70 dbm"/>
    <s v="OK"/>
    <s v="OK"/>
    <s v="Mauvais"/>
    <s v="retransmission des trames HDLC*5"/>
    <m/>
    <m/>
    <m/>
    <m/>
    <m/>
    <m/>
    <m/>
    <m/>
    <m/>
  </r>
  <r>
    <n v="161"/>
    <b v="0"/>
    <x v="82"/>
    <d v="1899-12-30T20:47:12"/>
    <n v="1054"/>
    <x v="4"/>
    <x v="1"/>
    <n v="1033"/>
    <m/>
    <s v="Casa/Tanger"/>
    <n v="102.89"/>
    <x v="24"/>
    <s v="N2"/>
    <s v="Ralentissement du train"/>
    <s v="H.O Complet entre 319 et 318 bonne qualité de signal ,Requête de déconnexion a été envoyé par RBC"/>
    <m/>
    <x v="3"/>
    <m/>
    <s v="H.O Complet entre 319 et 318"/>
    <s v="dl Rxqual=0"/>
    <s v="dl rx level= -51 dbm"/>
    <s v="OK"/>
    <s v="OK"/>
    <s v="Mauvais"/>
    <s v="pas de retransmission des trames HDLC"/>
    <m/>
    <m/>
    <m/>
    <m/>
    <m/>
    <m/>
    <m/>
    <m/>
    <m/>
  </r>
  <r>
    <n v="162"/>
    <b v="0"/>
    <x v="83"/>
    <d v="1899-12-30T17:34:56"/>
    <n v="1042"/>
    <x v="3"/>
    <x v="1"/>
    <n v="1008"/>
    <m/>
    <s v="Casa/Tanger"/>
    <n v="166.529"/>
    <x v="28"/>
    <s v="N2"/>
    <s v="Ralentissement du train"/>
    <s v="H.O Complet entre 329 et 328 bonne qualité de signal ,Requête de déconnexion a été envoyé par RBC"/>
    <m/>
    <x v="0"/>
    <s v="verification de la chaine antennaire"/>
    <s v="H.O Complet entre 329 et 328"/>
    <s v="dl Rxqual=0"/>
    <s v="dl rx level= -55 dbm"/>
    <s v="OK"/>
    <s v="OK"/>
    <s v="Mauvais"/>
    <s v="retransmission des trames HDLC*5"/>
    <m/>
    <m/>
    <m/>
    <m/>
    <m/>
    <m/>
    <m/>
    <m/>
    <m/>
  </r>
  <r>
    <n v="163"/>
    <b v="0"/>
    <x v="84"/>
    <d v="1899-12-30T09:29:37"/>
    <n v="1009"/>
    <x v="0"/>
    <x v="1"/>
    <n v="1045"/>
    <m/>
    <s v="Casa/Tanger"/>
    <n v="174.07400000000001"/>
    <x v="27"/>
    <s v="N2"/>
    <s v="Ralentissement du train"/>
    <s v="H.O Complet entre 330 et 329 Mauvaise qualité de signal ,Requête de déconnexion a été envoyé par MSC"/>
    <m/>
    <x v="0"/>
    <s v="verification de la chaine antennaire"/>
    <s v="H.O Complet entre 330 et 329"/>
    <s v="dl Rxqual=7"/>
    <s v="dl rx level= -110 dbm"/>
    <s v="OK"/>
    <s v="OK"/>
    <s v="Mauvais"/>
    <s v="retransmission des trames HDLC*5"/>
    <m/>
    <m/>
    <m/>
    <m/>
    <m/>
    <m/>
    <m/>
    <m/>
    <m/>
  </r>
  <r>
    <n v="164"/>
    <b v="0"/>
    <x v="85"/>
    <d v="1899-12-30T08:05:07"/>
    <n v="2009"/>
    <x v="8"/>
    <x v="0"/>
    <n v="1042"/>
    <m/>
    <s v="Tanger/Casa"/>
    <n v="5.93"/>
    <x v="2"/>
    <s v="N2"/>
    <s v="Ralentissement du train"/>
    <s v="H.O Complet entre 301 et 302 bonne qualité de signal ,Requête de déconnexion a été envoyé par RBC"/>
    <m/>
    <x v="1"/>
    <s v="action à plannifier "/>
    <s v="H.O Complet entre 301 et 302"/>
    <s v="dl Rxqual=0"/>
    <s v="dl rx level= -49 dbm"/>
    <s v="OK"/>
    <s v="OK"/>
    <s v="Mauvais"/>
    <s v="retransmission des trames HDLC*5"/>
    <m/>
    <m/>
    <m/>
    <m/>
    <m/>
    <m/>
    <m/>
    <m/>
    <m/>
  </r>
  <r>
    <n v="165"/>
    <b v="0"/>
    <x v="85"/>
    <d v="1899-12-30T17:28:44"/>
    <n v="2045"/>
    <x v="10"/>
    <x v="0"/>
    <n v="7198"/>
    <m/>
    <s v="Tanger/Casa"/>
    <n v="112.035"/>
    <x v="17"/>
    <s v="N2"/>
    <s v="Ralentissement du train"/>
    <s v="H.O non finalisé 219 et 220 bonne qualité de signal ,Requête de déconnexion a été envoyé par RBC"/>
    <m/>
    <x v="0"/>
    <s v="Rame sous surveillance"/>
    <s v="H.O non finalisé entre 219 et 220"/>
    <s v="dl Rxqual=1"/>
    <s v="dl rx level= -47 dbm"/>
    <s v="OK"/>
    <s v="OK"/>
    <s v="Mauvais"/>
    <s v="retransmission des trames HDLC*5"/>
    <m/>
    <m/>
    <m/>
    <m/>
    <m/>
    <m/>
    <m/>
    <m/>
    <m/>
  </r>
  <r>
    <n v="166"/>
    <b v="0"/>
    <x v="86"/>
    <d v="1899-12-30T16:45:43"/>
    <n v="2045"/>
    <x v="0"/>
    <x v="1"/>
    <n v="1045"/>
    <m/>
    <s v="Casa/Tanger"/>
    <n v="94.953999999999994"/>
    <x v="8"/>
    <s v="N2"/>
    <s v="Ralentissement du train"/>
    <s v="H.O Complet entre 318 et 217  bonne qualité de signal ,Requête de déconnexion a été envoyé par RBC"/>
    <m/>
    <x v="0"/>
    <s v="verification de la chaine antennaire"/>
    <s v="H.O Complet entre 318 et 217 "/>
    <s v="dl Rxqual=1"/>
    <s v="dl rx level= -47 dbm"/>
    <s v="OK"/>
    <s v="OK"/>
    <s v="Mauvais"/>
    <s v="retransmission des trames HDLC*5"/>
    <m/>
    <m/>
    <m/>
    <m/>
    <m/>
    <m/>
    <m/>
    <m/>
    <m/>
  </r>
  <r>
    <n v="167"/>
    <b v="0"/>
    <x v="86"/>
    <d v="1899-12-30T17:04:39"/>
    <n v="2045"/>
    <x v="7"/>
    <x v="0"/>
    <n v="1054"/>
    <m/>
    <s v="Tanger/Casa"/>
    <n v="6.13"/>
    <x v="2"/>
    <s v="N2"/>
    <s v="Ralentissement du train"/>
    <s v="H.O Complet entre 301 et 302 bonne qualité de signal ,Requête de déconnexion a été envoyé par RBC"/>
    <m/>
    <x v="0"/>
    <s v="verification de la chaine antennaire"/>
    <s v="H.O Complet entre 301 et 202"/>
    <s v="dl Rxqual=2"/>
    <s v="dl rx level= -55 dbm"/>
    <s v="OK"/>
    <s v="OK"/>
    <s v="Mauvais"/>
    <s v="retransmission des trames HDLC*5"/>
    <m/>
    <m/>
    <m/>
    <m/>
    <m/>
    <m/>
    <m/>
    <m/>
    <m/>
  </r>
  <r>
    <n v="168"/>
    <b v="0"/>
    <x v="86"/>
    <d v="1899-12-30T20:59:22"/>
    <n v="1054"/>
    <x v="8"/>
    <x v="1"/>
    <n v="1022"/>
    <m/>
    <s v="Casa/Tanger"/>
    <n v="35.259"/>
    <x v="25"/>
    <s v="N2"/>
    <s v="Ralentissement du train"/>
    <s v="H.O Complet entre 208 et 307 bonne qualité de signal ,Requête de déconnexion a été envoyé par RBC"/>
    <m/>
    <x v="0"/>
    <s v="verification de la chaine antennaire"/>
    <s v="H.O Complet entre 208 et 307"/>
    <s v="dl Rxqual=2"/>
    <s v="dl rx level= -61 dbm"/>
    <s v="OK"/>
    <s v="NOK"/>
    <s v="Mauvais"/>
    <s v="retransmission des trames HDLC*5"/>
    <m/>
    <m/>
    <m/>
    <m/>
    <m/>
    <m/>
    <m/>
    <m/>
    <m/>
  </r>
  <r>
    <n v="169"/>
    <b v="0"/>
    <x v="87"/>
    <d v="1899-12-30T07:31:31"/>
    <n v="2005"/>
    <x v="0"/>
    <x v="0"/>
    <n v="1037"/>
    <m/>
    <s v="Tanger/Casa"/>
    <n v="126.51"/>
    <x v="6"/>
    <s v="N2"/>
    <s v="Ralentissement du train"/>
    <s v="H.O Complet entre 221 et 222 bonne qualité de signal ,Requête de déconnexion a été envoyé par RBC"/>
    <m/>
    <x v="2"/>
    <s v="Attente vérification de la rame + zone sous surveillance "/>
    <s v="H.O Complet entre 221 et 222"/>
    <s v="dl Rxqual=2"/>
    <s v="dl rx level= -72 dbm"/>
    <s v="OK"/>
    <s v="OK"/>
    <s v="Mauvais"/>
    <s v="retransmission des trames HDLC*5"/>
    <m/>
    <m/>
    <m/>
    <m/>
    <m/>
    <m/>
    <m/>
    <m/>
    <m/>
  </r>
  <r>
    <n v="170"/>
    <b v="0"/>
    <x v="88"/>
    <d v="1899-12-30T04:39:03"/>
    <n v="2081"/>
    <x v="8"/>
    <x v="0"/>
    <n v="1043"/>
    <m/>
    <s v="Tanger/Casa"/>
    <n v="88.911000000000001"/>
    <x v="12"/>
    <s v="N2"/>
    <s v="Ralentissement du train"/>
    <s v="H.O non finalisé entre 216 et 217 bonne qualité de signal ,Requête de déconnexion a été envoyé par RBC"/>
    <m/>
    <x v="0"/>
    <s v="en attente d'instoration des filtres "/>
    <s v="H.O non finalisé entre 216 et 217"/>
    <s v="dl Rxqual=0"/>
    <s v="dl rx level= -72 dbm"/>
    <s v="OK"/>
    <s v="OK"/>
    <s v="Mauvais"/>
    <s v="retransmission des trames HDLC*5"/>
    <m/>
    <m/>
    <m/>
    <m/>
    <m/>
    <m/>
    <m/>
    <m/>
    <m/>
  </r>
  <r>
    <n v="171"/>
    <b v="0"/>
    <x v="89"/>
    <d v="1899-12-30T17:28:14"/>
    <n v="2045"/>
    <x v="10"/>
    <x v="0"/>
    <n v="7198"/>
    <m/>
    <s v="Tanger/Casa"/>
    <n v="106.91800000000001"/>
    <x v="1"/>
    <s v="N2"/>
    <s v="Ralentissement du train"/>
    <s v="H.O Complet entre 318 et 319 bonne qualité de signal ,Requête de déconnexion a été envoyé par RBC"/>
    <m/>
    <x v="0"/>
    <s v="en attente d'instoration des filtres "/>
    <s v="H.O Complet entre 318 et 319"/>
    <s v="dl Rxqual=0"/>
    <s v="dl rx level= -56 dbm"/>
    <s v="OK"/>
    <s v="OK"/>
    <s v="Mauvais"/>
    <s v="retransmission des trames HDLC*5"/>
    <m/>
    <m/>
    <m/>
    <m/>
    <m/>
    <m/>
    <m/>
    <m/>
    <m/>
  </r>
  <r>
    <n v="172"/>
    <b v="0"/>
    <x v="89"/>
    <d v="1899-12-30T18:23:29"/>
    <n v="1045"/>
    <x v="9"/>
    <x v="1"/>
    <n v="1030"/>
    <m/>
    <s v="Casa/Tanger"/>
    <n v="202.125"/>
    <x v="5"/>
    <s v="N2"/>
    <s v="Ralentissement du train"/>
    <s v="H.O Complet entre 234 et 233 mauvaise qualité de signal ,Requête de déconnexion a été envoyé par RBC"/>
    <m/>
    <x v="2"/>
    <s v="en attente d'instoration des filtres /chantier d'optimisation en cours"/>
    <s v="H.O Complet entre 234 et 233"/>
    <s v="dl Rxqual=7"/>
    <s v="dl rx level= -69 dbm"/>
    <s v="OK"/>
    <s v="OK"/>
    <s v="Mauvais"/>
    <s v="retransmission des trames HDLC*5"/>
    <m/>
    <m/>
    <m/>
    <m/>
    <m/>
    <m/>
    <m/>
    <m/>
    <m/>
  </r>
  <r>
    <n v="173"/>
    <b v="0"/>
    <x v="90"/>
    <d v="1899-12-30T11:25:29"/>
    <n v="1018"/>
    <x v="2"/>
    <x v="1"/>
    <n v="1035"/>
    <m/>
    <s v="Casa/Tanger"/>
    <n v="188.05500000000001"/>
    <x v="5"/>
    <s v="N2"/>
    <s v="Ralentissement du train"/>
    <s v="H.O non finalisé entre 230 et 232 mauvaise qualité de signal ,Requête de déconnexion a été envoyé par le Bord"/>
    <m/>
    <x v="2"/>
    <s v="en attente d'instoration des filtres /chantier d'optimisation sur le GSM-R 34"/>
    <s v="H.O non finalisé entre 230 et 232"/>
    <s v="dl Rxqual=7"/>
    <s v="dl rx level= -87 dbm"/>
    <s v="OK"/>
    <s v="OK"/>
    <s v="moyen"/>
    <s v="retransmission des trames HDLC*5"/>
    <m/>
    <m/>
    <m/>
    <m/>
    <m/>
    <m/>
    <m/>
    <m/>
    <m/>
  </r>
  <r>
    <n v="174"/>
    <b v="0"/>
    <x v="91"/>
    <d v="1899-12-30T08:35:55"/>
    <n v="1005"/>
    <x v="1"/>
    <x v="1"/>
    <n v="1035"/>
    <m/>
    <s v="Casa/Tanger"/>
    <n v="155.96199999999999"/>
    <x v="18"/>
    <s v="N2"/>
    <s v="Ralentissement du train"/>
    <s v="H.O non finalisé entre 328 et 327 bonne qualité de signal ,Requête de déconnexion a été envoyé par RBC"/>
    <m/>
    <x v="0"/>
    <s v="en attente d'instoration des filtres "/>
    <s v="H.O non finalisé entre 328 et 327"/>
    <s v="dl Rxqual=3"/>
    <s v="dl rx level= -68 dbm"/>
    <s v="OK"/>
    <s v="OK"/>
    <s v="Mauvais"/>
    <s v="retransmission des trames HDLC*5"/>
    <m/>
    <m/>
    <m/>
    <m/>
    <m/>
    <m/>
    <m/>
    <m/>
    <m/>
  </r>
  <r>
    <n v="175"/>
    <b v="0"/>
    <x v="91"/>
    <d v="1899-12-30T17:22:40"/>
    <n v="2045"/>
    <x v="2"/>
    <x v="0"/>
    <n v="7217"/>
    <m/>
    <s v="Tanger/Casa"/>
    <n v="79.281999999999996"/>
    <x v="11"/>
    <s v="N2"/>
    <s v="Arrêt du train"/>
    <s v="H.O Complet entre 214 et 215 bonne qualité de signal ,Requête de déconnexion a été envoyé par RBC"/>
    <m/>
    <x v="0"/>
    <s v="en attente rapport du conducteur "/>
    <s v="H.O Complet entre 214 et 215"/>
    <s v="dl Rxqual=0"/>
    <s v="dl rx level= -56 dbm"/>
    <s v="OK"/>
    <s v="NOK"/>
    <s v="Mauvais"/>
    <s v="retransmission des trames HDLC*5"/>
    <m/>
    <m/>
    <m/>
    <m/>
    <m/>
    <m/>
    <m/>
    <m/>
    <m/>
  </r>
  <r>
    <n v="176"/>
    <b v="0"/>
    <x v="92"/>
    <d v="1899-12-30T06:11:05"/>
    <n v="1081"/>
    <x v="5"/>
    <x v="1"/>
    <n v="1027"/>
    <m/>
    <s v="Casa/Tanger"/>
    <n v="151.35"/>
    <x v="18"/>
    <s v="N2"/>
    <s v="Arrêt du train"/>
    <s v="H.O Complet entre 327 et 326 bonne qualité de signal ,Requête de déconnexion a été envoyé par RBC"/>
    <m/>
    <x v="0"/>
    <s v="en attente d'instoration des filtres "/>
    <s v="H.O Complet entre 327 et 326"/>
    <s v="dl Rxqual=0"/>
    <s v="dl rx level= -48 dbm"/>
    <s v="OK"/>
    <s v="OK"/>
    <s v="Mauvais"/>
    <s v="retransmission des trames HDLC*5"/>
    <m/>
    <m/>
    <m/>
    <m/>
    <m/>
    <m/>
    <m/>
    <m/>
    <m/>
  </r>
  <r>
    <n v="177"/>
    <b v="0"/>
    <x v="93"/>
    <d v="1899-12-30T09:31:37"/>
    <n v="1006"/>
    <x v="5"/>
    <x v="1"/>
    <n v="1027"/>
    <m/>
    <s v="Casa/Tanger"/>
    <n v="53.540999999999997"/>
    <x v="29"/>
    <s v="N2"/>
    <s v="Ralentissement du train"/>
    <s v="H.O Complet entre 311 et 310 bonne qualité de signal ,Requête de déconnexion a été envoyé par RBC"/>
    <m/>
    <x v="0"/>
    <s v="en attente d'instoration des filtres "/>
    <s v="H.O Complet entre 311 et 310"/>
    <s v="dl Rxqual=2"/>
    <s v="dl rx level= -89 dbm"/>
    <s v="OK"/>
    <s v="OK"/>
    <s v="Mauvais"/>
    <s v="retransmission des trames HDLC*5"/>
    <m/>
    <m/>
    <m/>
    <m/>
    <m/>
    <m/>
    <m/>
    <m/>
    <m/>
  </r>
  <r>
    <n v="178"/>
    <b v="0"/>
    <x v="93"/>
    <d v="1899-12-30T13:43:39"/>
    <n v="1025"/>
    <x v="0"/>
    <x v="1"/>
    <n v="1044"/>
    <m/>
    <s v="Casa/Tanger"/>
    <n v="151.35"/>
    <x v="18"/>
    <s v="N2"/>
    <s v="Ralentissement du train"/>
    <s v="H.O Complet entre 327 et 326 bonne qualité de signal ,Requête de déconnexion a été envoyé par RBC"/>
    <m/>
    <x v="0"/>
    <s v="en attente d'instoration des filtres "/>
    <s v="H.O Complet entre 327 et 326"/>
    <s v="dl Rxqual=0"/>
    <s v="dl rx level= -48 dbm"/>
    <s v="OK"/>
    <s v="OK"/>
    <s v="Mauvais"/>
    <s v="retransmission des trames HDLC*5"/>
    <m/>
    <m/>
    <m/>
    <m/>
    <m/>
    <m/>
    <m/>
    <m/>
    <m/>
  </r>
  <r>
    <n v="179"/>
    <b v="0"/>
    <x v="93"/>
    <d v="1899-12-30T20:14:19"/>
    <n v="1049"/>
    <x v="4"/>
    <x v="1"/>
    <n v="1033"/>
    <m/>
    <s v="Casa/Tanger"/>
    <n v="7.3209999999999997"/>
    <x v="2"/>
    <s v="N2"/>
    <s v="Arrêt du train"/>
    <s v="H.O non finalisé entre 202 et 303 mauvaise qualité de signal ,Requête de déconnexion a été envoyé par RBC"/>
    <m/>
    <x v="2"/>
    <s v="en attente d'instoration des filtres "/>
    <s v="H.O non finalisé entre 202 et 203"/>
    <s v="dl Rxqual=6"/>
    <s v="dl rx level= -49 dbm"/>
    <s v="OK"/>
    <s v="OK"/>
    <s v="Mauvais"/>
    <s v="retransmission des trames HDLC*5"/>
    <m/>
    <m/>
    <m/>
    <m/>
    <m/>
    <m/>
    <m/>
    <m/>
    <m/>
  </r>
  <r>
    <n v="180"/>
    <b v="0"/>
    <x v="93"/>
    <d v="1899-12-30T20:33:40"/>
    <n v="1053"/>
    <x v="0"/>
    <x v="1"/>
    <n v="1044"/>
    <m/>
    <s v="Casa/Tanger"/>
    <n v="177.85"/>
    <x v="4"/>
    <s v="N2"/>
    <s v="Ralentissement du train"/>
    <s v="H.O non finalisé entre 231 et 232 mauvaise qualité de signal ,Requête de déconnexion a été envoyé par RBC"/>
    <m/>
    <x v="2"/>
    <s v="en attente d'instoration des filtres "/>
    <s v="H.O non finalisé entre 231 et 332"/>
    <s v="dl Rxqual=7"/>
    <s v="dl rx level= -65 dbm"/>
    <s v="OK"/>
    <s v="OK"/>
    <s v="Mauvais"/>
    <s v="retransmission des trames HDLC*5"/>
    <m/>
    <m/>
    <m/>
    <m/>
    <m/>
    <m/>
    <m/>
    <m/>
    <m/>
  </r>
  <r>
    <n v="181"/>
    <b v="0"/>
    <x v="93"/>
    <d v="1899-12-30T23:07:23"/>
    <n v="1053"/>
    <x v="10"/>
    <x v="1"/>
    <n v="1060"/>
    <m/>
    <s v="Casa/Tanger"/>
    <n v="7.3209999999999997"/>
    <x v="2"/>
    <s v="N2"/>
    <s v="Arrêt du train"/>
    <s v="H.O non finalisé entre 303 et 202 mauvaise qualité de signal ,Requête de déconnexion a été envoyé par RBC"/>
    <m/>
    <x v="2"/>
    <s v="en attente d'instoration des filtres "/>
    <s v="H.O non finalisé entre 303 et 202"/>
    <s v="dl Rxqual=7"/>
    <s v="dl rx level= -54 dbm"/>
    <s v="OK"/>
    <s v="OK"/>
    <s v="Mauvais"/>
    <s v="retransmission des trames HDLC*5"/>
    <m/>
    <m/>
    <m/>
    <m/>
    <m/>
    <m/>
    <m/>
    <m/>
    <m/>
  </r>
  <r>
    <n v="182"/>
    <b v="0"/>
    <x v="94"/>
    <d v="1899-12-30T13:43:39"/>
    <n v="1053"/>
    <x v="2"/>
    <x v="0"/>
    <n v="7218"/>
    <m/>
    <s v="Tanger/Casa"/>
    <n v="6.13"/>
    <x v="2"/>
    <s v="N2"/>
    <s v="Arrêt du train"/>
    <s v="H.O finalisé entre 302 et 203 Bonne qualité de signal ,Requête de déconnexion a été envoyé à travers la BTS"/>
    <m/>
    <x v="2"/>
    <s v="en attente d'instoration des filtres "/>
    <s v="H.O Complet entre 302 et 203"/>
    <s v="dl Rxqual=0"/>
    <s v="dl rx level= -71 dbm"/>
    <s v="OK"/>
    <s v="OK"/>
    <s v="Mauvais"/>
    <s v="retransmission des trames HDLC*5"/>
    <m/>
    <m/>
    <m/>
    <m/>
    <m/>
    <m/>
    <m/>
    <m/>
    <m/>
  </r>
  <r>
    <n v="183"/>
    <b v="0"/>
    <x v="94"/>
    <d v="1899-12-30T14:05:17"/>
    <n v="2033"/>
    <x v="3"/>
    <x v="0"/>
    <n v="1046"/>
    <m/>
    <s v="Tanger/Casa"/>
    <n v="6.13"/>
    <x v="2"/>
    <s v="N2"/>
    <s v="Arrêt du train"/>
    <s v="H.O non finalisé entre 302 et 203 mauvaise qualité de signal ,Requête de déconnexion a été envoyé par RBC"/>
    <m/>
    <x v="2"/>
    <s v="en attente d'instoration des filtres "/>
    <s v="H.O non finalisé entre 302 et 203"/>
    <s v="dl Rxqual=7"/>
    <s v="dl rx level= -52 dbm"/>
    <s v="OK"/>
    <s v="OK"/>
    <s v="Mauvais"/>
    <s v="retransmission des trames HDLC*5"/>
    <m/>
    <m/>
    <m/>
    <m/>
    <m/>
    <m/>
    <m/>
    <m/>
    <m/>
  </r>
  <r>
    <n v="184"/>
    <b v="0"/>
    <x v="94"/>
    <d v="1899-12-30T21:05:26"/>
    <n v="2061"/>
    <x v="3"/>
    <x v="0"/>
    <n v="1046"/>
    <m/>
    <s v="Tanger/Casa"/>
    <n v="6.13"/>
    <x v="2"/>
    <s v="N2"/>
    <s v="Arrêt du train"/>
    <s v="H.O finalisé entre 202 et 303 mauvaise qualité de signal ,Requête de déconnexion a été envoyé par RBC"/>
    <m/>
    <x v="2"/>
    <s v="en attente d'instoration des filtres "/>
    <s v="H.O non finalisé entre 302 et 203"/>
    <s v="dl Rxqual=7"/>
    <s v="dl rx level= -52 dbm"/>
    <s v="OK"/>
    <s v="OK"/>
    <s v="Mauvais"/>
    <s v="retransmission des trames HDLC*5"/>
    <m/>
    <m/>
    <m/>
    <m/>
    <m/>
    <m/>
    <m/>
    <m/>
    <m/>
  </r>
  <r>
    <n v="185"/>
    <b v="0"/>
    <x v="95"/>
    <d v="1899-12-30T12:05:07"/>
    <n v="2025"/>
    <x v="2"/>
    <x v="0"/>
    <n v="7217"/>
    <m/>
    <s v="Tanger/Casa"/>
    <n v="6.13"/>
    <x v="2"/>
    <s v="N2"/>
    <s v="Arrêt du train"/>
    <s v="H.O non finalisé entre 301 et 302 mauvaise qualité de signal ,Requête de déconnexion a été envoyé par RBC"/>
    <m/>
    <x v="0"/>
    <s v="en attente décision de remplacement CAB Radio"/>
    <s v="H.O non finalisé entre 301 et 302"/>
    <s v="dl Rxqual=7"/>
    <s v="dl rx level= -55 dbm"/>
    <s v="OK"/>
    <s v="OK"/>
    <s v="Mauvais"/>
    <s v="retransmission des trames HDLC*5"/>
    <m/>
    <m/>
    <m/>
    <m/>
    <m/>
    <m/>
    <m/>
    <m/>
    <m/>
  </r>
  <r>
    <n v="186"/>
    <b v="0"/>
    <x v="96"/>
    <d v="1899-12-30T07:35:12"/>
    <n v="2005"/>
    <x v="1"/>
    <x v="0"/>
    <n v="1029"/>
    <m/>
    <s v="Tanger/Casa"/>
    <n v="144.32599999999999"/>
    <x v="3"/>
    <s v="N2"/>
    <s v="Arrêt du train"/>
    <s v="H.O finalisé entre 224 et 225 bonne qualité de signal ,Requête de déconnexion a été envoyé par RBC"/>
    <m/>
    <x v="0"/>
    <s v="en attente décision de remplacement CAB Radio"/>
    <s v="H.O Complet entre 224 et 225"/>
    <s v="dl Rxqual=0"/>
    <s v="dl rx level= -68 dbm"/>
    <s v="OK"/>
    <s v="OK"/>
    <s v="Mauvais"/>
    <s v="retransmission des trames HDLC*5"/>
    <m/>
    <m/>
    <m/>
    <m/>
    <m/>
    <m/>
    <m/>
    <m/>
    <m/>
  </r>
  <r>
    <n v="187"/>
    <b v="0"/>
    <x v="96"/>
    <d v="1899-12-30T13:55:27"/>
    <n v="1025"/>
    <x v="2"/>
    <x v="1"/>
    <n v="1034"/>
    <m/>
    <s v="Casa/Tanger"/>
    <n v="79.281999999999996"/>
    <x v="11"/>
    <s v="N2"/>
    <s v="Ralentissement du train"/>
    <s v="H.O finalisé entre 315 et 314 bonne qualité de signal ,Requête de déconnexion a été envoyé par RBC"/>
    <m/>
    <x v="0"/>
    <s v="en attente décision de remplacement CAB Radio"/>
    <s v="H.O Complet entre 315 et 314"/>
    <s v="dl Rxqual=5"/>
    <s v="dl rx level= -53 dbm"/>
    <s v="OK"/>
    <s v="OK"/>
    <s v="Mauvais"/>
    <s v="retransmission des trames HDLC*5"/>
    <m/>
    <m/>
    <m/>
    <m/>
    <m/>
    <m/>
    <m/>
    <m/>
    <m/>
  </r>
  <r>
    <n v="188"/>
    <b v="0"/>
    <x v="96"/>
    <d v="1899-12-30T13:56:36"/>
    <n v="1025"/>
    <x v="2"/>
    <x v="1"/>
    <n v="1034"/>
    <m/>
    <s v="Casa/Tanger"/>
    <n v="74.712999999999994"/>
    <x v="13"/>
    <s v="N2"/>
    <s v="Arrêt du train"/>
    <s v="H.O finalisé entre 314 et 313 bonne qualité de signal ,Requête de déconnexion a été envoyé par le Bord"/>
    <m/>
    <x v="0"/>
    <s v="en attente décision de remplacement CAB Radio"/>
    <s v="H.O Complet entre 313 et 314"/>
    <s v="dl Rxqual=0"/>
    <s v="dl rx level= -58 dbm"/>
    <s v="OK"/>
    <s v="OK"/>
    <s v="Mauvais"/>
    <s v="pas de retransmission des trames HDLC"/>
    <m/>
    <m/>
    <m/>
    <m/>
    <m/>
    <m/>
    <m/>
    <m/>
    <m/>
  </r>
  <r>
    <n v="189"/>
    <b v="0"/>
    <x v="96"/>
    <d v="1899-12-30T16:34:13"/>
    <n v="1037"/>
    <x v="8"/>
    <x v="1"/>
    <n v="1022"/>
    <m/>
    <s v="Casa/Tanger"/>
    <n v="153.68600000000001"/>
    <x v="18"/>
    <s v="N2"/>
    <s v="Arrêt du train"/>
    <s v="H.O non finalisé entre 327 et 326  qualité de signal moyenne ,Requête de déconnexion a été envoyé par RBC"/>
    <m/>
    <x v="0"/>
    <s v="en attente décision de remplacement CAB Radio"/>
    <s v="H.O non finalisé entre 327 et 326"/>
    <s v="dl Rxqual=5"/>
    <s v="dl rx level= -66 dbm"/>
    <s v="NOK"/>
    <s v="OK"/>
    <s v="Mauvais"/>
    <s v="retransmission des trames HDLC*5"/>
    <m/>
    <m/>
    <m/>
    <m/>
    <m/>
    <m/>
    <m/>
    <m/>
    <m/>
  </r>
  <r>
    <n v="190"/>
    <b v="0"/>
    <x v="96"/>
    <d v="1899-12-30T17:05:35"/>
    <n v="2045"/>
    <x v="10"/>
    <x v="0"/>
    <n v="7206"/>
    <m/>
    <s v="Tanger/Casa"/>
    <n v="6.13"/>
    <x v="2"/>
    <s v="N2"/>
    <s v="Ralentissement du train"/>
    <s v="H.O non finalisé entre 201 et 202  mauvaise qualité de signal  ,Requête de déconnexion a été envoyé par RBC"/>
    <m/>
    <x v="0"/>
    <s v="en attente décision de remplacement CAB Radio"/>
    <s v="H.O non finalisé entre 201et 202"/>
    <s v="dl Rxqual=7"/>
    <s v="dl rx level= -52 dbm"/>
    <s v="NOK"/>
    <s v="OK"/>
    <s v="Mauvais"/>
    <s v="retransmission des trames HDLC*5"/>
    <m/>
    <m/>
    <m/>
    <m/>
    <m/>
    <m/>
    <m/>
    <m/>
    <m/>
  </r>
  <r>
    <n v="191"/>
    <b v="0"/>
    <x v="97"/>
    <d v="1899-12-30T09:40:22"/>
    <n v="2013"/>
    <x v="7"/>
    <x v="0"/>
    <n v="1055"/>
    <m/>
    <s v="Tanger/Casa"/>
    <n v="165.298"/>
    <x v="28"/>
    <s v="N2"/>
    <s v="Ralentissement du train"/>
    <s v="H.O non finalisé entre 228 et 229 qualité de signal moyenne  ,Requête de déconnexion a été envoyé par RBC"/>
    <m/>
    <x v="0"/>
    <s v="en attente décision de remplacement CAB Radio"/>
    <s v="H.O non finalisé entre 228 et 229"/>
    <s v="dl Rxqual=5"/>
    <s v="dl rx level= -80 dbm"/>
    <s v="NOK"/>
    <s v="OK"/>
    <s v="Mauvais"/>
    <s v="retransmission des trames HDLC*5"/>
    <m/>
    <m/>
    <m/>
    <m/>
    <m/>
    <m/>
    <m/>
    <m/>
    <m/>
  </r>
  <r>
    <n v="192"/>
    <b v="0"/>
    <x v="97"/>
    <d v="1899-12-30T10:38:31"/>
    <n v="2017"/>
    <x v="5"/>
    <x v="0"/>
    <n v="1024"/>
    <m/>
    <s v="Tanger/Casa"/>
    <n v="156.02199999999999"/>
    <x v="18"/>
    <s v="N2"/>
    <s v="Ralentissement du train"/>
    <s v="H.O finalisé entre 226 et 327 bonne qualité de signal ,Requête de déconnexion a été envoyé par RBC"/>
    <m/>
    <x v="0"/>
    <s v="en attente décision de remplacement CAB Radio"/>
    <s v="H.O Complet entre 226 et 327"/>
    <s v="dl Rxqual=0"/>
    <s v="dl rx level= -48 dbm"/>
    <s v="OK"/>
    <s v="OK"/>
    <s v="Mauvais"/>
    <s v="retransmission des trames HDLC*5"/>
    <m/>
    <m/>
    <m/>
    <m/>
    <m/>
    <m/>
    <m/>
    <m/>
    <m/>
  </r>
  <r>
    <n v="193"/>
    <b v="0"/>
    <x v="97"/>
    <d v="1899-12-30T19:05:14"/>
    <n v="2053"/>
    <x v="3"/>
    <x v="0"/>
    <n v="1047"/>
    <m/>
    <s v="Tanger/Casa"/>
    <n v="6.13"/>
    <x v="2"/>
    <s v="N2"/>
    <s v="Arrêt du train"/>
    <s v="H.O non finalisé entre 203 et 301  mauvaise qualité de signal  ,Requête de déconnexion a été envoyé par RBC"/>
    <m/>
    <x v="0"/>
    <s v="en attente décision de remplacement CAB Radio"/>
    <s v="H.O non finalisé entre 203 et 301"/>
    <s v="dl Rxqual=7"/>
    <s v="dl rx level= -65 dbm"/>
    <s v="OK"/>
    <s v="OK"/>
    <s v="Mauvais"/>
    <s v="retransmission des trames HDLC*5"/>
    <m/>
    <m/>
    <m/>
    <m/>
    <m/>
    <m/>
    <m/>
    <m/>
    <m/>
  </r>
  <r>
    <n v="194"/>
    <b v="0"/>
    <x v="97"/>
    <d v="1899-12-30T19:37:11"/>
    <n v="2053"/>
    <x v="3"/>
    <x v="0"/>
    <n v="1046"/>
    <m/>
    <s v="Tanger/Casa"/>
    <n v="140.65899999999999"/>
    <x v="26"/>
    <s v="N2"/>
    <s v="Ralentissement du train"/>
    <s v="H.O finalisé entre 323 et 324 bonne qualité de signal ,Requête de déconnexion a été envoyé par RBC"/>
    <m/>
    <x v="0"/>
    <s v="en attente décision de remplacement CAB Radio"/>
    <s v="H.O Complet entre 323 et 324"/>
    <s v="dl Rxqual=0"/>
    <s v="dl rx level= -68 dbm"/>
    <s v="OK"/>
    <s v="OK"/>
    <s v="Mauvais"/>
    <s v="retransmission des trames HDLC*5"/>
    <m/>
    <m/>
    <m/>
    <m/>
    <m/>
    <m/>
    <m/>
    <m/>
    <m/>
  </r>
  <r>
    <n v="195"/>
    <b v="0"/>
    <x v="97"/>
    <d v="1899-12-30T21:08:47"/>
    <n v="2061"/>
    <x v="9"/>
    <x v="0"/>
    <n v="1053"/>
    <m/>
    <s v="Tanger/Casa"/>
    <n v="11.28"/>
    <x v="22"/>
    <s v="N2"/>
    <s v="Ralentissement du train"/>
    <s v="H.O finalisé entre 202 et 203 bonne qualité de signal ,Requête de déconnexion a été envoyé par RBC"/>
    <m/>
    <x v="0"/>
    <s v="en attente décision de remplacement CAB Radio"/>
    <s v="H.O Complet entre 202 et 203"/>
    <s v="dl Rxqual=0"/>
    <s v="dl rx level= -67 dbm"/>
    <s v="OK"/>
    <s v="OK"/>
    <s v="Mauvais"/>
    <s v="retransmission des trames HDLC*5"/>
    <m/>
    <m/>
    <m/>
    <m/>
    <m/>
    <m/>
    <m/>
    <m/>
    <m/>
  </r>
  <r>
    <n v="196"/>
    <b v="0"/>
    <x v="98"/>
    <d v="1899-12-30T12:40:45"/>
    <n v="1022"/>
    <x v="4"/>
    <x v="1"/>
    <n v="1032"/>
    <m/>
    <s v="Casa/Tanger"/>
    <n v="118.562"/>
    <x v="17"/>
    <s v="N2"/>
    <s v="Ralentissement du train"/>
    <s v="H.O finalisé entre 321 et 322 bonne qualité de signal ,Requête de déconnexion a été envoyé par RBC"/>
    <m/>
    <x v="0"/>
    <s v="en attente décision de remplacement CAB Radio"/>
    <s v="H.O Complet entre 321 et 322"/>
    <s v="dl Rxqual=0"/>
    <s v="dl rx level= -63 dbm"/>
    <s v="OK"/>
    <s v="OK"/>
    <s v="Mauvais"/>
    <s v="retransmission des trames HDLC*5"/>
    <m/>
    <m/>
    <m/>
    <m/>
    <m/>
    <m/>
    <m/>
    <m/>
    <m/>
  </r>
  <r>
    <n v="197"/>
    <b v="0"/>
    <x v="98"/>
    <d v="1899-12-30T20:06:36"/>
    <n v="1050"/>
    <x v="10"/>
    <x v="1"/>
    <n v="1061"/>
    <m/>
    <s v="Casa/Tanger"/>
    <n v="47.127000000000002"/>
    <x v="16"/>
    <s v="N2"/>
    <s v="Ralentissement du train"/>
    <s v="H.O finalisé entre 309 et 208 bonne qualité de signal ,Requête de déconnexion a été envoyé par RBC"/>
    <m/>
    <x v="0"/>
    <s v="en attente décision de remplacement CAB Radio"/>
    <s v="H.O Complet entre 309 et 208"/>
    <s v="dl Rxqual=0"/>
    <s v="dl rx level= -88 dbm"/>
    <s v="OK"/>
    <s v="OK"/>
    <s v="Mauvais"/>
    <s v="retransmission des trames HDLC*5"/>
    <m/>
    <m/>
    <m/>
    <m/>
    <m/>
    <m/>
    <m/>
    <m/>
    <m/>
  </r>
  <r>
    <n v="198"/>
    <b v="0"/>
    <x v="99"/>
    <d v="1899-12-30T11:16:11"/>
    <n v="2021"/>
    <x v="5"/>
    <x v="0"/>
    <n v="1025"/>
    <m/>
    <s v="Tanger/Casa"/>
    <n v="52.289000000000001"/>
    <x v="29"/>
    <s v="N2"/>
    <s v="Ralentissement du train"/>
    <s v="H.O finalisé entre 309 et 310 bonne qualité de signal ,Requête de déconnexion a été envoyé par RBC"/>
    <m/>
    <x v="0"/>
    <s v="en attente décision de remplacement CAB Radio"/>
    <s v="H.O Complet entre 309 et 310"/>
    <s v="dl Rxqual=0"/>
    <s v="dl rx level= -49 dbm"/>
    <s v="OK"/>
    <s v="OK"/>
    <s v="Mauvais"/>
    <s v="retransmission des trames HDLC*5"/>
    <m/>
    <m/>
    <m/>
    <m/>
    <m/>
    <m/>
    <m/>
    <m/>
    <m/>
  </r>
  <r>
    <n v="199"/>
    <b v="0"/>
    <x v="99"/>
    <d v="1899-12-30T23:05:28"/>
    <n v="1061"/>
    <x v="4"/>
    <x v="1"/>
    <n v="1032"/>
    <m/>
    <s v="Casa/Tanger"/>
    <n v="18.89"/>
    <x v="20"/>
    <s v="N2"/>
    <s v="Ralentissement du train"/>
    <s v="H.O finalisé entre 305 et 204 bonne qualité de signal ,Requête de déconnexion a été envoyé par RBC"/>
    <m/>
    <x v="0"/>
    <s v="en attente décision de remplacement CAB Radio"/>
    <s v="H.O Complet entre 305 et 204"/>
    <s v="dl Rxqual=0"/>
    <s v="dl rx level= -48 dbm"/>
    <s v="OK"/>
    <s v="OK"/>
    <s v="Mauvais"/>
    <s v="retransmission des trames HDLC*5"/>
    <m/>
    <m/>
    <m/>
    <m/>
    <m/>
    <m/>
    <m/>
    <m/>
    <m/>
  </r>
  <r>
    <n v="200"/>
    <b v="0"/>
    <x v="100"/>
    <d v="1899-12-30T17:35:40"/>
    <n v="2045"/>
    <x v="10"/>
    <x v="0"/>
    <n v="7206"/>
    <m/>
    <s v="Tanger/Casa"/>
    <n v="138.30199999999999"/>
    <x v="26"/>
    <s v="N2"/>
    <s v="Ralentissement du train"/>
    <s v="H.O finalisé entre 323 et 324 bonne qualité de signal ,Requête de déconnexion a été envoyé par RBC"/>
    <m/>
    <x v="0"/>
    <s v="en attente décision de remplacement CAB Radio"/>
    <s v="H.O Complet entre 323 et 324"/>
    <s v="dl Rxqual=0"/>
    <s v="dl rx level= -73 dbm"/>
    <s v="OK"/>
    <s v="OK"/>
    <s v="Mauvais"/>
    <s v="retransmission des trames HDLC*5"/>
    <m/>
    <m/>
    <m/>
    <m/>
    <m/>
    <m/>
    <m/>
    <m/>
    <m/>
  </r>
  <r>
    <n v="201"/>
    <b v="0"/>
    <x v="100"/>
    <d v="1899-12-30T19:17:01"/>
    <n v="2053"/>
    <x v="5"/>
    <x v="0"/>
    <n v="1024"/>
    <m/>
    <s v="Tanger/Casa"/>
    <n v="52.289000000000001"/>
    <x v="29"/>
    <s v="N2"/>
    <s v="Ralentissement du train"/>
    <s v="H.O finalisé entre 208 et 209 bonne qualité de signal ,Requête de déconnexion a été envoyé par RBC"/>
    <m/>
    <x v="0"/>
    <s v="en attente décision de remplacement CAB Radio"/>
    <s v="H.O Complet entre 208 et 209"/>
    <s v="dl Rxqual=0"/>
    <s v="dl rx level= -57 dbm"/>
    <s v="OK"/>
    <s v="OK"/>
    <s v="Mauvais"/>
    <s v="pas de retransmission des trames HDLC"/>
    <m/>
    <m/>
    <m/>
    <m/>
    <m/>
    <m/>
    <m/>
    <m/>
    <m/>
  </r>
  <r>
    <n v="202"/>
    <b v="0"/>
    <x v="101"/>
    <d v="1899-12-30T15:32:47"/>
    <n v="1043"/>
    <x v="7"/>
    <x v="1"/>
    <n v="1041"/>
    <m/>
    <s v="Casa/Tanger"/>
    <n v="161.72200000000001"/>
    <x v="9"/>
    <s v="N2"/>
    <s v="Ralentissement du train"/>
    <s v="H.O finalisé entre 328 et 327 bonne qualité de signal ,Requête de déconnexion a été envoyé par RBC"/>
    <m/>
    <x v="0"/>
    <s v="en attente décision de remplacement CAB Radio"/>
    <s v="H.O Complet entre 328 et 327"/>
    <s v="dl Rxqual=0"/>
    <s v="dl rx level= -51 dbm"/>
    <s v="OK"/>
    <s v="OK"/>
    <s v="Mauvais"/>
    <s v="retransmission des trames HDLC*5"/>
    <m/>
    <m/>
    <m/>
    <m/>
    <m/>
    <m/>
    <m/>
    <m/>
    <m/>
  </r>
  <r>
    <n v="203"/>
    <b v="0"/>
    <x v="101"/>
    <d v="1899-12-30T15:35:33"/>
    <n v="1043"/>
    <x v="7"/>
    <x v="1"/>
    <n v="1040"/>
    <m/>
    <s v="Casa/Tanger"/>
    <n v="152.488"/>
    <x v="18"/>
    <s v="N2"/>
    <s v="Ralentissement du train"/>
    <s v="H.O non finalisé entre 226 et 227 bonne qualité de signal ,Requête de déconnexion a été envoyé par RBC"/>
    <m/>
    <x v="0"/>
    <s v="en attente décision de remplacement CAB Radio"/>
    <s v="H.O non finalisé entre 226 et 227"/>
    <s v="dl Rxqual=6"/>
    <s v="dl rx level= -58 dbm"/>
    <s v="OK"/>
    <s v="OK"/>
    <s v="Mauvais"/>
    <s v="retransmission des trames HDLC*5"/>
    <m/>
    <m/>
    <m/>
    <m/>
    <m/>
    <m/>
    <m/>
    <m/>
    <m/>
  </r>
  <r>
    <n v="204"/>
    <b v="0"/>
    <x v="102"/>
    <d v="1899-12-30T18:23:27"/>
    <n v="1045"/>
    <x v="1"/>
    <x v="1"/>
    <n v="3062"/>
    <m/>
    <s v="Casa/Tanger"/>
    <n v="202.125"/>
    <x v="5"/>
    <s v="N2"/>
    <s v="Ralentissement du train"/>
    <s v="H.O non finalisé entre 234 et 99 Mauvaise qualité de signal ,Requête de déconnexion a été envoyé par RBC"/>
    <m/>
    <x v="1"/>
    <s v="un chantier d'optimisation est en cours"/>
    <s v="H.O non finalisé entre 234 et 99"/>
    <s v="dl Rxqual=7"/>
    <s v="dl rx level= -64 dbm"/>
    <s v="OK"/>
    <s v="OK"/>
    <s v="Mauvais"/>
    <s v="retransmission des trames HDLC*5"/>
    <m/>
    <m/>
    <m/>
    <m/>
    <m/>
    <m/>
    <m/>
    <m/>
    <m/>
  </r>
  <r>
    <n v="205"/>
    <b v="0"/>
    <x v="102"/>
    <d v="1899-12-30T19:26:51"/>
    <n v="1050"/>
    <x v="10"/>
    <x v="1"/>
    <n v="1061"/>
    <m/>
    <s v="Casa/Tanger"/>
    <n v="185.47"/>
    <x v="19"/>
    <s v="N2"/>
    <s v="Ralentissement du train"/>
    <s v="H.O non finalisé entre 331 et 332 bonne qualité de signal ,Requête de déconnexion a été envoyé par le Bord"/>
    <m/>
    <x v="0"/>
    <s v="en attente décision de remplacement CAB Radio"/>
    <s v="H.O non finalisé entre 331 et 332"/>
    <s v="dl Rxqual=0"/>
    <s v="dl rx level= -58 dbm"/>
    <s v="NOK"/>
    <s v="OK"/>
    <s v="Mauvais"/>
    <s v="retransmission des trames HDLC*5"/>
    <m/>
    <m/>
    <m/>
    <m/>
    <m/>
    <m/>
    <m/>
    <m/>
    <m/>
  </r>
  <r>
    <n v="206"/>
    <b v="0"/>
    <x v="103"/>
    <d v="1899-12-30T11:10:51"/>
    <n v="1013"/>
    <x v="5"/>
    <x v="1"/>
    <n v="1026"/>
    <m/>
    <s v="Casa/Tanger"/>
    <n v="7.3209999999999997"/>
    <x v="2"/>
    <s v="N2"/>
    <s v="Ralentissement du train"/>
    <s v="H.O non finalisé entre 303 et 202 mauvaise qualité de signal ,Requête de déconnexion a été envoyé par le Bord"/>
    <m/>
    <x v="0"/>
    <s v="en attente décision de remplacement CAB Radio"/>
    <s v="H.O non finalisé entre 303 et 202"/>
    <s v="dl Rxqual=7"/>
    <s v="dl rx level= -58 dbm"/>
    <s v="OK"/>
    <s v="OK"/>
    <s v="Mauvais"/>
    <s v="retransmission des trames HDLC*2"/>
    <m/>
    <m/>
    <m/>
    <m/>
    <m/>
    <m/>
    <m/>
    <m/>
    <m/>
  </r>
  <r>
    <n v="207"/>
    <b v="0"/>
    <x v="104"/>
    <d v="1899-12-30T08:05:37"/>
    <n v="2009"/>
    <x v="10"/>
    <x v="0"/>
    <n v="7208"/>
    <m/>
    <s v="Tanger/Casa"/>
    <n v="6.13"/>
    <x v="2"/>
    <s v="N2"/>
    <s v="Ralentissement du train"/>
    <s v="H.O non finalisé entre 302 et 201 mauvaise qualité de signal ,Requête de déconnexion a été envoyé par le Bord"/>
    <m/>
    <x v="0"/>
    <s v="en attente décision de remplacement CAB Radio"/>
    <s v="H.O non finalisé entre 302 et 201"/>
    <s v="dl Rxqual=7"/>
    <s v="dl rx level= -52 dbm"/>
    <s v="OK"/>
    <s v="OK"/>
    <s v="Mauvais"/>
    <s v="retransmission des trames HDLC*4"/>
    <m/>
    <m/>
    <m/>
    <m/>
    <m/>
    <m/>
    <m/>
    <m/>
    <m/>
  </r>
  <r>
    <n v="208"/>
    <b v="0"/>
    <x v="104"/>
    <d v="1899-12-30T14:05:28"/>
    <n v="2033"/>
    <x v="10"/>
    <x v="0"/>
    <n v="7206"/>
    <m/>
    <s v="Tanger/Casa"/>
    <n v="6.13"/>
    <x v="2"/>
    <s v="N2"/>
    <s v="Ralentissement du train"/>
    <s v="H.O non finalisé entre 302 et 203 mauvaise qualité de signal ,Requête de déconnexion a été envoyé par le RBC"/>
    <m/>
    <x v="0"/>
    <s v="en attente décision de remplacement CAB Radio"/>
    <s v="H.O non finalisé entre 302 et 203"/>
    <s v="dl Rxqual=7"/>
    <s v="dl rx level= -57 dbm"/>
    <s v="NOK"/>
    <s v="OK"/>
    <s v="Mauvais"/>
    <s v="retransmission des trames HDLC*5"/>
    <m/>
    <m/>
    <m/>
    <m/>
    <m/>
    <m/>
    <m/>
    <m/>
    <m/>
  </r>
  <r>
    <n v="209"/>
    <b v="0"/>
    <x v="105"/>
    <d v="1899-12-30T07:31:00"/>
    <n v="2005"/>
    <x v="7"/>
    <x v="0"/>
    <n v="1055"/>
    <m/>
    <s v="Tanger/Casa"/>
    <n v="121.232"/>
    <x v="30"/>
    <s v="N2"/>
    <s v="Ralentissement du train"/>
    <s v="H.O non finalisé entre 321 et 222 bonne qualité de signal ,Requête de déconnexion a été envoyé par le RBC"/>
    <m/>
    <x v="0"/>
    <s v="en attente décision de remplacement CAB Radio"/>
    <s v="H.O non finalisé entre 321 et 222"/>
    <s v="dl Rxqual=0"/>
    <s v="dl rx level= -50 dbm"/>
    <s v="OK"/>
    <s v="OK"/>
    <s v="Mauvais"/>
    <s v="retransmission des trames HDLC*5"/>
    <m/>
    <m/>
    <m/>
    <m/>
    <m/>
    <m/>
    <m/>
    <m/>
    <m/>
  </r>
  <r>
    <n v="210"/>
    <b v="0"/>
    <x v="105"/>
    <d v="1899-12-30T09:03:32"/>
    <n v="1005"/>
    <x v="2"/>
    <x v="1"/>
    <n v="1034"/>
    <m/>
    <s v="Casa/Tanger"/>
    <n v="7.3209999999999997"/>
    <x v="2"/>
    <s v="N2"/>
    <s v="Ralentissement du train"/>
    <s v="H.O non finalisé entre 303 et 202 mauvaise qualité de signal ,Requête de déconnexion a été envoyé par le Bord"/>
    <m/>
    <x v="0"/>
    <s v="en attente décision de remplacement CAB Radio"/>
    <s v="H.O non finalisé entre 303 et 202"/>
    <s v="dl Rxqual=7"/>
    <s v="dl rx level= -55 dbm"/>
    <s v="OK"/>
    <s v="OK"/>
    <s v="Mauvais"/>
    <s v="retransmission des trames HDLC*5"/>
    <m/>
    <m/>
    <m/>
    <m/>
    <m/>
    <m/>
    <m/>
    <m/>
    <m/>
  </r>
  <r>
    <n v="211"/>
    <b v="0"/>
    <x v="105"/>
    <d v="1899-12-30T16:04:51"/>
    <n v="2041"/>
    <x v="3"/>
    <x v="0"/>
    <n v="1046"/>
    <m/>
    <s v="Tanger/Casa"/>
    <n v="6.13"/>
    <x v="2"/>
    <s v="N2"/>
    <s v="Arrêt du train"/>
    <s v="H.O non finalisé entre 202 et 201 bonne qualité de signal ,Requête de déconnexion a été envoyé par le RBC"/>
    <m/>
    <x v="0"/>
    <s v="en attente décision de remplacement CAB Radio"/>
    <s v="H.O non finalisé entre 202 et 201"/>
    <s v="dl Rxqual=2"/>
    <s v="dl rx level= -49 dbm"/>
    <s v="NOK"/>
    <s v="OK"/>
    <s v="Mauvais"/>
    <s v="retransmission des trames HDLC*5"/>
    <m/>
    <m/>
    <m/>
    <m/>
    <m/>
    <m/>
    <m/>
    <m/>
    <m/>
  </r>
  <r>
    <n v="212"/>
    <b v="0"/>
    <x v="105"/>
    <d v="1899-12-30T16:30:33"/>
    <m/>
    <x v="3"/>
    <x v="0"/>
    <n v="1047"/>
    <m/>
    <s v="Tanger/Casa"/>
    <n v="114.607"/>
    <x v="17"/>
    <s v="N2"/>
    <s v="Ralentissement du train"/>
    <s v="H.O finalisé entre 219 et 220 bonne qualité de signal ,Requête de déconnexion a été envoyé par RBC"/>
    <m/>
    <x v="0"/>
    <s v="en attente décision de remplacement CAB Radio"/>
    <s v="H.O Complet entre 219 et 220"/>
    <s v="dl Rxqual=3"/>
    <s v="dl rx level= -56 dbm"/>
    <s v="OK"/>
    <s v="OK"/>
    <s v="Mauvais"/>
    <s v="retransmission des trames HDLC*5"/>
    <m/>
    <m/>
    <m/>
    <m/>
    <m/>
    <m/>
    <m/>
    <m/>
    <m/>
  </r>
  <r>
    <n v="213"/>
    <b v="0"/>
    <x v="105"/>
    <d v="1899-12-30T23:06:17"/>
    <n v="1061"/>
    <x v="5"/>
    <x v="1"/>
    <n v="1026"/>
    <m/>
    <s v="Casa/Tanger"/>
    <n v="7.3209999999999997"/>
    <x v="2"/>
    <s v="N2"/>
    <s v="Ralentissement du train"/>
    <s v="H.O non finalisé entre 202 et 303 mauvaise qualité de signal ,Requête de déconnexion a été envoyé par le RBC"/>
    <m/>
    <x v="0"/>
    <s v="en attente décision de remplacement CAB Radio"/>
    <s v="H.O non finalisé entre 202 et 303"/>
    <s v="dl Rxqual=7"/>
    <s v="dl rx level= -54 dbm"/>
    <s v="OK"/>
    <s v="OK"/>
    <s v="Mauvais"/>
    <s v="retransmission des trames HDLC*5"/>
    <m/>
    <m/>
    <m/>
    <m/>
    <m/>
    <m/>
    <m/>
    <m/>
    <m/>
  </r>
  <r>
    <n v="214"/>
    <b v="0"/>
    <x v="106"/>
    <d v="1899-12-30T14:29:27"/>
    <n v="2033"/>
    <x v="10"/>
    <x v="0"/>
    <n v="7206"/>
    <m/>
    <s v="Tanger/Casa"/>
    <n v="109.495"/>
    <x v="1"/>
    <s v="N2"/>
    <s v="Ralentissement du train"/>
    <s v="H.O non finalisé entre 220 et 222 Saut de cellule x21 Mauvaise qualité de signal ,Requête de déconnexion a été envoyé par RBC"/>
    <m/>
    <x v="0"/>
    <s v="en attente décision de remplacement CAB Radio"/>
    <s v="H.O non finalisé entre 220 et 222"/>
    <s v="dl Rxqual=6"/>
    <s v="dl rx level= -59 dbm"/>
    <s v="NOK"/>
    <s v="OK"/>
    <s v="Mauvais"/>
    <s v="retransmission des trames HDLC*5"/>
    <m/>
    <m/>
    <m/>
    <m/>
    <m/>
    <m/>
    <m/>
    <m/>
    <m/>
  </r>
  <r>
    <n v="215"/>
    <b v="0"/>
    <x v="107"/>
    <d v="1899-12-30T15:26:26"/>
    <n v="1033"/>
    <x v="7"/>
    <x v="1"/>
    <n v="1041"/>
    <m/>
    <s v="Casa/Tanger"/>
    <n v="186.87"/>
    <x v="19"/>
    <s v="N2"/>
    <s v="Ralentissement du train"/>
    <s v="H.O non finalisé entre 233 et 332 Bonne qualité de signal ,Requête de déconnexion a été envoyé par le Bord"/>
    <m/>
    <x v="0"/>
    <s v="en attente décision de remplacement CAB Radio"/>
    <s v="H.O non finalisé entre 233 et 332"/>
    <s v="dl Rxqual=0"/>
    <s v="dl rx level= -75 dbm"/>
    <s v="NOK"/>
    <s v="OK"/>
    <s v="Mauvais"/>
    <s v="retransmission des trames HDLC*5"/>
    <m/>
    <m/>
    <m/>
    <m/>
    <m/>
    <m/>
    <m/>
    <m/>
    <m/>
  </r>
  <r>
    <n v="216"/>
    <b v="0"/>
    <x v="108"/>
    <d v="1899-12-30T15:50:18"/>
    <n v="1034"/>
    <x v="7"/>
    <x v="1"/>
    <n v="1040"/>
    <m/>
    <s v="Casa/Tanger"/>
    <n v="83.084000000000003"/>
    <x v="15"/>
    <s v="N2"/>
    <s v="Ralentissement du train"/>
    <s v="H.O Compler entre 316 et 315 Bonne qualité de signal ,Requête de déconnexion a été envoyé par le RBC"/>
    <m/>
    <x v="0"/>
    <s v="en attente décision de remplacement CAB Radio"/>
    <s v="H.O Compler entre 316 et 315"/>
    <s v="dl Rxqual=0"/>
    <s v="dl rx level= -48 dbm"/>
    <s v="OK"/>
    <s v="OK"/>
    <s v="Mauvais"/>
    <s v="retransmission des trames HDLC*5"/>
    <m/>
    <m/>
    <m/>
    <m/>
    <m/>
    <m/>
    <m/>
    <m/>
    <m/>
  </r>
  <r>
    <n v="217"/>
    <b v="0"/>
    <x v="109"/>
    <d v="1899-12-30T09:31:04"/>
    <n v="2010"/>
    <x v="0"/>
    <x v="1"/>
    <n v="1045"/>
    <m/>
    <s v="Casa/Tanger"/>
    <n v="166.529"/>
    <x v="28"/>
    <s v="N2"/>
    <s v="Ralentissement du train"/>
    <s v="H.O Compler entre 330 et 329 Bonne qualité de signal ,Requête de déconnexion a été envoyé par le RBC"/>
    <m/>
    <x v="0"/>
    <s v="en attente décision de remplacement CAB Radio"/>
    <s v="H.O Compler entre 330 et 329"/>
    <s v="dl Rxqual=1"/>
    <s v="dl rx level= -68 dbm"/>
    <s v="OK"/>
    <s v="NOK"/>
    <s v="Mauvais"/>
    <s v="retransmission des trames HDLC*5"/>
    <m/>
    <m/>
    <m/>
    <m/>
    <m/>
    <m/>
    <m/>
    <m/>
    <m/>
  </r>
  <r>
    <n v="218"/>
    <b v="0"/>
    <x v="110"/>
    <d v="1899-12-30T10:06:46"/>
    <n v="2017"/>
    <x v="2"/>
    <x v="0"/>
    <n v="7217"/>
    <m/>
    <s v="Tanger/Casa"/>
    <n v="7.3209999999999997"/>
    <x v="2"/>
    <s v="N2"/>
    <s v="Ralentissement du train"/>
    <s v="H.O non finalisé entre 302 et 203 Mauvaise qualité de signal ,Requête de déconnexion a été envoyé par le Bord"/>
    <m/>
    <x v="0"/>
    <s v="en attente décision de remplacement CAB Radio"/>
    <s v="H.O non finalisé entre 302 et 203"/>
    <s v="dl Rxqual=7"/>
    <s v="dl rx level= -52 dbm"/>
    <s v="OK"/>
    <s v="OK"/>
    <m/>
    <s v="retransmission des trames HDLC*5"/>
    <m/>
    <m/>
    <m/>
    <m/>
    <m/>
    <m/>
    <m/>
    <m/>
    <m/>
  </r>
  <r>
    <n v="219"/>
    <b v="0"/>
    <x v="111"/>
    <d v="1899-12-30T09:58:56"/>
    <n v="1009"/>
    <x v="10"/>
    <x v="1"/>
    <n v="1061"/>
    <m/>
    <s v="Casa/Tanger"/>
    <n v="32.625999999999998"/>
    <x v="25"/>
    <s v="N2"/>
    <s v="Ralentissement du train"/>
    <s v="H.O non finalisé entre 208 et 307 Bonne qualité de signal ,Requête de déconnexion a été envoyé par le RBC"/>
    <m/>
    <x v="2"/>
    <s v="en attente décision de remplacement CAB Radio / Zone Sous surveillance"/>
    <s v="H.O non finalisé entre 208 et 307 "/>
    <s v="dl Rxqual=0"/>
    <s v="dl rx level= -61 dbm"/>
    <s v="NOK"/>
    <s v="OK"/>
    <s v="Mauvais"/>
    <s v="retransmission des trames HDLC*5"/>
    <m/>
    <m/>
    <m/>
    <m/>
    <m/>
    <m/>
    <m/>
    <m/>
    <m/>
  </r>
  <r>
    <n v="220"/>
    <b v="0"/>
    <x v="112"/>
    <d v="1899-12-30T16:15:20"/>
    <n v="2041"/>
    <x v="8"/>
    <x v="0"/>
    <n v="1043"/>
    <m/>
    <s v="Tanger/Casa"/>
    <n v="48.426000000000002"/>
    <x v="16"/>
    <s v="N2"/>
    <s v="Arrêt du train"/>
    <s v="H.O Complet 208 et 209 bonne qualité de signal ,Requête de déconnexion a été envoyé par RBC"/>
    <m/>
    <x v="0"/>
    <s v="en attente décision de remplacement CAB Radio"/>
    <s v="H.O Complet entre 208 et 209"/>
    <s v="dl Rxqual=0"/>
    <s v="dl rx level= -55 dbm"/>
    <s v="OK"/>
    <s v="OK"/>
    <s v="Mauvais"/>
    <s v="retransmission des trames HDLC*5"/>
    <m/>
    <m/>
    <m/>
    <m/>
    <m/>
    <m/>
    <m/>
    <m/>
    <m/>
  </r>
  <r>
    <n v="221"/>
    <b v="0"/>
    <x v="113"/>
    <s v=" 16:20:40"/>
    <n v="2041"/>
    <x v="8"/>
    <x v="0"/>
    <n v="1042"/>
    <m/>
    <s v="Tanger/Casa"/>
    <n v="53.600999999999999"/>
    <x v="29"/>
    <s v="N2"/>
    <s v="Ralentissement du train"/>
    <s v="H.O Complet 209 et 310 bonne qualité de signal ,Requête de déconnexion a été envoyé par Bord"/>
    <m/>
    <x v="0"/>
    <s v="en attente décision de remplacement CAB Radio"/>
    <s v="H.O Complet entre 209 et 310"/>
    <s v="dl Rxqual=0"/>
    <s v="dl rx level= -48 dbm"/>
    <s v="OK"/>
    <s v="OK"/>
    <s v="Mauvais"/>
    <s v="pas de retransmission des trames HDLC"/>
    <m/>
    <m/>
    <m/>
    <m/>
    <m/>
    <m/>
    <m/>
    <m/>
    <m/>
  </r>
  <r>
    <n v="222"/>
    <b v="0"/>
    <x v="114"/>
    <d v="1899-12-30T18:05:37"/>
    <n v="2049"/>
    <x v="9"/>
    <x v="0"/>
    <n v="1053"/>
    <m/>
    <s v="Tanger/Casa"/>
    <n v="6.13"/>
    <x v="2"/>
    <s v="N2"/>
    <s v="Ralentissement du train"/>
    <s v="H.O Complet entre 202 et 203 Mauvaise qualité de signal ,Requête de déconnexion a été envoyé par le RBC"/>
    <m/>
    <x v="0"/>
    <s v="en attente décision de remplacement CAB Radio"/>
    <s v="H.O Complet entre 202 et 20"/>
    <s v="dl Rxqual=5"/>
    <s v="dl rx level= -67 dbm"/>
    <s v="OK"/>
    <s v="OK"/>
    <m/>
    <s v="retransmission des trames HDLC*5"/>
    <m/>
    <m/>
    <m/>
    <m/>
    <m/>
    <m/>
    <m/>
    <m/>
    <m/>
  </r>
  <r>
    <n v="223"/>
    <b v="0"/>
    <x v="115"/>
    <d v="1899-12-30T21:24:48"/>
    <n v="2061"/>
    <x v="2"/>
    <x v="0"/>
    <n v="7217"/>
    <m/>
    <s v="Tanger/Casa"/>
    <n v="93.757999999999996"/>
    <x v="8"/>
    <s v="N2"/>
    <s v="Ralentissement du train"/>
    <s v="H.O non finalisé entre 216 et 217 Bonne qualité de signal ,Requête de déconnexion a été envoyé par le RBC"/>
    <m/>
    <x v="0"/>
    <s v="en attente décision de remplacement CAB Radio"/>
    <s v="H.O non finalisé entre 216 et 217"/>
    <s v="dl Rxqual=4"/>
    <s v="dl rx level= -74 dbm"/>
    <s v="OK"/>
    <s v="OK"/>
    <s v="Mauvais"/>
    <s v="retransmission des trames HDLC*5"/>
    <m/>
    <m/>
    <m/>
    <m/>
    <m/>
    <m/>
    <m/>
    <m/>
    <m/>
  </r>
  <r>
    <n v="224"/>
    <b v="0"/>
    <x v="116"/>
    <d v="1899-12-30T09:59:56"/>
    <n v="1009"/>
    <x v="2"/>
    <x v="1"/>
    <n v="1035"/>
    <m/>
    <s v="Casa/Tanger"/>
    <n v="25.91"/>
    <x v="7"/>
    <s v="N2"/>
    <s v="Ralentissement du train"/>
    <s v="H.O Complet entre 306 et 207 Mauvaise qualité de signal ,Requête de déconnexion a été envoyé par le RBC"/>
    <m/>
    <x v="0"/>
    <s v="en attente décision de remplacement CAB Radio"/>
    <s v="H.O Complet entre 306 et 207"/>
    <s v="dl Rxqual=7"/>
    <s v="dl rx level= -73 dbm"/>
    <s v="NOK"/>
    <s v="OK"/>
    <s v="moyen"/>
    <s v="retransmission des trames HDLC*5"/>
    <m/>
    <m/>
    <m/>
    <m/>
    <m/>
    <m/>
    <m/>
    <m/>
    <m/>
  </r>
  <r>
    <n v="225"/>
    <b v="0"/>
    <x v="117"/>
    <d v="1899-12-30T10:05:16"/>
    <m/>
    <x v="2"/>
    <x v="1"/>
    <n v="1034"/>
    <m/>
    <s v="Casa/Tanger"/>
    <n v="7.3209999999999997"/>
    <x v="2"/>
    <s v="N2"/>
    <s v="Ralentissement du train"/>
    <s v="H.O non finalisé entre 303 et 202 mauvaise qualité de signal ,Requête de déconnexion a été envoyé par le Bord"/>
    <m/>
    <x v="0"/>
    <s v="en attente décision de remplacement CAB Radio"/>
    <s v="H.O non finalisé entre 303 et 202"/>
    <s v="dl Rxqual=7"/>
    <s v="dl rx level= -54 dbm"/>
    <s v="OK"/>
    <s v="OK"/>
    <m/>
    <s v="retransmission des trames HDLC*5"/>
    <m/>
    <m/>
    <m/>
    <m/>
    <m/>
    <m/>
    <m/>
    <m/>
    <m/>
  </r>
  <r>
    <n v="226"/>
    <b v="0"/>
    <x v="118"/>
    <s v=" 14:05:00"/>
    <n v="1025"/>
    <x v="8"/>
    <x v="1"/>
    <n v="1022"/>
    <m/>
    <s v="Casa/Tanger"/>
    <n v="7.3209999999999997"/>
    <x v="2"/>
    <s v="N2"/>
    <s v="Ralentissement du train"/>
    <s v="H.O non finalisé entre 303 et 202 mauvaise qualité de signal ,Requête de déconnexion a été envoyé par le Bord"/>
    <m/>
    <x v="0"/>
    <s v="en attente décision de remplacement CAB Radio"/>
    <s v="H.O non finalisé entre 303 et 202"/>
    <s v="dl Rxqual=7"/>
    <s v="dl rx level= -55 dbm"/>
    <s v="OK"/>
    <s v="OK"/>
    <m/>
    <s v="retransmission des trames HDLC*5"/>
    <m/>
    <m/>
    <m/>
    <m/>
    <m/>
    <m/>
    <m/>
    <m/>
    <m/>
  </r>
  <r>
    <n v="227"/>
    <b v="0"/>
    <x v="119"/>
    <d v="1899-12-30T20:06:54"/>
    <n v="1049"/>
    <x v="8"/>
    <x v="1"/>
    <n v="1023"/>
    <m/>
    <s v="Casa/Tanger"/>
    <n v="25.91"/>
    <x v="7"/>
    <s v="N2"/>
    <s v="Arrêt du train"/>
    <s v="H.O non finalisé entre 207 et 305 Saut de cellule x06 mauvaise qualité de signal ,Requête de déconnexion a été envoyé par le Bord"/>
    <m/>
    <x v="0"/>
    <s v="en attente décision de remplacement CAB Radio"/>
    <s v="H.O non finalisé entre 207 et 305"/>
    <s v="dl Rxqual=7"/>
    <s v="dl rx level= -93 dbm"/>
    <s v="OK"/>
    <s v="OK"/>
    <s v="moyen"/>
    <s v="retransmission des trames HDLC*5"/>
    <m/>
    <m/>
    <m/>
    <m/>
    <m/>
    <m/>
    <m/>
    <m/>
    <m/>
  </r>
  <r>
    <n v="228"/>
    <b v="0"/>
    <x v="120"/>
    <d v="1899-12-30T05:15:29"/>
    <n v="2081"/>
    <x v="4"/>
    <x v="1"/>
    <n v="7208"/>
    <m/>
    <s v="Casa/Tanger"/>
    <n v="179.149"/>
    <x v="4"/>
    <s v="N2"/>
    <s v="Ralentissement du train"/>
    <s v="H.O non finalisé entre 229 et 230 Bonne qualité de signal ,Requête de déconnexion a été envoyé par le RBC"/>
    <m/>
    <x v="0"/>
    <s v="en attente décision de remplacement CAB Radio"/>
    <s v="H.O non finalisé entre 229 et 230"/>
    <s v="dl Rxqual=0"/>
    <s v="dl rx level= -62 dbm"/>
    <s v="OK"/>
    <s v="OK"/>
    <s v="Mauvais"/>
    <s v="retransmission des trames HDLC*5"/>
    <m/>
    <m/>
    <m/>
    <m/>
    <m/>
    <m/>
    <m/>
    <m/>
    <m/>
  </r>
  <r>
    <n v="229"/>
    <b v="0"/>
    <x v="121"/>
    <d v="1899-12-30T10:03:58"/>
    <n v="1009"/>
    <x v="1"/>
    <x v="1"/>
    <n v="3063"/>
    <m/>
    <s v="Casa/Tanger"/>
    <n v="10.125"/>
    <x v="22"/>
    <s v="N2"/>
    <s v="Ralentissement du train"/>
    <s v="H.O Complet entre 204 et 303 Bonne qualité de signal ,Requête de déconnexion a été envoyé par le RBC"/>
    <m/>
    <x v="0"/>
    <s v="en attente décision de remplacement CAB Radio"/>
    <s v="H.O Complet entre 204 et 303"/>
    <s v="dl Rxqual=0"/>
    <s v="dl rx level= -48 dbm"/>
    <s v="OK"/>
    <s v="OK"/>
    <s v="Mauvais"/>
    <s v="retransmission des trames HDLC*5"/>
    <m/>
    <m/>
    <m/>
    <m/>
    <m/>
    <m/>
    <m/>
    <m/>
    <m/>
  </r>
  <r>
    <n v="230"/>
    <b v="0"/>
    <x v="122"/>
    <d v="1899-12-30T10:05:37"/>
    <m/>
    <x v="1"/>
    <x v="1"/>
    <n v="3062"/>
    <m/>
    <s v="Casa/Tanger"/>
    <n v="7.3209999999999997"/>
    <x v="2"/>
    <s v="N2"/>
    <s v="Ralentissement du train"/>
    <s v="H.O non finalisé entre 202 et 303 mauvaise qualité de signal ,Requête de déconnexion a été envoyé par le Bord"/>
    <m/>
    <x v="0"/>
    <s v="en attente décision de remplacement CAB Radio"/>
    <s v="H.O non finalisé entre 202 et 303"/>
    <s v="dl Rxqual=6"/>
    <s v="dl rx level= -53 dbm"/>
    <s v="NOK"/>
    <s v="OK"/>
    <m/>
    <s v="retransmission des trames HDLC*5"/>
    <m/>
    <m/>
    <m/>
    <m/>
    <m/>
    <m/>
    <m/>
    <m/>
    <m/>
  </r>
  <r>
    <n v="231"/>
    <b v="0"/>
    <x v="123"/>
    <d v="1899-12-30T17:08:44"/>
    <n v="2045"/>
    <x v="2"/>
    <x v="0"/>
    <n v="7218"/>
    <m/>
    <s v="Tanger/Casa"/>
    <n v="16.29"/>
    <x v="22"/>
    <s v="N2"/>
    <s v="Ralentissement du train"/>
    <s v="H.O Complet entre 203 et 204 Bonne qualité de signal ,Requête de déconnexion a été envoyé par le RBC"/>
    <m/>
    <x v="0"/>
    <s v="en attente décision de remplacement CAB Radio"/>
    <s v="H.O Complet entre 203 et 204"/>
    <s v="dl Rxqual=0"/>
    <s v="dl rx level= -48 dbm"/>
    <s v="OK"/>
    <s v="OK"/>
    <s v="Mauvais"/>
    <s v="retransmission des trames HDLC*5"/>
    <m/>
    <m/>
    <m/>
    <m/>
    <m/>
    <m/>
    <m/>
    <m/>
    <m/>
  </r>
  <r>
    <n v="232"/>
    <b v="0"/>
    <x v="124"/>
    <d v="1899-12-30T19:04:42"/>
    <m/>
    <x v="4"/>
    <x v="1"/>
    <n v="1033"/>
    <m/>
    <s v="Casa/Tanger"/>
    <n v="7.3209999999999997"/>
    <x v="2"/>
    <s v="N2"/>
    <s v="Arrêt du train"/>
    <s v="H.O non finalisé entre 303 et 202 mauvaise qualité de signal ,Requête de déconnexion a été envoyé par le Bord"/>
    <m/>
    <x v="0"/>
    <s v="en attente décision de remplacement CAB Radio"/>
    <s v="H.O non finalisé entre 303 et 202"/>
    <s v="dl Rxqual=7"/>
    <s v="dl rx level= -54 dbm"/>
    <s v="OK"/>
    <s v="OK"/>
    <m/>
    <s v="retransmission des trames HDLC*5"/>
    <m/>
    <m/>
    <m/>
    <m/>
    <m/>
    <m/>
    <m/>
    <m/>
    <m/>
  </r>
  <r>
    <n v="233"/>
    <b v="0"/>
    <x v="125"/>
    <d v="1899-12-30T22:28:54"/>
    <n v="1061"/>
    <x v="8"/>
    <x v="1"/>
    <n v="1023"/>
    <m/>
    <s v="Casa/Tanger"/>
    <n v="177.85"/>
    <x v="4"/>
    <s v="N2"/>
    <s v="Ralentissement du train"/>
    <s v="H.O Complet entre 231 et 332 mauvaise qualité de signal ,Requête de déconnexion a été envoyé par le RBC"/>
    <m/>
    <x v="0"/>
    <s v="en attente décision de remplacement CAB Radio"/>
    <s v="H.O Complet entre 231 et 332"/>
    <s v="dl Rxqual=7"/>
    <s v="dl rx level= -84 dbm"/>
    <s v="OK"/>
    <s v="OK"/>
    <s v="moyen"/>
    <s v="retransmission des trames HDLC*5"/>
    <m/>
    <m/>
    <m/>
    <m/>
    <m/>
    <m/>
    <m/>
    <m/>
    <m/>
  </r>
  <r>
    <n v="234"/>
    <b v="0"/>
    <x v="126"/>
    <d v="1899-12-30T09:26:31"/>
    <n v="2013"/>
    <x v="10"/>
    <x v="0"/>
    <n v="7198"/>
    <m/>
    <s v="Tanger/Casa"/>
    <n v="97.619"/>
    <x v="8"/>
    <s v="N2"/>
    <s v="Arrêt du train"/>
    <s v="H.O Complet entre 217 et 218 Bonne qualité de signal ,Requête de déconnexion a été envoyé par le RBC"/>
    <m/>
    <x v="0"/>
    <s v="en attente décision de remplacement CAB Radio"/>
    <s v="H.O Complet entre 217 et 218"/>
    <s v="dl Rxqual=0"/>
    <s v="dl rx level= -48 dbm"/>
    <s v="OK"/>
    <s v="OK"/>
    <s v="Mauvais"/>
    <s v="retransmission des trames HDLC*5"/>
    <m/>
    <m/>
    <m/>
    <m/>
    <m/>
    <m/>
    <m/>
    <m/>
    <m/>
  </r>
  <r>
    <n v="235"/>
    <b v="0"/>
    <x v="126"/>
    <d v="1899-12-30T11:02:18"/>
    <n v="1013"/>
    <x v="4"/>
    <x v="1"/>
    <n v="1032"/>
    <m/>
    <s v="Casa/Tanger"/>
    <n v="21.55"/>
    <x v="20"/>
    <s v="N2"/>
    <s v="Ralentissement du train"/>
    <s v="H.O Complet entre 305 et 304 Bonne qualité de signal ,Requête de déconnexion a été envoyé par le RBC"/>
    <m/>
    <x v="0"/>
    <s v="en attente décision de remplacement CAB Radio"/>
    <s v="H.O Complet entre 305 et 304"/>
    <s v="dl Rxqual=0"/>
    <s v="dl rx level= -61 dbm"/>
    <s v="OK"/>
    <s v="OK"/>
    <s v="Mauvais"/>
    <s v="retransmission des trames HDLC*5"/>
    <m/>
    <m/>
    <m/>
    <m/>
    <m/>
    <m/>
    <m/>
    <m/>
    <m/>
  </r>
  <r>
    <n v="236"/>
    <b v="0"/>
    <x v="126"/>
    <d v="1899-12-30T12:28:20"/>
    <n v="2025"/>
    <x v="4"/>
    <x v="0"/>
    <n v="7208"/>
    <m/>
    <s v="Tanger/Casa"/>
    <n v="108.206"/>
    <x v="1"/>
    <s v="N2"/>
    <s v="Ralentissement du train"/>
    <s v="H.O non finalisé entre 219 et 320 mauvaise qualité de signal ,Requête de déconnexion a été envoyé par le Bord"/>
    <m/>
    <x v="0"/>
    <s v="en attente décision de remplacement CAB Radio"/>
    <s v="H.O non finalisé entre 219 et 320"/>
    <s v="dl Rxqual=7"/>
    <s v="dl rx level= -70 dbm"/>
    <s v="OK"/>
    <s v="OK"/>
    <s v="Mauvais"/>
    <s v="pas de retransmission des trames HDLC"/>
    <m/>
    <m/>
    <m/>
    <m/>
    <m/>
    <m/>
    <m/>
    <m/>
    <m/>
  </r>
  <r>
    <n v="237"/>
    <b v="0"/>
    <x v="126"/>
    <d v="1899-12-30T13:01:22"/>
    <n v="1021"/>
    <x v="9"/>
    <x v="1"/>
    <n v="1031"/>
    <m/>
    <s v="Casa/Tanger"/>
    <n v="17.59"/>
    <x v="20"/>
    <s v="N2"/>
    <s v="Arrêt du train"/>
    <s v="H.O Complet entre 305 et 204 Bonne qualité de signal ,Requête de déconnexion a été envoyé par le RBC"/>
    <m/>
    <x v="2"/>
    <s v="en attente décision de remplacement CAB Radio / Zone Sous surveillance"/>
    <s v="H.O Complet entre 305 et 204"/>
    <s v="dl Rxqual=0"/>
    <s v="dl rx level= -52 dbm"/>
    <s v="OK"/>
    <s v="OK"/>
    <s v="Bon"/>
    <s v="retransmission des trames HDLC*5"/>
    <m/>
    <m/>
    <m/>
    <m/>
    <m/>
    <m/>
    <m/>
    <m/>
    <m/>
  </r>
  <r>
    <n v="238"/>
    <b v="0"/>
    <x v="126"/>
    <d v="1899-12-30T21:05:26"/>
    <n v="2061"/>
    <x v="1"/>
    <x v="0"/>
    <n v="1028"/>
    <m/>
    <s v="Tanger/Casa"/>
    <n v="6.13"/>
    <x v="2"/>
    <s v="N2"/>
    <s v="Arrêt du train"/>
    <s v="H.O non finalisé entre 302 et 201 Bonne qualité de signal ,Requête de déconnexion a été envoyé par le Bord"/>
    <m/>
    <x v="0"/>
    <s v="en attente décision de remplacement CAB Radio"/>
    <s v="H.O non finalisé entre 302 et 201"/>
    <s v="dl Rxqual=4"/>
    <s v="dl rx level= -56 dbm"/>
    <s v="OK"/>
    <s v="OK"/>
    <m/>
    <s v="retransmission des trames HDLC*5"/>
    <m/>
    <m/>
    <m/>
    <m/>
    <m/>
    <m/>
    <m/>
    <m/>
    <m/>
  </r>
  <r>
    <n v="239"/>
    <b v="0"/>
    <x v="127"/>
    <d v="1899-12-30T04:35:47"/>
    <s v="                                                                                                                                                                                            "/>
    <x v="9"/>
    <x v="0"/>
    <n v="1052"/>
    <m/>
    <s v="Tanger/Casa"/>
    <n v="79.281999999999996"/>
    <x v="11"/>
    <s v="N2"/>
    <s v="Ralentissement du train"/>
    <s v="H.O Complet entre 214 et 215 Bonne qualité de signal ,Requête de déconnexion a été envoyé par le RBC"/>
    <m/>
    <x v="6"/>
    <s v="Dans l'attente de la mise en place des tiroires monomode"/>
    <s v="H.O Complet entre 214 et 215"/>
    <s v="dl Rxqual=0"/>
    <s v="dl rx level= -48 dbm"/>
    <s v="OK"/>
    <s v="OK"/>
    <s v="Mauvais"/>
    <s v="pas de retransmission des trames HDLC"/>
    <m/>
    <m/>
    <m/>
    <m/>
    <m/>
    <m/>
    <m/>
    <m/>
    <m/>
  </r>
  <r>
    <n v="240"/>
    <b v="0"/>
    <x v="127"/>
    <d v="1899-12-30T05:35:47"/>
    <n v="2041"/>
    <x v="9"/>
    <x v="1"/>
    <n v="1053"/>
    <m/>
    <s v="Tanger/Casa"/>
    <n v="80.281999999999996"/>
    <x v="11"/>
    <s v="N2"/>
    <s v="Ralentissement du train"/>
    <s v="H.O Complet entre 214 et 215 Bonne qualité de signal ,Requête de déconnexion a été envoyé par le RBC"/>
    <m/>
    <x v="6"/>
    <s v="Dans l'attente de la mise en place des tiroires monomode"/>
    <s v="H.O Complet entre 214 et 216"/>
    <s v="dl Rxqual=1"/>
    <s v="dl rx level= -48 dbm"/>
    <s v="OK"/>
    <s v="OK"/>
    <s v="Mauvais"/>
    <s v="pas de retransmission des trames HDLC"/>
    <m/>
    <m/>
    <m/>
    <m/>
    <m/>
    <m/>
    <m/>
    <m/>
    <m/>
  </r>
  <r>
    <n v="241"/>
    <b v="0"/>
    <x v="128"/>
    <d v="1899-12-30T13:23:49"/>
    <n v="1025"/>
    <x v="0"/>
    <x v="1"/>
    <n v="1044"/>
    <m/>
    <s v="Casa/Tanger"/>
    <n v="202.7"/>
    <x v="5"/>
    <s v="N2"/>
    <s v="Arrêt du train"/>
    <s v="H.O Complet entre 99 et 233 mauvaise qualité de signal ,Requête de déconnexion a été envoyé à travers la BTS"/>
    <m/>
    <x v="2"/>
    <s v="Dans l'attente de la mise en place des tiroires monomode"/>
    <s v="H.O Complet entre 99 et 233"/>
    <s v="dl Rxqual=7"/>
    <s v="dl rx level= -66 dbm"/>
    <s v="OK"/>
    <s v="OK"/>
    <s v="Mauvais"/>
    <s v="retransmission des trames HDLC*5"/>
    <m/>
    <m/>
    <m/>
    <m/>
    <m/>
    <m/>
    <m/>
    <m/>
    <m/>
  </r>
  <r>
    <n v="242"/>
    <b v="0"/>
    <x v="128"/>
    <d v="1899-12-30T17:05:31"/>
    <n v="2045"/>
    <x v="10"/>
    <x v="0"/>
    <n v="7206"/>
    <m/>
    <s v="Tanger/Casa"/>
    <n v="6.13"/>
    <x v="2"/>
    <s v="N2"/>
    <s v="Arrêt du train"/>
    <s v="H.O non finalisé entre 202 et 201 mauvaise qualité de signal ,Requête de déconnexion a été envoyé par le RBC"/>
    <m/>
    <x v="0"/>
    <s v="Dans l'attente de la mise en place des tiroires monomode"/>
    <s v="H.O non finalisé entre 202 et 201"/>
    <s v="dl Rxqual=7"/>
    <s v="dl rx level= -55 dbm"/>
    <s v="OK"/>
    <s v="OK"/>
    <s v="Mauvais"/>
    <s v="retransmission des trames HDLC*5"/>
    <m/>
    <m/>
    <m/>
    <m/>
    <m/>
    <m/>
    <m/>
    <m/>
    <m/>
  </r>
  <r>
    <n v="243"/>
    <b v="0"/>
    <x v="129"/>
    <d v="1899-12-30T16:04:58"/>
    <n v="1033"/>
    <x v="10"/>
    <x v="1"/>
    <n v="1060"/>
    <m/>
    <s v="Casa/Tanger"/>
    <n v="7.3209999999999997"/>
    <x v="2"/>
    <s v="N2"/>
    <s v="Ralentissement du train"/>
    <s v="H.O non finalisé entre 302 et 203 mauvaise qualité de signal ,Requête de déconnexion a été envoyé par le RBC"/>
    <m/>
    <x v="0"/>
    <s v="Dans l'attente de la mise en place des tiroires monomode"/>
    <s v="H.O non finalisé entre 302 et 203"/>
    <s v="dl Rxqual=7"/>
    <s v="dl rx level= -55 dbm"/>
    <s v="OK"/>
    <s v="OK"/>
    <s v="Mauvais"/>
    <s v="retransmission des trames HDLC*5"/>
    <m/>
    <m/>
    <m/>
    <m/>
    <m/>
    <m/>
    <m/>
    <m/>
    <m/>
  </r>
  <r>
    <n v="244"/>
    <b v="0"/>
    <x v="129"/>
    <d v="1899-12-30T16:46:46"/>
    <n v="1037"/>
    <x v="0"/>
    <x v="1"/>
    <n v="1045"/>
    <m/>
    <s v="Casa/Tanger"/>
    <n v="94.953999999999994"/>
    <x v="8"/>
    <s v="N2"/>
    <s v="Ralentissement du train"/>
    <s v="H.O Complet entre 318 et 217 mauvaise qualité de signal ,Requête de déconnexion a été envoyé par le RBC"/>
    <m/>
    <x v="0"/>
    <s v="Dans l'attente de la mise en place des tiroires monomode"/>
    <s v="H.O Complet entre 318 et 217 "/>
    <s v="dl Rxqual=7"/>
    <s v="dl rx level= -77 dbm"/>
    <s v="OK"/>
    <s v="OK"/>
    <s v="Mauvais"/>
    <s v="retransmission des trames HDLC*5"/>
    <m/>
    <m/>
    <m/>
    <m/>
    <m/>
    <m/>
    <m/>
    <m/>
    <m/>
  </r>
  <r>
    <n v="245"/>
    <b v="0"/>
    <x v="129"/>
    <d v="1899-12-30T17:07:25"/>
    <n v="1038"/>
    <x v="0"/>
    <x v="1"/>
    <n v="1044"/>
    <m/>
    <s v="Casa/Tanger"/>
    <n v="7.3209999999999997"/>
    <x v="2"/>
    <s v="N2"/>
    <s v="Ralentissement du train"/>
    <s v="H.O non finalisé entre 303 et 202 mauvaise qualité de signal ,Requête de déconnexion a été envoyé par le Bord"/>
    <m/>
    <x v="0"/>
    <s v="Dans l'attente de la mise en place des tiroires monomode"/>
    <s v="H.O non finalisé entre 303 et 202"/>
    <s v="dl Rxqual=7"/>
    <s v="dl rx level= -57 dbm"/>
    <s v="OK"/>
    <s v="OK"/>
    <s v="Mauvais"/>
    <s v="retransmission des trames HDLC*5"/>
    <m/>
    <m/>
    <m/>
    <m/>
    <m/>
    <m/>
    <m/>
    <m/>
    <m/>
  </r>
  <r>
    <n v="246"/>
    <b v="0"/>
    <x v="129"/>
    <d v="1899-12-30T18:06:17"/>
    <n v="2049"/>
    <x v="2"/>
    <x v="0"/>
    <n v="7217"/>
    <m/>
    <s v="Tanger/Casa"/>
    <n v="6.13"/>
    <x v="2"/>
    <s v="N2"/>
    <s v="Ralentissement du train"/>
    <s v="H.O non finalisé entre 202 et 303 mauvaise qualité de signal ,Requête de déconnexion a été envoyé par le RBC"/>
    <m/>
    <x v="0"/>
    <s v="Dans l'attente de la mise en place des tiroires monomode"/>
    <s v="H.O non finalisé entre 202 et 303"/>
    <s v="dl Rxqual=7"/>
    <s v="dl rx level= -52 dbm"/>
    <s v="OK"/>
    <s v="OK"/>
    <s v="Mauvais"/>
    <s v="retransmission des trames HDLC*5"/>
    <m/>
    <m/>
    <m/>
    <m/>
    <m/>
    <m/>
    <m/>
    <m/>
    <m/>
  </r>
  <r>
    <n v="247"/>
    <b v="0"/>
    <x v="130"/>
    <d v="1899-12-30T09:05:31"/>
    <n v="1005"/>
    <x v="9"/>
    <x v="1"/>
    <n v="1030"/>
    <m/>
    <s v="Casa/Tanger"/>
    <n v="7.3209999999999997"/>
    <x v="2"/>
    <s v="N2"/>
    <s v="Ralentissement du train"/>
    <s v="H.O non finalisé entre 303 et 202 mauvaise qualité de signal ,Requête de déconnexion a été envoyé par le Bord"/>
    <m/>
    <x v="0"/>
    <s v="Dans l'attente de la mise en place des tiroires monomode"/>
    <s v="H.O non finalisé entre 303 et 202"/>
    <s v="dl Rxqual=7"/>
    <s v="dl rx level= -59 dbm"/>
    <s v="OK"/>
    <s v="OK"/>
    <s v="Mauvais"/>
    <s v="retransmission des trames HDLC*4"/>
    <m/>
    <m/>
    <m/>
    <m/>
    <m/>
    <m/>
    <m/>
    <m/>
    <m/>
  </r>
  <r>
    <n v="248"/>
    <b v="0"/>
    <x v="130"/>
    <d v="1899-12-30T10:05:40"/>
    <n v="1009"/>
    <x v="0"/>
    <x v="1"/>
    <n v="1044"/>
    <m/>
    <s v="Casa/Tanger"/>
    <n v="7.3209999999999997"/>
    <x v="2"/>
    <s v="N2"/>
    <s v="Ralentissement du train"/>
    <s v="H.O non finalisé entre 303 et 202 mauvaise qualité de signal ,Requête de déconnexion a été envoyé par le Bord"/>
    <m/>
    <x v="0"/>
    <s v="Dans l'attente de la mise en place des tiroires monomode"/>
    <s v="H.O non finalisé entre 303 et 202"/>
    <s v="dl Rxqual=7"/>
    <s v="dl rx level= -57 dbm"/>
    <s v="OK"/>
    <s v="OK"/>
    <s v="Mauvais"/>
    <s v="retransmission des trames HDLC*5"/>
    <m/>
    <m/>
    <m/>
    <m/>
    <m/>
    <m/>
    <m/>
    <m/>
    <m/>
  </r>
  <r>
    <n v="249"/>
    <b v="0"/>
    <x v="130"/>
    <d v="1899-12-30T19:04:41"/>
    <n v="2053"/>
    <x v="10"/>
    <x v="0"/>
    <n v="1045"/>
    <m/>
    <s v="Tanger/Casa"/>
    <n v="6.13"/>
    <x v="2"/>
    <s v="N2"/>
    <s v="Arrêt du train"/>
    <s v="H.O non finalisé entre 202 et 303 bonne qualité de signal ,Requête de déconnexion a été envoyé par le Bord"/>
    <m/>
    <x v="0"/>
    <s v="Dans l'attente de la mise en place des tiroires monomode"/>
    <s v="H.O non finalisé entre 202 et 303"/>
    <s v="dl Rxqual=4"/>
    <s v="dl rx level= -52 dbm"/>
    <s v="OK"/>
    <s v="OK"/>
    <s v="Mauvais"/>
    <s v="retransmission des trames HDLC*5"/>
    <m/>
    <m/>
    <m/>
    <m/>
    <m/>
    <m/>
    <m/>
    <m/>
    <m/>
  </r>
  <r>
    <n v="250"/>
    <b v="0"/>
    <x v="131"/>
    <d v="1899-12-30T07:07:18"/>
    <n v="1081"/>
    <x v="9"/>
    <x v="0"/>
    <n v="1030"/>
    <m/>
    <s v="Tanger/Casa"/>
    <n v="7.3209999999999997"/>
    <x v="2"/>
    <s v="N2"/>
    <s v="Ralentissement du train"/>
    <s v="H.O Complet entre 303 et 302 mauvaise qualité de signal ,Requête de déconnexion a été envoyé par le RBC"/>
    <m/>
    <x v="0"/>
    <s v="Dans l'attente de la mise en place des tiroires monomode"/>
    <s v="H.O Complet entre 303 et 302"/>
    <s v="dl Rxqual=7"/>
    <s v="dl rx level= -67 dbm"/>
    <s v="OK"/>
    <s v="OK"/>
    <s v="Mauvais"/>
    <s v="retransmission des trames HDLC*5"/>
    <m/>
    <m/>
    <m/>
    <m/>
    <m/>
    <m/>
    <m/>
    <m/>
    <m/>
  </r>
  <r>
    <n v="251"/>
    <b v="0"/>
    <x v="131"/>
    <d v="1899-12-30T09:06:21"/>
    <n v="1005"/>
    <x v="8"/>
    <x v="1"/>
    <n v="1022"/>
    <m/>
    <s v="Casa/Tanger"/>
    <n v="7.3209999999999997"/>
    <x v="2"/>
    <s v="N2"/>
    <s v="Ralentissement du train"/>
    <s v="H.O Complet entre 303 et 302 mauvaise qualité de signal ,Requête de déconnexion a été envoyé par le RBC"/>
    <m/>
    <x v="0"/>
    <s v="Dans l'attente de la mise en place des tiroires monomode"/>
    <s v="H.O Complet entre 303 et 302"/>
    <s v="dl Rxqual=7"/>
    <s v="dl rx level= -74 dbm"/>
    <s v="OK"/>
    <s v="OK"/>
    <s v="Mauvais"/>
    <s v="retransmission des trames HDLC*5"/>
    <m/>
    <m/>
    <m/>
    <m/>
    <m/>
    <m/>
    <m/>
    <m/>
    <m/>
  </r>
  <r>
    <n v="252"/>
    <b v="0"/>
    <x v="131"/>
    <d v="1899-12-30T23:04:35"/>
    <n v="1061"/>
    <x v="3"/>
    <x v="1"/>
    <n v="1007"/>
    <m/>
    <s v="Casa/Tanger"/>
    <n v="7.3209999999999997"/>
    <x v="2"/>
    <s v="N2"/>
    <s v="Arrêt du train"/>
    <s v="H.O non finalisé entre 303 et 202 mauvaise qualité de signal ,Requête de déconnexion a été envoyé par le Bord"/>
    <m/>
    <x v="0"/>
    <s v="Dans l'attente de la mise en place des tiroires monomode"/>
    <s v="H.O non finalisé entre 303 et 202"/>
    <s v="dl Rxqual=7"/>
    <s v="dl rx level= -56 dbm"/>
    <s v="OK"/>
    <s v="OK"/>
    <s v="Mauvais"/>
    <s v="retransmission des trames HDLC*5"/>
    <m/>
    <m/>
    <m/>
    <m/>
    <m/>
    <m/>
    <m/>
    <m/>
    <m/>
  </r>
  <r>
    <n v="253"/>
    <b v="0"/>
    <x v="132"/>
    <s v=" 08:11:12"/>
    <n v="2009"/>
    <x v="9"/>
    <x v="0"/>
    <n v="1052"/>
    <m/>
    <s v="Tanger/Casa"/>
    <n v="21.55"/>
    <x v="20"/>
    <s v="N2"/>
    <s v="Ralentissement du train"/>
    <s v="H.O non finalisé entre 303 et 205 Bonne qualité de signal ,Requête de déconnexion a été envoyé par le RBC"/>
    <m/>
    <x v="0"/>
    <s v="Dans l'attente de la mise en place des tiroires monomode"/>
    <s v="H.O non finalisé entre 303 et 205"/>
    <s v="dl Rxqual=0"/>
    <s v="dl rx level= -64 dbm"/>
    <s v="OK"/>
    <s v="OK"/>
    <s v="Mauvais"/>
    <s v="retransmission des trames HDLC*5"/>
    <m/>
    <m/>
    <m/>
    <m/>
    <m/>
    <m/>
    <m/>
    <m/>
    <m/>
  </r>
  <r>
    <n v="254"/>
    <b v="0"/>
    <x v="132"/>
    <s v=" 19:39:07"/>
    <n v="1050"/>
    <x v="10"/>
    <x v="1"/>
    <n v="1061"/>
    <m/>
    <s v="Casa/Tanger"/>
    <n v="127.815"/>
    <x v="6"/>
    <s v="N2"/>
    <s v="Ralentissement du train"/>
    <s v="H.O Complet entre 324 et 223 mauvaise qualité de signal ,Requête de déconnexion a été envoyé par le RBC"/>
    <m/>
    <x v="0"/>
    <s v="Dans l'attente de la mise en place des tiroires monomode"/>
    <s v="H.O Complet entre 324 et 223"/>
    <s v="dl Rxqual=7"/>
    <s v="dl rx level= -85 dbm"/>
    <s v="OK"/>
    <s v="OK"/>
    <s v="Mauvais"/>
    <s v="retransmission des trames HDLC*5"/>
    <m/>
    <m/>
    <m/>
    <m/>
    <m/>
    <m/>
    <m/>
    <m/>
    <m/>
  </r>
  <r>
    <n v="255"/>
    <b v="0"/>
    <x v="133"/>
    <d v="1899-12-30T18:46:54"/>
    <n v="1046"/>
    <x v="1"/>
    <x v="1"/>
    <n v="3062"/>
    <m/>
    <s v="Casa/Tanger"/>
    <n v="90.108000000000004"/>
    <x v="12"/>
    <s v="N2"/>
    <s v="Ralentissement du train"/>
    <s v="H.O non finalisé entre 322 et 321 Bonne qualité de signal ,Requête de déconnexion a été envoyé par le RBC"/>
    <m/>
    <x v="0"/>
    <s v="Dans l'attente de la mise en place des tiroires monomode"/>
    <s v="H.O non finalisé entre 322 et 321"/>
    <s v="dl Rxqual=2"/>
    <s v="dl rx level= -61 dbm"/>
    <s v="OK"/>
    <s v="OK"/>
    <s v="moyen"/>
    <s v="retransmission des trames HDLC*5"/>
    <m/>
    <m/>
    <m/>
    <m/>
    <m/>
    <m/>
    <m/>
    <m/>
    <m/>
  </r>
  <r>
    <n v="256"/>
    <b v="0"/>
    <x v="134"/>
    <d v="1899-12-30T17:04:10"/>
    <n v="1045"/>
    <x v="4"/>
    <x v="1"/>
    <n v="1033"/>
    <m/>
    <s v="Casa/Tanger"/>
    <n v="7.3209999999999997"/>
    <x v="2"/>
    <s v="N2"/>
    <s v="Ralentissement du train"/>
    <s v="H.O Complet entre 303 et 302 Bonne qualité de signal ,Requête de déconnexion a été envoyé par le RBC"/>
    <m/>
    <x v="0"/>
    <s v="Dans l'attente de la mise en place des tiroires monomode"/>
    <s v="H.O Complet entre 303 et 202"/>
    <s v="dl Rxqual=0"/>
    <s v="dl rx level= -49 dbm"/>
    <s v="OK"/>
    <s v="OK"/>
    <s v="Mauvais"/>
    <s v="retransmission des trames HDLC*5"/>
    <m/>
    <m/>
    <m/>
    <m/>
    <m/>
    <m/>
    <m/>
    <m/>
    <m/>
  </r>
  <r>
    <n v="257"/>
    <b v="0"/>
    <x v="134"/>
    <d v="1899-12-30T20:51:48"/>
    <n v="1053"/>
    <x v="9"/>
    <x v="1"/>
    <n v="1031"/>
    <m/>
    <s v="Casa/Tanger"/>
    <n v="65.513999999999996"/>
    <x v="21"/>
    <s v="N2"/>
    <s v="Ralentissement du train"/>
    <s v="H.O non finalisé entre 312 et 311 Bonne qualité de signal ,Requête de déconnexion a été envoyé par le RBC"/>
    <m/>
    <x v="1"/>
    <s v="En attente les resultats du drive test "/>
    <s v="H.O non finalisé entre 312 et 211"/>
    <s v="dl Rxqual=0"/>
    <s v="dl rx level= -81 dbm"/>
    <s v="NOK"/>
    <s v="OK"/>
    <s v="Bon"/>
    <s v="retransmission des trames HDLC*5"/>
    <m/>
    <m/>
    <m/>
    <m/>
    <m/>
    <m/>
    <m/>
    <m/>
    <m/>
  </r>
  <r>
    <n v="258"/>
    <b v="0"/>
    <x v="135"/>
    <d v="1899-12-30T15:58:27"/>
    <n v="1034"/>
    <x v="1"/>
    <x v="1"/>
    <n v="3062"/>
    <m/>
    <s v="Casa/Tanger"/>
    <n v="26.739000000000001"/>
    <x v="7"/>
    <s v="N2"/>
    <s v="Arrêt du train"/>
    <s v="H.O Complet entre 307 et 306 Bonne qualité de signal ,Requête de déconnexion a été envoyé par le RBC"/>
    <m/>
    <x v="0"/>
    <s v="Dans l'attente de la mise en place des tiroires monomode"/>
    <s v="H.O Complet entre 307 et 306"/>
    <s v="dl Rxqual=0"/>
    <s v="dl rx level= -48 dbm"/>
    <s v="OK"/>
    <s v="OK"/>
    <s v="Mauvais"/>
    <s v="retransmission des trames HDLC*5"/>
    <m/>
    <m/>
    <m/>
    <m/>
    <m/>
    <m/>
    <m/>
    <m/>
    <m/>
  </r>
  <r>
    <n v="259"/>
    <b v="0"/>
    <x v="136"/>
    <d v="1899-12-30T19:08:01"/>
    <n v="1046"/>
    <x v="11"/>
    <x v="1"/>
    <n v="1020"/>
    <m/>
    <s v="Casa/Tanger"/>
    <n v="7.3209999999999997"/>
    <x v="2"/>
    <s v="N2"/>
    <s v="Ralentissement du train"/>
    <s v="H.O Complet entre 303 et 302 Bonne qualité de signal ,Requête de déconnexion a été envoyé par le RBC"/>
    <m/>
    <x v="0"/>
    <s v="Dans l'attente de la mise en place des tiroires monomode"/>
    <s v="H.O Complet entre 303 et 302"/>
    <s v="dl Rxqual=4"/>
    <s v="dl rx level= -57 dbm"/>
    <s v="OK"/>
    <s v="OK"/>
    <s v="Mauvais"/>
    <s v="retransmission des trames HDLC*5"/>
    <m/>
    <m/>
    <m/>
    <m/>
    <m/>
    <m/>
    <m/>
    <m/>
    <m/>
  </r>
  <r>
    <n v="260"/>
    <b v="0"/>
    <x v="136"/>
    <d v="1899-12-30T19:59:06"/>
    <n v="1049"/>
    <x v="4"/>
    <x v="1"/>
    <n v="1033"/>
    <m/>
    <s v="Casa/Tanger"/>
    <n v="31.350999999999999"/>
    <x v="25"/>
    <s v="N2"/>
    <s v="Arrêt du train"/>
    <s v="H.O Complet entre 307 et 306 Bonne qualité de signal ,Requête de déconnexion a été envoyé par le RBC"/>
    <m/>
    <x v="0"/>
    <s v="Dans l'attente de la mise en place des tiroires monomode"/>
    <s v="H.O Complet entre 307 et 306"/>
    <s v="dl Rxqual=0"/>
    <s v="dl rx level= -48 dbm"/>
    <s v="OK"/>
    <s v="OK"/>
    <s v="Mauvais"/>
    <s v="pas de retransmission des trames HDLC"/>
    <m/>
    <m/>
    <m/>
    <m/>
    <m/>
    <m/>
    <m/>
    <m/>
    <m/>
  </r>
  <r>
    <n v="261"/>
    <b v="0"/>
    <x v="137"/>
    <d v="1899-12-30T07:22:20"/>
    <n v="2005"/>
    <x v="10"/>
    <x v="0"/>
    <n v="7198"/>
    <m/>
    <s v="Tanger/Casa"/>
    <n v="78.155000000000001"/>
    <x v="11"/>
    <s v="N2"/>
    <s v="Arrêt du train"/>
    <s v="H.O finalisé entre 214 et 215 bonne qualité de signal, Requête de déconnexion a été envoyé à travers la BTS"/>
    <m/>
    <x v="0"/>
    <s v="Dans l'attente de la mise en place des tiroires monomode"/>
    <s v="H.O finalisé entre 214 et 215"/>
    <s v="dl Rxqual=0"/>
    <s v="dl rx level= -53 dbm"/>
    <s v="OK"/>
    <s v="OK"/>
    <s v="Mauvais"/>
    <s v="pas de retransmission des trames HDLC"/>
    <m/>
    <m/>
    <m/>
    <m/>
    <m/>
    <m/>
    <m/>
    <m/>
    <m/>
  </r>
  <r>
    <n v="262"/>
    <b v="0"/>
    <x v="137"/>
    <d v="1899-12-30T11:57:16"/>
    <n v="1017"/>
    <x v="10"/>
    <x v="1"/>
    <n v="1060"/>
    <m/>
    <s v="Casa/Tanger"/>
    <n v="48.426000000000002"/>
    <x v="16"/>
    <s v="N2"/>
    <s v="Ralentissement du train"/>
    <s v="H.O non finalisé entre 309 et 308  bonne qualité de signal, Requête de déconnexion a été envoyé par le RBC"/>
    <m/>
    <x v="2"/>
    <s v="Zone Sous Surveillance / attente de la mise en place des tiroires monomode"/>
    <s v="H.O non finalisé entre 309 et 308 "/>
    <s v="dl Rxqual=0"/>
    <s v="dl rx level= -83 dbm"/>
    <s v="OK"/>
    <s v="OK"/>
    <s v="Mauvais"/>
    <s v="retransmission des trames HDLC*5"/>
    <m/>
    <m/>
    <m/>
    <m/>
    <m/>
    <m/>
    <m/>
    <m/>
    <m/>
  </r>
  <r>
    <n v="263"/>
    <b v="0"/>
    <x v="137"/>
    <d v="1899-12-30T12:07:07"/>
    <n v="1017"/>
    <x v="10"/>
    <x v="1"/>
    <n v="1060"/>
    <m/>
    <s v="Casa/Tanger"/>
    <n v="7.3209999999999997"/>
    <x v="2"/>
    <s v="N2"/>
    <s v="Arrêt du train"/>
    <s v="H.O non finalisé entre 303 et 202  bonne qualité de signal, Requête de déconnexion a été envoyé par le RBC"/>
    <m/>
    <x v="0"/>
    <s v="Dans l'attente de la mise en place des tiroires monomode"/>
    <s v="H.O non finalisé entre 303 et 202 "/>
    <s v="dl Rxqual=7"/>
    <s v="dl rx level= -57 dbm"/>
    <s v="OK"/>
    <s v="OK"/>
    <s v="Mauvais"/>
    <s v="retransmission des trames HDLC*5"/>
    <m/>
    <m/>
    <m/>
    <m/>
    <m/>
    <m/>
    <m/>
    <m/>
    <m/>
  </r>
  <r>
    <n v="264"/>
    <b v="0"/>
    <x v="138"/>
    <d v="1899-12-30T08:46:25"/>
    <n v="1005"/>
    <x v="4"/>
    <x v="1"/>
    <n v="1032"/>
    <m/>
    <s v="Casa/Tanger"/>
    <n v="94.953999999999994"/>
    <x v="8"/>
    <s v="N2"/>
    <s v="Ralentissement du train"/>
    <s v="H.O Complet entre 318 et 217 Mauvaise qualité de signal ,Requête de déconnexion a été envoyé par le BORD"/>
    <m/>
    <x v="0"/>
    <s v="Dans l'attente de la mise en place des tiroires monomode"/>
    <s v="H.O Complet entre 318 et 217"/>
    <s v="dl Rxqual=7"/>
    <s v="dl rx level= -75 dbm"/>
    <s v="OK"/>
    <s v="OK"/>
    <s v="Mauvais"/>
    <s v="pas de retransmission des trames HDLC"/>
    <m/>
    <m/>
    <m/>
    <m/>
    <m/>
    <m/>
    <m/>
    <m/>
    <m/>
  </r>
  <r>
    <n v="265"/>
    <b v="0"/>
    <x v="138"/>
    <d v="1899-12-30T14:05:46"/>
    <n v="1035"/>
    <x v="8"/>
    <x v="1"/>
    <n v="1022"/>
    <m/>
    <s v="Casa/Tanger"/>
    <n v="7.3209999999999997"/>
    <x v="2"/>
    <s v="N2"/>
    <s v="Ralentissement du train"/>
    <s v="H.O non finalisé entre 303 et 202  Mauvaise qualité de signal, Requête de déconnexion a été envoyé par le BORD"/>
    <m/>
    <x v="0"/>
    <s v="Dans l'attente de la mise en place des tiroires monomode"/>
    <s v="H.O non finalisé entre 303 et 202 "/>
    <s v="dl Rxqual=7"/>
    <s v="dl rx level= -56 dbm"/>
    <s v="OK"/>
    <s v="OK"/>
    <s v="Mauvais"/>
    <s v="pas de retransmission des trames HDLC"/>
    <m/>
    <m/>
    <m/>
    <m/>
    <m/>
    <m/>
    <m/>
    <m/>
    <m/>
  </r>
  <r>
    <n v="266"/>
    <b v="0"/>
    <x v="138"/>
    <d v="1899-12-30T19:08:41"/>
    <n v="1045"/>
    <x v="11"/>
    <x v="1"/>
    <n v="1020"/>
    <m/>
    <s v="Casa/Tanger"/>
    <n v="7.3209999999999997"/>
    <x v="2"/>
    <s v="N2"/>
    <s v="Arrêt du train"/>
    <s v="H.O non finalisé entre 303 et 202  Mauvaise qualité de signal, Requête de déconnexion a été envoyé par le BORD"/>
    <m/>
    <x v="0"/>
    <s v="Dans l'attente de la mise en place des tiroires monomode"/>
    <s v="H.O non finalisé entre 303 et 202 "/>
    <s v="dl Rxqual=7"/>
    <s v="dl rx level= -59 dbm"/>
    <s v="OK"/>
    <s v="OK"/>
    <s v="Mauvais"/>
    <s v="retransmission des trames HDLC*5"/>
    <m/>
    <m/>
    <m/>
    <m/>
    <m/>
    <m/>
    <m/>
    <m/>
    <m/>
  </r>
  <r>
    <n v="267"/>
    <b v="0"/>
    <x v="139"/>
    <d v="1899-12-30T16:06:28"/>
    <n v="1034"/>
    <x v="4"/>
    <x v="1"/>
    <n v="1032"/>
    <m/>
    <s v="Casa/Tanger"/>
    <n v="7.3209999999999997"/>
    <x v="2"/>
    <s v="N2"/>
    <s v="Arrêt du train"/>
    <s v="H.O non finalisé entre 303 et 202  Mauvaise qualité de signal, Requête de déconnexion a été envoyé par le MSC"/>
    <m/>
    <x v="0"/>
    <s v="Dans l'attente de la mise en place des tiroires monomode"/>
    <s v="H.O non finalisé entre 303 et 202 "/>
    <s v="dl Rxqual=7"/>
    <s v="dl rx level= -54 dbm"/>
    <s v="OK"/>
    <s v="OK"/>
    <s v="Mauvais"/>
    <s v="Pas de Retransmission des trames HDLC "/>
    <m/>
    <m/>
    <m/>
    <m/>
    <m/>
    <m/>
    <m/>
    <m/>
    <m/>
  </r>
  <r>
    <n v="268"/>
    <b v="0"/>
    <x v="139"/>
    <d v="1899-12-30T23:02:35"/>
    <n v="1061"/>
    <x v="1"/>
    <x v="1"/>
    <n v="3062"/>
    <m/>
    <s v="Casa/Tanger"/>
    <n v="32.625999999999998"/>
    <x v="25"/>
    <s v="N2"/>
    <s v="Ralentissement du train"/>
    <s v="H.O  finalisée entre  308 et 307 qualité /niveau de signal : dl rx-qual=2 , dl rx level = -65 dbm. ,Requête de déconnexion a été envoyé par le RBC"/>
    <m/>
    <x v="2"/>
    <s v="En attente les resultats du drive test "/>
    <s v="H.O non finalisé entre 308et 307"/>
    <s v="dl Rxqual=2"/>
    <s v="dl rx level= -65 dbm"/>
    <s v="OK"/>
    <s v="OK"/>
    <s v="Mauvais"/>
    <s v="Pas de Retransmission des trames HDLC "/>
    <m/>
    <m/>
    <m/>
    <m/>
    <m/>
    <m/>
    <m/>
    <m/>
    <m/>
  </r>
  <r>
    <n v="269"/>
    <b v="0"/>
    <x v="140"/>
    <d v="1899-12-30T23:46:51"/>
    <n v="1061"/>
    <x v="4"/>
    <x v="1"/>
    <n v="1020"/>
    <m/>
    <s v="Casa/Tanger"/>
    <n v="94.953999999999994"/>
    <x v="8"/>
    <s v="N2"/>
    <s v="Ralentissement du train"/>
    <s v="H.O non finalisé entre  318 et 217qualité /niveau de signal : dl rx-qual=6 , dl rx level = -81dbm. ,Requête de déconnexion a été envoyée par le MSC"/>
    <m/>
    <x v="2"/>
    <s v="En attente les resultats du drive test "/>
    <s v="Ho non finalisé entre  318 et 217"/>
    <s v="dl Rxqual=6"/>
    <s v="dl rx level= -81 dbm"/>
    <s v="OK"/>
    <s v="OK"/>
    <s v="Mauvais"/>
    <s v="retransmission des trames HDLC*5"/>
    <m/>
    <m/>
    <m/>
    <m/>
    <m/>
    <m/>
    <m/>
    <m/>
    <m/>
  </r>
  <r>
    <n v="270"/>
    <b v="0"/>
    <x v="141"/>
    <d v="1899-12-30T23:05:00"/>
    <n v="1062"/>
    <x v="2"/>
    <x v="1"/>
    <n v="1034"/>
    <m/>
    <s v="Casa/Tanger"/>
    <n v="7.3209999999999997"/>
    <x v="2"/>
    <s v="N2"/>
    <s v="Arrêt du train"/>
    <s v="H.O non finalisé entre 303 et 202  qualité /niveau de signal : dl rx-qual=7 , dl rx level = -59 dbm. ,Requête de déconnexion a été envoyée par le MSC"/>
    <m/>
    <x v="0"/>
    <s v="Dans l'attente de la mise en place des tiroires monomode"/>
    <s v="H.O non finalisé entre 303 et 202"/>
    <s v="dl Rxqual=7"/>
    <s v="dl rx level= -65 dbm"/>
    <s v="OK"/>
    <s v="OK"/>
    <s v="Mauvais"/>
    <s v="retransmission des trames HDLC*5"/>
    <m/>
    <m/>
    <m/>
    <m/>
    <m/>
    <m/>
    <m/>
    <m/>
    <m/>
  </r>
  <r>
    <n v="271"/>
    <b v="0"/>
    <x v="142"/>
    <d v="1899-12-30T16:05:23"/>
    <n v="1033"/>
    <x v="1"/>
    <x v="1"/>
    <n v="3063"/>
    <m/>
    <s v="Casa/Tanger"/>
    <n v="7.3209999999999997"/>
    <x v="2"/>
    <s v="N2"/>
    <s v="Ralentissement du train"/>
    <s v="H.O non finalisé entre 303 et 202  qualité /niveau de signal : dl rx-qual=7 , dl rx level = -65 dbm. ,Requête de déconnexion a été envoyée par le MSC"/>
    <m/>
    <x v="0"/>
    <s v="Dans l'attente de la mise en place des tiroires monomode"/>
    <s v="H.O non finalisé entre 303 et 202"/>
    <s v="dl Rxqual=7"/>
    <s v="dl rx level= -59 dbm"/>
    <s v="OK"/>
    <s v="OK"/>
    <s v="Mauvais"/>
    <s v="retransmission des trames HDLC*5"/>
    <m/>
    <m/>
    <m/>
    <m/>
    <m/>
    <m/>
    <m/>
    <m/>
    <m/>
  </r>
  <r>
    <n v="272"/>
    <b v="0"/>
    <x v="142"/>
    <d v="1899-12-30T19:06:30"/>
    <n v="1045"/>
    <x v="11"/>
    <x v="1"/>
    <n v="1020"/>
    <m/>
    <s v="Casa/Tanger"/>
    <n v="7.3209999999999997"/>
    <x v="2"/>
    <s v="N2"/>
    <s v="Arrêt du train"/>
    <s v="H.O Complete entre 303 et 202  qualité /niveau de signal : dl rx-qual=0 , dl rx level = -50 dbm. ,Requête de déconnexion a été envoyée par le RBC"/>
    <m/>
    <x v="0"/>
    <s v="Dans l'attente de la mise en place des tiroires monomode"/>
    <s v="H.O : Complet  entre 303 et 302 "/>
    <s v="dl Rxqual=0"/>
    <s v="dl rx level= -50 dbm"/>
    <s v="OK"/>
    <s v="OK"/>
    <s v="Mauvais"/>
    <s v="retransmission des trames HDLC*5"/>
    <m/>
    <m/>
    <m/>
    <m/>
    <m/>
    <m/>
    <m/>
    <m/>
    <m/>
  </r>
  <r>
    <n v="273"/>
    <b v="0"/>
    <x v="142"/>
    <d v="1899-12-30T21:04:18"/>
    <n v="1053"/>
    <x v="8"/>
    <x v="1"/>
    <n v="1022"/>
    <m/>
    <s v="Casa/Tanger"/>
    <n v="7.3209999999999997"/>
    <x v="2"/>
    <s v="N2"/>
    <s v="Arrêt du train"/>
    <s v="H.O non finalisé entre 303 et 202  qualité /niveau de signal : dl rx-qual=7 , dl rx level = -57 dbm. ,Requête de déconnexion a été envoyée par le MSC"/>
    <m/>
    <x v="0"/>
    <s v="Dans l'attente de la mise en place des tiroires monomode"/>
    <s v="H.O non finalisé entre 303 et 202"/>
    <s v="dl Rxqual=7"/>
    <s v="dl rx level= -59 dbm"/>
    <s v="OK"/>
    <s v="OK"/>
    <s v="Mauvais"/>
    <s v="retransmission des trames HDLC*5"/>
    <m/>
    <m/>
    <m/>
    <m/>
    <m/>
    <m/>
    <m/>
    <m/>
    <m/>
  </r>
  <r>
    <n v="274"/>
    <b v="0"/>
    <x v="143"/>
    <d v="1899-12-30T15:05:16"/>
    <n v="2037"/>
    <x v="3"/>
    <x v="0"/>
    <n v="1046"/>
    <m/>
    <s v="Tanger/Casa"/>
    <n v="6.13"/>
    <x v="2"/>
    <s v="N2"/>
    <s v="Ralentissement du train"/>
    <s v="H.O non finalisé entre 302et 303  qualité /niveau de signal : dl rx-qual=7 , dl rx level = -55dbm. ,Requête de déconnexion a été envoyée par le RBC"/>
    <m/>
    <x v="0"/>
    <s v="Dans l'attente de la mise en place des tiroires monomode"/>
    <s v="H.O non finalisé entre 302 et 303"/>
    <s v="dl Rxqual=7"/>
    <s v="dl rx level= -55dbm"/>
    <s v="OK"/>
    <s v="OK"/>
    <s v="Mauvais"/>
    <s v="retransmission des trames HDLC*5"/>
    <m/>
    <m/>
    <m/>
    <m/>
    <m/>
    <m/>
    <m/>
    <m/>
    <m/>
  </r>
  <r>
    <n v="275"/>
    <b v="0"/>
    <x v="143"/>
    <d v="1899-12-30T19:05:57"/>
    <n v="1045"/>
    <x v="8"/>
    <x v="1"/>
    <n v="1022"/>
    <m/>
    <s v="Casa/Tanger"/>
    <n v="7.3209999999999997"/>
    <x v="2"/>
    <s v="N2"/>
    <s v="Ralentissement du train"/>
    <s v="H.O Complete entre 303 et 302  qualité /niveau de signal : dl rx-qual=7 , dl rx level = -66 dbm. ,Requête de déconnexion a été envoyée par le RBC"/>
    <m/>
    <x v="0"/>
    <s v="Dans l'attente de la mise en place des tiroires monomode"/>
    <s v="H.O : Complet  entre 303 et 302 "/>
    <s v="dl Rxqual=7"/>
    <s v="dl rx level= -66dbm"/>
    <s v="OK"/>
    <s v="OK"/>
    <s v="Mauvais"/>
    <s v="retransmission des trames HDLC*5"/>
    <m/>
    <m/>
    <m/>
    <m/>
    <m/>
    <m/>
    <m/>
    <m/>
    <m/>
  </r>
  <r>
    <n v="276"/>
    <b v="0"/>
    <x v="144"/>
    <d v="1899-12-30T16:29:40"/>
    <n v="1038"/>
    <x v="2"/>
    <x v="1"/>
    <n v="1034"/>
    <m/>
    <s v="Casa/Tanger"/>
    <n v="176.61199999999999"/>
    <x v="4"/>
    <s v="N2"/>
    <s v="Ralentissement du train"/>
    <s v="H.O non finalisé entre 330 et 229 qualité /niveau de signal : dl rx-qual=0 , dl rx level = -60 dbm. ,Requête de déconnexion a été envoyée par le RBC"/>
    <m/>
    <x v="0"/>
    <s v="Dans l'attente de la mise en place des tiroires monomode"/>
    <s v="H.O non finalisé entre 330 et 229"/>
    <s v="dl Rxqual=0"/>
    <s v="dl rx level= -60dbm"/>
    <s v="OK"/>
    <s v="OK"/>
    <s v="Mauvais"/>
    <s v="retransmission des trames HDLC*5"/>
    <m/>
    <m/>
    <m/>
    <m/>
    <m/>
    <m/>
    <m/>
    <m/>
    <m/>
  </r>
  <r>
    <n v="277"/>
    <b v="0"/>
    <x v="145"/>
    <d v="1899-12-30T12:06:26"/>
    <n v="1017"/>
    <x v="3"/>
    <x v="1"/>
    <n v="1007"/>
    <m/>
    <s v="Casa/Tanger"/>
    <n v="7.3209999999999997"/>
    <x v="2"/>
    <s v="N2"/>
    <s v="Arrêt du train"/>
    <s v="H.O Complete entre 303 et 302  qualité /niveau de signal : dl rx-qual=7 , dl rx level = -68dbm. ,Requête de déconnexion a été envoyée par le RBC"/>
    <m/>
    <x v="0"/>
    <s v="Dans l'attente de la mise en place des tiroires monomode"/>
    <s v="H.O : Complet  entre 303 et 302 "/>
    <s v="dl Rxqual=7"/>
    <s v="dl rx level= -68dbm"/>
    <s v="OK"/>
    <s v="OK"/>
    <s v="Mauvais"/>
    <s v="retransmission des trames HDLC*5"/>
    <m/>
    <m/>
    <m/>
    <m/>
    <m/>
    <m/>
    <m/>
    <m/>
    <m/>
  </r>
  <r>
    <n v="278"/>
    <b v="0"/>
    <x v="145"/>
    <d v="1899-12-30T14:29:28"/>
    <n v="1036"/>
    <x v="0"/>
    <x v="0"/>
    <n v="1008"/>
    <m/>
    <s v="Tanger/Casa"/>
    <n v="109.495"/>
    <x v="1"/>
    <s v="N2"/>
    <s v="Ralentissement du train"/>
    <s v="H.O non finalisé entre 219 et 320  qualité /niveau de signal : dl rx-qual=7 , dl rx level = -62dbm. ,Requête de déconnexion a été envoyée par le RBC"/>
    <m/>
    <x v="0"/>
    <s v="Dans l'attente de la mise en place des tiroires monomode"/>
    <s v="H.O non finalisé entre 219 et 320"/>
    <s v="dl Rxqual=7"/>
    <s v="dl rx level= -62dbm"/>
    <s v="OK"/>
    <s v="OK"/>
    <s v="Mauvais"/>
    <s v="retransmission des trames HDLC*5"/>
    <m/>
    <m/>
    <m/>
    <m/>
    <m/>
    <m/>
    <m/>
    <m/>
    <m/>
  </r>
  <r>
    <n v="279"/>
    <b v="0"/>
    <x v="145"/>
    <d v="1899-12-30T19:06:01"/>
    <n v="1045"/>
    <x v="8"/>
    <x v="1"/>
    <n v="1022"/>
    <m/>
    <s v="Casa/Tanger"/>
    <n v="7.3209999999999997"/>
    <x v="2"/>
    <s v="N2"/>
    <s v="Ralentissement du train"/>
    <s v="H.O Complete entre 303 et 302  qualité /niveau de signal : dl rx-qual=7 , dl rx level = -57dbm. ,Requête de déconnexion a été envoyée par le MSC"/>
    <m/>
    <x v="2"/>
    <s v="Dans l'attente de la mise en place des tiroires monomode / Attente Analyse spectrale "/>
    <s v="H.O : Complet  entre 303 et 302 "/>
    <s v="dl Rxqual=7"/>
    <s v="dl rx level= -57dbm"/>
    <s v="OK"/>
    <s v="OK"/>
    <s v="Mauvais"/>
    <s v="retransmission des trames HDLC*5"/>
    <m/>
    <m/>
    <m/>
    <m/>
    <m/>
    <m/>
    <m/>
    <m/>
    <m/>
  </r>
  <r>
    <n v="280"/>
    <b v="0"/>
    <x v="146"/>
    <d v="1899-12-30T22:40:04"/>
    <n v="1061"/>
    <x v="3"/>
    <x v="1"/>
    <n v="1007"/>
    <m/>
    <s v="Casa/Tanger"/>
    <n v="127.815"/>
    <x v="6"/>
    <s v="N2"/>
    <s v="Ralentissement du train"/>
    <s v="H.O Non finalise entre 223 et 324  qualité /niveau de signal : dl rx-qual=7 , dl rx level = -82 dbm. ,Requête de déconnexion a été envoyée par le RBC"/>
    <m/>
    <x v="0"/>
    <s v="Dans l'attente de la mise en place des tiroires monomode"/>
    <s v="H.O : Non finalise entre 223 et 324"/>
    <s v="dl Rxqual=7"/>
    <s v="dl rx level= -82dbm"/>
    <s v="OK"/>
    <s v="OK"/>
    <s v="Mauvais"/>
    <s v="retransmission des trames HDLC*5"/>
    <m/>
    <m/>
    <m/>
    <m/>
    <m/>
    <m/>
    <m/>
    <m/>
    <m/>
  </r>
  <r>
    <n v="281"/>
    <b v="0"/>
    <x v="146"/>
    <d v="1899-12-30T23:30:07"/>
    <n v="10091"/>
    <x v="11"/>
    <x v="1"/>
    <n v="1020"/>
    <m/>
    <s v="Casa/Tanger"/>
    <n v="177.85"/>
    <x v="4"/>
    <s v="N2"/>
    <s v="Ralentissement du train"/>
    <s v="H.O Non finalise entre 231 et 232  qualité /niveau de signal : dl rx-qual=5 , dl rx level = -75 dbm. ,Requête de déconnexion a été envoyée par le RBC"/>
    <m/>
    <x v="0"/>
    <s v="Dans l'attente de la mise en place des tiroires monomode /"/>
    <s v="H.O : Non finalise entre 231 et 232"/>
    <s v="dl Rxqual=5"/>
    <s v="dl rx level= -75dbm"/>
    <s v="OK"/>
    <s v="OK"/>
    <s v="Mauvais"/>
    <s v="retransmission des trames HDLC*5"/>
    <m/>
    <m/>
    <m/>
    <m/>
    <m/>
    <m/>
    <m/>
    <m/>
    <m/>
  </r>
  <r>
    <n v="282"/>
    <b v="0"/>
    <x v="147"/>
    <d v="1899-12-30T10:25:20"/>
    <n v="1009"/>
    <x v="11"/>
    <x v="1"/>
    <n v="1072"/>
    <m/>
    <s v="Casa/Tanger"/>
    <n v="7.3209999999999997"/>
    <x v="2"/>
    <s v="N2"/>
    <s v="Ralentissement du train"/>
    <s v="H.O non finalisé entre 303 et 202  qualité /niveau de signal : dl rx-qual=7 , dl rx level = -58 dbm. ,Requête de déconnexion a été envoyée par le MSC"/>
    <m/>
    <x v="0"/>
    <s v="Dans l'attente de la mise en place des tiroires monomode"/>
    <s v="H.O : Non finalise entre 303 et 202"/>
    <s v="dl Rxqual=7"/>
    <s v="dl rx level= -58dbm"/>
    <s v="OK"/>
    <s v="OK"/>
    <s v="Mauvais"/>
    <s v="retransmission des trames HDLC*5"/>
    <m/>
    <m/>
    <m/>
    <m/>
    <m/>
    <m/>
    <m/>
    <m/>
    <m/>
  </r>
  <r>
    <n v="283"/>
    <b v="0"/>
    <x v="147"/>
    <d v="1899-12-30T20:27:29"/>
    <n v="1021"/>
    <x v="2"/>
    <x v="1"/>
    <n v="1034"/>
    <m/>
    <s v="Casa/Tanger"/>
    <n v="202.125"/>
    <x v="5"/>
    <s v="N2"/>
    <s v="Ralentissement du train"/>
    <s v="H.O non finalisé entre 234 et 233  qualité /niveau de signal : dl rx-qual=7 , dl rx level = -63 dbm. ,Requête de déconnexion a été envoyée par le MSC"/>
    <m/>
    <x v="2"/>
    <s v="Dans l'attente de la mise en place des tiroires monomode / Attente Analyse spectrale"/>
    <s v="H.O : Non finalise entre 234 et 233"/>
    <s v="dl Rxqual=7"/>
    <s v="dl rx level= -63dbm"/>
    <s v="OK"/>
    <s v="OK"/>
    <s v="moyen"/>
    <s v="retransmission des trames HDLC*5"/>
    <m/>
    <m/>
    <m/>
    <m/>
    <m/>
    <m/>
    <m/>
    <m/>
    <m/>
  </r>
  <r>
    <n v="284"/>
    <b v="0"/>
    <x v="147"/>
    <d v="1899-12-30T21:28:06"/>
    <n v="2057"/>
    <x v="2"/>
    <x v="0"/>
    <n v="7217"/>
    <m/>
    <s v="Tanger/Casa"/>
    <n v="106.206"/>
    <x v="1"/>
    <s v="N2"/>
    <s v="Ralentissement du train"/>
    <s v="H.O non finalisé entre 219 et 320  qualité /niveau de signal : dl rx-qual=6 , dl rx level = -70 dbm. ,Requête de déconnexion a été envoyée par le MSC"/>
    <m/>
    <x v="2"/>
    <s v="Dans l'attente de la mise en place des tiroires monomode / Attente Analyse spectrale "/>
    <s v="H.O : Non finalise entre 219 et 320"/>
    <s v="dl Rxqual=6"/>
    <s v="dl rx level= -70dbm"/>
    <s v="NOK"/>
    <s v="OK"/>
    <s v="Mauvais"/>
    <s v="retransmission des trames HDLC*5"/>
    <m/>
    <m/>
    <m/>
    <m/>
    <m/>
    <m/>
    <m/>
    <m/>
    <m/>
  </r>
  <r>
    <n v="285"/>
    <b v="0"/>
    <x v="147"/>
    <d v="1899-12-30T12:23:51"/>
    <n v="2061"/>
    <x v="0"/>
    <x v="0"/>
    <n v="1036"/>
    <m/>
    <s v="Tanger/Casa"/>
    <n v="109.495"/>
    <x v="1"/>
    <s v="N2"/>
    <s v="Ralentissement du train"/>
    <s v="H.O non finalisé entre 220 et 219 qualité /niveau de signal : dl rx-qual=7 , dl rx level = -62 dbm. ,Requête de déconnexion a été envoyée par le RBC"/>
    <m/>
    <x v="2"/>
    <s v="Dans l'attente de la mise en place des tiroires monomode / chantier optimisation en cours "/>
    <s v="H.O : Non finalise entre 220 et 219"/>
    <s v="dl Rxqual=7"/>
    <s v="dl rx level= -62dbm"/>
    <s v="OK"/>
    <s v="OK"/>
    <s v="Mauvais"/>
    <s v="retransmission des trames HDLC*5"/>
    <m/>
    <m/>
    <m/>
    <m/>
    <m/>
    <m/>
    <m/>
    <m/>
    <m/>
  </r>
  <r>
    <n v="286"/>
    <b v="0"/>
    <x v="148"/>
    <d v="1899-12-30T13:09:56"/>
    <n v="1021"/>
    <x v="2"/>
    <x v="1"/>
    <n v="1034"/>
    <m/>
    <s v="Casa/Tanger"/>
    <n v="7.3209999999999997"/>
    <x v="2"/>
    <s v="N2"/>
    <s v="Ralentissement du train"/>
    <s v="H.O non finalisé entre 303 et 202 qualité /niveau de signal : dl rx-qual=7 , dl rx level = -54 dbm. ,Requête de déconnexion a été envoyée par le MSC"/>
    <m/>
    <x v="0"/>
    <s v="Dans l'attente de la mise en place des tiroires monomode"/>
    <s v="H.O : Non finalise entre 303 et 202"/>
    <s v="dl Rxqual=7"/>
    <s v="dl rx level= -54dbm"/>
    <s v="OK"/>
    <s v="OK"/>
    <s v="Mauvais"/>
    <s v="retransmission des trames HDLC*5"/>
    <m/>
    <m/>
    <m/>
    <m/>
    <m/>
    <m/>
    <m/>
    <m/>
    <m/>
  </r>
  <r>
    <n v="287"/>
    <b v="0"/>
    <x v="148"/>
    <d v="1899-12-30T17:03:52"/>
    <n v="1038"/>
    <x v="2"/>
    <x v="1"/>
    <n v="1033"/>
    <m/>
    <s v="Casa/Tanger"/>
    <n v="8.9700000000000006"/>
    <x v="2"/>
    <s v="N2"/>
    <s v="Ralentissement du train"/>
    <s v="H.O Complete entre 304 et 303 qualité /niveau de signal : dl rx-qual=0 , dl rx level = -60 dbm. ,Requête de déconnexion a été envoyée par le RBC"/>
    <m/>
    <x v="0"/>
    <s v="Dans l'attente de la mise en place des tiroires monomode"/>
    <s v="H.O : Complet  entre 304 et 303"/>
    <s v="dl Rxqual=0"/>
    <s v="dl rx level= -60 dbm"/>
    <s v="OK"/>
    <s v="OK"/>
    <s v="Mauvais"/>
    <s v="retransmission des trames HDLC*5"/>
    <m/>
    <m/>
    <m/>
    <m/>
    <m/>
    <m/>
    <m/>
    <m/>
    <m/>
  </r>
  <r>
    <n v="288"/>
    <b v="0"/>
    <x v="148"/>
    <d v="1899-12-30T23:04:25"/>
    <n v="1061"/>
    <x v="4"/>
    <x v="1"/>
    <n v="1033"/>
    <m/>
    <s v="Casa/Tanger"/>
    <n v="13.712999999999999"/>
    <x v="22"/>
    <s v="N2"/>
    <s v="Arrêt du train"/>
    <s v="H.O non finalisé entre 303 et 202 qualité /niveau de signal : dl rx-qual=7 , dl rx level = -62 dbm. ,Requête de déconnexion a été envoyée par le MSC"/>
    <m/>
    <x v="0"/>
    <s v="Dans l'attente de la mise en place des tiroires monomode"/>
    <s v="H.O : Non finalise entre 303 et 202"/>
    <s v="dl Rxqual=7"/>
    <s v="dl rx level= -62 dbm"/>
    <s v="OK"/>
    <s v="OK"/>
    <s v="Mauvais"/>
    <s v="retransmission des trames HDLC*5"/>
    <m/>
    <m/>
    <m/>
    <m/>
    <m/>
    <m/>
    <m/>
    <m/>
    <m/>
  </r>
  <r>
    <n v="289"/>
    <b v="0"/>
    <x v="149"/>
    <d v="1899-12-30T06:11:41"/>
    <n v="2001"/>
    <x v="4"/>
    <x v="0"/>
    <n v="1058"/>
    <m/>
    <s v="Tanger/Casa"/>
    <n v="25.91"/>
    <x v="7"/>
    <s v="N2"/>
    <s v="Ralentissement du train"/>
    <s v="H.O non finalisé entre 205 et 206 qualité /niveau de signal : dl rx-qual=0 , dl rx level = -96 dbm. ,Requête de déconnexion a été envoyée par le MSC"/>
    <m/>
    <x v="1"/>
    <s v="attente plan d'action optimisation "/>
    <s v="H.O : Non finalise entre 205 et 206"/>
    <s v="dl Rxqual=0"/>
    <s v="dl rx level= 96 dbm"/>
    <s v="NOK"/>
    <s v="OK"/>
    <s v="moyen"/>
    <s v="retransmission des trames HDLC*5"/>
    <m/>
    <m/>
    <m/>
    <m/>
    <m/>
    <m/>
    <m/>
    <m/>
    <m/>
  </r>
  <r>
    <n v="290"/>
    <b v="0"/>
    <x v="149"/>
    <d v="1899-12-30T20:46:46"/>
    <n v="1054"/>
    <x v="11"/>
    <x v="1"/>
    <n v="1072"/>
    <m/>
    <s v="Casa/Tanger"/>
    <n v="94.953999999999994"/>
    <x v="8"/>
    <s v="N2"/>
    <s v="Ralentissement du train"/>
    <s v="H.O non finalisé entre 318 et 217 qualité /niveau de signal : dl rx-qual=7 , dl rx level = -75 dbm. ,Requête de déconnexion a été envoyée par le MSC"/>
    <m/>
    <x v="2"/>
    <s v="Dans l'attente de la mise en place des tiroires monomode / Attente Analyse spectrale"/>
    <s v="H.O : Non finalise entre 318 et 217"/>
    <s v="dl Rxqual=7"/>
    <s v="dl rx level= 75 dbm"/>
    <s v="OK"/>
    <s v="OK"/>
    <s v="Mauvais"/>
    <s v="retransmission des trames HDLC*5"/>
    <m/>
    <m/>
    <m/>
    <m/>
    <m/>
    <m/>
    <m/>
    <m/>
    <m/>
  </r>
  <r>
    <n v="291"/>
    <b v="0"/>
    <x v="150"/>
    <d v="1899-12-30T17:05:06"/>
    <n v="2045"/>
    <x v="10"/>
    <x v="0"/>
    <n v="7206"/>
    <m/>
    <s v="Tanger/Casa"/>
    <n v="6.13"/>
    <x v="2"/>
    <s v="N2"/>
    <s v="Ralentissement du train"/>
    <s v="H.O non finalisé entre 301 et 202 qualité /niveau de signal : dl rx-qual=7 , dl rx level = -54 dbm. ,Requête de déconnexion a été envoyée par le RBC"/>
    <m/>
    <x v="0"/>
    <s v="Dans l'attente de la mise en place des tiroires monomode"/>
    <s v="H.O : Non finalise entre 301 et 202"/>
    <s v="dl Rxqual=7"/>
    <s v="dl rx level= -54 dbm"/>
    <s v="OK"/>
    <s v="OK"/>
    <s v="Mauvais"/>
    <s v="retransmission des trames HDLC*5"/>
    <m/>
    <m/>
    <m/>
    <m/>
    <m/>
    <m/>
    <m/>
    <m/>
    <m/>
  </r>
  <r>
    <n v="292"/>
    <b v="0"/>
    <x v="150"/>
    <d v="1899-12-30T18:41:36"/>
    <n v="2049"/>
    <x v="9"/>
    <x v="0"/>
    <n v="1052"/>
    <m/>
    <s v="Tanger/Casa"/>
    <n v="176.61199999999999"/>
    <x v="4"/>
    <s v="N2"/>
    <s v="Ralentissement du train"/>
    <s v="H.O Complet entre 229 et 230 qualité /niveau de signal : dl rx-qual=6 , dl rx level = -64 dbm. ,Requête de déconnexion a été envoyée par le RBC"/>
    <m/>
    <x v="5"/>
    <s v="Analyse approfondie en cours"/>
    <s v="H.O : Complet entre 229 et 230"/>
    <s v="dl Rxqual=6"/>
    <s v="dl rx level= -64 dbm"/>
    <s v="NOK"/>
    <s v="OK"/>
    <s v="Mauvais"/>
    <s v="retransmission des trames HDLC*5"/>
    <m/>
    <m/>
    <m/>
    <m/>
    <m/>
    <m/>
    <m/>
    <m/>
    <m/>
  </r>
  <r>
    <n v="293"/>
    <b v="0"/>
    <x v="150"/>
    <d v="1899-12-30T21:05:47"/>
    <n v="2061"/>
    <x v="3"/>
    <x v="0"/>
    <n v="1046"/>
    <m/>
    <s v="Tanger/Casa"/>
    <n v="6.13"/>
    <x v="2"/>
    <s v="N2"/>
    <s v="Arrêt du train"/>
    <s v="H.O non finalisé entre 202 et 303 qualité /niveau de signal : dl rx-qual=7 , dl rx level = -52 dbm. ,Requête de déconnexion a été envoyée par le MSC"/>
    <m/>
    <x v="0"/>
    <s v="Dans l'attente de la mise en place des tiroires monomode"/>
    <s v="H.O : Non finalise entre 202 et 303"/>
    <s v="dl Rxqual=7"/>
    <s v="dl rx level= -52 dbm"/>
    <s v="OK"/>
    <s v="OK"/>
    <s v="Mauvais"/>
    <s v="retransmission des trames HDLC*5"/>
    <m/>
    <m/>
    <m/>
    <m/>
    <m/>
    <m/>
    <m/>
    <m/>
    <m/>
  </r>
  <r>
    <n v="294"/>
    <b v="0"/>
    <x v="151"/>
    <d v="1899-12-30T08:04:59"/>
    <n v="2005"/>
    <x v="9"/>
    <x v="0"/>
    <n v="1053"/>
    <m/>
    <s v="Tanger/Casa"/>
    <n v="169.06"/>
    <x v="27"/>
    <s v="N2"/>
    <s v="Ralentissement du train"/>
    <s v="H.O non finalisé entre 228 et 229 qualité /niveau de signal : dl rx-qual=4 , dl rx level = -79 dbm. ,Requête de déconnexion a été envoyée par le RBC"/>
    <m/>
    <x v="5"/>
    <s v="Attente Croisement des donnees"/>
    <s v="H.O : non finalisé entre 228 et 229"/>
    <s v="dl Rxqual=4"/>
    <s v="dl rx level= -79 dbm"/>
    <s v="OK"/>
    <s v="OK"/>
    <s v="Mauvais"/>
    <s v="retransmission des trames HDLC*5"/>
    <m/>
    <m/>
    <m/>
    <m/>
    <m/>
    <m/>
    <m/>
    <m/>
    <m/>
  </r>
  <r>
    <n v="295"/>
    <b v="0"/>
    <x v="151"/>
    <d v="1899-12-30T09:06:01"/>
    <n v="1001"/>
    <x v="4"/>
    <x v="1"/>
    <n v="1033"/>
    <m/>
    <s v="Casa/Tanger"/>
    <n v="7.3209999999999997"/>
    <x v="2"/>
    <s v="N2"/>
    <s v="Ralentissement du train"/>
    <s v="H.O non finalisé entre 303 et 202 qualité /niveau de signal : dl rx-qual=7 , dl rx level = -54 dbm. ,Requête de déconnexion a été envoyée par le MSC"/>
    <m/>
    <x v="0"/>
    <s v="Dans l'attente de la mise en place des tiroires monomode"/>
    <s v="H.O : non finalisé entre 303 et 2023"/>
    <s v="dl Rxqual=7"/>
    <s v="dl rx level= -54 dbm"/>
    <s v="OK"/>
    <s v="OK"/>
    <s v="Mauvais"/>
    <s v="retransmission des trames HDLC*5"/>
    <m/>
    <m/>
    <m/>
    <m/>
    <m/>
    <m/>
    <m/>
    <m/>
    <m/>
  </r>
  <r>
    <n v="296"/>
    <b v="0"/>
    <x v="151"/>
    <d v="1899-12-30T14:03:52"/>
    <n v="1005"/>
    <x v="3"/>
    <x v="1"/>
    <n v="1008"/>
    <m/>
    <s v="Casa/Tanger"/>
    <n v="75.84"/>
    <x v="13"/>
    <s v="N2"/>
    <s v="Ralentissement du train"/>
    <s v="H.O non finalisé entre 315 et 314 qualité /niveau de signal : dl rx-qual=3 , dl rx level = -68 dbm. ,Requête de déconnexion a été envoyée par le RBC"/>
    <m/>
    <x v="5"/>
    <s v="Attente Croisement des donnees"/>
    <s v="H.O : COMPLET entre 315 et 314"/>
    <s v="dl Rxqual=3"/>
    <s v="dl rx level= -68 dbm"/>
    <s v="OK"/>
    <s v="OK"/>
    <s v="Mauvais"/>
    <s v="retransmission des trames HDLC*5"/>
    <m/>
    <m/>
    <m/>
    <m/>
    <m/>
    <m/>
    <m/>
    <m/>
    <m/>
  </r>
  <r>
    <n v="297"/>
    <b v="0"/>
    <x v="151"/>
    <d v="1899-12-30T08:50:07"/>
    <n v="1006"/>
    <x v="3"/>
    <x v="1"/>
    <n v="1007"/>
    <m/>
    <s v="Casa/Tanger"/>
    <n v="7.3209999999999997"/>
    <x v="2"/>
    <s v="N2"/>
    <s v="Arrêt du train"/>
    <s v="H.O non finalisé entre 303 et 302 qualité /niveau de signal : dl rx-qual=7 , dl rx level = -58 dbm. ,Requête de déconnexion a été envoyée par le RBC"/>
    <m/>
    <x v="0"/>
    <s v="Dans l'attente de la mise en place des tiroires monomode"/>
    <s v="H.O : COMPLET entre 303 et 302"/>
    <s v="dl Rxqual=7"/>
    <s v="dl rx level= -58 dbm"/>
    <s v="OK"/>
    <s v="OK"/>
    <s v="Mauvais"/>
    <s v="retransmission des trames HDLC*5"/>
    <m/>
    <m/>
    <m/>
    <m/>
    <m/>
    <m/>
    <m/>
    <m/>
    <m/>
  </r>
  <r>
    <n v="298"/>
    <b v="0"/>
    <x v="151"/>
    <d v="1899-12-30T07:42:12"/>
    <n v="1025"/>
    <x v="4"/>
    <x v="1"/>
    <n v="1033"/>
    <m/>
    <s v="Casa/Tanger"/>
    <n v="7.3209999999999997"/>
    <x v="2"/>
    <s v="N2"/>
    <s v="Arrêt du train"/>
    <s v="H.O non finalisé entre 303 et 302 qualité /niveau de signal : dl rx-qual=0 , dl rx level = -60 dbm. ,Requête de déconnexion a été envoyée par le MSC"/>
    <m/>
    <x v="0"/>
    <s v="Dans l'attente de la mise en place des tiroires monomode"/>
    <s v="H.O : non finalisé entre 303 et 302"/>
    <s v="dl Rxqual=0"/>
    <s v="dl rx level= -60 dbm"/>
    <s v="OK"/>
    <s v="OK"/>
    <s v="Mauvais"/>
    <s v="retransmission des trames HDLC*5"/>
    <m/>
    <m/>
    <m/>
    <m/>
    <m/>
    <m/>
    <m/>
    <m/>
    <m/>
  </r>
  <r>
    <n v="299"/>
    <b v="0"/>
    <x v="151"/>
    <d v="1899-12-30T20:24:12"/>
    <n v="1053"/>
    <x v="4"/>
    <x v="1"/>
    <n v="1033"/>
    <m/>
    <s v="Casa/Tanger"/>
    <n v="200.542"/>
    <x v="5"/>
    <s v="N2"/>
    <s v="Arrêt du train"/>
    <s v="H.O non finalisé entre 234 et 233 qualité /niveau de signal : dl rx-qual=7 , dl rx level = -68 dbm. ,Requête de déconnexion a été envoyée par le MSC"/>
    <m/>
    <x v="2"/>
    <s v="Dans l'attente de la mise en place des tiroires monomode"/>
    <s v="H.O : non finalisé entre 234 et 233"/>
    <s v="dl Rxqual=7"/>
    <s v="dl rx level= -68 dbm"/>
    <s v="OK"/>
    <s v="OK"/>
    <s v="Mauvais"/>
    <s v="retransmission des trames HDLC*5"/>
    <m/>
    <m/>
    <m/>
    <m/>
    <m/>
    <m/>
    <m/>
    <m/>
    <m/>
  </r>
  <r>
    <n v="300"/>
    <b v="0"/>
    <x v="152"/>
    <d v="1899-12-30T07:07:33"/>
    <n v="2005"/>
    <x v="8"/>
    <x v="0"/>
    <n v="1043"/>
    <m/>
    <s v="Tanger/Casa"/>
    <n v="9.0299999999999994"/>
    <x v="2"/>
    <s v="N2"/>
    <s v="Arrêt du train"/>
    <s v="H.O non finalisé entre 202 et 203 qualité /niveau de signal : dl rx-qual=0 , dl rx level = -48 dbm. ,Requête de déconnexion a été envoyée par le RBC"/>
    <m/>
    <x v="0"/>
    <s v="Dans l'attente de la mise en place des tiroires monomode"/>
    <s v="H.O : non finalisé entre 202 et 203"/>
    <s v="dl Rxqual=0"/>
    <s v="dl rx level= -48 dbm"/>
    <s v="OK"/>
    <s v="OK"/>
    <s v="Mauvais"/>
    <s v="retransmission des trames HDLC*5"/>
    <m/>
    <m/>
    <m/>
    <m/>
    <m/>
    <m/>
    <m/>
    <m/>
    <m/>
  </r>
  <r>
    <n v="301"/>
    <b v="0"/>
    <x v="152"/>
    <d v="1899-12-30T08:04:56"/>
    <n v="2009"/>
    <x v="2"/>
    <x v="0"/>
    <n v="7218"/>
    <m/>
    <s v="Tanger/Casa"/>
    <n v="6.13"/>
    <x v="2"/>
    <s v="N2"/>
    <s v="Arrêt du train"/>
    <s v="H.O non finalisé entre 201 et 202 qualité /niveau de signal : dl rx-qual=2 , dl rx level = -61 dbm. ,Requête de déconnexion a été envoyée par le RBC"/>
    <m/>
    <x v="0"/>
    <s v="Dans l'attente de la mise en place des tiroires monomode"/>
    <s v="H.O : non finalisé entre 201 et 202"/>
    <s v="dl Rxqual=2"/>
    <s v="dl rx level= -61 dbm"/>
    <s v="OK"/>
    <s v="OK"/>
    <s v="Mauvais"/>
    <s v="retransmission des trames HDLC*5"/>
    <m/>
    <m/>
    <m/>
    <m/>
    <m/>
    <m/>
    <m/>
    <m/>
    <m/>
  </r>
  <r>
    <n v="302"/>
    <b v="0"/>
    <x v="152"/>
    <d v="1899-12-30T09:35:17"/>
    <n v="2013"/>
    <x v="0"/>
    <x v="0"/>
    <n v="1037"/>
    <m/>
    <s v="Tanger/Casa"/>
    <n v="145.6"/>
    <x v="3"/>
    <s v="N2"/>
    <s v="Ralentissement du train"/>
    <s v="H.O non finalisé entre 224 et 225 qualité /niveau de signal : dl rx-qual=7 , dl rx level = -110 dbm. ,Requête de déconnexion a été envoyée par le RBC"/>
    <m/>
    <x v="5"/>
    <s v="Attente Croisement des donnees"/>
    <s v="H.O : non finalisé entre 224 et 225"/>
    <s v="dl Rxqual=7"/>
    <s v="dl rx level= -110 dbm"/>
    <s v="NOK"/>
    <s v="OK"/>
    <s v="Mauvais"/>
    <s v="retransmission des trames HDLC*5"/>
    <m/>
    <m/>
    <m/>
    <m/>
    <m/>
    <m/>
    <m/>
    <m/>
    <m/>
  </r>
  <r>
    <n v="303"/>
    <b v="0"/>
    <x v="152"/>
    <d v="1899-12-30T12:05:13"/>
    <n v="2025"/>
    <x v="11"/>
    <x v="0"/>
    <n v="1048"/>
    <m/>
    <s v="Tanger/Casa"/>
    <n v="6.13"/>
    <x v="2"/>
    <s v="N2"/>
    <s v="Arrêt du train"/>
    <s v="H.O non finalisé entre 302 et 201 qualité /niveau de signal : dl rx-qual=7 , dl rx level = -55 dbm. ,Requête de déconnexion a été envoyée par le RBC"/>
    <m/>
    <x v="0"/>
    <s v="Dans l'attente de la mise en place des tiroires monomode"/>
    <s v="H.O : non finalisé entre 302 et 201"/>
    <s v="dl Rxqual=7"/>
    <s v="dl rx level= -60 dbm"/>
    <s v="OK"/>
    <s v="OK"/>
    <s v="Mauvais"/>
    <s v="retransmission des trames HDLC*5"/>
    <m/>
    <m/>
    <m/>
    <m/>
    <m/>
    <m/>
    <m/>
    <m/>
    <m/>
  </r>
  <r>
    <n v="304"/>
    <b v="0"/>
    <x v="152"/>
    <d v="1899-12-30T15:05:27"/>
    <n v="2037"/>
    <x v="8"/>
    <x v="0"/>
    <n v="1043"/>
    <m/>
    <s v="Tanger/Casa"/>
    <n v="6.13"/>
    <x v="2"/>
    <s v="N2"/>
    <s v="Ralentissement du train"/>
    <s v="H.O non finalisé entre 302 et 203 qualité /niveau de signal : dl rx-qual=4 , dl rx level = -53 dbm. ,Requête de déconnexion a été envoyée par le RBC"/>
    <m/>
    <x v="0"/>
    <s v="Dans l'attente de la mise en place des tiroires monomode"/>
    <s v="H.O : non finalisé entre 302 et 203"/>
    <s v="dl Rxqual=4"/>
    <s v="dl rx level= -53 dbm"/>
    <s v="OK"/>
    <s v="OK"/>
    <s v="Mauvais"/>
    <s v="retransmission des trames HDLC*5"/>
    <m/>
    <m/>
    <m/>
    <m/>
    <m/>
    <m/>
    <m/>
    <m/>
    <m/>
  </r>
  <r>
    <n v="305"/>
    <b v="0"/>
    <x v="152"/>
    <d v="1899-12-30T19:38:51"/>
    <n v="1050"/>
    <x v="8"/>
    <x v="1"/>
    <n v="1022"/>
    <m/>
    <s v="Casa/Tanger"/>
    <n v="134.30000000000001"/>
    <x v="10"/>
    <s v="N2"/>
    <s v="Ralentissement du train"/>
    <s v="H.O complete entre 224 et 323 qualité /niveau de signal : dl rx-qual=0 , dl rx level = -50 dbm. ,Requête de déconnexion a été envoyée par le RBC"/>
    <m/>
    <x v="5"/>
    <s v="Attente Croisement des donnees"/>
    <s v="H.O : complet entre 224 et 323"/>
    <s v="dl Rxqual=0"/>
    <s v="dl rx level= -50 dbm"/>
    <s v="OK"/>
    <s v="OK"/>
    <s v="Mauvais"/>
    <s v="retransmission des trames HDLC*5"/>
    <m/>
    <m/>
    <m/>
    <m/>
    <m/>
    <m/>
    <m/>
    <m/>
    <m/>
  </r>
  <r>
    <n v="306"/>
    <b v="0"/>
    <x v="152"/>
    <d v="1899-12-30T20:10:48"/>
    <n v="2057"/>
    <x v="2"/>
    <x v="0"/>
    <n v="7217"/>
    <m/>
    <s v="Tanger/Casa"/>
    <n v="11.23"/>
    <x v="22"/>
    <s v="N2"/>
    <s v="Ralentissement du train"/>
    <s v="H.O  complete entre 303 et 204 qualité /niveau de signal : dl rx-qual=0 , dl rx level = -60 dbm. ,Requête de déconnexion a été envoyée par le RBC"/>
    <m/>
    <x v="5"/>
    <s v="Attente Croisement des donnees"/>
    <s v="H.O : complet entre 303 et 204"/>
    <s v="dl Rxqual=0"/>
    <s v="dl rx level= -60 dbm"/>
    <s v="OK"/>
    <s v="OK"/>
    <s v="Mauvais"/>
    <s v="retransmission des trames HDLC*5"/>
    <m/>
    <m/>
    <m/>
    <m/>
    <m/>
    <m/>
    <m/>
    <m/>
    <m/>
  </r>
  <r>
    <n v="307"/>
    <b v="0"/>
    <x v="152"/>
    <d v="1899-12-30T21:34:53"/>
    <n v="2061"/>
    <x v="8"/>
    <x v="0"/>
    <n v="1042"/>
    <m/>
    <s v="Tanger/Casa"/>
    <n v="134.30000000000001"/>
    <x v="10"/>
    <s v="N2"/>
    <s v="Ralentissement du train"/>
    <s v="H.O  complete entre 323 et 324 qualité /niveau de signal : dl rx-qual=0 , dl rx level = -62 dbm. ,Requête de déconnexion a été envoyée par le RBC"/>
    <m/>
    <x v="5"/>
    <s v="Attente Croisement des donnees"/>
    <s v="H.O : complet entre 323 et 324"/>
    <s v="dl Rxqual=0"/>
    <s v="dl rx level= -62 dbm"/>
    <s v="OK"/>
    <s v="OK"/>
    <s v="Mauvais"/>
    <s v="retransmission des trames HDLC*5"/>
    <m/>
    <m/>
    <m/>
    <m/>
    <m/>
    <m/>
    <m/>
    <m/>
    <m/>
  </r>
  <r>
    <n v="308"/>
    <b v="0"/>
    <x v="153"/>
    <d v="1899-12-30T08:13:09"/>
    <n v="2009"/>
    <x v="3"/>
    <x v="0"/>
    <n v="1047"/>
    <m/>
    <s v="Tanger/Casa"/>
    <n v="33.960999999999999"/>
    <x v="25"/>
    <s v="N2"/>
    <s v="Ralentissement du train"/>
    <s v="H.O  complete entre 206 et 207 qualité /niveau de signal : dl rx-qual=2 , dl rx level = -60 dbm. ,Requête de déconnexion a été envoyée par le RBC"/>
    <m/>
    <x v="5"/>
    <s v="Attente Croisement des donnees"/>
    <s v="H.O : complet entre 206 et 207"/>
    <s v="dl Rxqual=2"/>
    <s v="dl rx level= -62 dbm"/>
    <s v="OK"/>
    <s v="OK"/>
    <s v="Mauvais"/>
    <s v="Pas Retransmission des trames HDLC*5"/>
    <m/>
    <m/>
    <m/>
    <m/>
    <m/>
    <m/>
    <m/>
    <m/>
    <m/>
  </r>
  <r>
    <n v="309"/>
    <b v="0"/>
    <x v="153"/>
    <d v="1899-12-30T09:27:41"/>
    <n v="2013"/>
    <x v="11"/>
    <x v="0"/>
    <n v="1048"/>
    <m/>
    <s v="Tanger/Casa"/>
    <n v="113.321"/>
    <x v="17"/>
    <s v="N2"/>
    <s v="Ralentissement du train"/>
    <s v="H.O  non finalisé  entre 219 et 220 qualité /niveau de signal : dl rx-qual=6 , dl rx level = -58 dbm. ,Requête de déconnexion a été envoyée par le RBC"/>
    <m/>
    <x v="1"/>
    <s v="En attente de lanalyse spectrale"/>
    <s v="H.O : complet entre 219 et 220"/>
    <s v="dl Rxqual=6"/>
    <s v="dl rx level= -58 dbm"/>
    <s v="OK"/>
    <s v="OK"/>
    <s v="Mauvais"/>
    <s v="retransmission des trames HDLC*5"/>
    <m/>
    <m/>
    <m/>
    <m/>
    <m/>
    <m/>
    <m/>
    <m/>
    <m/>
  </r>
  <r>
    <n v="310"/>
    <b v="0"/>
    <x v="153"/>
    <d v="1899-12-30T13:04:17"/>
    <n v="1021"/>
    <x v="3"/>
    <x v="1"/>
    <n v="1007"/>
    <m/>
    <s v="Casa/Tanger"/>
    <n v="7.3209999999999997"/>
    <x v="2"/>
    <s v="N2"/>
    <s v="Arrêt du train"/>
    <s v="H.O  non finalisé  entre  303et 202 qualité /niveau de signal : dl rx-qual=7 , dl rx level = -57 dbm. ,Requête de déconnexion a été envoyée par le MSC"/>
    <m/>
    <x v="0"/>
    <s v="Dans l'attente de la mise en place des tiroires monomode"/>
    <s v="H.O : non finalisé entre 303 et 202"/>
    <s v="dl Rxqual=7"/>
    <s v="dl rx level= -57 dbm"/>
    <s v="OK"/>
    <s v="OK"/>
    <s v="Mauvais"/>
    <s v="retransmission des trames HDLC*4"/>
    <m/>
    <m/>
    <m/>
    <m/>
    <m/>
    <m/>
    <m/>
    <m/>
    <m/>
  </r>
  <r>
    <n v="311"/>
    <b v="0"/>
    <x v="153"/>
    <d v="1899-12-30T17:06:24"/>
    <n v="1038"/>
    <x v="8"/>
    <x v="1"/>
    <n v="1022"/>
    <m/>
    <s v="Casa/Tanger"/>
    <n v="7.3209999999999997"/>
    <x v="2"/>
    <s v="N2"/>
    <s v="Ralentissement du train"/>
    <s v="H.O  non finalisé  entre  303et 202 qualité /niveau de signal : dl rx-qual=7 , dl rx level = -70 dbm. ,Requête de déconnexion a été envoyée par le RBC"/>
    <m/>
    <x v="0"/>
    <s v="Dans l'attente de la mise en place des tiroires monomode"/>
    <s v="H.O : non finalisé entre 303 et 202"/>
    <s v="dl Rxqual=7"/>
    <s v="dl rx level= -70 dbm"/>
    <s v="OK"/>
    <s v="OK"/>
    <s v="Mauvais"/>
    <s v="retransmission des trames HDLC*5"/>
    <m/>
    <m/>
    <m/>
    <m/>
    <m/>
    <m/>
    <m/>
    <m/>
    <m/>
  </r>
  <r>
    <n v="312"/>
    <b v="0"/>
    <x v="153"/>
    <d v="1899-12-30T17:44:01"/>
    <n v="2045"/>
    <x v="2"/>
    <x v="0"/>
    <n v="7217"/>
    <m/>
    <s v="Tanger/Casa"/>
    <n v="182.92500000000001"/>
    <x v="31"/>
    <s v="N2"/>
    <s v="Ralentissement du train"/>
    <s v="H.O  non finalisé  entre  230 et 231 qualité /niveau de signal : dl rx-qual=0 , dl rx level = -48 dbm. ,Requête de déconnexion a été envoyée par le RBC"/>
    <m/>
    <x v="0"/>
    <s v="Dans l'attente de la mise en place des tiroires monomode"/>
    <s v="H.O : Complet entre 230 et 231"/>
    <s v="dl Rxqual=0"/>
    <s v="dl rx level= -48 dbm"/>
    <s v="OK"/>
    <s v="OK"/>
    <s v="Mauvais"/>
    <s v="retransmission des trames HDLC*5"/>
    <m/>
    <m/>
    <m/>
    <m/>
    <m/>
    <m/>
    <m/>
    <m/>
    <m/>
  </r>
  <r>
    <n v="313"/>
    <b v="0"/>
    <x v="153"/>
    <d v="1899-12-30T18:04:29"/>
    <n v="1042"/>
    <x v="4"/>
    <x v="1"/>
    <n v="1032"/>
    <m/>
    <s v="Casa/Tanger"/>
    <n v="7.3209999999999997"/>
    <x v="2"/>
    <s v="N2"/>
    <s v="Ralentissement du train"/>
    <s v="H.O  non finalisé  entre  303et 202 qualité /niveau de signal : dl rx-qual=3 , dl rx level = -63 dbm. ,Requête de déconnexion a été envoyée par le MSC"/>
    <m/>
    <x v="0"/>
    <s v="Dans l'attente de la mise en place des tiroires monomode"/>
    <s v="H.O : non finalisé entre 303 et 202"/>
    <s v="dl Rxqual=3"/>
    <s v="dl rx level= -63 dbm"/>
    <s v="OK"/>
    <s v="OK"/>
    <s v="Mauvais"/>
    <s v="retransmission des trames HDLC*4"/>
    <m/>
    <m/>
    <m/>
    <m/>
    <m/>
    <m/>
    <m/>
    <m/>
    <m/>
  </r>
  <r>
    <n v="314"/>
    <b v="0"/>
    <x v="153"/>
    <d v="1899-12-30T21:39:38"/>
    <n v="2061"/>
    <x v="1"/>
    <x v="0"/>
    <n v="1029"/>
    <m/>
    <s v="Tanger/Casa"/>
    <n v="162.89500000000001"/>
    <x v="9"/>
    <s v="N2"/>
    <s v="Ralentissement du train"/>
    <s v="H.O  complete entre 227 et 228 qualité /niveau de signal : dl rx-qual=0 , dl rx level = -48 dbm. ,Requête de déconnexion a été envoyée par le RBC"/>
    <m/>
    <x v="5"/>
    <s v="Attente Croisement des donnees"/>
    <s v="H.O : complet entre 227 et 228"/>
    <s v="dl Rxqual=0"/>
    <s v="dl rx level= -48 dbm"/>
    <s v="OK"/>
    <s v="OK"/>
    <s v="Mauvais"/>
    <s v="retransmission des trames HDLC*5"/>
    <m/>
    <m/>
    <m/>
    <m/>
    <m/>
    <m/>
    <m/>
    <m/>
    <m/>
  </r>
  <r>
    <n v="315"/>
    <b v="0"/>
    <x v="154"/>
    <d v="1899-12-30T14:05:18"/>
    <n v="2025"/>
    <x v="8"/>
    <x v="1"/>
    <n v="1022"/>
    <m/>
    <s v="Casa/Tanger"/>
    <n v="7.3209999999999997"/>
    <x v="2"/>
    <s v="N2"/>
    <s v="Ralentissement du train"/>
    <s v="H.O  non finalisé   entre 303et 202 qualité /niveau de signal : dl rx-qual=7 , dl rx level = -59 dbm. ,Requête de déconnexion a été envoyée par le Bord"/>
    <m/>
    <x v="0"/>
    <s v="Dans l'attente de la mise en place des tiroires monomode"/>
    <s v="H.O : non finalisé entre 303 et 202"/>
    <s v="dl Rxqual=7"/>
    <s v="dl rx level= -59 dbm"/>
    <s v="OK"/>
    <s v="OK"/>
    <s v="Mauvais"/>
    <s v="Pas Retransmission des trames HDLC*5"/>
    <m/>
    <m/>
    <m/>
    <m/>
    <m/>
    <m/>
    <m/>
    <m/>
    <m/>
  </r>
  <r>
    <n v="316"/>
    <b v="0"/>
    <x v="154"/>
    <d v="1899-12-30T17:05:23"/>
    <n v="2045"/>
    <x v="1"/>
    <x v="0"/>
    <n v="1028"/>
    <m/>
    <s v="Tanger/Casa"/>
    <n v="6.13"/>
    <x v="2"/>
    <s v="N2"/>
    <s v="Ralentissement du train"/>
    <s v="H.O  non finalisé  entre 202et 303 qualité /niveau de signal : dl rx-qual=3 , dl rx level = -55 dbm. ,Requête de déconnexion a été envoyée par le Bord"/>
    <m/>
    <x v="0"/>
    <s v="Dans l'attente de la mise en place des tiroires monomode"/>
    <s v="H.O : non finalisé entre 202 et 303"/>
    <s v="dl Rxqual=3"/>
    <s v="dl rx level= -55 dbm"/>
    <s v="OK"/>
    <s v="OK"/>
    <s v="Mauvais"/>
    <s v="Pas Retransmission des trames HDLC*5"/>
    <m/>
    <m/>
    <m/>
    <m/>
    <m/>
    <m/>
    <m/>
    <m/>
    <m/>
  </r>
  <r>
    <n v="317"/>
    <b v="0"/>
    <x v="154"/>
    <d v="1899-12-30T18:59:01"/>
    <n v="1045"/>
    <x v="4"/>
    <x v="1"/>
    <n v="1033"/>
    <m/>
    <s v="Casa/Tanger"/>
    <n v="36.558"/>
    <x v="14"/>
    <s v="N2"/>
    <s v="Arrêt du train"/>
    <s v="H.O  complete entre 308et 307 qualité /niveau de signal : dl rx-qual=3 , dl rx level = -64 dbm. ,Requête de déconnexion a été envoyée par le RBC"/>
    <m/>
    <x v="0"/>
    <s v="Dans l'attente de la mise en place des tiroires monomode"/>
    <s v="H.O : Complet entre 308 et 307"/>
    <s v="dl Rxqual=3"/>
    <s v="dl rx level= -64 dbm"/>
    <s v="OK"/>
    <s v="OK"/>
    <s v="Mauvais"/>
    <s v="Pas Retransmission des trames HDLC*5"/>
    <m/>
    <m/>
    <m/>
    <m/>
    <m/>
    <m/>
    <m/>
    <m/>
    <m/>
  </r>
  <r>
    <n v="318"/>
    <b v="0"/>
    <x v="154"/>
    <d v="1899-12-30T20:04:54"/>
    <n v="2057"/>
    <x v="4"/>
    <x v="0"/>
    <n v="7208"/>
    <m/>
    <s v="Tanger/Casa"/>
    <n v="6.13"/>
    <x v="2"/>
    <s v="N2"/>
    <s v="Arrêt du train"/>
    <s v="H.O  non finalisé  entre 202et 303 qualité /niveau de signal : dl rx-qual=7 , dl rx level = -52 dbm. ,Requête de déconnexion a été envoyée par RBC"/>
    <m/>
    <x v="0"/>
    <s v="Dans l'attente de la mise en place des tiroires monomode"/>
    <s v="H.O : non finalisé entre 202 et 303"/>
    <s v="dl Rxqual=7"/>
    <s v="dl rx level= -52 dbm"/>
    <s v="OK"/>
    <s v="OK"/>
    <s v="Mauvais"/>
    <s v="retransmission des trames HDLC*5"/>
    <m/>
    <m/>
    <m/>
    <m/>
    <m/>
    <m/>
    <m/>
    <m/>
    <m/>
  </r>
  <r>
    <n v="319"/>
    <b v="0"/>
    <x v="154"/>
    <d v="1899-12-30T20:12:36"/>
    <n v="2057"/>
    <x v="4"/>
    <x v="0"/>
    <n v="1058"/>
    <m/>
    <s v="Tanger/Casa"/>
    <n v="21.55"/>
    <x v="20"/>
    <s v="N2"/>
    <s v="Arrêt du train"/>
    <s v="H.O  complete entre 204et 205 qualité /niveau de signal : dl rx-qual=0 , dl rx level = -66 dbm. ,Requête de déconnexion a été envoyée par le RBC"/>
    <m/>
    <x v="5"/>
    <s v="Attente Verification des traces M2000"/>
    <s v="H.O : Complet entre 204 et 205"/>
    <s v="dl Rxqual=0"/>
    <s v="dl rx level= -66 dbm"/>
    <s v="OK"/>
    <s v="OK"/>
    <s v="Mauvais"/>
    <s v="retransmission des trames HDLC*5"/>
    <m/>
    <m/>
    <m/>
    <m/>
    <m/>
    <m/>
    <m/>
    <m/>
    <m/>
  </r>
  <r>
    <n v="320"/>
    <b v="0"/>
    <x v="155"/>
    <d v="1899-12-30T09:08:33"/>
    <n v="2013"/>
    <x v="7"/>
    <x v="0"/>
    <n v="1055"/>
    <m/>
    <s v="Tanger/Casa"/>
    <n v="13.712999999999999"/>
    <x v="22"/>
    <s v="N2"/>
    <s v="Arrêt du train"/>
    <s v="H.O complete entre 303 et 204 qualité /niveau de signal : dl rx-qual=1 , dl rx level = -59 dbm. ,Requête de déconnexion a été envoyée par RBC"/>
    <m/>
    <x v="5"/>
    <s v="Attente Croisement des donnees"/>
    <s v="H.O : Complet entre 303 et 204"/>
    <s v="dl Rxqual=1"/>
    <s v="dl rx level= -59 dbm"/>
    <s v="OK"/>
    <s v="OK"/>
    <s v="moyen"/>
    <s v="retransmission des trames HDLC*5"/>
    <m/>
    <s v="SGHAYER Achraf"/>
    <m/>
    <m/>
    <m/>
    <m/>
    <m/>
    <m/>
    <m/>
  </r>
  <r>
    <n v="321"/>
    <b v="0"/>
    <x v="155"/>
    <d v="1899-12-30T09:25:10"/>
    <n v="2013"/>
    <x v="7"/>
    <x v="0"/>
    <n v="1055"/>
    <m/>
    <s v="Tanger/Casa"/>
    <n v="44.47"/>
    <x v="16"/>
    <s v="N2"/>
    <s v="Arrêt du train"/>
    <s v="H.O complete entre 207 et 208 qualité /niveau de signal : dl rx-qual=3 , dl rx level = -63 dbm. ,Requête de déconnexion a été envoyée par RBC"/>
    <m/>
    <x v="5"/>
    <s v="Necessite analysé ERTMS"/>
    <s v="H.O : Complet entre 207 et 208"/>
    <s v="dl Rxqual=3"/>
    <s v="dl rx level= -63 dbm"/>
    <s v="OK"/>
    <s v="OK"/>
    <s v="moyen"/>
    <s v="retransmission des trames HDLC*5"/>
    <m/>
    <s v="SGHAYER Achraf"/>
    <m/>
    <m/>
    <m/>
    <m/>
    <m/>
    <m/>
    <m/>
  </r>
  <r>
    <n v="322"/>
    <b v="0"/>
    <x v="155"/>
    <d v="1899-12-30T14:05:37"/>
    <n v="2033"/>
    <x v="2"/>
    <x v="0"/>
    <n v="7218"/>
    <m/>
    <s v="Tanger/Casa"/>
    <n v="7.3209999999999997"/>
    <x v="2"/>
    <s v="N2"/>
    <s v="Ralentissement du train"/>
    <s v="H.O  non finalisé  entre 202et 301 qualité /niveau de signal : dl rx-qual=6 , dl rx level = -50 dbm. ,Requête de déconnexion a été envoyée par MSC"/>
    <m/>
    <x v="0"/>
    <s v="Dans l'attente de la mise en place des tiroires monomode"/>
    <s v="H.O : non finalisé entre 202 et 301"/>
    <s v="dl Rxqual=6"/>
    <s v="dl rx level= -50 dbm"/>
    <s v="OK"/>
    <s v="OK"/>
    <s v="Mauvais"/>
    <s v="retransmission des trames HDLC*5"/>
    <m/>
    <s v="SGHAYER Achraf"/>
    <m/>
    <m/>
    <m/>
    <m/>
    <m/>
    <m/>
    <m/>
  </r>
  <r>
    <n v="323"/>
    <b v="0"/>
    <x v="155"/>
    <d v="1899-12-30T15:05:05"/>
    <n v="2037"/>
    <x v="3"/>
    <x v="0"/>
    <n v="1046"/>
    <m/>
    <s v="Tanger/Casa"/>
    <n v="7.3209999999999997"/>
    <x v="2"/>
    <s v="N2"/>
    <s v="Ralentissement du train"/>
    <s v="H.O  non finalisé  entre 302et 301 qualité /niveau de signal : dl rx-qual=4 , dl rx level = -49 dbm. ,Requête de déconnexion a été envoyée par RBC"/>
    <m/>
    <x v="0"/>
    <s v="Dans l'attente de la mise en place des tiroires monomode"/>
    <s v="H.O : non finalisé entre 302 et 301"/>
    <s v="dl Rxqual=4"/>
    <s v="dl rx level= -49 dbm"/>
    <s v="NOK"/>
    <s v="OK"/>
    <s v="Mauvais"/>
    <s v="retransmission des trames HDLC*5"/>
    <m/>
    <s v="SGHAYER Achraf"/>
    <m/>
    <m/>
    <m/>
    <m/>
    <m/>
    <m/>
    <m/>
  </r>
  <r>
    <n v="324"/>
    <b v="0"/>
    <x v="155"/>
    <d v="1899-12-30T21:04:43"/>
    <n v="2061"/>
    <x v="3"/>
    <x v="0"/>
    <n v="1046"/>
    <m/>
    <s v="Tanger/Casa"/>
    <n v="6.13"/>
    <x v="2"/>
    <s v="N2"/>
    <s v="Arrêt du train"/>
    <s v="H.O  non finalisé  entre 202et 301 qualité /niveau de signal : dl rx-qual=3 , dl rx level = -50 dbm. ,Requête de déconnexion a été envoyée par MSC"/>
    <m/>
    <x v="0"/>
    <s v="Dans l'attente de la mise en place des tiroires monomode"/>
    <s v="H.O : non finalisé entre 202 et 301"/>
    <s v="dl Rxqual=3"/>
    <s v="dl rx level= -50 dbm"/>
    <s v="OK"/>
    <s v="OK"/>
    <s v="Mauvais"/>
    <s v="retransmission des trames HDLC*4"/>
    <m/>
    <s v="ELHAJOUIA Achraf"/>
    <m/>
    <m/>
    <m/>
    <m/>
    <m/>
    <m/>
    <m/>
  </r>
  <r>
    <n v="325"/>
    <b v="0"/>
    <x v="156"/>
    <d v="1899-12-30T17:05:59"/>
    <n v="2045"/>
    <x v="10"/>
    <x v="0"/>
    <n v="7206"/>
    <m/>
    <s v="Tanger/Casa"/>
    <n v="6.13"/>
    <x v="2"/>
    <s v="N2"/>
    <s v="Ralentissement du train"/>
    <s v="H.O  non finalisé  entre 201et 302 qualité /niveau de signal : dl rx-qual=7, dl rx level = -58 dbm. ,Requête de déconnexion a été envoyée par RBC"/>
    <m/>
    <x v="0"/>
    <s v="Dans l'attente de la mise en place des tiroires monomode"/>
    <s v="H.O : non finalisé entre 201 et 302"/>
    <s v="dl Rxqual=7"/>
    <s v="dl rx level= -58 dbm"/>
    <s v="NOK"/>
    <s v="OK"/>
    <s v="Mauvais"/>
    <s v="retransmission des trames HDLC*5"/>
    <m/>
    <s v="ISMALI ALAOUI Hamza"/>
    <m/>
    <m/>
    <m/>
    <m/>
    <m/>
    <m/>
    <m/>
  </r>
  <r>
    <n v="326"/>
    <b v="0"/>
    <x v="157"/>
    <d v="1899-12-30T12:05:39"/>
    <n v="2025"/>
    <x v="11"/>
    <x v="0"/>
    <n v="1048"/>
    <n v="35214500046078"/>
    <s v="Tanger/Casa"/>
    <n v="6.13"/>
    <x v="2"/>
    <s v="N2"/>
    <s v="Arrêt du train"/>
    <s v="Plusieurs ping pong HO entre le 202 et la 301, le dernier HO entre 202 et 301 a fini par un echec /niveau de signal : dl rx-qual=7, dl rx level = -55 dbm, Requête de déconnexion a été envoyée par le bord due au mauvaises conditions radio"/>
    <m/>
    <x v="0"/>
    <s v="Dans l'attente de la mise en place des tiroires monomode"/>
    <s v="H.O : non finalisé entre 202 et 301"/>
    <s v="dl Rxqual=7"/>
    <s v="dl rx level= -55 dbm"/>
    <s v="NOK"/>
    <s v="OK"/>
    <s v="Mauvais"/>
    <s v="retransmission des trames HDLC*4"/>
    <m/>
    <s v="HIANI Adnane"/>
    <m/>
    <m/>
    <m/>
    <m/>
    <m/>
    <m/>
    <m/>
  </r>
  <r>
    <n v="327"/>
    <b v="0"/>
    <x v="157"/>
    <d v="1899-12-30T16:35:32"/>
    <n v="1037"/>
    <x v="11"/>
    <x v="1"/>
    <n v="1072"/>
    <n v="35214500045424"/>
    <s v="Casa/Tanger"/>
    <n v="145.54"/>
    <x v="3"/>
    <s v="N2"/>
    <s v="Ralentissement du train"/>
    <s v="H.O  Complet  entre 326et 325 qualité /niveau de signal : dl rx-qual=0, dl rx level = -50 dbm. ,Requête de déconnexion a été envoyée par RBC"/>
    <m/>
    <x v="5"/>
    <s v="Attente Croisement des donnees"/>
    <s v="H.O : Complet entre 326 et 325"/>
    <s v="dl Rxqual=0"/>
    <s v="dl rx level= -50 dbm"/>
    <s v="OK"/>
    <s v="OK"/>
    <s v="Mauvais"/>
    <s v="retransmission des trames HDLC*5"/>
    <m/>
    <s v="ISMALI ALAOUI Hamza"/>
    <m/>
    <m/>
    <m/>
    <m/>
    <m/>
    <m/>
    <m/>
  </r>
  <r>
    <n v="328"/>
    <b v="0"/>
    <x v="157"/>
    <d v="1899-12-30T20:05:23"/>
    <n v="2057"/>
    <x v="3"/>
    <x v="0"/>
    <n v="1046"/>
    <n v="35214500038730"/>
    <s v="Tanger/Casa"/>
    <n v="6.13"/>
    <x v="2"/>
    <s v="N2"/>
    <s v="Arrêt du train"/>
    <s v="H.O  non finalisé  entre 202et 303 qualité /niveau de signal : dl rx-qual=7 , dl rx level = -52 dbm. ,Requête de déconnexion a été envoyée par MSC"/>
    <m/>
    <x v="0"/>
    <s v="Dans l'attente de la mise en place des tiroires monomode"/>
    <s v="H.O : non finalisé entre 202 et 303"/>
    <s v="dl Rxqual=7"/>
    <s v="dl rx level= -52 dbm"/>
    <s v="NOK"/>
    <s v="OK"/>
    <s v="Mauvais"/>
    <s v="retransmission des trames HDLC*5"/>
    <m/>
    <s v="ISMALI ALAOUI Hamza"/>
    <m/>
    <m/>
    <m/>
    <m/>
    <m/>
    <m/>
    <m/>
  </r>
  <r>
    <n v="329"/>
    <b v="0"/>
    <x v="158"/>
    <d v="1899-12-30T14:15:47"/>
    <n v="2033"/>
    <x v="7"/>
    <x v="0"/>
    <n v="1055"/>
    <n v="35214500036582"/>
    <s v="Tanger/Casa"/>
    <n v="44.47"/>
    <x v="16"/>
    <s v="N2"/>
    <s v="Ralentissement du train"/>
    <s v="H.O  complet  entre 207et 208 qualité /niveau de signal : dl rx-qual=1 , dl rx level = -53 dbm. ,Requête de déconnexion a été envoyée par RBC"/>
    <m/>
    <x v="6"/>
    <s v="En attente de pousser les analyses coté Bord /RBC"/>
    <s v="H.O : complet entre 207 et 208"/>
    <s v="dl Rxqual=1"/>
    <s v="dl rx level= -53 dbm"/>
    <s v="OK"/>
    <s v="OK"/>
    <s v="Mauvais"/>
    <s v="retransmission des trames HDLC*5"/>
    <m/>
    <s v="ISMALI ALAOUI Hamza"/>
    <m/>
    <m/>
    <m/>
    <m/>
    <m/>
    <m/>
    <m/>
  </r>
  <r>
    <n v="330"/>
    <b v="0"/>
    <x v="158"/>
    <d v="1899-12-30T17:05:44"/>
    <n v="2045"/>
    <x v="1"/>
    <x v="0"/>
    <n v="1029"/>
    <n v="35214500045449"/>
    <s v="Tanger/Casa"/>
    <n v="6.13"/>
    <x v="2"/>
    <s v="N2"/>
    <s v="Ralentissement du train"/>
    <s v="H.O  complet  entre 202et 303 qualité /niveau de signal : dl rx-qual=5 , dl rx level = -75 dbm. ,Requête de déconnexion a été envoyée par RBC"/>
    <m/>
    <x v="0"/>
    <s v="En attente de mise en place des tiroires filtrés"/>
    <s v="H.O : complet entre 202 et 303"/>
    <s v="dl Rxqual=5"/>
    <s v="dl rx level= -75 dbm"/>
    <s v="OK"/>
    <s v="OK"/>
    <s v="Mauvais"/>
    <s v="retransmission des trames HDLC*5"/>
    <m/>
    <s v="ISMALI ALAOUI Hamza"/>
    <m/>
    <m/>
    <m/>
    <m/>
    <m/>
    <m/>
    <m/>
  </r>
  <r>
    <n v="331"/>
    <b v="0"/>
    <x v="158"/>
    <d v="1899-12-30T20:09:00"/>
    <n v="1050"/>
    <x v="2"/>
    <x v="1"/>
    <n v="1035"/>
    <n v="35214500046011"/>
    <s v="Casa/Tanger"/>
    <n v="7.3209999999999997"/>
    <x v="2"/>
    <s v="N2"/>
    <s v="Ralentissement du train"/>
    <s v="H.O  non finalisé entre 301et 202 qualité /niveau de signal : dl rx-qual=6 , dl rx level = -81dbm. ,Requête de déconnexion a été envoyée par RBC"/>
    <m/>
    <x v="0"/>
    <s v="En attente de mise en place des tiroires filtrés"/>
    <s v="H.O : non finalisé entre 301 et 202"/>
    <s v="dl Rxqual=6"/>
    <s v="dl rx level= -81 dbm"/>
    <s v="OK"/>
    <s v="OK"/>
    <s v="Mauvais"/>
    <s v="retransmission des trames HDLC*5"/>
    <m/>
    <s v="Fahd OUSSALH"/>
    <m/>
    <m/>
    <m/>
    <m/>
    <m/>
    <m/>
    <m/>
  </r>
  <r>
    <n v="332"/>
    <b v="0"/>
    <x v="158"/>
    <d v="1899-12-30T21:05:04"/>
    <n v="2061"/>
    <x v="2"/>
    <x v="0"/>
    <n v="7217"/>
    <n v="35214500044557"/>
    <s v="Tanger/Casa"/>
    <n v="6.13"/>
    <x v="2"/>
    <s v="N2"/>
    <s v="Arrêt du train"/>
    <s v="H.O  non finalisé   entre 301et 202 qualité /niveau de signal : dl rx-qual=7 , dl rx level = -53dbm. ,Requête de déconnexion a été envoyée par RBC"/>
    <m/>
    <x v="0"/>
    <s v="En attente de mise en place des tiroires filtrés"/>
    <s v="H.O : non finalisé entre 301 et 202"/>
    <s v="dl Rxqual=7"/>
    <s v="dl rx level= -53 dbm"/>
    <s v="NOK"/>
    <s v="OK"/>
    <s v="Mauvais"/>
    <s v="retransmission des trames HDLC*5"/>
    <m/>
    <s v="Fahd OUSSALH"/>
    <m/>
    <m/>
    <m/>
    <m/>
    <m/>
    <m/>
    <m/>
  </r>
  <r>
    <n v="333"/>
    <b v="0"/>
    <x v="159"/>
    <d v="1899-12-30T17:32:53"/>
    <n v="2045"/>
    <x v="0"/>
    <x v="0"/>
    <n v="1037"/>
    <n v="35214500045488"/>
    <s v="Tanger/Casa"/>
    <n v="123.901"/>
    <x v="30"/>
    <s v="N2"/>
    <s v="Ralentissement du train"/>
    <s v="H.O  complet  entre 321et 322 qualité /niveau de signal : dl rx-qual=0 , dl rx level = -48dbm. ,Requête de déconnexion a été envoyée par RBC"/>
    <m/>
    <x v="6"/>
    <s v="En attente de pousser les analyses coté Bord /RBC"/>
    <s v="H.O : complet entre 321 et 322"/>
    <s v="dl Rxqual=0"/>
    <s v="dl rx level= -48 dbm"/>
    <s v="OK"/>
    <s v="OK"/>
    <s v="Mauvais"/>
    <s v="retransmission des trames HDLC*5"/>
    <m/>
    <s v="ELHAJOUIA Achraf"/>
    <m/>
    <m/>
    <m/>
    <m/>
    <m/>
    <m/>
    <m/>
  </r>
  <r>
    <n v="334"/>
    <b v="0"/>
    <x v="160"/>
    <d v="1899-12-30T07:35:39"/>
    <n v="1065"/>
    <x v="1"/>
    <x v="1"/>
    <n v="3062"/>
    <n v="35214500017596"/>
    <s v="Casa/Tanger"/>
    <n v="78.155000000000001"/>
    <x v="11"/>
    <s v="N2"/>
    <s v="Ralentissement du train"/>
    <s v="H.O  complet  entre 315 et 314 qualité /niveau de signal : dl rx-qual=0 , dl rx level = -52dbm. ,Requête de déconnexion a été envoyée par RBC"/>
    <m/>
    <x v="6"/>
    <s v="En attente de pousser les analyses coté Bord /RBC"/>
    <s v="H.O : complet entre 315 et 314"/>
    <s v="dl Rxqual=0"/>
    <s v="dl rx level= -52 dbm"/>
    <s v="OK"/>
    <s v="OK"/>
    <s v="Mauvais"/>
    <s v="retransmission des trames HDLC*5"/>
    <m/>
    <s v="Saad Elhabib"/>
    <m/>
    <m/>
    <m/>
    <m/>
    <m/>
    <m/>
    <m/>
  </r>
  <r>
    <n v="335"/>
    <b v="0"/>
    <x v="160"/>
    <d v="1899-12-30T15:26:56"/>
    <n v="2037"/>
    <x v="8"/>
    <x v="0"/>
    <n v="1043"/>
    <n v="35214500045200"/>
    <s v="Tanger/Casa"/>
    <n v="101.587"/>
    <x v="24"/>
    <s v="N2"/>
    <s v="Ralentissement du train"/>
    <s v="H.O  non finalisé   entre 218et 219 qualité /niveau de signal : dl rx-qual=0 , dl rx level = -64dbm. ,Requête de déconnexion a été envoyée par RBC"/>
    <m/>
    <x v="2"/>
    <s v="En attente de mise en place des tiroires filtrés/Attente vérification par l'équipe SOR"/>
    <s v="H.O : non finalisé entre 218 et 219"/>
    <s v="dl Rxqual=0"/>
    <s v="dl rx level= -64 dbm"/>
    <s v="NOK"/>
    <s v="OK"/>
    <s v="Mauvais"/>
    <s v="retransmission des trames HDLC*5"/>
    <m/>
    <s v="ELHAJOUIA Achraf"/>
    <m/>
    <m/>
    <m/>
    <m/>
    <m/>
    <m/>
    <m/>
  </r>
  <r>
    <n v="336"/>
    <b v="0"/>
    <x v="160"/>
    <d v="1899-12-30T22:06:04"/>
    <n v="10081"/>
    <x v="2"/>
    <x v="0"/>
    <n v="7217"/>
    <n v="35214500044557"/>
    <s v="Tanger/Casa"/>
    <n v="6.13"/>
    <x v="2"/>
    <s v="N2"/>
    <s v="Arrêt du train"/>
    <s v="H.O  recule non finalisé  entre 202 et 201 qualité /niveau de signal : dl rx-qual=5 , dl rx level = -52dbm. ,Requête de déconnexion a été envoyée par RBC"/>
    <m/>
    <x v="0"/>
    <s v="En attente de mise en place des tiroires filtrés"/>
    <s v="H.O : non finalisé entre 202 et 201"/>
    <s v="dl Rxqual=5"/>
    <s v="dl rx level= -52 dbm"/>
    <s v="NOK"/>
    <s v="OK"/>
    <s v="Mauvais"/>
    <s v="retransmission des trames HDLC*5"/>
    <m/>
    <s v="Fahd OUSSALH"/>
    <m/>
    <m/>
    <m/>
    <m/>
    <m/>
    <m/>
    <m/>
  </r>
  <r>
    <n v="337"/>
    <b v="0"/>
    <x v="161"/>
    <d v="1899-12-30T08:28:09"/>
    <n v="2009"/>
    <x v="0"/>
    <x v="0"/>
    <n v="1036"/>
    <n v="35214500044557"/>
    <s v="Tanger/Casa"/>
    <n v="109.5"/>
    <x v="1"/>
    <s v="N2"/>
    <s v="Arrêt du train"/>
    <s v="H.O  non finalisé   entre 220 et 322  qualité /niveau de signal : dl rx-qual=7 , dl rx level = -68dbm. ,Requête de déconnexion a été envoyée par RBC"/>
    <m/>
    <x v="2"/>
    <s v="En attente de mise en place des tiroires filtrés/Attente vérification par l'équipe SOR"/>
    <s v="H.O : non finalisé entre 220 et 322"/>
    <s v="dl Rxqual=7"/>
    <s v="dl rx level= -68 dbm"/>
    <s v="OK"/>
    <s v="OK"/>
    <s v="Mauvais"/>
    <s v="retransmission des trames HDLC*5"/>
    <m/>
    <s v="Saad Elhabib"/>
    <m/>
    <m/>
    <m/>
    <m/>
    <m/>
    <m/>
    <m/>
  </r>
  <r>
    <n v="338"/>
    <b v="0"/>
    <x v="161"/>
    <d v="1899-12-30T15:32:14"/>
    <n v="2037"/>
    <x v="3"/>
    <x v="0"/>
    <n v="1047"/>
    <n v="35214500038727"/>
    <s v="Tanger/Casa"/>
    <n v="126.51"/>
    <x v="6"/>
    <s v="N2"/>
    <s v="Ralentissement du train"/>
    <s v="H.O  non finalisé   entre 222 et 323  qualité /niveau de signal : dl rx-qual=0 , dl rx level = -77dbm. ,Requête de déconnexion a été envoyée par Bord"/>
    <m/>
    <x v="2"/>
    <s v="En attente de mise en place des tiroires filtrés/Attente vérification par l'équipe SOR"/>
    <s v="H.O : non finalisé entre 222 et 323"/>
    <s v="dl Rxqual=0"/>
    <s v="dl rx level= -77 dbm"/>
    <s v="OK"/>
    <s v="OK"/>
    <s v="Mauvais"/>
    <s v="retransmission des trames HDLC*5"/>
    <m/>
    <s v="ELHAJOUIA Achraf"/>
    <m/>
    <m/>
    <m/>
    <m/>
    <m/>
    <m/>
    <m/>
  </r>
  <r>
    <n v="339"/>
    <b v="0"/>
    <x v="161"/>
    <d v="1899-12-30T20:29:35"/>
    <n v="2057"/>
    <x v="0"/>
    <x v="0"/>
    <n v="1037"/>
    <n v="35214500045488"/>
    <s v="Tanger/Casa"/>
    <n v="117.258"/>
    <x v="17"/>
    <s v="N2"/>
    <s v="Ralentissement du train"/>
    <s v="H.O  non finalisé   entre 220 et 321  qualité /niveau de signal : dl rx-qual=0 , dl rx level = -63dbm. ,Requête de déconnexion a été envoyée par Bord"/>
    <m/>
    <x v="2"/>
    <s v="En attente de mise en place des tiroires filtrés/Attente vérification par l'équipe SOR"/>
    <s v="H.O : non finalisé entre 220 et 321"/>
    <s v="dl Rxqual=0"/>
    <s v="dl rx level= -63 dbm"/>
    <s v="OK"/>
    <s v="OK"/>
    <s v="Mauvais"/>
    <s v="retransmission des trames HDLC*4"/>
    <m/>
    <s v="ELHAJOUIA Achraf"/>
    <m/>
    <m/>
    <m/>
    <m/>
    <m/>
    <m/>
    <m/>
  </r>
  <r>
    <n v="340"/>
    <b v="0"/>
    <x v="161"/>
    <d v="1899-12-30T21:05:17"/>
    <n v="2061"/>
    <x v="3"/>
    <x v="0"/>
    <n v="1046"/>
    <n v="35214500038730"/>
    <s v="Tanger/Casa"/>
    <n v="6.13"/>
    <x v="2"/>
    <s v="N2"/>
    <s v="Ralentissement du train"/>
    <s v="H.O  non finalisé   entre 302 et 203  qualité /niveau de signal : dl rx-qual=7 , dl rx level = -55dbm. ,Requête de déconnexion a été envoyée par RBC"/>
    <m/>
    <x v="0"/>
    <s v="En attente de mise en place des tiroires filtrés"/>
    <s v="H.O : non finalisé entre 302 et 303"/>
    <s v="dl Rxqual=7"/>
    <s v="dl rx level= -55 dbm"/>
    <s v="OK"/>
    <s v="OK"/>
    <s v="Mauvais"/>
    <s v="retransmission des trames HDLC*5"/>
    <m/>
    <s v="HARIRI Bahaeddine"/>
    <m/>
    <m/>
    <m/>
    <m/>
    <m/>
    <m/>
    <m/>
  </r>
  <r>
    <n v="341"/>
    <b v="0"/>
    <x v="162"/>
    <d v="1899-12-30T11:50:46"/>
    <n v="1017"/>
    <x v="11"/>
    <x v="1"/>
    <n v="1072"/>
    <n v="35214500045424"/>
    <s v="Casa/Tanger"/>
    <n v="94.953999999999994"/>
    <x v="8"/>
    <s v="N2"/>
    <s v="Ralentissement du train"/>
    <s v="H.O  non finalisé   entre 318 et 317 qualité /niveau de signal : dl rx-qual=5 , dl rx level = -83dbm. ,Requête de déconnexion a été envoyée par RBC"/>
    <m/>
    <x v="1"/>
    <s v="Zone sous surveillance "/>
    <s v="H.O : non finalisé entre 318 et 317"/>
    <s v="dl Rxqual=5"/>
    <s v="dl rx level= -83 dbm"/>
    <s v="OK"/>
    <s v="OK"/>
    <s v="Mauvais"/>
    <s v="retransmission des trames HDLC*5"/>
    <m/>
    <s v="ELHAJOUIA Achraf"/>
    <m/>
    <m/>
    <m/>
    <m/>
    <m/>
    <m/>
    <m/>
  </r>
  <r>
    <n v="342"/>
    <b v="0"/>
    <x v="162"/>
    <d v="1899-12-30T16:05:16"/>
    <n v="2041"/>
    <x v="11"/>
    <x v="0"/>
    <n v="1049"/>
    <n v="35214500046076"/>
    <s v="Tanger/Casa"/>
    <n v="6.13"/>
    <x v="2"/>
    <s v="N2"/>
    <s v="Ralentissement du train"/>
    <s v="H.O  complet  entre 202 et 203  qualité /niveau de signal : dl rx-qual=5 , dl rx level = -68dbm. ,Requête de déconnexion a été envoyée par RBC"/>
    <m/>
    <x v="0"/>
    <s v="En attente de mise en place des tiroires filtrés"/>
    <s v="H.O : complet entre 202 et 203"/>
    <s v="dl Rxqual=5"/>
    <s v="dl rx level= -68 dbm"/>
    <s v="OK"/>
    <s v="OK"/>
    <s v="Mauvais"/>
    <s v="retransmission des trames HDLC*5"/>
    <m/>
    <s v="ELHAJOUIA Achraf"/>
    <m/>
    <m/>
    <m/>
    <m/>
    <m/>
    <m/>
    <m/>
  </r>
  <r>
    <n v="343"/>
    <b v="0"/>
    <x v="162"/>
    <d v="1899-12-30T17:04:55"/>
    <n v="2045"/>
    <x v="10"/>
    <x v="0"/>
    <n v="7206"/>
    <n v="35214500026718"/>
    <s v="Tanger/Casa"/>
    <n v="6.13"/>
    <x v="2"/>
    <s v="N2"/>
    <s v="Arrêt du train"/>
    <s v="H.O  non finalisé   entre 202 et 301 qualité /niveau de signal : dl rx-qual=7 , dl rx level = -54dbm. ,Requête de déconnexion a été envoyée par le Bord"/>
    <m/>
    <x v="0"/>
    <s v="En attente de mise en place des tiroires filtrés"/>
    <s v="H.O : non finalisé entre 202 et 301"/>
    <s v="dl Rxqual=7"/>
    <s v="dl rx level= -54 dbm"/>
    <s v="OK"/>
    <s v="OK"/>
    <s v="Mauvais"/>
    <s v="retransmission des trames HDLC*4"/>
    <m/>
    <s v="ELHAJOUIA Achraf"/>
    <m/>
    <m/>
    <m/>
    <m/>
    <m/>
    <m/>
    <m/>
  </r>
  <r>
    <n v="344"/>
    <b v="0"/>
    <x v="163"/>
    <d v="1899-12-30T14:05:29"/>
    <n v="2033"/>
    <x v="11"/>
    <x v="0"/>
    <n v="1048"/>
    <n v="35214500046078"/>
    <s v="Tanger/Casa"/>
    <n v="6.13"/>
    <x v="2"/>
    <s v="N2"/>
    <s v="Ralentissement du train"/>
    <s v="H.O  non finalisé   entre  302 et 203 qualité /niveau de signal : dl rx-qual=7 , dl rx level = -54dbm. ,Requête de déconnexion a été envoyée par le Bord"/>
    <m/>
    <x v="0"/>
    <s v="En attente de mise en place des tiroires filtrés"/>
    <s v="H.O : non finalisé entre 302 et 203"/>
    <s v="dl Rxqual=7"/>
    <s v="dl rx level= -54 dbm"/>
    <s v="OK"/>
    <s v="NOK"/>
    <s v="Mauvais"/>
    <s v="retransmission des trames HDLC*5"/>
    <m/>
    <s v="Noura MOUSSAOUI"/>
    <m/>
    <m/>
    <m/>
    <m/>
    <m/>
    <m/>
    <m/>
  </r>
  <r>
    <n v="345"/>
    <b v="0"/>
    <x v="163"/>
    <d v="1899-12-30T16:14:36"/>
    <n v="1033"/>
    <x v="5"/>
    <x v="1"/>
    <n v="1027"/>
    <n v="35214500045083"/>
    <s v="Casa/Tanger"/>
    <n v="7.3209999999999997"/>
    <x v="2"/>
    <s v="N2"/>
    <s v="Ralentissement du train"/>
    <s v="H.O  complet  entre 202 et 303  qualité /niveau de signal : dl rx-qual=0 , dl rx level = -79dbm. ,Requête de déconnexion a été envoyée par RBC"/>
    <m/>
    <x v="0"/>
    <s v="En attente de mise en place des tiroires filtrés"/>
    <s v="H.O : complet entre 202 et 303"/>
    <s v="dl Rxqual=0"/>
    <s v="dl rx level= -79 dbm"/>
    <s v="OK"/>
    <s v="OK"/>
    <s v="Mauvais"/>
    <s v="retransmission des trames HDLC*5"/>
    <m/>
    <s v="ELHAJOUIA Achraf"/>
    <m/>
    <m/>
    <m/>
    <m/>
    <m/>
    <m/>
    <m/>
  </r>
  <r>
    <n v="346"/>
    <b v="0"/>
    <x v="163"/>
    <d v="1899-12-30T20:23:22"/>
    <n v="2057"/>
    <x v="11"/>
    <x v="0"/>
    <n v="1049"/>
    <n v="35214500046076"/>
    <s v="Tanger/Casa"/>
    <n v="86.238"/>
    <x v="12"/>
    <s v="N2"/>
    <s v="Arrêt du train"/>
    <s v="H.O  complet  entre 215 et 316  qualité /niveau de signal : dl rx-qual=0 , dl rx level = -61dbm. ,Requête de déconnexion a été envoyée par RBC"/>
    <m/>
    <x v="6"/>
    <s v="En attente de pousser les analyses coté Bord /RBC"/>
    <s v="H.O : complet entre 215 et 316"/>
    <s v="dl Rxqual=0"/>
    <s v="dl rx level= -61 dbm"/>
    <s v="OK"/>
    <s v="OK"/>
    <s v="Mauvais"/>
    <s v="retransmission des trames HDLC*5"/>
    <m/>
    <s v="ELHAJOUIA Achraf"/>
    <m/>
    <m/>
    <m/>
    <m/>
    <m/>
    <m/>
    <m/>
  </r>
  <r>
    <n v="347"/>
    <b v="0"/>
    <x v="164"/>
    <d v="1899-12-30T08:07:11"/>
    <n v="1001"/>
    <x v="5"/>
    <x v="1"/>
    <n v="1026"/>
    <n v="35214500045329"/>
    <s v="Casa/Tanger"/>
    <n v="10.125"/>
    <x v="22"/>
    <s v="N2"/>
    <s v="Arrêt du train"/>
    <s v="H.O  complet  entre 304 et 303  qualité /niveau de signal : dl rx-qual=0 , dl rx level = -48dbm. ,Requête de déconnexion a été envoyée par RBC"/>
    <m/>
    <x v="1"/>
    <s v="Zone sous surveillance par équipe NOC GSMR"/>
    <s v="H.O : complet entre 304 et 303"/>
    <s v="dl Rxqual=0"/>
    <s v="dl rx level= -48 dbm"/>
    <s v="NOK"/>
    <s v="OK"/>
    <s v="Mauvais"/>
    <s v="pas de retransmission des trames HDLC"/>
    <m/>
    <s v="Nassim NAJIM"/>
    <m/>
    <m/>
    <m/>
    <m/>
    <m/>
    <m/>
    <m/>
  </r>
  <r>
    <n v="348"/>
    <b v="0"/>
    <x v="164"/>
    <d v="1899-12-30T20:04:47"/>
    <n v="2057"/>
    <x v="3"/>
    <x v="0"/>
    <n v="1046"/>
    <n v="35214500038730"/>
    <s v="Tanger/Casa"/>
    <n v="6.13"/>
    <x v="2"/>
    <s v="N2"/>
    <s v="Arrêt du train"/>
    <s v="H.O  non finalisé   entre 202 et 301 qualité /niveau de signal : dl rx-qual=0 , dl rx level = -51dbm. ,Requête de déconnexion a été envoyée par le Bord"/>
    <m/>
    <x v="0"/>
    <s v="En attente de mise en place des tiroires filtrés"/>
    <s v="H.O : non finalisé entre 202 et 301"/>
    <s v="dl Rxqual=0"/>
    <s v="dl rx level= -51 dbm"/>
    <s v="NOK"/>
    <s v="OK"/>
    <s v="Mauvais"/>
    <s v="pas de retransmission des trames HDLC"/>
    <m/>
    <s v="Fahd OUSSALH"/>
    <m/>
    <m/>
    <m/>
    <m/>
    <m/>
    <m/>
    <m/>
  </r>
  <r>
    <n v="349"/>
    <b v="0"/>
    <x v="164"/>
    <d v="1899-12-30T21:42:48"/>
    <n v="2061"/>
    <x v="0"/>
    <x v="0"/>
    <n v="1036"/>
    <n v="35214500045461"/>
    <s v="Tanger/Casa"/>
    <n v="177.85"/>
    <x v="4"/>
    <s v="N2"/>
    <s v="Arrêt du train"/>
    <s v="H.O  complet   entre 229 et 230 qualité /niveau de signal : dl rx-qual=0 , dl rx level = -61dbm. ,Requête de déconnexion a été envoyée par le RBC"/>
    <m/>
    <x v="6"/>
    <s v="En attente de pousser les analyses coté Bord /RBC"/>
    <s v="H.O : complet entre 229 et 230"/>
    <s v="dl Rxqual=0"/>
    <s v="dl rx level= -61 dbm"/>
    <s v="OK"/>
    <s v="OK"/>
    <s v="Mauvais"/>
    <s v="retransmission des trames HDLC*5"/>
    <m/>
    <s v="HARIRI Bahaeddine"/>
    <m/>
    <m/>
    <m/>
    <m/>
    <m/>
    <m/>
    <m/>
  </r>
  <r>
    <n v="350"/>
    <b v="0"/>
    <x v="165"/>
    <d v="1899-12-30T12:05:33"/>
    <n v="2025"/>
    <x v="4"/>
    <x v="0"/>
    <n v="7208"/>
    <n v="35214500004427"/>
    <s v="Tanger/Casa"/>
    <n v="6.13"/>
    <x v="2"/>
    <s v="N2"/>
    <s v="Ralentissement du train"/>
    <s v="H.O  complet   entre 202 et 303 qualité /niveau de signal : dl rx-qual=6 , dl rx level = -51dbm. ,Requête de déconnexion a été envoyée par le RBC"/>
    <m/>
    <x v="0"/>
    <s v="En attente de mise en place des tiroires filtrés"/>
    <s v="H.O : complet entre 202 et 303"/>
    <s v="dl Rxqual=6"/>
    <s v="dl rx level= -51 dbm"/>
    <s v="NOK"/>
    <s v="OK"/>
    <s v="Mauvais"/>
    <s v="retransmission des trames HDLC*5"/>
    <m/>
    <s v="Nassim NAJIM"/>
    <m/>
    <m/>
    <m/>
    <m/>
    <m/>
    <m/>
    <m/>
  </r>
  <r>
    <n v="351"/>
    <b v="0"/>
    <x v="165"/>
    <d v="1899-12-30T15:19:49"/>
    <n v="2037"/>
    <x v="8"/>
    <x v="0"/>
    <n v="1042"/>
    <n v="35214500045498"/>
    <s v="Tanger/Casa"/>
    <n v="60.945"/>
    <x v="21"/>
    <s v="N2"/>
    <s v="Ralentissement du train"/>
    <s v="H.O  complet   entre 210 et 211 qualité /niveau de signal : dl rx-qual=0, dl rx level = -48dbm. ,Requête de déconnexion a été envoyée par le RBC"/>
    <m/>
    <x v="6"/>
    <s v="En attente de pousser les analyses coté Bord/RBC"/>
    <s v="H.O : complet entre 210 et 211"/>
    <s v="dl Rxqual=0"/>
    <s v="dl rx level= -48 dbm"/>
    <s v="OK"/>
    <s v="OK"/>
    <s v="Mauvais"/>
    <s v="retransmission des trames HDLC*5"/>
    <m/>
    <s v="Fahd OUSSALH"/>
    <m/>
    <m/>
    <m/>
    <m/>
    <m/>
    <m/>
    <m/>
  </r>
  <r>
    <n v="352"/>
    <b v="0"/>
    <x v="165"/>
    <d v="1899-12-30T18:54:32"/>
    <n v="2046"/>
    <x v="1"/>
    <x v="1"/>
    <n v="1042"/>
    <n v="35214500046055"/>
    <s v="Casa/Tanger"/>
    <n v="59.758000000000003"/>
    <x v="23"/>
    <s v="N2"/>
    <s v="Ralentissement du train"/>
    <s v="H.O  complet   entre 312 et 311 qualité /niveau de signal : dl rx-qual=0, dl rx level = -74dbm. ,Requête de déconnexion a été envoyée par le RBC"/>
    <m/>
    <x v="1"/>
    <s v="Zone sous surveillance par équipe NOC GSMR"/>
    <s v="H.O : complet entre 312 et 311"/>
    <s v="dl Rxqual=0"/>
    <s v="dl rx level= -74 dbm"/>
    <s v="OK"/>
    <s v="NOK"/>
    <s v="moyen"/>
    <s v="retransmission des trames HDLC*5"/>
    <m/>
    <s v="Fahd OUSSALH"/>
    <m/>
    <m/>
    <m/>
    <m/>
    <m/>
    <m/>
    <m/>
  </r>
  <r>
    <n v="353"/>
    <b v="0"/>
    <x v="165"/>
    <d v="1899-12-30T20:05:45"/>
    <n v="2057"/>
    <x v="9"/>
    <x v="0"/>
    <n v="3740"/>
    <n v="35214500044497"/>
    <s v="Tanger/Casa"/>
    <n v="6.13"/>
    <x v="2"/>
    <s v="N2"/>
    <s v="Arrêt du train"/>
    <s v="H.O  non finalisé   entre 302et 203 qualité /niveau de signal : dl rx-qual=6 , dl rx level = -54dbm. ,Requête de déconnexion a été envoyée par le RBC"/>
    <m/>
    <x v="0"/>
    <s v="En attente de mise en place des tiroires filtrés"/>
    <s v="H.O : non finalisé entre 302 et 203"/>
    <s v="dl Rxqual=6"/>
    <s v="dl rx level= -54 dbm"/>
    <s v="NOK"/>
    <s v="OK"/>
    <s v="Mauvais"/>
    <s v="retransmission des trames HDLC*5"/>
    <m/>
    <s v="Fahd OUSSALH"/>
    <m/>
    <m/>
    <m/>
    <m/>
    <m/>
    <m/>
    <m/>
  </r>
  <r>
    <n v="354"/>
    <b v="0"/>
    <x v="165"/>
    <d v="1899-12-30T21:06:22"/>
    <n v="1054"/>
    <x v="5"/>
    <x v="1"/>
    <n v="1053"/>
    <n v="35214500045329"/>
    <s v="Casa/Tanger"/>
    <n v="7.3209999999999997"/>
    <x v="2"/>
    <s v="N2"/>
    <s v="Ralentissement du train"/>
    <s v="H.O  non finalisé   entre 303et 202 qualité /niveau de signal : dl rx-qual=6 , dl rx level = -53dbm. ,Requête de déconnexion a été envoyée par le RBC"/>
    <m/>
    <x v="0"/>
    <s v="En attente de mise en place des tiroires filtrés"/>
    <s v="H.O : non finalisé entre 303 et 202"/>
    <s v="dl Rxqual=6"/>
    <s v="dl rx level= -54 dbm"/>
    <s v="OK"/>
    <s v="OK"/>
    <s v="Mauvais"/>
    <s v="retransmission des trames HDLC*5"/>
    <m/>
    <s v="HARIRI Bahaeddine"/>
    <m/>
    <m/>
    <m/>
    <m/>
    <m/>
    <m/>
    <m/>
  </r>
  <r>
    <n v="355"/>
    <b v="0"/>
    <x v="165"/>
    <d v="1899-12-30T21:29:59"/>
    <n v="2061"/>
    <x v="8"/>
    <x v="0"/>
    <n v="1043"/>
    <n v="35214500045498"/>
    <s v="Tanger/Casa"/>
    <n v="113.321"/>
    <x v="17"/>
    <s v="N2"/>
    <s v="Ralentissement du train"/>
    <s v="H.O  non finalisé  entre 220 et 219 qualité /niveau de signal : dl rx-qual=6 , dl rx level = -64dbm. ,Requête de déconnexion a été envoyée par le RBC"/>
    <m/>
    <x v="2"/>
    <s v="Chaine antennaire degradé / Attente planification analyse spectrale"/>
    <s v="H.O : recul non finalisé entre 220 et 219"/>
    <s v="dl Rxqual=6"/>
    <s v="dl rx level= -64 dbm"/>
    <s v="NOK"/>
    <s v="OK"/>
    <s v="Mauvais"/>
    <s v="retransmission des trames HDLC*5"/>
    <m/>
    <s v="HARIRI Bahaeddine"/>
    <m/>
    <m/>
    <m/>
    <m/>
    <m/>
    <m/>
    <m/>
  </r>
  <r>
    <n v="356"/>
    <b v="0"/>
    <x v="166"/>
    <d v="1899-12-30T12:20:42"/>
    <n v="2025"/>
    <x v="5"/>
    <x v="0"/>
    <n v="1024"/>
    <n v="35214500045122"/>
    <s v="Tanger/Casa"/>
    <n v="75.84"/>
    <x v="13"/>
    <s v="N2"/>
    <s v="Arrêt du train"/>
    <s v="H.O  Complet  entre 213 et 214 qualité /niveau de signal : dl rx-qual=0 , dl rx level = -48dbm. ,Requête de déconnexion a été envoyée par le RBC"/>
    <m/>
    <x v="6"/>
    <s v="En attente de pousser les analyses coté Bord/RBC"/>
    <s v="H.O : Complet entre 213 et 214"/>
    <s v="dl Rxqual=0"/>
    <s v="dl rx level= -48 dbm"/>
    <s v="OK"/>
    <s v="OK"/>
    <s v="Mauvais"/>
    <s v="retransmission des trames HDLC*5"/>
    <m/>
    <s v="ELHAJOUIA Achraf"/>
    <m/>
    <m/>
    <m/>
    <m/>
    <m/>
    <m/>
    <m/>
  </r>
  <r>
    <n v="357"/>
    <b v="0"/>
    <x v="166"/>
    <d v="1899-12-30T12:59:02"/>
    <n v="2025"/>
    <x v="5"/>
    <x v="0"/>
    <n v="1025"/>
    <n v="35214500045073"/>
    <s v="Tanger/Casa"/>
    <n v="185.82499999999999"/>
    <x v="19"/>
    <s v="N2"/>
    <s v="Ralentissement du train"/>
    <s v="H.O  non finalisé   entre 231 et 232 qualité /niveau de signal : dl rx-qual=0 , dl rx level = -54dbm. ,Requête de déconnexion a été envoyée par le RBC"/>
    <m/>
    <x v="1"/>
    <s v="Chantier d'optimisation en cours"/>
    <s v="H.O : non finalisé entre 231 et 232"/>
    <s v="dl Rxqual=0"/>
    <s v="dl rx level= -54 dbm"/>
    <s v="NOK"/>
    <s v="OK"/>
    <s v="Mauvais"/>
    <s v="retransmission des trames HDLC*5"/>
    <m/>
    <s v="ELHAJOUIA Achraf"/>
    <m/>
    <m/>
    <m/>
    <m/>
    <m/>
    <m/>
    <m/>
  </r>
  <r>
    <n v="358"/>
    <b v="0"/>
    <x v="167"/>
    <d v="1899-12-30T07:34:59"/>
    <n v="10075"/>
    <x v="10"/>
    <x v="1"/>
    <n v="1061"/>
    <n v="35214500042751"/>
    <s v="Casa/Tanger"/>
    <n v="74.712999999999994"/>
    <x v="13"/>
    <s v="N2"/>
    <s v="Ralentissement du train"/>
    <s v="H.O  Complet  entre 314et 313 qualité /niveau de signal : dl rx-qual=0 , dl rx level = -48dbm. ,Requête de déconnexion a été envoyée par le RBC"/>
    <m/>
    <x v="6"/>
    <s v="En attente de pousser les analyses coté Bord/RBC"/>
    <s v="H.O : Complet entre 314 et 313"/>
    <s v="dl Rxqual=0"/>
    <s v="dl rx level= -48 dbm"/>
    <s v="OK"/>
    <s v="OK"/>
    <s v="Mauvais"/>
    <s v="retransmission des trames HDLC*5"/>
    <m/>
    <s v="ELHAJOUIA Achraf"/>
    <m/>
    <m/>
    <m/>
    <m/>
    <m/>
    <m/>
    <m/>
  </r>
  <r>
    <n v="359"/>
    <b v="0"/>
    <x v="167"/>
    <d v="1899-12-30T08:46:30"/>
    <n v="1005"/>
    <x v="2"/>
    <x v="1"/>
    <n v="1035"/>
    <n v="35214500046011"/>
    <s v="Casa/Tanger"/>
    <n v="94.953999999999994"/>
    <x v="8"/>
    <s v="N2"/>
    <s v="Ralentissement du train"/>
    <s v="H.O  non finalisé   entre 318 et 217 qualité /niveau de signal : dl rx-qual=7 , dl rx level = -75dbm. ,Requête de déconnexion a été envoyée par le MSC"/>
    <m/>
    <x v="0"/>
    <s v="En attente de pousser les analyses coté Bord"/>
    <s v="H.O : non finalisé entre 318 et 217"/>
    <s v="dl Rxqual=7"/>
    <s v="dl rx level= -75 dbm"/>
    <s v="OK"/>
    <s v="OK"/>
    <s v="Mauvais"/>
    <s v="retransmission des trames HDLC*5"/>
    <m/>
    <s v="ELHAJOUIA Achraf"/>
    <m/>
    <m/>
    <m/>
    <m/>
    <m/>
    <m/>
    <m/>
  </r>
  <r>
    <n v="360"/>
    <b v="0"/>
    <x v="167"/>
    <d v="1899-12-30T09:26:50"/>
    <n v="2013"/>
    <x v="10"/>
    <x v="0"/>
    <n v="7206"/>
    <n v="35214500026718"/>
    <s v="Tanger/Casa"/>
    <n v="108.206"/>
    <x v="1"/>
    <s v="N2"/>
    <s v="Ralentissement du train"/>
    <s v="H.O  non finalisé   entre 219 et 320 qualité /niveau de signal : dl rx-qual=7 , dl rx level = -71dbm. ,Requête de déconnexion a été envoyée par le MSC"/>
    <m/>
    <x v="2"/>
    <s v="Attente de planification d'un analyse spectrale/En attente de pousser les analyses coté Bord"/>
    <s v="H.O : non finalisé entre 219 et 320"/>
    <s v="dl Rxqual=7"/>
    <s v="dl rx level= -71 dbm"/>
    <s v="OK"/>
    <s v="OK"/>
    <s v="Mauvais"/>
    <s v="retransmission des trames HDLC*4"/>
    <m/>
    <s v="ELHAJOUIA Achraf"/>
    <m/>
    <m/>
    <m/>
    <m/>
    <m/>
    <m/>
    <m/>
  </r>
  <r>
    <n v="361"/>
    <b v="0"/>
    <x v="167"/>
    <d v="1899-12-30T11:01:11"/>
    <n v="1013"/>
    <x v="3"/>
    <x v="1"/>
    <n v="1008"/>
    <n v="35214500045654"/>
    <s v="Casa/Tanger"/>
    <n v="25.91"/>
    <x v="7"/>
    <s v="N2"/>
    <s v="Ralentissement du train"/>
    <s v="H.O  non finalisé   entre 207 et 205 qualité /niveau de signal : dl rx-qual=6 , dl rx level = -93dbm. ,Requête de déconnexion a été envoyée par le RBC"/>
    <m/>
    <x v="2"/>
    <s v="Zone sous surveillance par équipe NOC GSMR"/>
    <s v="H.O : non finalisé entre 207 et 205"/>
    <s v="dl Rxqual=6"/>
    <s v="dl rx level= -93 dbm"/>
    <s v="OK"/>
    <s v="OK"/>
    <s v="Mauvais"/>
    <s v="retransmission des trames HDLC*5"/>
    <m/>
    <s v="ELHAJOUIA Achraf"/>
    <m/>
    <m/>
    <m/>
    <m/>
    <m/>
    <m/>
    <m/>
  </r>
  <r>
    <n v="362"/>
    <b v="0"/>
    <x v="167"/>
    <d v="1899-12-30T11:26:46"/>
    <n v="2021"/>
    <x v="9"/>
    <x v="0"/>
    <n v="1053"/>
    <n v="35214500044497"/>
    <s v="Tanger/Casa"/>
    <n v="104.253"/>
    <x v="24"/>
    <s v="N2"/>
    <s v="Ralentissement du train"/>
    <s v="H.O  Complet  entre 218et 219 qualité /niveau de signal : dl rx-qual=0 , dl rx level = -48dbm. ,Requête de déconnexion a été envoyée par le RBC"/>
    <m/>
    <x v="6"/>
    <s v="En attente de pousser les analyses coté Bord/RBC"/>
    <s v="H.O : Complet entre 218 et 219"/>
    <s v="dl Rxqual=0"/>
    <s v="dl rx level= -48 dbm"/>
    <s v="OK"/>
    <s v="OK"/>
    <s v="Mauvais"/>
    <s v="retransmission des trames HDLC*5"/>
    <m/>
    <s v="ELHAJOUIA Achraf"/>
    <m/>
    <m/>
    <m/>
    <m/>
    <m/>
    <m/>
    <m/>
  </r>
  <r>
    <n v="363"/>
    <b v="0"/>
    <x v="167"/>
    <d v="1899-12-30T18:26:16"/>
    <n v="1249"/>
    <x v="3"/>
    <x v="0"/>
    <n v="1046"/>
    <n v="35214500038730"/>
    <s v="Tanger/Casa"/>
    <n v="91.364999999999995"/>
    <x v="12"/>
    <s v="N2"/>
    <s v="Ralentissement du train"/>
    <s v="H.O  Complet  entre 316 et 217 qualité /niveau de signal : dl rx-qual=0 , dl rx level = -47dbm. ,Requête de déconnexion a été envoyée par le RBC"/>
    <m/>
    <x v="6"/>
    <s v="En attente de pousser les analyses coté Bord/RBC"/>
    <s v="H.O : Complet entre 316 et 217"/>
    <s v="dl Rxqual=0"/>
    <s v="dl rx level= -47 dbm"/>
    <s v="OK"/>
    <s v="OK"/>
    <s v="Mauvais"/>
    <s v="retransmission des trames HDLC*5"/>
    <m/>
    <s v="Fahd OUSSALH"/>
    <m/>
    <m/>
    <m/>
    <m/>
    <m/>
    <m/>
    <m/>
  </r>
  <r>
    <n v="364"/>
    <b v="0"/>
    <x v="167"/>
    <d v="1899-12-30T19:28:29"/>
    <n v="2053"/>
    <x v="4"/>
    <x v="0"/>
    <n v="7208"/>
    <n v="35214500004427"/>
    <s v="Tanger/Casa"/>
    <n v="109.495"/>
    <x v="1"/>
    <s v="N2"/>
    <s v="Ralentissement du train"/>
    <s v="H.O  non finalisé   entre 219 et 320 qualité /niveau de signal : dl rx-qual=7 , dl rx level = -110dbm. ,Requête de déconnexion a été envoyée par le RBC"/>
    <m/>
    <x v="2"/>
    <s v="Chaine antennaire degradé / Attente planification analyse spectrale"/>
    <s v="H.O : non finalisé entre 219 et 320"/>
    <s v="dl Rxqual=7"/>
    <s v="dl rx level= -110 dbm"/>
    <s v="OK"/>
    <s v="OK"/>
    <s v="Mauvais"/>
    <s v="retransmission des trames HDLC*5"/>
    <m/>
    <s v="Fahd OUSSALH"/>
    <m/>
    <m/>
    <m/>
    <m/>
    <m/>
    <m/>
    <m/>
  </r>
  <r>
    <n v="365"/>
    <b v="0"/>
    <x v="167"/>
    <d v="1899-12-30T20:23:56"/>
    <n v="1053"/>
    <x v="5"/>
    <x v="1"/>
    <n v="1026"/>
    <n v="35214500045329"/>
    <s v="Tanger/Casa"/>
    <n v="202.125"/>
    <x v="5"/>
    <s v="N2"/>
    <s v="Ralentissement du train"/>
    <s v="H.O  Complet  entre 233et 234 qualité /niveau de signal : dl rx-qual=7 , dl rx level = -63dbm. ,Requête de déconnexion a été envoyée par le RBC"/>
    <m/>
    <x v="1"/>
    <s v="chantier d'optimisation en cours"/>
    <s v="H.O : Complet entre 316 et 217"/>
    <s v="dl Rxqual=7"/>
    <s v="dl rx level= -63 dbm"/>
    <s v="OK"/>
    <s v="OK"/>
    <s v="Mauvais"/>
    <s v="retransmission des trames HDLC*5"/>
    <m/>
    <s v="Fahd OUSSALH"/>
    <m/>
    <m/>
    <m/>
    <m/>
    <m/>
    <m/>
    <m/>
  </r>
  <r>
    <n v="366"/>
    <b v="0"/>
    <x v="167"/>
    <d v="1899-12-30T21:02:30"/>
    <n v="1054"/>
    <x v="5"/>
    <x v="1"/>
    <n v="1026"/>
    <n v="35214500045329"/>
    <s v="Casa/Tanger"/>
    <n v="18.89"/>
    <x v="20"/>
    <s v="N2"/>
    <s v="Ralentissement du train"/>
    <s v="HO complet entre 305 et 304_x000a_qualité /niveau de signal : dl rx-qual=0 , dl rx level = -48 dbm_x000a_,Requête de déconnexion a été envoyée par le RBC"/>
    <m/>
    <x v="2"/>
    <s v="chaine antennaire dégradé, besoin de vérification de la chaine /Zone sous surveillance par équipe NOC GSMR"/>
    <s v="HO complet entre 305 et 304"/>
    <s v="dl Rxqual=0"/>
    <s v="dl rx level= -48 dbm"/>
    <s v="OK"/>
    <s v="OK"/>
    <s v="Mauvais"/>
    <s v="pas de retransmission des trames HDLC"/>
    <m/>
    <s v="Saad Elhabib"/>
    <m/>
    <m/>
    <m/>
    <m/>
    <m/>
    <m/>
    <m/>
  </r>
  <r>
    <n v="367"/>
    <b v="0"/>
    <x v="167"/>
    <d v="1899-12-30T21:04:15"/>
    <n v="1054"/>
    <x v="5"/>
    <x v="1"/>
    <n v="1027"/>
    <n v="35214500045083"/>
    <s v="Casa/Tanger"/>
    <n v="12.496"/>
    <x v="22"/>
    <s v="N2"/>
    <s v="Arrêt du train"/>
    <s v="Etat H.O : HO complet entre 304 et 303_x000a_qualité /niveau de signal : dl rx-qual=0 , dl rx level = -73 dbm_x000a_,Requête de déconnexion a été envoyée par le RBC"/>
    <m/>
    <x v="0"/>
    <s v="En attente de mise en place des tiroires filtrés"/>
    <s v="HO complet entre 304 et 303"/>
    <s v="dl Rxqual=0"/>
    <s v="dl rx level= -73 dbm"/>
    <s v="OK"/>
    <s v="OK"/>
    <s v="Mauvais"/>
    <s v="retransmission des trames HDLC*5"/>
    <m/>
    <s v="Saad Elhabib"/>
    <m/>
    <m/>
    <m/>
    <m/>
    <m/>
    <m/>
    <m/>
  </r>
  <r>
    <n v="368"/>
    <b v="0"/>
    <x v="167"/>
    <d v="1899-12-30T21:26:16"/>
    <n v="1057"/>
    <x v="9"/>
    <x v="1"/>
    <n v="1031"/>
    <n v="35214500045491"/>
    <s v="Casa/Tanger"/>
    <n v="185.47"/>
    <x v="19"/>
    <s v="N2"/>
    <s v="Ralentissement du train"/>
    <s v="Etat H.O : HO Failure entre 332 et 331_x000a_ qualité /niveau de signal : dl rx-qual=4 , dl rx level = -59 dbm_x000a_,Requête de déconnexion a été envoyée par le RBC"/>
    <m/>
    <x v="0"/>
    <s v="En attente de mise en place des tiroires filtrés"/>
    <s v="HO Failure entre 332 et 331"/>
    <s v="dl Rxqual=4"/>
    <s v="dl rx level= -59 dbm"/>
    <s v="NOK"/>
    <s v="OK"/>
    <s v="Mauvais"/>
    <s v="retransmission des trames HDLC*5"/>
    <m/>
    <s v="Saad Elhabib"/>
    <m/>
    <m/>
    <m/>
    <m/>
    <m/>
    <m/>
    <m/>
  </r>
  <r>
    <n v="369"/>
    <b v="0"/>
    <x v="167"/>
    <d v="1899-12-30T22:31:16"/>
    <n v="1061"/>
    <x v="11"/>
    <x v="1"/>
    <n v="1020"/>
    <n v="35214500045491"/>
    <s v="Casa/Tanger"/>
    <n v="202.125"/>
    <x v="5"/>
    <s v="N2"/>
    <s v="Ralentissement du train"/>
    <s v="Etat H.O : HO Failure entre 233 et 99_x000a_ qualité /niveau de signal : dl rx-qual=7 , dl rx level = -63 dbm_x000a_,Requête de déconnexion a été envoyée par le RBC"/>
    <m/>
    <x v="2"/>
    <s v="En attente de mise en place des tiroires filtrés/Attente de vérificationPar l'équipe SOR"/>
    <s v="HO Failure entre 233 et 99"/>
    <s v="dl Rxqual=7"/>
    <s v="dl rx level= -63dbm"/>
    <s v="OK"/>
    <s v="OK"/>
    <s v="Mauvais"/>
    <s v="retransmission des trames HDLC*5"/>
    <m/>
    <s v="Saad Elhabib"/>
    <m/>
    <m/>
    <m/>
    <m/>
    <m/>
    <m/>
    <m/>
  </r>
  <r>
    <n v="370"/>
    <b v="0"/>
    <x v="168"/>
    <d v="1899-12-30T08:08:36"/>
    <n v="2009"/>
    <x v="9"/>
    <x v="0"/>
    <n v="1052"/>
    <n v="35214500045491"/>
    <s v="Tanger/Casa"/>
    <n v="12.496"/>
    <x v="22"/>
    <s v="N2"/>
    <s v="Ralentissement du train"/>
    <s v="Etat H.O : HO Complet entre 303 et 204_x000a_ qualité /niveau de signal : dl rx-qual=0 , dl rx level = -56 dbm_x000a_,Requête de déconnexion a été envoyée par le RBC"/>
    <m/>
    <x v="0"/>
    <s v="En attente de mise en place des tiroires filtrés"/>
    <s v="HO Failure entre 303 et 204"/>
    <s v="dl Rxqual=0"/>
    <s v="dl rx level= -56dbm"/>
    <s v="OK"/>
    <s v="OK"/>
    <s v="Mauvais"/>
    <s v="retransmission des trames HDLC*5"/>
    <m/>
    <s v="Nassim NAJIM"/>
    <m/>
    <m/>
    <m/>
    <m/>
    <m/>
    <m/>
    <m/>
  </r>
  <r>
    <n v="371"/>
    <b v="0"/>
    <x v="168"/>
    <d v="1899-12-30T20:04:49"/>
    <n v="2057"/>
    <x v="3"/>
    <x v="0"/>
    <n v="1046"/>
    <n v="35214500045491"/>
    <s v="Tanger/Casa"/>
    <n v="6.13"/>
    <x v="2"/>
    <s v="N2"/>
    <s v="Ralentissement du train"/>
    <s v="Etat H.O : HO non finalisé entre 202 et 303_x000a_ qualité /niveau de signal : dl rx-qual=7, dl rx level = -52 dbm_x000a_,Requête de déconnexion a été envoyée par le RBC"/>
    <m/>
    <x v="0"/>
    <s v="En attente de mise en place des tiroires filtrés"/>
    <s v="HO Failure entre 202 et 303"/>
    <s v="dl Rxqual=7"/>
    <s v="dl rx level= -52dbm"/>
    <s v="OK"/>
    <s v="OK"/>
    <s v="Mauvais"/>
    <s v="retransmission des trames HDLC*5"/>
    <m/>
    <s v="ISMALI ALAOUI Hamza"/>
    <m/>
    <m/>
    <m/>
    <m/>
    <m/>
    <m/>
    <m/>
  </r>
  <r>
    <n v="372"/>
    <b v="0"/>
    <x v="169"/>
    <d v="1899-12-30T12:19:07"/>
    <n v="2025"/>
    <x v="11"/>
    <x v="0"/>
    <n v="1048"/>
    <n v="35214500045491"/>
    <s v="Tanger/Casa"/>
    <n v="58.71"/>
    <x v="23"/>
    <s v="N2"/>
    <s v="Ralentissement du train"/>
    <s v="Etat H.O : HO non finalisé entre 210 et 211_x000a_ qualité /niveau de signal : dl rx-qual=0, dl rx level = -63 dbm_x000a_,Requête de déconnexion a été envoyée par le RBC"/>
    <m/>
    <x v="0"/>
    <s v="En attente de mise en place des tiroires filtrés"/>
    <s v="HO Failure entre 210 et 211"/>
    <s v="dl Rxqual=0"/>
    <s v="dl rx level= -63dbm"/>
    <s v="NOK"/>
    <s v="OK"/>
    <s v="Mauvais"/>
    <s v="retransmission des trames HDLC*5"/>
    <m/>
    <s v="Nassim NAJIM"/>
    <m/>
    <m/>
    <m/>
    <m/>
    <m/>
    <m/>
    <m/>
  </r>
  <r>
    <n v="373"/>
    <b v="0"/>
    <x v="169"/>
    <d v="1899-12-30T12:21:45"/>
    <n v="2025"/>
    <x v="11"/>
    <x v="0"/>
    <n v="1049"/>
    <n v="35214500045491"/>
    <s v="Tanger/Casa"/>
    <n v="68.956000000000003"/>
    <x v="0"/>
    <s v="N2"/>
    <s v="Ralentissement du train"/>
    <s v="Etat H.O : HO non finalisé entre 212 et 213_x000a_ qualité /niveau de signal : dl rx-qual=4, dl rx level = -62 dbm_x000a_,Requête de déconnexion a été envoyée par le RBC"/>
    <m/>
    <x v="0"/>
    <s v="En attente de mise en place des tiroires filtrés"/>
    <s v="HO Failure entre 212 et 213"/>
    <s v="dl Rxqual=4"/>
    <s v="dl rx level= -62dbm"/>
    <s v="NOK"/>
    <s v="OK"/>
    <s v="Mauvais"/>
    <s v="retransmission des trames HDLC*5"/>
    <m/>
    <s v="Noura MOUSSAOUI"/>
    <m/>
    <m/>
    <m/>
    <m/>
    <m/>
    <m/>
    <m/>
  </r>
  <r>
    <n v="374"/>
    <b v="0"/>
    <x v="169"/>
    <d v="1899-12-30T14:05:17"/>
    <n v="2033"/>
    <x v="2"/>
    <x v="0"/>
    <n v="7217"/>
    <n v="35214500045491"/>
    <s v="Tanger/Casa"/>
    <n v="6.13"/>
    <x v="2"/>
    <s v="N2"/>
    <s v="Ralentissement du train"/>
    <s v="Etat H.O : HO non finalisé entre 202 et 203_x000a_ qualité /niveau de signal : dl rx-qual=7, dl rx level = -54 dbm_x000a_,Requête de déconnexion a été envoyée par le RBC"/>
    <m/>
    <x v="0"/>
    <s v="En attente de mise en place des tiroires filtrés"/>
    <s v="HO Failure entre 202 et 203"/>
    <s v="dl Rxqual=7"/>
    <s v="dl rx level= -54dbm"/>
    <s v="NOK"/>
    <s v="OK"/>
    <s v="Mauvais"/>
    <s v="retransmission des trames HDLC*5"/>
    <m/>
    <s v="Nassim NAJIM"/>
    <m/>
    <m/>
    <m/>
    <m/>
    <m/>
    <m/>
    <m/>
  </r>
  <r>
    <n v="375"/>
    <b v="0"/>
    <x v="169"/>
    <d v="1899-12-30T18:04:44"/>
    <n v="2049"/>
    <x v="11"/>
    <x v="0"/>
    <n v="1048"/>
    <n v="35214500045491"/>
    <s v="Tanger/Casa"/>
    <n v="6.13"/>
    <x v="2"/>
    <s v="N2"/>
    <s v="Ralentissement du train"/>
    <s v="Etat H.O : HO non finalisé entre 202 et 203_x000a_ qualité /niveau de signal : dl rx-qual=7, dl rx level = -54 dbm_x000a_,Requête de déconnexion a été envoyée par le RBC"/>
    <m/>
    <x v="0"/>
    <s v="En attente de mise en place des tiroires filtrés"/>
    <s v="HO Failure entre 202 et 203"/>
    <s v="dl Rxqual=7"/>
    <s v="dl rx level= -52dbm"/>
    <s v="OK"/>
    <s v="OK"/>
    <s v="Mauvais"/>
    <s v="retransmission des trames HDLC*5"/>
    <m/>
    <s v="HARIRI Bahaeddine"/>
    <m/>
    <m/>
    <m/>
    <m/>
    <m/>
    <m/>
    <m/>
  </r>
  <r>
    <n v="376"/>
    <b v="0"/>
    <x v="170"/>
    <d v="1899-12-30T07:46:13"/>
    <n v="1002"/>
    <x v="5"/>
    <x v="0"/>
    <n v="1026"/>
    <m/>
    <s v="Tanger/Casa"/>
    <n v="90.108000000000004"/>
    <x v="12"/>
    <s v="N2"/>
    <s v="Ralentissement du train"/>
    <s v="Etat H.O : HO complet entre 318 et 317_x000a_ qualité /niveau de signal : dl rx-qual=0, dl rx level = -55 dbm_x000a_,Requête de déconnexion a été envoyée par le RBC"/>
    <m/>
    <x v="0"/>
    <s v="En attente de mise en place des tiroires filtrés"/>
    <s v="HO complet entre 318 et 317"/>
    <s v="dl Rxqual=0"/>
    <s v="dl rx level= -55dbm"/>
    <s v="OK"/>
    <s v="NOK"/>
    <s v="Mauvais"/>
    <s v="retransmission des trames HDLC*5"/>
    <m/>
    <s v="ISMALI ALAOUI Hamza"/>
    <m/>
    <m/>
    <m/>
    <m/>
    <m/>
    <m/>
    <m/>
  </r>
  <r>
    <n v="377"/>
    <b v="0"/>
    <x v="170"/>
    <d v="1899-12-30T08:19:30"/>
    <n v="1002"/>
    <x v="2"/>
    <x v="0"/>
    <n v="7217"/>
    <m/>
    <s v="Tanger/Casa"/>
    <n v="66.701999999999998"/>
    <x v="0"/>
    <s v="N2"/>
    <s v="Ralentissement du train"/>
    <s v="Etat H.O : HO complet entre 211 et 212_x000a_ qualité /niveau de signal : dl rx-qual=0, dl rx level = -51 dbm_x000a_,Requête de déconnexion a été envoyée par le RBC"/>
    <m/>
    <x v="0"/>
    <s v="En attente de mise en place des tiroires filtrés"/>
    <s v="HO complet entre 211 et 212"/>
    <s v="dl Rxqual=0"/>
    <s v="dl rx level= -51dbm"/>
    <s v="OK"/>
    <s v="OK"/>
    <s v="Mauvais"/>
    <s v="retransmission des trames HDLC*5"/>
    <m/>
    <s v="Nassim NAJIM"/>
    <m/>
    <m/>
    <m/>
    <m/>
    <m/>
    <m/>
    <m/>
  </r>
  <r>
    <n v="378"/>
    <b v="0"/>
    <x v="170"/>
    <d v="1899-12-30T16:07:23"/>
    <n v="1034"/>
    <x v="1"/>
    <x v="1"/>
    <n v="3062"/>
    <m/>
    <s v="Casa/Tanger"/>
    <n v="7.3209999999999997"/>
    <x v="2"/>
    <s v="N2"/>
    <s v="Ralentissement du train"/>
    <s v="Etat H.O : HO non finalisé entre 202 et 303_x000a_ qualité /niveau de signal : dl rx-qual=7, dl rx level = -54 dbm_x000a_,Requête de déconnexion a été envoyée par le RBC"/>
    <m/>
    <x v="0"/>
    <s v="En attente de mise en place des tiroires filtrés"/>
    <s v="HO Failure entre 202 et 303"/>
    <s v="dl Rxqual=7"/>
    <s v="dl rx level= -54dbm"/>
    <s v="OK"/>
    <s v="OK"/>
    <s v="Mauvais"/>
    <s v="retransmission des trames HDLC*5"/>
    <m/>
    <s v="HARIRI Bahaeddine"/>
    <m/>
    <m/>
    <m/>
    <m/>
    <m/>
    <m/>
    <m/>
  </r>
  <r>
    <n v="379"/>
    <b v="0"/>
    <x v="170"/>
    <d v="1899-12-30T17:46:37"/>
    <n v="2042"/>
    <x v="11"/>
    <x v="1"/>
    <n v="1072"/>
    <m/>
    <s v="Casa/Tanger"/>
    <n v="94.953999999999994"/>
    <x v="8"/>
    <s v="N2"/>
    <s v="Ralentissement du train"/>
    <s v="Etat H.O : finalisé entre 317 et 318_x000a_ qualité /niveau de signal : dl rx-qual=0, dl rx level = -110 dbm_x000a_,Requête de déconnexion a été envoyée par le RBC"/>
    <m/>
    <x v="1"/>
    <s v="Attente planification analyse spectrale"/>
    <s v="HO complet entre 317 et 318"/>
    <s v="dl Rxqual=0"/>
    <s v="dl rx level= -110dbm"/>
    <s v="OK"/>
    <s v="OK"/>
    <s v="Mauvais"/>
    <s v="retransmission des trames HDLC*5"/>
    <m/>
    <s v="HARIRI Bahaeddine"/>
    <m/>
    <m/>
    <m/>
    <m/>
    <m/>
    <m/>
    <m/>
  </r>
  <r>
    <n v="380"/>
    <b v="0"/>
    <x v="170"/>
    <d v="1899-12-30T19:57:43"/>
    <n v="1050"/>
    <x v="5"/>
    <x v="1"/>
    <n v="1027"/>
    <m/>
    <s v="Casa/Tanger"/>
    <n v="32.625999999999998"/>
    <x v="25"/>
    <s v="N2"/>
    <s v="Ralentissement du train"/>
    <s v="Etat H.O : finalisé entre 308 et 307_x000a_ qualité /niveau de signal : dl rx-qual=1, dl rx level = -60 dbm_x000a_,Requête de déconnexion a été envoyée par le RBC"/>
    <m/>
    <x v="0"/>
    <s v="En attente de mise en place des tiroires filtrés"/>
    <s v="HO complet entre 308 et 307"/>
    <s v="dl Rxqual=1"/>
    <s v="dl rx level= -60dbm"/>
    <s v="OK"/>
    <s v="OK"/>
    <s v="Mauvais"/>
    <s v="retransmission des trames HDLC*5"/>
    <m/>
    <s v="HARIRI Bahaeddine"/>
    <m/>
    <m/>
    <m/>
    <m/>
    <m/>
    <m/>
    <m/>
  </r>
  <r>
    <n v="381"/>
    <b v="0"/>
    <x v="170"/>
    <d v="1899-12-30T20:21:54"/>
    <n v="2053"/>
    <x v="2"/>
    <x v="0"/>
    <n v="7218"/>
    <n v="35214500045735"/>
    <s v="Tanger/Casa"/>
    <n v="73.585999999999999"/>
    <x v="13"/>
    <s v="N2"/>
    <s v="Ralentissement du train"/>
    <s v="Etat H.O : finalisé entre 212 et 213_x000a_ qualité /niveau de signal : dl rx-qual=7, dl rx level = -71 dbm_x000a_,Requête de déconnexion a été envoyée par le RBC"/>
    <m/>
    <x v="2"/>
    <s v="En attente de mise en place des tiroires filtrés/Attente de vérificationPar l'équipe SOR"/>
    <s v="HO complet entre 212 et 213"/>
    <s v="dl Rxqual=7"/>
    <s v="dl rx level= -71dbm"/>
    <s v="NOK"/>
    <s v="OK"/>
    <s v="Mauvais"/>
    <s v="retransmission des trames HDLC*5"/>
    <m/>
    <s v="Saad Elhabib"/>
    <m/>
    <m/>
    <m/>
    <m/>
    <m/>
    <m/>
    <m/>
  </r>
  <r>
    <n v="382"/>
    <b v="0"/>
    <x v="171"/>
    <d v="1899-12-30T14:05:51"/>
    <n v="2033"/>
    <x v="9"/>
    <x v="0"/>
    <n v="1052"/>
    <n v="35214500045735"/>
    <s v="Tanger/Casa"/>
    <n v="6.13"/>
    <x v="2"/>
    <s v="N2"/>
    <s v="Ralentissement du train"/>
    <s v="Etat H.O : non finalisé entre 302 et 301_x000a_ qualité /niveau de signal : dl rx-qual=7, dl rx level = -56 dbm_x000a_,Requête de déconnexion a été envoyée par le RBC"/>
    <m/>
    <x v="0"/>
    <s v="En attente de mise en place des tiroires filtrés"/>
    <s v="HO Failure entre 302 et 301"/>
    <s v="dl Rxqual=7"/>
    <s v="dl rx level= -56dbm"/>
    <s v="NOK"/>
    <s v="OK"/>
    <s v="moyen"/>
    <s v="retransmission des trames HDLC*5"/>
    <m/>
    <m/>
    <m/>
    <m/>
    <m/>
    <m/>
    <m/>
    <m/>
    <m/>
  </r>
  <r>
    <n v="383"/>
    <b v="0"/>
    <x v="171"/>
    <d v="1899-12-30T21:20:58"/>
    <n v="2061"/>
    <x v="2"/>
    <x v="0"/>
    <n v="7218"/>
    <m/>
    <s v="Tanger/Casa"/>
    <n v="73.585999999999999"/>
    <x v="13"/>
    <s v="N2"/>
    <s v="Ralentissement du train"/>
    <s v="Etat H.O : Complete entre 213 et 214_x000a_ qualité /niveau de signal : dl rx-qual=7, dl rx level = -74 dbm_x000a_,Requête de déconnexion a été envoyée par le RBC"/>
    <m/>
    <x v="0"/>
    <m/>
    <s v="HO complet entre 213 et 214"/>
    <s v="dl Rxqual=7"/>
    <s v="dl rx level= -74dbm"/>
    <s v="OK"/>
    <s v="OK"/>
    <s v="Mauvais"/>
    <s v="retransmission des trames HDLC*5"/>
    <m/>
    <s v="ELHAJOUIA Achraf"/>
    <m/>
    <m/>
    <m/>
    <m/>
    <m/>
    <m/>
    <m/>
  </r>
  <r>
    <n v="384"/>
    <b v="0"/>
    <x v="171"/>
    <d v="1899-12-30T21:28:57"/>
    <n v="1057"/>
    <x v="1"/>
    <x v="1"/>
    <n v="3062"/>
    <m/>
    <s v="Casa/Tanger"/>
    <n v="177.85"/>
    <x v="4"/>
    <s v="N2"/>
    <s v="Ralentissement du train"/>
    <s v="Etat H.O : non finalisé entre 231 et 329_x000a_ qualité /niveau de signal : dl rx-qual=7, dl rx level = -74 dbm_x000a_,Requête de déconnexion a été envoyée par le Bord "/>
    <m/>
    <x v="0"/>
    <s v="En attente de mise en place des tiroires filtrés"/>
    <s v="HO Failure entre 231 et 329"/>
    <s v="dl Rxqual=7"/>
    <s v="dl rx level= -74dbm"/>
    <s v="OK"/>
    <s v="OK"/>
    <s v="Mauvais"/>
    <s v="retransmission des trames HDLC*5"/>
    <m/>
    <s v="ELHAJOUIA Achraf"/>
    <m/>
    <m/>
    <m/>
    <m/>
    <m/>
    <m/>
    <m/>
  </r>
  <r>
    <n v="385"/>
    <b v="0"/>
    <x v="171"/>
    <d v="1899-12-30T23:03:44"/>
    <n v="1061"/>
    <x v="7"/>
    <x v="1"/>
    <n v="1041"/>
    <m/>
    <s v="Casa/Tanger"/>
    <n v="94.953999999999994"/>
    <x v="8"/>
    <s v="N2"/>
    <s v="Ralentissement du train"/>
    <s v="Etat H.O : non finalisé entre 318 et 317_x000a_ qualité /niveau de signal : dl rx-qual=7, dl rx level = -80 dbm_x000a_,Requête de déconnexion a été envoyée par le RBC "/>
    <m/>
    <x v="0"/>
    <m/>
    <s v="HO Failure entre 318 et 317"/>
    <s v="dl Rxqual=7"/>
    <s v="dl rx level= -80dbm"/>
    <s v="OK"/>
    <s v="OK"/>
    <s v="Mauvais"/>
    <s v="retransmission des trames HDLC*5"/>
    <m/>
    <s v="ELHAJOUIA Achraf"/>
    <m/>
    <m/>
    <m/>
    <m/>
    <m/>
    <m/>
    <m/>
  </r>
  <r>
    <n v="386"/>
    <b v="0"/>
    <x v="172"/>
    <s v=" 08:27:28"/>
    <n v="2009"/>
    <x v="11"/>
    <x v="0"/>
    <n v="1048"/>
    <m/>
    <s v="Tanger/Casa"/>
    <n v="108.206"/>
    <x v="1"/>
    <s v="N2"/>
    <s v="Ralentissement du train"/>
    <s v="Etat H.O : non finalisé entre 219 et 320_x000a_ qualité /niveau de signal : dl rx-qual=7, dl rx level = -70 dbm_x000a_,Requête de déconnexion a été envoyée par le Bord "/>
    <m/>
    <x v="0"/>
    <s v="Attente de pousser les analyses coté Bord"/>
    <s v="HO Failure entre 219 et 320"/>
    <s v="dl Rxqual=7"/>
    <s v="dl rx level= -70dbm"/>
    <s v="OK"/>
    <s v="OK"/>
    <s v="Mauvais"/>
    <s v="retransmission des trames HDLC*5"/>
    <m/>
    <s v="Noura MOUSSAOUI"/>
    <m/>
    <m/>
    <m/>
    <m/>
    <m/>
    <m/>
    <m/>
  </r>
  <r>
    <n v="387"/>
    <b v="0"/>
    <x v="172"/>
    <s v=" 08:33:05"/>
    <n v="1005"/>
    <x v="2"/>
    <x v="1"/>
    <n v="1034"/>
    <m/>
    <s v="Casa/Tanger"/>
    <n v="155.96199999999999"/>
    <x v="18"/>
    <s v="N2"/>
    <s v="Ralentissement du train"/>
    <s v="Etat H.O :complet entre 328 et 327_x000a_ qualité /niveau de signal : dl rx-qual=0, dl rx level = -48 dbm_x000a_,Requête de déconnexion a été envoyée par le RBC"/>
    <m/>
    <x v="0"/>
    <s v="En attente de mise en place des tiroires filtrés"/>
    <s v="HO complet entre 328 et 327"/>
    <s v="dl Rxqual=0"/>
    <s v="dl rx level= -48dbm"/>
    <s v="OK"/>
    <s v="OK"/>
    <s v="Mauvais"/>
    <s v="retransmission des trames HDLC*5"/>
    <m/>
    <s v="Noura MOUSSAOUI"/>
    <m/>
    <m/>
    <m/>
    <m/>
    <m/>
    <m/>
    <m/>
  </r>
  <r>
    <n v="388"/>
    <b v="0"/>
    <x v="172"/>
    <d v="1899-12-30T10:04:40"/>
    <n v="2017"/>
    <x v="2"/>
    <x v="0"/>
    <n v="1035"/>
    <m/>
    <s v="Tanger/Casa"/>
    <n v="6.13"/>
    <x v="2"/>
    <s v="N2"/>
    <s v="Arrêt du train"/>
    <s v="Etat H.O :complet entre 201 et 202_x000a_ qualité /niveau de signal : dl rx-qual=0, dl rx level = -54 dbm_x000a_,Requête de déconnexion a été envoyée par le RBC"/>
    <m/>
    <x v="0"/>
    <s v="En attente de mise en place des tiroires filtrés"/>
    <s v="HO complet entre 201 et 202"/>
    <s v="dl Rxqual=0"/>
    <s v="dl rx level= -54dbm"/>
    <s v="OK"/>
    <s v="OK"/>
    <s v="Mauvais"/>
    <s v="retransmission des trames HDLC*5"/>
    <m/>
    <s v="Nassim NAJIM"/>
    <m/>
    <m/>
    <m/>
    <m/>
    <m/>
    <m/>
    <m/>
  </r>
  <r>
    <n v="389"/>
    <b v="0"/>
    <x v="172"/>
    <d v="1899-12-30T14:04:18"/>
    <n v="1025"/>
    <x v="3"/>
    <x v="1"/>
    <n v="1036"/>
    <m/>
    <s v="Casa/Tanger"/>
    <n v="7.3209999999999997"/>
    <x v="2"/>
    <s v="N2"/>
    <s v="Ralentissement du train"/>
    <s v="Etat H.O : non finalisé entre 303 et  201_x000a_ qualité /niveau de signal : dl rx-qual=7, dl rx level = -81dbm_x000a_,Requête de déconnexion a été envoyée par le Bord"/>
    <m/>
    <x v="0"/>
    <s v="En attente de mise en place des tiroires filtrés"/>
    <s v="HO Failure entre 303 et 201"/>
    <s v="dl Rxqual=7"/>
    <s v="dl rx level= -81 dbm"/>
    <s v="OK"/>
    <s v="OK"/>
    <s v="Mauvais"/>
    <s v="retransmission des trames HDLC*5"/>
    <m/>
    <s v="Nassim NAJIM"/>
    <m/>
    <m/>
    <m/>
    <m/>
    <m/>
    <m/>
    <m/>
  </r>
  <r>
    <n v="390"/>
    <b v="0"/>
    <x v="172"/>
    <d v="1899-12-30T19:05:03"/>
    <n v="2053"/>
    <x v="2"/>
    <x v="0"/>
    <n v="7217"/>
    <m/>
    <s v="Tanger/Casa"/>
    <n v="6.13"/>
    <x v="2"/>
    <s v="N2"/>
    <s v="Arrêt du train"/>
    <s v="Etat H.O : non finalisé entre 202 et  303_x000a_ qualité /niveau de signal : dl rx-qual=7, dl rx level = -52dbm_x000a_,Requête de déconnexion a été envoyée par le RBC"/>
    <m/>
    <x v="0"/>
    <s v="En attente de mise en place des tiroires filtrés"/>
    <s v="HO Failure entre 202 et 303"/>
    <s v="dl Rxqual=7"/>
    <s v="dl rx level= -52 dbm"/>
    <s v="NOK"/>
    <s v="OK"/>
    <s v="Mauvais"/>
    <s v="retransmission des trames HDLC*5"/>
    <m/>
    <s v="HARIRI Bahaeddine"/>
    <m/>
    <m/>
    <m/>
    <m/>
    <m/>
    <m/>
    <m/>
  </r>
  <r>
    <n v="391"/>
    <b v="0"/>
    <x v="172"/>
    <d v="1899-12-30T20:05:04"/>
    <n v="2057"/>
    <x v="1"/>
    <x v="0"/>
    <n v="1028"/>
    <m/>
    <s v="Tanger/Casa"/>
    <n v="6.13"/>
    <x v="2"/>
    <s v="N2"/>
    <s v="Arrêt du train"/>
    <s v="Etat H.O : non finalisé entre 202 et  201_x000a_ qualité /niveau de signal : dl rx-qual=5, dl rx level = -55dbm_x000a_,Requête de déconnexion a été envoyée par le RBC"/>
    <m/>
    <x v="0"/>
    <s v="En attente de mise en place des tiroires filtrés"/>
    <s v="HO Failure entre 202 et 201"/>
    <s v="dl Rxqual=5"/>
    <s v="dl rx level= -55 dbm"/>
    <s v="NOK"/>
    <s v="OK"/>
    <s v="Mauvais"/>
    <s v="retransmission des trames HDLC*5"/>
    <m/>
    <s v="HARIRI Bahaeddine"/>
    <m/>
    <m/>
    <m/>
    <m/>
    <m/>
    <m/>
    <m/>
  </r>
  <r>
    <n v="392"/>
    <b v="0"/>
    <x v="172"/>
    <d v="1899-12-30T20:37:44"/>
    <n v="1053"/>
    <x v="11"/>
    <x v="1"/>
    <n v="1072"/>
    <m/>
    <s v="Casa/Tanger"/>
    <n v="134.30000000000001"/>
    <x v="10"/>
    <s v="N2"/>
    <s v="Ralentissement du train"/>
    <s v="Etat H.O : non finalisé entre 224 et  323_x000a_ qualité /niveau de signal : dl rx-qual=6, dl rx level = -75dbm_x000a_,Requête de déconnexion a été envoyée par le MSC"/>
    <m/>
    <x v="0"/>
    <s v="Attente de pousser les analyses coté Bord"/>
    <s v="HO Failure entre 224 et 323"/>
    <s v="dl Rxqual=6"/>
    <s v="dl rx level= -75 dbm"/>
    <s v="OK"/>
    <s v="OK"/>
    <s v="Mauvais"/>
    <s v="retransmission des trames HDLC*5"/>
    <m/>
    <s v="ELHAJOUIA Achraf"/>
    <m/>
    <m/>
    <m/>
    <m/>
    <m/>
    <m/>
    <m/>
  </r>
  <r>
    <n v="393"/>
    <b v="0"/>
    <x v="173"/>
    <d v="1899-12-30T12:59:46"/>
    <n v="1022"/>
    <x v="0"/>
    <x v="1"/>
    <n v="1044"/>
    <m/>
    <s v="Casa/Tanger"/>
    <n v="25.85"/>
    <x v="7"/>
    <s v="N2"/>
    <s v="Ralentissement du train"/>
    <s v="Etat H.O : non finalisé entre 207 et  205_x000a_ qualité /niveau de signal : dl rx-qual=7, dl rx level = -86dbm_x000a_,Requête de déconnexion a été envoyée par le RBC"/>
    <m/>
    <x v="2"/>
    <s v="En attente de pousser les analyses coté Bord/Attente de vérification Par l'équipe SOR"/>
    <s v="HO Failure entre 207 et 205"/>
    <s v="dl Rxqual=7"/>
    <s v="dl rx level= -86 dbm"/>
    <s v="OK"/>
    <s v="OK"/>
    <s v="Mauvais"/>
    <s v="retransmission des trames HDLC*5"/>
    <m/>
    <s v="ISMALI ALAOUI Hamza"/>
    <m/>
    <m/>
    <m/>
    <m/>
    <m/>
    <m/>
    <m/>
  </r>
  <r>
    <n v="394"/>
    <b v="0"/>
    <x v="173"/>
    <d v="1899-12-30T17:05:01"/>
    <n v="2045"/>
    <x v="1"/>
    <x v="0"/>
    <n v="1028"/>
    <m/>
    <s v="Tanger/Casa"/>
    <n v="6.13"/>
    <x v="2"/>
    <s v="N2"/>
    <s v="Ralentissement du train"/>
    <s v="Etat H.O : non finalisé entre 202 et  303_x000a_ qualité /niveau de signal : dl rx-qual=3, dl rx level = -56dbm_x000a_,Requête de déconnexion a été envoyée par le MSC"/>
    <m/>
    <x v="0"/>
    <s v="En attente de mise en place des tiroires filtrés"/>
    <s v="HO Failure entre 202 et 303"/>
    <s v="dl Rxqual=3"/>
    <s v="dl rx level= -56 dbm"/>
    <s v="OK"/>
    <s v="OK"/>
    <s v="Mauvais"/>
    <s v="retransmission des trames HDLC*5"/>
    <m/>
    <s v="HARIRI Bahaeddine"/>
    <m/>
    <m/>
    <m/>
    <m/>
    <m/>
    <m/>
    <m/>
  </r>
  <r>
    <n v="395"/>
    <b v="0"/>
    <x v="173"/>
    <d v="1899-12-30T20:33:18"/>
    <n v="2057"/>
    <x v="8"/>
    <x v="0"/>
    <n v="1042"/>
    <m/>
    <s v="Tanger/Casa"/>
    <n v="130.48400000000001"/>
    <x v="10"/>
    <s v="N2"/>
    <s v="Ralentissement du train"/>
    <s v="Etat H.O : Complete entre 222 et  323_x000a_ qualité /niveau de signal : dl rx-qual=0, dl rx level = -50dbm_x000a_,Requête de déconnexion a été envoyée par le RBC"/>
    <m/>
    <x v="6"/>
    <s v="En attente de pousser les analyses coté Bord/RBC"/>
    <s v="HO Complete entre 222 et 323"/>
    <s v="dl Rxqual=0"/>
    <s v="dl rx level= -50 dbm"/>
    <s v="OK"/>
    <s v="OK"/>
    <s v="Mauvais"/>
    <s v="retransmission des trames HDLC*5"/>
    <m/>
    <s v="ELHAJOUIA Achraf"/>
    <m/>
    <m/>
    <m/>
    <m/>
    <m/>
    <m/>
    <m/>
  </r>
  <r>
    <n v="396"/>
    <b v="0"/>
    <x v="173"/>
    <d v="1899-12-30T21:05:26"/>
    <n v="2061"/>
    <x v="5"/>
    <x v="0"/>
    <n v="1024"/>
    <m/>
    <s v="Tanger/Casa"/>
    <n v="6.13"/>
    <x v="2"/>
    <s v="N2"/>
    <s v="Ralentissement du train"/>
    <s v="Etat H.O : non recule finalisé entre 202 et  201_x000a_ qualité /niveau de signal : dl rx-qual=7, dl rx level = -53dbm_x000a_,Requête de déconnexion a été envoyée par le RBC"/>
    <m/>
    <x v="0"/>
    <s v="En attente de mise en place des tiroires filtrés"/>
    <s v="HO Failure entre 202 et 201"/>
    <s v="dl Rxqual=7"/>
    <s v="dl rx level= -53 dbm"/>
    <s v="NOK"/>
    <s v="OK"/>
    <s v="Mauvais"/>
    <s v="retransmission des trames HDLC*5"/>
    <m/>
    <s v="ELHAJOUIA Achraf"/>
    <m/>
    <m/>
    <m/>
    <m/>
    <m/>
    <m/>
    <m/>
  </r>
  <r>
    <n v="397"/>
    <b v="0"/>
    <x v="174"/>
    <d v="1899-12-30T14:05:25"/>
    <n v="2033"/>
    <x v="5"/>
    <x v="0"/>
    <n v="1022"/>
    <n v="35214500045122"/>
    <s v="Tanger/Casa"/>
    <n v="6.13"/>
    <x v="2"/>
    <s v="N2"/>
    <s v="Arrêt du train"/>
    <s v="Etat H.O : non finalisé entre 301 et 202_x000a_ qualité /niveau de signal : dl rx-qual= 7, dl rx level = -56 dbm_x000a_,Requête de déconnexion a été envoyée par le RBC"/>
    <m/>
    <x v="0"/>
    <s v="En attente de mise en place des tiroires filtrés"/>
    <s v="HO Failure entre 301 et 202"/>
    <s v="dl Rxqual=7"/>
    <s v="dl rx level= -56 dbm"/>
    <s v="OK"/>
    <s v="OK"/>
    <s v="Mauvais"/>
    <s v="retransmission des trames HDLC*5"/>
    <m/>
    <s v="Saad Elhabib"/>
    <m/>
    <m/>
    <m/>
    <m/>
    <m/>
    <m/>
    <m/>
  </r>
  <r>
    <n v="398"/>
    <b v="0"/>
    <x v="174"/>
    <d v="1899-12-30T17:05:06"/>
    <n v="2045"/>
    <x v="9"/>
    <x v="0"/>
    <n v="1052"/>
    <n v="35214500043740"/>
    <s v="Tanger/Casa"/>
    <n v="6.13"/>
    <x v="2"/>
    <s v="N2"/>
    <s v="Ralentissement du train"/>
    <s v="Etat H.O : non finalisé entre 301 et 303 _x000a_ qualité /niveau de signal : dl rx-qual= 7, dl rx level = -53 dbm_x000a_,Requête de déconnexion a été envoyée par le RBC"/>
    <m/>
    <x v="0"/>
    <s v="En attente de mise en place des tiroires filtrés"/>
    <s v="HO Failure entre 301 et 303 "/>
    <s v="dl Rxqual=7"/>
    <s v="dl rx level= -53 dbm"/>
    <s v="NOK"/>
    <s v="OK"/>
    <s v="Mauvais"/>
    <s v="retransmission des trames HDLC*5"/>
    <m/>
    <s v="Saad Elhabib"/>
    <m/>
    <m/>
    <m/>
    <m/>
    <m/>
    <m/>
    <m/>
  </r>
  <r>
    <n v="399"/>
    <b v="0"/>
    <x v="174"/>
    <d v="1899-12-30T18:39:49"/>
    <n v="1045"/>
    <x v="10"/>
    <x v="1"/>
    <n v="1060"/>
    <n v="35214500043740"/>
    <s v="Casa/Tanger"/>
    <n v="140.65899999999999"/>
    <x v="26"/>
    <s v="N2"/>
    <s v="Ralentissement du train"/>
    <s v=" Etat H.O : finalisé entre 226 et 325 _x000a_ qualité /niveau de signal : dl RxQual=0, dl rx level = -71 dbm_x000a_,Requête de déconnexion a été envoyée par le RBC"/>
    <m/>
    <x v="6"/>
    <s v="En attente de pousser les analyses coté Bord/RBC"/>
    <s v="HO Complete entre 226 et 325"/>
    <s v="dl Rxqual=0"/>
    <s v="dl rx level= -71 dbm"/>
    <s v="OK"/>
    <s v="OK"/>
    <s v="Mauvais"/>
    <s v="retransmission des trames HDLC*5"/>
    <m/>
    <s v="Saad Elhabib"/>
    <m/>
    <m/>
    <m/>
    <m/>
    <m/>
    <m/>
    <m/>
  </r>
  <r>
    <n v="400"/>
    <b v="0"/>
    <x v="174"/>
    <d v="1899-12-30T19:05:06"/>
    <n v="2053"/>
    <x v="0"/>
    <x v="0"/>
    <n v="1036"/>
    <n v="35214500043740"/>
    <s v="Tanger/Casa"/>
    <n v="6.13"/>
    <x v="2"/>
    <s v="N2"/>
    <s v="Arrêt du train"/>
    <s v="Etat H.O : non finalisé entre 202 et 303_x000a_ qualité /niveau de signal : dl rx-qual= 4, dl rx level = -50 dbm_x000a_,Requête de déconnexion a été envoyée par le Bord"/>
    <m/>
    <x v="0"/>
    <s v="En attente de mise en place des tiroires filtrés"/>
    <s v="HO Failure entre 202 et 303 "/>
    <s v="dl Rxqual=4"/>
    <s v="dl rx level= -50 dbm"/>
    <s v="NOK"/>
    <s v="OK"/>
    <s v="Mauvais"/>
    <s v="pas de retransmission des trames HDLC"/>
    <m/>
    <s v="Saad Elhabib"/>
    <m/>
    <m/>
    <m/>
    <m/>
    <m/>
    <m/>
    <m/>
  </r>
  <r>
    <n v="401"/>
    <b v="0"/>
    <x v="175"/>
    <d v="1899-12-30T16:20:53"/>
    <n v="2041"/>
    <x v="1"/>
    <x v="0"/>
    <n v="1029"/>
    <n v="35214500043740"/>
    <s v="Tanger/Casa"/>
    <n v="73.585999999999999"/>
    <x v="13"/>
    <s v="N2"/>
    <s v="Ralentissement du train"/>
    <s v=" Etat H.O : finalisé entre 213 et 214 _x000a_* qualité /niveau de signal : dl RxQual=7, dl rx level = -76 dbm_x000a_,Requête de déconnexion a été envoyée par le RBC"/>
    <m/>
    <x v="2"/>
    <s v="En attente de pousser les analyses coté Bord/Attente de vérification Par l'équipe SOR"/>
    <s v="HO Complete entre 213 et 214"/>
    <s v="dl Rxqual=7"/>
    <s v="dl rx level= -76 dbm"/>
    <s v="OK"/>
    <s v="OK"/>
    <s v="Mauvais"/>
    <s v="retransmission des trames HDLC*5"/>
    <m/>
    <s v="Saad Elhabib"/>
    <m/>
    <m/>
    <m/>
    <m/>
    <m/>
    <m/>
    <m/>
  </r>
  <r>
    <n v="402"/>
    <b v="0"/>
    <x v="175"/>
    <d v="1899-12-30T20:28:12"/>
    <n v="2057"/>
    <x v="0"/>
    <x v="0"/>
    <n v="1037"/>
    <m/>
    <s v="Tanger/Casa"/>
    <n v="108.206"/>
    <x v="1"/>
    <s v="N2"/>
    <s v="Ralentissement du train"/>
    <s v=" Etat H.O : NON finalisé entre 219 et 320_x000a_* qualité /niveau de signal : dl RxQual=5, dl rx level = -80 dbm_x000a_,Requête de déconnexion a été envoyée par le MSC"/>
    <m/>
    <x v="2"/>
    <s v="Attente de planification d'un analyse spectrale/En attente de pousser les analyses coté Bord"/>
    <s v="HO Failure entre 219 et 320 "/>
    <s v="dl Rxqual=5"/>
    <s v="dl rx level= -80 dbm"/>
    <s v="OK"/>
    <s v="OK"/>
    <s v="Mauvais"/>
    <s v="retransmission des trames HDLC*4"/>
    <m/>
    <s v="ELHAJOUIA Achraf"/>
    <m/>
    <m/>
    <m/>
    <m/>
    <m/>
    <m/>
    <m/>
  </r>
  <r>
    <n v="403"/>
    <b v="0"/>
    <x v="175"/>
    <d v="1899-12-30T22:45:05"/>
    <n v="1061"/>
    <x v="11"/>
    <x v="1"/>
    <n v="1072"/>
    <m/>
    <s v="Casa/Tanger"/>
    <n v="94.953999999999994"/>
    <x v="8"/>
    <s v="N2"/>
    <s v="Ralentissement du train"/>
    <s v=" Etat H.O : NON finalisé entre 219 et 217_x000a_* qualité /niveau de signal : dl RxQual=6, dl rx level = -83 dbm_x000a_,Requête de déconnexion a été envoyée par le RBC"/>
    <m/>
    <x v="2"/>
    <s v="Attente de planification d'un analyse spectrale/En attente de pousser les analyses coté Bord"/>
    <s v="HO Failure entre 219 et 217"/>
    <s v="dl Rxqual=6"/>
    <s v="dl rx level= -83 dbm"/>
    <s v="OK"/>
    <s v="OK"/>
    <s v="Mauvais"/>
    <s v="retransmission des trames HDLC*5"/>
    <m/>
    <s v="ELHAJOUIA Achraf"/>
    <m/>
    <m/>
    <m/>
    <m/>
    <m/>
    <m/>
    <m/>
  </r>
  <r>
    <n v="404"/>
    <b v="0"/>
    <x v="176"/>
    <d v="1899-12-30T07:21:12"/>
    <n v="2005"/>
    <x v="3"/>
    <x v="0"/>
    <n v="1047"/>
    <m/>
    <s v="Tanger/Casa"/>
    <n v="73.585999999999999"/>
    <x v="13"/>
    <s v="N2"/>
    <s v="Ralentissement du train"/>
    <s v=" Etat H.O : NON finalisé entre 213 et 214_x000a_* qualité /niveau de signal : dl RxQual=7, dl rx level = -64 dbm_x000a_,Requête de déconnexion a été envoyée par le RBC"/>
    <m/>
    <x v="2"/>
    <s v="En attente de pousser les analyses coté Bord/Attente de vérification Par l'équipe SOR"/>
    <s v="HO Failure entre 213 et 214"/>
    <s v="dl Rxqual=7"/>
    <s v="dl rx level= -64 dbm"/>
    <s v="OK"/>
    <s v="OK"/>
    <s v="Mauvais"/>
    <s v="retransmission des trames HDLC*5"/>
    <m/>
    <s v="ELHAJOUIA Achraf"/>
    <m/>
    <m/>
    <m/>
    <m/>
    <m/>
    <m/>
    <m/>
  </r>
  <r>
    <n v="405"/>
    <b v="0"/>
    <x v="176"/>
    <d v="1899-12-30T08:55:25"/>
    <n v="1005"/>
    <x v="0"/>
    <x v="1"/>
    <n v="1044"/>
    <m/>
    <s v="Casa/Tanger"/>
    <n v="51.036999999999999"/>
    <x v="29"/>
    <s v="N2"/>
    <s v="Ralentissement du train"/>
    <s v=" Etat H.O : NON finalisé entre 310 et 309_x000a_* qualité /niveau de signal : dl RxQual=0 dl rx level = -48dbm_x000a_,Requête de déconnexion a été envoyée par le RBC"/>
    <m/>
    <x v="0"/>
    <s v="En attente de pousser les analyses coté Bord"/>
    <s v="HO Failure entre 310 et 309"/>
    <s v="dl Rxqual=7"/>
    <s v="dl rx level= -48 dbm"/>
    <s v="OK"/>
    <s v="NOK"/>
    <s v="Mauvais"/>
    <s v="retransmission des trames HDLC*5"/>
    <m/>
    <s v="Nassim NAJIM"/>
    <m/>
    <m/>
    <m/>
    <m/>
    <m/>
    <m/>
    <m/>
  </r>
  <r>
    <n v="406"/>
    <b v="0"/>
    <x v="176"/>
    <d v="1899-12-30T12:29:48"/>
    <n v="1022"/>
    <x v="8"/>
    <x v="1"/>
    <n v="1022"/>
    <m/>
    <s v="Casa/Tanger"/>
    <n v="177.85"/>
    <x v="4"/>
    <s v="N2"/>
    <s v="Ralentissement du train"/>
    <s v=" Etat H.O : NON finalisé entre 231 et 329_x000a_* qualité /niveau de signal : dl RxQual=7 dl rx level = -74dbm_x000a_,Requête de déconnexion a été envoyée par le Bord"/>
    <m/>
    <x v="0"/>
    <s v="En attente de pousser les analyses coté Bord"/>
    <s v="HO Failure entre 231 et 329"/>
    <s v="dl Rxqual=7"/>
    <s v="dl rx level= -74 dbm"/>
    <s v="OK"/>
    <s v="NOK"/>
    <s v="Mauvais"/>
    <s v="retransmission des trames HDLC*5"/>
    <m/>
    <s v="Nassim NAJIM"/>
    <m/>
    <m/>
    <m/>
    <m/>
    <m/>
    <m/>
    <m/>
  </r>
  <r>
    <n v="407"/>
    <b v="0"/>
    <x v="176"/>
    <s v=" 14:05:46 "/>
    <n v="2033"/>
    <x v="10"/>
    <x v="0"/>
    <n v="7206"/>
    <m/>
    <s v="Tanger/Casa"/>
    <n v="6.13"/>
    <x v="2"/>
    <s v="N2"/>
    <s v="Ralentissement du train"/>
    <s v=" Etat H.O : NON finalisé entre 302 et 303_x000a_* qualité /niveau de signal : dl RxQual=6 dl rx level = -56dbm_x000a_,Requête de déconnexion a été envoyée par le RBC"/>
    <m/>
    <x v="0"/>
    <s v="En attente de mise en place des tiroires filtrés"/>
    <s v="HO Failure entre 302 et 303"/>
    <s v="dl Rxqual=6"/>
    <s v="dl rx level= -56 dbm"/>
    <s v="OK"/>
    <s v="OK"/>
    <s v="Mauvais"/>
    <s v="retransmission des trames HDLC*5"/>
    <m/>
    <s v="Nassim NAJIM"/>
    <m/>
    <m/>
    <m/>
    <m/>
    <m/>
    <m/>
    <m/>
  </r>
  <r>
    <n v="408"/>
    <b v="0"/>
    <x v="176"/>
    <s v=" 18:28:34 "/>
    <n v="2049"/>
    <x v="11"/>
    <x v="0"/>
    <n v="1048"/>
    <m/>
    <s v="Tanger/Casa"/>
    <n v="109.495"/>
    <x v="1"/>
    <s v="N2"/>
    <s v="Ralentissement du train"/>
    <s v="Etat H.O : non finalisé entre 220 et 321_x000a_ qualité /niveau de signal : dl rx-qual= 6, dl rx level = -64 dbm_x000a_,Requête de déconnexion a été envoyée par le Bord"/>
    <m/>
    <x v="2"/>
    <s v="Attente de planification d'un analyse spectrale/En attente de pousser les analyses coté Bord"/>
    <s v="HO Failure entre 220 et 321"/>
    <s v="dl Rxqual=6"/>
    <s v="dl rx level= -64 dbm"/>
    <s v="NOK"/>
    <s v="OK"/>
    <s v="Mauvais"/>
    <s v="retransmission des trames HDLC*5"/>
    <m/>
    <s v="Saad Elhabib"/>
    <m/>
    <m/>
    <m/>
    <m/>
    <m/>
    <m/>
    <m/>
  </r>
  <r>
    <n v="409"/>
    <b v="0"/>
    <x v="176"/>
    <s v=" 21:27:54 "/>
    <n v="2061"/>
    <x v="3"/>
    <x v="0"/>
    <n v="1046"/>
    <m/>
    <s v="Tanger/Casa"/>
    <n v="108.206"/>
    <x v="1"/>
    <s v="N2"/>
    <s v="Ralentissement du train"/>
    <s v="Etat H.O : Non finalisé entre 219 et 320_x000a_ qualité /niveau de signal : dl rx-qual= 7, dl rx level = -68 dbm_x000a_,Requête de déconnexion a été envoyée par le Bord"/>
    <m/>
    <x v="2"/>
    <s v="Attente de planification d'un analyse spectrale/En attente de pousser les analyses coté Bord"/>
    <s v="HO Failure entre 219 et 320"/>
    <s v="dl Rxqual=7"/>
    <s v="dl rx level= -68 dbm"/>
    <s v="OK"/>
    <s v="OK"/>
    <s v="Mauvais"/>
    <s v=" Retransmission des trames HDLC*5"/>
    <m/>
    <s v="Fahd OUSSALH"/>
    <m/>
    <m/>
    <m/>
    <m/>
    <m/>
    <m/>
    <m/>
  </r>
  <r>
    <n v="410"/>
    <b v="0"/>
    <x v="176"/>
    <s v=" 22:27:22 "/>
    <n v="2061"/>
    <x v="11"/>
    <x v="1"/>
    <n v="1072"/>
    <m/>
    <s v="Casa/Tanger"/>
    <n v="198.98400000000001"/>
    <x v="5"/>
    <s v="N2"/>
    <s v="Ralentissement du train"/>
    <s v="Etat H.O :  finalisé entre 234 et 233_x000a_ qualité /niveau de signal : dl rx-qual= 0, dl rx level = -54 dbm_x000a_,Requête de déconnexion a été envoyée par le Bord"/>
    <m/>
    <x v="0"/>
    <s v="En attente de pousser les analyses coté Bord"/>
    <s v="HO Complete entre 234 et 233"/>
    <s v="dl Rxqual=0"/>
    <s v="dl rx level= -54 dbm"/>
    <s v="OK"/>
    <s v="OK"/>
    <s v="Mauvais"/>
    <s v="Pas Retransmission des trames HDLC"/>
    <m/>
    <s v="Fahd OUSSALH"/>
    <m/>
    <m/>
    <m/>
    <m/>
    <m/>
    <m/>
    <m/>
  </r>
  <r>
    <n v="411"/>
    <b v="0"/>
    <x v="176"/>
    <s v=" 23:18:16 "/>
    <n v="2061"/>
    <x v="11"/>
    <x v="1"/>
    <n v="1072"/>
    <m/>
    <s v="Casa/Tanger"/>
    <n v="7.3209999999999997"/>
    <x v="2"/>
    <s v="N2"/>
    <s v="Arrêt du train"/>
    <s v="Etat H.O : NON finalisé entre 303et 202_x000a_ qualité /niveau de signal : dl rx-qual= 2, dl rx level = -72 dbm_x000a_,Requête de déconnexion a été envoyée par le RBC"/>
    <m/>
    <x v="0"/>
    <s v="En attente de mise en place des tiroires filtrés"/>
    <s v="HO Failure entre 303 et 202"/>
    <s v="dl Rxqual=2"/>
    <s v="dl rx level= -72 dbm"/>
    <s v="OK"/>
    <s v="OK"/>
    <s v="Mauvais"/>
    <s v=" Retransmission des trames HDLC*5"/>
    <m/>
    <s v="Fahd OUSSALH"/>
    <m/>
    <m/>
    <m/>
    <m/>
    <m/>
    <m/>
    <m/>
  </r>
  <r>
    <n v="412"/>
    <b v="0"/>
    <x v="177"/>
    <s v=" 07:21:25 "/>
    <n v="2005"/>
    <x v="2"/>
    <x v="0"/>
    <n v="7218"/>
    <m/>
    <s v="Tanger/Casa"/>
    <n v="73.588999999999999"/>
    <x v="13"/>
    <s v="N2"/>
    <s v="Ralentissement du train"/>
    <s v="Etat H.O :  finalisé entre 212et 213_x000a_ qualité /niveau de signal : dl rx-qual= 6, dl rx level = -68 dbm_x000a_,Requête de déconnexion a été envoyée par le RBC"/>
    <m/>
    <x v="2"/>
    <s v="chaine antennaire dégradé, besoin de vérification de la chaine /Zone sous surveillance par équipe NOC GSMR"/>
    <s v="HO Complete entre 212 et 213"/>
    <s v="dl Rxqual=6"/>
    <s v="dl rx level= -68 dbm"/>
    <s v="OK"/>
    <s v="OK"/>
    <s v="Mauvais"/>
    <s v=" Retransmission des trames HDLC*5"/>
    <m/>
    <s v="Fahd OUSSALH"/>
    <m/>
    <m/>
    <m/>
    <m/>
    <m/>
    <m/>
    <m/>
  </r>
  <r>
    <n v="413"/>
    <b v="0"/>
    <x v="177"/>
    <s v=" 10:21:27"/>
    <n v="2017"/>
    <x v="8"/>
    <x v="0"/>
    <n v="1043"/>
    <m/>
    <s v="Tanger/Casa"/>
    <n v="73.585999999999999"/>
    <x v="13"/>
    <s v="N2"/>
    <s v="Ralentissement du train"/>
    <s v="Etat H.O :  finalisé entre 213 et 214_x000a_ qualité /niveau de signal : dl rx-qual= 7, dl rx level = -78 dbm_x000a_,Requête de déconnexion a été envoyée par le RBC"/>
    <m/>
    <x v="0"/>
    <s v="En attente de pousser les analyses coté Bord"/>
    <s v="HO Complete entre 213 et 214"/>
    <s v="dl Rxqual=7"/>
    <s v="dl rx level= -78 dbm"/>
    <s v="OK"/>
    <s v="OK"/>
    <s v="Mauvais"/>
    <s v=" Retransmission des trames HDLC*5"/>
    <m/>
    <s v="HAMZAOUI Youssef"/>
    <m/>
    <m/>
    <m/>
    <m/>
    <m/>
    <m/>
    <m/>
  </r>
  <r>
    <n v="414"/>
    <b v="0"/>
    <x v="177"/>
    <s v=" 10:42:39"/>
    <n v="2017"/>
    <x v="8"/>
    <x v="0"/>
    <n v="1042"/>
    <m/>
    <s v="Tanger/Casa"/>
    <n v="172.83600000000001"/>
    <x v="27"/>
    <s v="N2"/>
    <s v="Ralentissement du train"/>
    <s v="Etat H.O : NON finalisé entre 229 et 230_x000a_ qualité /niveau de signal : dl rx-qual= 0, dl rx level = -58 dbm_x000a_,Requête de déconnexion a été envoyée par le RBC"/>
    <m/>
    <x v="0"/>
    <s v="En attente de pousser les analyses coté Bord"/>
    <s v="HO Failure entre 229 et 230"/>
    <s v="dl Rxqual=0"/>
    <s v="dl rx level= -58 dbm"/>
    <s v="NOK"/>
    <s v="OK"/>
    <s v="Mauvais"/>
    <s v=" Retransmission des trames HDLC*5"/>
    <m/>
    <s v="Noura MOUSSAOUI"/>
    <m/>
    <m/>
    <m/>
    <m/>
    <m/>
    <m/>
    <m/>
  </r>
  <r>
    <n v="415"/>
    <b v="0"/>
    <x v="177"/>
    <s v=" 13:03:25"/>
    <n v="1022"/>
    <x v="5"/>
    <x v="1"/>
    <n v="1027"/>
    <m/>
    <s v="Casa/Tanger"/>
    <n v="11.22"/>
    <x v="22"/>
    <s v="N2"/>
    <s v="Ralentissement du train"/>
    <s v="Etat H.O :Complet entre 204 et 303_x000a_ qualité /niveau de signal : dl rx-qual= 0, dl rx level = -48 dbm_x000a_,Requête de déconnexion a été envoyée par le RBC"/>
    <m/>
    <x v="0"/>
    <s v="En attente de pousser les analyses coté Bord"/>
    <s v="HO Complete entre 204 et 303"/>
    <s v="dl Rxqual=0"/>
    <s v="dl rx level= -48 dbm"/>
    <s v="OK"/>
    <s v="OK"/>
    <s v="Mauvais"/>
    <s v=" Retransmission des trames HDLC*5"/>
    <m/>
    <s v="Nassim NAJIM"/>
    <m/>
    <m/>
    <m/>
    <m/>
    <m/>
    <m/>
    <m/>
  </r>
  <r>
    <n v="416"/>
    <b v="0"/>
    <x v="177"/>
    <d v="1899-12-30T20:08:29"/>
    <n v="2057"/>
    <x v="7"/>
    <x v="0"/>
    <n v="1055"/>
    <m/>
    <s v="Tanger/Casa"/>
    <n v="14.99"/>
    <x v="22"/>
    <s v="N2"/>
    <s v="Ralentissement du train"/>
    <s v="Etat H.O : Complet  entre 303 et 204_x000a_*qualité /niveau de signal : dl rx-qual=0, dl rx level = -48 dbm_x000a_,Requête de déconnexion a été envoyée par le RBC"/>
    <m/>
    <x v="0"/>
    <s v="En attente de pousser les analyses coté Bord"/>
    <s v="HO Complete entre 303 et 204"/>
    <s v="dl Rxqual=0"/>
    <s v="dl rx level= -48 dbm"/>
    <s v="OK"/>
    <s v="OK"/>
    <s v="Mauvais"/>
    <s v=" Retransmission des trames HDLC*5"/>
    <m/>
    <s v="Saad Elhabib"/>
    <m/>
    <m/>
    <m/>
    <m/>
    <m/>
    <m/>
    <m/>
  </r>
  <r>
    <n v="417"/>
    <b v="0"/>
    <x v="177"/>
    <d v="1899-12-30T20:39:50"/>
    <n v="1053"/>
    <x v="2"/>
    <x v="1"/>
    <n v="1034"/>
    <m/>
    <s v="Casa/Tanger"/>
    <n v="179.089"/>
    <x v="4"/>
    <s v="N2"/>
    <s v="Ralentissement du train"/>
    <s v="Etat H.O : Complet  entre 231 et 229_x000a_*qualité /niveau de signal : dl rx-qual=7, dl rx level = -71 dbm_x000a_,Requête de déconnexion a été envoyée par le RBC"/>
    <m/>
    <x v="2"/>
    <s v="chaine antennaire dégradé, besoin de vérification de la chaine /Zone sous surveillance par équipe NOC GSMR"/>
    <s v="HO Complete entre 231 et 229"/>
    <s v="dl Rxqual=7"/>
    <s v="dl rx level= -71 dbm"/>
    <s v="OK"/>
    <s v="OK"/>
    <s v="Mauvais"/>
    <s v=" Retransmission des trames HDLC*5"/>
    <m/>
    <s v="Saad Elhabib"/>
    <m/>
    <m/>
    <m/>
    <m/>
    <m/>
    <m/>
    <m/>
  </r>
  <r>
    <n v="418"/>
    <b v="0"/>
    <x v="177"/>
    <d v="1899-12-30T21:34:09"/>
    <n v="2061"/>
    <x v="5"/>
    <x v="1"/>
    <n v="1024"/>
    <m/>
    <s v="Casa/Tanger"/>
    <n v="140.65899999999999"/>
    <x v="26"/>
    <s v="N2"/>
    <s v="Ralentissement du train"/>
    <s v="Etat H.O : Complet  entre 323 et 224_x000a_*qualité /niveau de signal : dl rx-qual=5, dl rx level = -72 dbm_x000a_,Requête de déconnexion a été envoyée par le RBC"/>
    <m/>
    <x v="2"/>
    <s v="chaine antennaire dégradé, besoin de vérification de la chaine /Zone sous surveillance par équipe NOC GSMR"/>
    <s v="HO Complete entre 323 et 224"/>
    <s v="dl Rxqual=5"/>
    <s v="dl rx level= -72 dbm"/>
    <s v="OK"/>
    <s v="OK"/>
    <s v="Mauvais"/>
    <s v=" Retransmission des trames HDLC*5"/>
    <m/>
    <s v="Fahd OUSSALH"/>
    <m/>
    <m/>
    <m/>
    <m/>
    <m/>
    <m/>
    <m/>
  </r>
  <r>
    <n v="419"/>
    <b v="0"/>
    <x v="177"/>
    <d v="1899-12-30T21:41:52"/>
    <n v="1058"/>
    <x v="9"/>
    <x v="1"/>
    <n v="1031"/>
    <m/>
    <s v="Casa/Tanger"/>
    <n v="127.815"/>
    <x v="6"/>
    <s v="N2"/>
    <s v="Ralentissement du train"/>
    <s v="Etat H.O : Non fénalisé  entre 223 et 222_x000a_*qualité /niveau de signal : dl rx-qual=7, dl rx level = -81 dbm_x000a_,Requête de déconnexion a été envoyée par le RBC"/>
    <m/>
    <x v="2"/>
    <s v="chaine antennaire dégradé, besoin de vérification de la chaine /Zone sous surveillance par équipe NOC GSMR"/>
    <s v="HO Failure entre 223 et 222"/>
    <s v="dl Rxqual=7"/>
    <s v="dl rx level= -81 dbm"/>
    <s v="OK"/>
    <s v="OK"/>
    <s v="Mauvais"/>
    <s v=" Retransmission des trames HDLC*5"/>
    <m/>
    <s v="Fahd OUSSALH"/>
    <m/>
    <m/>
    <m/>
    <m/>
    <m/>
    <m/>
    <m/>
  </r>
  <r>
    <n v="420"/>
    <b v="0"/>
    <x v="177"/>
    <d v="1899-12-30T22:48:26"/>
    <n v="1061"/>
    <x v="0"/>
    <x v="1"/>
    <n v="1044"/>
    <m/>
    <s v="Casa/Tanger"/>
    <n v="97.619"/>
    <x v="8"/>
    <s v="N2"/>
    <s v="Ralentissement du train"/>
    <s v="Etat H.O : Complet  entre 319 et 318_x000a_*qualité /niveau de signal : dl rx-qual=0, dl rx level = -57 dbm_x000a_,Requête de déconnexion a été envoyée par le RBC"/>
    <m/>
    <x v="0"/>
    <s v="En attente de pousser les analyses coté Bord"/>
    <s v="HO Complete entre 319 et 318_x000a_"/>
    <s v="dl Rxqual=0"/>
    <s v="dl rx level= -57 dbm"/>
    <s v="OK"/>
    <s v="OK"/>
    <s v="Mauvais"/>
    <s v=" Retransmission des trames HDLC*5"/>
    <m/>
    <s v="Fahd OUSSALH"/>
    <m/>
    <m/>
    <m/>
    <m/>
    <m/>
    <m/>
    <m/>
  </r>
  <r>
    <n v="421"/>
    <b v="0"/>
    <x v="178"/>
    <d v="1899-12-30T09:41:51"/>
    <n v="1010"/>
    <x v="7"/>
    <x v="1"/>
    <n v="1041"/>
    <m/>
    <s v="Casa/Tanger"/>
    <n v="131.78899999999999"/>
    <x v="10"/>
    <s v="N2"/>
    <s v="Ralentissement du train"/>
    <s v="Etat H.O : Complet  entre 324 et 323_x000a_*qualité /niveau de signal : dl rx-qual=0, dl rx level = -51 dbm_x000a_,Requête de déconnexion a été envoyée par le RBC"/>
    <m/>
    <x v="0"/>
    <s v="En attente de pousser les analyses coté Bord"/>
    <s v="HO Complete entre 324 et 323_x000a_"/>
    <s v="dl Rxqual=0"/>
    <s v="dl rx level= -51 dbm"/>
    <s v="OK"/>
    <s v="OK"/>
    <s v="Mauvais"/>
    <s v=" Retransmission des trames HDLC*5"/>
    <m/>
    <s v="HAMZAOUI Youssef"/>
    <m/>
    <m/>
    <m/>
    <m/>
    <m/>
    <m/>
    <m/>
  </r>
  <r>
    <n v="422"/>
    <b v="0"/>
    <x v="178"/>
    <d v="1899-12-30T10:09:10"/>
    <n v="1010"/>
    <x v="7"/>
    <x v="1"/>
    <n v="1040"/>
    <m/>
    <s v="Casa/Tanger"/>
    <n v="7.3209999999999997"/>
    <x v="2"/>
    <s v="N2"/>
    <s v="Ralentissement du train"/>
    <s v="Etat H.O : Non finalisé entre 303 et 302_x000a_*qualité /niveau de signal : dl rx-qual=7, dl rx level = -61 dbm_x000a_,Requête de déconnexion a été envoyée par le RBC"/>
    <m/>
    <x v="0"/>
    <s v="En attente de mise en place des tiroires filtrés"/>
    <s v="HO Failure entre 303 et 302"/>
    <s v="dl Rxqual=7"/>
    <s v="dl rx level= -61 dbm"/>
    <s v="OK"/>
    <s v="OK"/>
    <s v="Mauvais"/>
    <s v=" Retransmission des trames HDLC*5"/>
    <m/>
    <s v="Noura MOUSSAOUI"/>
    <m/>
    <m/>
    <m/>
    <m/>
    <m/>
    <m/>
    <m/>
  </r>
  <r>
    <n v="423"/>
    <b v="0"/>
    <x v="178"/>
    <d v="1899-12-30T17:55:30"/>
    <n v="1042"/>
    <x v="10"/>
    <x v="1"/>
    <n v="1061"/>
    <m/>
    <s v="Casa/Tanger"/>
    <n v="83.084000000000003"/>
    <x v="15"/>
    <s v="N2"/>
    <s v="Ralentissement du train"/>
    <s v="Etat H.O : Complet entre 216 et 315_x000a_* qualité /niveau de signal : dl rx-qual=0, dl rx level = -50 dbm_x000a_,Requête de déconnexion a été envoyée par le RBC"/>
    <m/>
    <x v="0"/>
    <s v="En attente de pousser les analyses coté Bord"/>
    <s v="HO Complete entre 216 et 315"/>
    <s v="dl Rxqual=0"/>
    <s v="dl rx level= -50 dbm"/>
    <s v="OK"/>
    <s v="OK"/>
    <s v="Mauvais"/>
    <s v=" Retransmission des trames HDLC*5"/>
    <m/>
    <s v="Saad Elhabib"/>
    <m/>
    <m/>
    <m/>
    <m/>
    <m/>
    <m/>
    <m/>
  </r>
  <r>
    <n v="424"/>
    <b v="0"/>
    <x v="178"/>
    <d v="1899-12-30T18:35:54"/>
    <n v="1045"/>
    <x v="9"/>
    <x v="1"/>
    <n v="1031"/>
    <m/>
    <s v="Casa/Tanger"/>
    <n v="177.85"/>
    <x v="4"/>
    <s v="N2"/>
    <s v="Ralentissement du train"/>
    <s v="Etat H.O : Performed entre 330 et 331 avec downLink quality_x000a_* qualité /niveau de signal : dl rx-qual=7, dl rx level = -75 dbm_x000a_,Requête de déconnexion a été envoyée par le RBC"/>
    <m/>
    <x v="2"/>
    <s v="chaine antennaire dégradé, besoin de vérification de la chaine /Zone sous surveillance par équipe NOC GSMR"/>
    <s v="HO Performed entre 330 et 331"/>
    <s v="dl Rxqual=7"/>
    <s v="dl rx level= -75 dbm"/>
    <s v="NOK"/>
    <s v="OK"/>
    <s v="Mauvais"/>
    <s v=" Retransmission des trames HDLC*5"/>
    <m/>
    <s v="Saad Elhabib"/>
    <m/>
    <m/>
    <m/>
    <m/>
    <m/>
    <m/>
    <m/>
  </r>
  <r>
    <n v="425"/>
    <b v="0"/>
    <x v="179"/>
    <s v="06:11:52 "/>
    <n v="1081"/>
    <x v="9"/>
    <x v="1"/>
    <n v="1031"/>
    <m/>
    <s v="Casa/Tanger"/>
    <n v="149.01400000000001"/>
    <x v="3"/>
    <s v="N2"/>
    <s v="Ralentissement du train"/>
    <s v="Etat H.O : Complet  entre 327et 326_x000a_*qualité /niveau de signal : dl rx-qual=0, dl rx level = -77 dbm_x000a_,Requête de déconnexion a été envoyée par le RBC"/>
    <m/>
    <x v="0"/>
    <s v="chaine antennaire dégradé, besoin de vérification de la chaine , Besoin de vérification de la chaine antennaire "/>
    <s v="HO Complete entre 327 et 326_x000a_"/>
    <s v="dl Rxqual=0"/>
    <s v="dl rx level= -77 dbm"/>
    <s v="OK"/>
    <s v="OK"/>
    <s v="Mauvais"/>
    <s v=" Retransmission des trames HDLC*5"/>
    <m/>
    <s v="Fahd OUSSALH"/>
    <m/>
    <m/>
    <m/>
    <m/>
    <m/>
    <m/>
    <m/>
  </r>
  <r>
    <n v="426"/>
    <b v="0"/>
    <x v="179"/>
    <s v=" 12:05:18"/>
    <n v="2025"/>
    <x v="2"/>
    <x v="0"/>
    <n v="7217"/>
    <m/>
    <s v="Tanger/Casa"/>
    <n v="6.13"/>
    <x v="2"/>
    <s v="N2"/>
    <s v="Ralentissement du train"/>
    <s v="Etat H.O : Non finalisé  entre 202 et 303_x000a_*qualité /niveau de signal : dl rx-qual=3, dl rx level = -50 dbm_x000a_,Requête de déconnexion a été envoyée par le BORD"/>
    <m/>
    <x v="0"/>
    <s v="En attente de mise en place des tiroires filtrés"/>
    <s v="HO Failure entre 202 et 303 "/>
    <s v="dl Rxqual=3"/>
    <s v="dl rx level= -50 dbm"/>
    <s v="OK"/>
    <s v="OK"/>
    <s v="Mauvais"/>
    <s v=" Retransmission des trames HDLC*5"/>
    <m/>
    <s v="Noura MOUSSAOUI"/>
    <m/>
    <m/>
    <m/>
    <m/>
    <m/>
    <m/>
    <m/>
  </r>
  <r>
    <n v="427"/>
    <b v="0"/>
    <x v="179"/>
    <s v=" 18:05:01"/>
    <n v="2049"/>
    <x v="2"/>
    <x v="0"/>
    <n v="7217"/>
    <m/>
    <s v="Tanger/Casa"/>
    <n v="6.13"/>
    <x v="2"/>
    <s v="N2"/>
    <s v="Arrêt du train"/>
    <s v="Etat H.O : Non finalisé  entre 202 et 301_x000a_*qualité /niveau de signal : dl rx-qual=7, dl rx level = -54 dbm_x000a_,Requête de déconnexion a été envoyée par le RBC "/>
    <m/>
    <x v="0"/>
    <s v="En attente de mise en place des tiroires filtrés"/>
    <s v="HO Failure entre 202 et 301"/>
    <s v="dl Rxqual=7"/>
    <s v="dl rx level= -54 dbm"/>
    <s v="OK"/>
    <s v="OK"/>
    <s v="Mauvais"/>
    <s v=" Retransmission des trames HDLC*5"/>
    <m/>
    <s v="ELHAJOUIA Achraf"/>
    <m/>
    <m/>
    <m/>
    <m/>
    <m/>
    <m/>
    <m/>
  </r>
  <r>
    <n v="428"/>
    <b v="0"/>
    <x v="179"/>
    <s v=" 19:28:00"/>
    <n v="2053"/>
    <x v="8"/>
    <x v="0"/>
    <n v="1042"/>
    <m/>
    <s v="Tanger/Casa"/>
    <n v="109.495"/>
    <x v="1"/>
    <s v="N2"/>
    <s v="Ralentissement du train"/>
    <s v="Etat H.O : Non finalisé  entre 320 et 321_x000a_*qualité /niveau de signal : dl rx-qual=6, dl rx level = -65 dbm_x000a_,Requête de déconnexion a été envoyée par le RBC "/>
    <m/>
    <x v="2"/>
    <s v="chaine antennaire dégradé, besoin de vérification de la chaine /Zone sous surveillance par équipe NOC GSMR"/>
    <s v="HO Failure entre 320 et 321"/>
    <s v="dl Rxqual=6"/>
    <s v="dl rx level= -65 dbm"/>
    <s v="NOK"/>
    <s v="OK"/>
    <s v="Mauvais"/>
    <s v=" Retransmission des trames HDLC*5"/>
    <m/>
    <s v="ELHAJOUIA Achraf"/>
    <m/>
    <m/>
    <m/>
    <m/>
    <m/>
    <m/>
    <m/>
  </r>
  <r>
    <n v="429"/>
    <b v="0"/>
    <x v="179"/>
    <s v=" 22:40:11"/>
    <n v="1061"/>
    <x v="2"/>
    <x v="1"/>
    <n v="1035"/>
    <m/>
    <s v="Casa/Tanger"/>
    <n v="122.536"/>
    <x v="30"/>
    <s v="N2"/>
    <s v="Ralentissement du train"/>
    <s v="Etat H.O : Non finalisé  entre 322 et 321_x000a_*qualité /niveau de signal : dl rx-qual=2, dl rx level = -78 dbm_x000a_,Requête de déconnexion a été envoyée par le RBC "/>
    <m/>
    <x v="0"/>
    <s v="En attente de pousser les analyses coté Bord"/>
    <s v="HO Failure entre 322 et 321"/>
    <s v="dl Rxqual=2"/>
    <s v="dl rx level= -78 dbm"/>
    <s v="OK"/>
    <s v="OK"/>
    <s v="Mauvais"/>
    <s v=" Retransmission des trames HDLC*5"/>
    <m/>
    <s v="Fahd OUSSALH"/>
    <m/>
    <m/>
    <m/>
    <m/>
    <m/>
    <m/>
    <m/>
  </r>
  <r>
    <n v="430"/>
    <b v="0"/>
    <x v="180"/>
    <d v="1899-12-30T07:29:57"/>
    <n v="2005"/>
    <x v="2"/>
    <x v="0"/>
    <n v="7218"/>
    <m/>
    <s v="Tanger/Casa"/>
    <n v="118.562"/>
    <x v="17"/>
    <s v="N2"/>
    <s v="Arrêt du train"/>
    <s v=" Etat H.O :  finalisé entre 220 et 221_x000a_* qualité /niveau de signal : dl rx-qual=1, dl rx level = -65 dbm_x000a_,Requête de déconnexion a été envoyée par le RBC "/>
    <m/>
    <x v="6"/>
    <s v="En attente de pousser les analyses coté Bord/RBC"/>
    <s v="HO Complete entre 220 et 221_x000a_"/>
    <s v="dl Rxqual=1"/>
    <s v="dl rx level= -65 dbm"/>
    <s v="OK"/>
    <s v="OK"/>
    <s v="Mauvais"/>
    <s v=" Retransmission des trames HDLC*5"/>
    <m/>
    <s v="Fahd OUSSALH"/>
    <m/>
    <m/>
    <m/>
    <m/>
    <m/>
    <m/>
    <m/>
  </r>
  <r>
    <n v="431"/>
    <b v="0"/>
    <x v="180"/>
    <d v="1899-12-30T10:04:44"/>
    <n v="2017"/>
    <x v="8"/>
    <x v="0"/>
    <n v="1042"/>
    <m/>
    <s v="Tanger/Casa"/>
    <n v="6.13"/>
    <x v="2"/>
    <s v="N2"/>
    <s v="Ralentissement du train"/>
    <s v=" Etat H.O :  non finalisé entre 202 et 303_x000a_* qualité /niveau de signal : dl rx-qual=3, dl rx level = -53 dbm_x000a_,Requête de déconnexion a été envoyée par le Bord"/>
    <m/>
    <x v="0"/>
    <s v="En attente de mise en place des tiroires filtrés"/>
    <s v="HO Failure entre 202 et 303"/>
    <s v="dl Rxqual=3"/>
    <s v="dl rx level= -53 dbm"/>
    <s v="OK"/>
    <s v="OK"/>
    <s v="Mauvais"/>
    <s v=" Retransmission des trames HDLC*5"/>
    <m/>
    <s v="Noura MOUSSAOUI"/>
    <m/>
    <m/>
    <m/>
    <m/>
    <m/>
    <m/>
    <m/>
  </r>
  <r>
    <n v="432"/>
    <b v="0"/>
    <x v="180"/>
    <d v="1899-12-30T20:00:59"/>
    <n v="1049"/>
    <x v="9"/>
    <x v="1"/>
    <n v="1031"/>
    <m/>
    <s v="Casa/Tanger"/>
    <n v="17.59"/>
    <x v="20"/>
    <s v="N2"/>
    <s v="Ralentissement du train"/>
    <s v=" Etat H.O : Complete  entre 305 et 204_x000a_* qualité /niveau de signal : dl rx-qual=0, dl rx level = -48 dbm_x000a_,Requête de déconnexion a été envoyée par le RBC"/>
    <m/>
    <x v="6"/>
    <s v="En attente de pousser les analyses coté Bord/RBC"/>
    <s v="HO Complete entre 305 et 204_x000a_"/>
    <s v="dl Rxqual=0"/>
    <s v="dl rx level= -48 dbm"/>
    <s v="OK"/>
    <s v="OK"/>
    <s v="Mauvais"/>
    <s v=" Retransmission des trames HDLC*5"/>
    <m/>
    <s v="ELHAJOUIA Achraf"/>
    <m/>
    <m/>
    <m/>
    <m/>
    <m/>
    <m/>
    <m/>
  </r>
  <r>
    <n v="433"/>
    <b v="0"/>
    <x v="181"/>
    <d v="1899-12-30T09:09:22"/>
    <n v="2013"/>
    <x v="9"/>
    <x v="0"/>
    <n v="1052"/>
    <m/>
    <s v="Tanger/Casa"/>
    <n v="17.59"/>
    <x v="20"/>
    <s v="N2"/>
    <s v="Ralentissement du train"/>
    <s v=" Etat H.O : finalisé entre 203 et 204_x000a_* qualité /niveau de signal : dl rx-qual=0, dl rx level = -48 dbm_x000a_,Requête de déconnexion a été envoyée par le RBC"/>
    <m/>
    <x v="6"/>
    <s v="En attente de pousser les analyses coté Bord/RBC"/>
    <s v="HO Complete entre 203 et 204_x000a_"/>
    <s v="dl Rxqual=0"/>
    <s v="dl rx level= -48 dbm"/>
    <s v="OK"/>
    <s v="OK"/>
    <s v="Mauvais"/>
    <s v=" Retransmission des trames HDLC*5"/>
    <m/>
    <s v="Saad Elhabib"/>
    <m/>
    <m/>
    <m/>
    <m/>
    <m/>
    <m/>
    <m/>
  </r>
  <r>
    <n v="434"/>
    <b v="0"/>
    <x v="181"/>
    <d v="1899-12-30T17:42:29"/>
    <n v="1041"/>
    <x v="5"/>
    <x v="1"/>
    <n v="1027"/>
    <m/>
    <s v="Casa/Tanger"/>
    <n v="110.783"/>
    <x v="1"/>
    <s v="N2"/>
    <s v="Ralentissement du train"/>
    <s v=" Etat H.O : complete  entre 321 et 320_x000a_* qualité /niveau de signal : dl rx-qual=0, dl rx level = -68 dbm_x000a_,Requête de déconnexion a été envoyée par le RBC"/>
    <m/>
    <x v="2"/>
    <s v="chaine antennaire dégradé, besoin de vérification de la chaine /Zone sous surveillance par équipe NOC GSMR"/>
    <s v="HO Complete entre 321 et 320_x000a_"/>
    <s v="dl Rxqual=0"/>
    <s v="dl rx level= -68 dbm"/>
    <s v="OK"/>
    <s v="OK"/>
    <s v="Mauvais"/>
    <s v=" Retransmission des trames HDLC*5"/>
    <m/>
    <s v="ELHAJOUIA Achraf"/>
    <m/>
    <m/>
    <m/>
    <m/>
    <m/>
    <m/>
    <m/>
  </r>
  <r>
    <n v="435"/>
    <b v="0"/>
    <x v="181"/>
    <d v="1899-12-30T18:04:41"/>
    <n v="1041"/>
    <x v="5"/>
    <x v="1"/>
    <n v="1026"/>
    <m/>
    <s v="Casa/Tanger"/>
    <n v="7.3209999999999997"/>
    <x v="2"/>
    <s v="N2"/>
    <s v="Ralentissement du train"/>
    <s v=" Etat H.O :  non finalisé entre 202 et 203_x000a_* qualité /niveau de signal : dl rx-qual=6, dl rx level = -54 dbm_x000a_,Requête de déconnexion a été envoyée par le RBC "/>
    <m/>
    <x v="0"/>
    <s v="En attente de mise en place des tiroires filtrés"/>
    <s v="HO Failure entre 202 et 203"/>
    <s v="dl Rxqual=6"/>
    <s v="dl rx level= -54 dbm"/>
    <s v="OK"/>
    <s v="OK"/>
    <s v="Mauvais"/>
    <s v=" Retransmission des trames HDLC*5"/>
    <m/>
    <s v="ELHAJOUIA Achraf"/>
    <m/>
    <m/>
    <m/>
    <m/>
    <m/>
    <m/>
    <m/>
  </r>
  <r>
    <n v="436"/>
    <b v="0"/>
    <x v="181"/>
    <d v="1899-12-30T17:44:26"/>
    <n v="2045"/>
    <x v="2"/>
    <x v="0"/>
    <n v="7218"/>
    <m/>
    <s v="Tanger/Casa"/>
    <n v="179.149"/>
    <x v="4"/>
    <s v="N2"/>
    <s v="Ralentissement du train"/>
    <s v=" Etat H.O : complete  entre 230 et 231_x000a_* qualité /niveau de signal : dl rx-qual=0, dl rx level = -58 dbm_x000a_,Requête de déconnexion a été envoyée par le RBC"/>
    <m/>
    <x v="6"/>
    <s v="En attente de pousser les analyses coté Bord/RBC"/>
    <s v="HO Complete entre 230 et 231_x000a_"/>
    <s v="dl Rxqual=0"/>
    <s v="dl rx level= -58 dbm"/>
    <s v="OK"/>
    <s v="OK"/>
    <s v="Mauvais"/>
    <s v=" Retransmission des trames HDLC*5"/>
    <m/>
    <s v="ELHAJOUIA Achraf"/>
    <m/>
    <m/>
    <m/>
    <m/>
    <m/>
    <m/>
    <m/>
  </r>
  <r>
    <n v="437"/>
    <b v="0"/>
    <x v="181"/>
    <d v="1899-12-30T22:05:53"/>
    <n v="10081"/>
    <x v="1"/>
    <x v="0"/>
    <n v="1028"/>
    <m/>
    <s v="Tanger/Casa"/>
    <n v="6.13"/>
    <x v="2"/>
    <s v="N2"/>
    <s v="Arrêt du train"/>
    <s v="Etat H.O : Non finalisé entre 301 et 202 (Ping pong entre 202 et 301 )_x000a_* qualité /niveau de signal : dl rx-qual=6, dl rx level = -54 dbm_x000a_,Requête de déconnexion a été envoyée par le RBC"/>
    <m/>
    <x v="0"/>
    <s v="En attente de mise en place des tiroires filtrés"/>
    <s v="Etat H.O : Non finalisé entre 301 et 202 (Ping pong entre 202 et 301 )_x000a_"/>
    <s v="dl Rxqual=6"/>
    <s v="dl rx level= -54 dbm"/>
    <s v="OK"/>
    <s v="OK"/>
    <s v="Mauvais"/>
    <s v=" Retransmission des trames HDLC*5"/>
    <m/>
    <s v="HARIRI Bahaeddine"/>
    <m/>
    <m/>
    <m/>
    <m/>
    <m/>
    <m/>
    <m/>
  </r>
  <r>
    <n v="438"/>
    <b v="0"/>
    <x v="182"/>
    <d v="1899-12-30T04:35:06"/>
    <n v="2081"/>
    <x v="5"/>
    <x v="0"/>
    <n v="2028"/>
    <m/>
    <s v="Tanger/Casa"/>
    <n v="79.281999999999996"/>
    <x v="11"/>
    <s v="N2"/>
    <s v="Ralentissement du train"/>
    <s v=" Etat H.O : complete  entre 214 et 215_x000a_* qualité /niveau de signal : dl rx-qual=0, dl rx level = -48 dbm_x000a_,Requête de déconnexion a été envoyée par le RBC"/>
    <m/>
    <x v="3"/>
    <s v="En attente de pousser les analyses coté Bord/RBC"/>
    <s v=" H.O complete entre 214 et 215"/>
    <s v="dl Rxqual=0"/>
    <s v="dl rx level= -48 dbm"/>
    <s v="OK"/>
    <s v="OK"/>
    <s v="Mauvais"/>
    <s v=" Retransmission des trames HDLC*5"/>
    <m/>
    <s v="HARIRI Bahaeddine"/>
    <m/>
    <m/>
    <m/>
    <m/>
    <m/>
    <m/>
    <m/>
  </r>
  <r>
    <n v="439"/>
    <b v="0"/>
    <x v="182"/>
    <d v="1899-12-30T06:10:11"/>
    <n v="1081"/>
    <x v="5"/>
    <x v="1"/>
    <n v="1026"/>
    <m/>
    <s v="Casa/Tanger"/>
    <n v="152.488"/>
    <x v="18"/>
    <s v="N2"/>
    <s v="Ralentissement du train"/>
    <s v=" Etat H.O : non finalisé entre 326 et 327_x000a_* qualité /niveau de signal : dl rx-qual=7, dl rx level = -61 dbm_x000a_,Requête de déconnexion a été envoyée par le RBC"/>
    <m/>
    <x v="0"/>
    <s v="En attente de mise en place du tirroir radio filtré, besoin de verification de la chaine antennaire"/>
    <s v=" H.O non finalisé entre 326 et 327"/>
    <s v="dl Rxqual=7"/>
    <s v="dl rx level= -61 dbm"/>
    <s v="NOK"/>
    <s v="OK"/>
    <s v="Mauvais"/>
    <s v=" Retransmission des trames HDLC*5"/>
    <m/>
    <s v="HAMZAOUI Youssef"/>
    <m/>
    <m/>
    <m/>
    <m/>
    <m/>
    <m/>
    <m/>
  </r>
  <r>
    <n v="440"/>
    <b v="0"/>
    <x v="182"/>
    <d v="1899-12-30T16:59:07"/>
    <n v="1037"/>
    <x v="4"/>
    <x v="1"/>
    <n v="1033"/>
    <m/>
    <s v="Casa/Tanger"/>
    <n v="30.015999999999998"/>
    <x v="25"/>
    <s v="N2"/>
    <s v="Arrêt du train"/>
    <s v=" Etat H.O : complete  entre 307 et 306_x000a_* qualité /niveau de signal : dl rx-qual=0, dl rx level = -48 dbm_x000a_,Requête de déconnexion a été envoyée par le RBC"/>
    <m/>
    <x v="1"/>
    <s v="Zone sous surveillance par équipe NOC GSMR"/>
    <s v=" H.O complete entre 307 et 306"/>
    <s v="dl Rxqual=0"/>
    <s v="dl rx level= -48 dbm"/>
    <s v="OK"/>
    <s v="OK"/>
    <s v="Mauvais"/>
    <s v="Pas Retransmission des trames HDLC"/>
    <m/>
    <s v="ELHAJOUIA Achraf"/>
    <m/>
    <m/>
    <m/>
    <m/>
    <m/>
    <m/>
    <m/>
  </r>
  <r>
    <n v="441"/>
    <b v="0"/>
    <x v="182"/>
    <d v="1899-12-30T17:42:23"/>
    <n v="1041"/>
    <x v="0"/>
    <x v="1"/>
    <n v="1045"/>
    <m/>
    <s v="Casa/Tanger"/>
    <n v="130.48400000000001"/>
    <x v="10"/>
    <s v="N2"/>
    <s v="Ralentissement du train"/>
    <s v=" Etat H.O : complete  entre 224 et 323_x000a_* qualité /niveau de signal : dl rx-qual=0, dl rx level = -48 dbm_x000a_,Requête de déconnexion a été envoyée par le RBC"/>
    <m/>
    <x v="6"/>
    <s v="En attente de pousser les analyses coté Bord/RBC"/>
    <s v=" H.O complete entre 224 et 323"/>
    <s v="dl Rxqual=0"/>
    <s v="dl rx level= -48 dbm"/>
    <s v="OK"/>
    <s v="OK"/>
    <s v="Mauvais"/>
    <s v=" Retransmission des trames HDLC*5"/>
    <m/>
    <s v="ELHAJOUIA Achraf"/>
    <m/>
    <m/>
    <m/>
    <m/>
    <m/>
    <m/>
    <m/>
  </r>
  <r>
    <n v="442"/>
    <b v="0"/>
    <x v="182"/>
    <d v="1899-12-30T20:07:18"/>
    <n v="1049"/>
    <x v="11"/>
    <x v="1"/>
    <n v="1020"/>
    <m/>
    <s v="Casa/Tanger"/>
    <n v="10.125"/>
    <x v="22"/>
    <s v="N2"/>
    <s v="Arrêt du train"/>
    <s v=" Etat H.O : complete  entre 303 et 202_x000a_* qualité /niveau de signal : dl rx-qual=2, dl rx level = -61 dbm_x000a_,Requête de déconnexion a été envoyée par le RBC"/>
    <m/>
    <x v="1"/>
    <s v="chaine antennaire dégradé, besoin de vérification de la chaine "/>
    <s v=" H.O complete entre 303 et 202"/>
    <s v="dl Rxqual=2"/>
    <s v="dl rx level= -61 dbm"/>
    <s v="OK"/>
    <s v="OK"/>
    <s v="Mauvais"/>
    <s v="Pas Retransmission des trames HDLC"/>
    <m/>
    <s v="ELHAJOUIA Achraf"/>
    <m/>
    <m/>
    <m/>
    <m/>
    <m/>
    <m/>
    <m/>
  </r>
  <r>
    <n v="443"/>
    <b v="0"/>
    <x v="183"/>
    <d v="1899-12-30T09:06:08"/>
    <n v="1005"/>
    <x v="7"/>
    <x v="1"/>
    <n v="1040"/>
    <m/>
    <s v="Casa/Tanger"/>
    <n v="7.3209999999999997"/>
    <x v="2"/>
    <s v="N2"/>
    <s v="Ralentissement du train"/>
    <s v=" Etat H.O : Complete avec dowlink quality entre 303 et 202_x000a_* qualité /niveau de signal : dl rx-qual=7, dl rx level = -70 dbm_x000a_,Requête de déconnexion a été envoyée par le RBC"/>
    <m/>
    <x v="0"/>
    <s v="En attente de mise en place des tiroires filtrés"/>
    <s v=" H.O complete entre 303 et 202"/>
    <s v="dl Rxqual=7"/>
    <s v="dl rx level= -70 dbm"/>
    <s v="NOK"/>
    <s v="OK"/>
    <s v="Mauvais"/>
    <s v=" Retransmission des trames HDLC*5"/>
    <m/>
    <s v="Saad Elhabib"/>
    <m/>
    <m/>
    <m/>
    <m/>
    <m/>
    <m/>
    <m/>
  </r>
  <r>
    <n v="444"/>
    <b v="0"/>
    <x v="183"/>
    <d v="1899-12-30T16:42:53"/>
    <n v="1037"/>
    <x v="8"/>
    <x v="1"/>
    <n v="1023"/>
    <m/>
    <s v="Casa/Tanger"/>
    <n v="108.206"/>
    <x v="1"/>
    <s v="N2"/>
    <s v="Arrêt du train"/>
    <s v=" Etat H.O : Complete  entre 320 et 319_x000a_* qualité /niveau de signal : dl rx-qual=0, dl rx level = -49 dbm_x000a_,Requête de déconnexion a été envoyée par le RBC                                                                        Justification du premier arrêt : la requête de déconnexion a été envoyée à 16:42:53 et le premier message TPR envoyé depuis le bord vers le RBC après la reconnexion était à 16:43:51 (dépassement de 40 secondes entre la requête de déconnexion et le premier message train position report , ce qui a généré l’envoi d’un AUI depuis le RBC, suivi d’un arrêt du train).   "/>
    <m/>
    <x v="2"/>
    <s v="Attente de vérificationPar l'équipe SOR"/>
    <s v=" H.O complete entre 320 et 319"/>
    <s v="dl Rxqual=0"/>
    <s v="dl rx level= -49 dbm"/>
    <s v="OK"/>
    <s v="OK"/>
    <s v="Mauvais"/>
    <s v=" Retransmission des trames HDLC*5"/>
    <m/>
    <s v="ELHAJOUIA Achraf"/>
    <m/>
    <m/>
    <m/>
    <m/>
    <m/>
    <m/>
    <m/>
  </r>
  <r>
    <n v="445"/>
    <b v="0"/>
    <x v="183"/>
    <d v="1899-12-30T17:05:12"/>
    <n v="1037"/>
    <x v="8"/>
    <x v="1"/>
    <n v="1023"/>
    <m/>
    <s v="Casa/Tanger"/>
    <n v="67.828999999999994"/>
    <x v="0"/>
    <s v="N2"/>
    <s v="Arrêt du train"/>
    <s v=" Etat H.O : Complete  entre 313 et 312_x000a_* qualité /niveau de signal : dl rx-qual=0, dl rx level = -48 dbm_x000a_,Requête de déconnexion a été envoyée par le RBC                                                                      Justification du deuxième arrêt : un AUC non acquitté par le Bord a entraîné l’envoi d’un AUI depuis le RBC après la reconnexion de la rame, provoquant ainsi l’arrêt du train."/>
    <m/>
    <x v="6"/>
    <s v="En attente de pousser les analyses coté Bord/RBC"/>
    <s v=" H.O complete entre 313 et 312"/>
    <s v="dl Rxqual=0"/>
    <s v="dl rx level= -48 dbm"/>
    <s v="OK"/>
    <s v="OK"/>
    <s v="Mauvais"/>
    <s v=" Retransmission des trames HDLC*5"/>
    <m/>
    <s v="ELHAJOUIA Achraf"/>
    <m/>
    <m/>
    <m/>
    <m/>
    <m/>
    <m/>
    <m/>
  </r>
  <r>
    <n v="446"/>
    <b v="0"/>
    <x v="183"/>
    <d v="1899-12-30T20:05:11"/>
    <n v="2057"/>
    <x v="4"/>
    <x v="0"/>
    <n v="7208"/>
    <m/>
    <s v="Tanger/Casa"/>
    <n v="6.13"/>
    <x v="2"/>
    <s v="N2"/>
    <s v="Arrêt du train"/>
    <s v=" Etat H.O : Non finalisé   entre 302 et 203_x000a_* qualité /niveau de signal : dl rx-qual=4, dl rx level = -51 dbm_x000a_,Requête de déconnexion a été envoyée par le RBC          "/>
    <m/>
    <x v="0"/>
    <s v="En attente de mise en place des tiroires filtrés "/>
    <s v=" H.O non finalisé entre 302 et 203"/>
    <s v="dl Rxqual=4"/>
    <s v="dl rx level= -51 dbm"/>
    <s v="OK"/>
    <s v="OK"/>
    <s v="Mauvais"/>
    <s v=" Retransmission des trames HDLC*5"/>
    <m/>
    <s v="ELHAJOUIA Achraf"/>
    <m/>
    <m/>
    <m/>
    <m/>
    <m/>
    <m/>
    <m/>
  </r>
  <r>
    <n v="447"/>
    <b v="0"/>
    <x v="183"/>
    <d v="1899-12-30T22:58:40"/>
    <n v="1062"/>
    <x v="8"/>
    <x v="1"/>
    <n v="1023"/>
    <m/>
    <s v="Casa/Tanger"/>
    <n v="26.739000000000001"/>
    <x v="7"/>
    <s v="N2"/>
    <s v="Arrêt du train"/>
    <s v=" Etat H.O : avec recule Non finalisé   entre 207 et 308_x000a_* qualité /niveau de signal : dl rx-qual=7, dl rx level = -83 dbm_x000a_,Requête de déconnexion a été envoyée par le RBC                                                                   Justification du deuxième arrêt : un AUC non acquitté par le Bord a entraîné l’envoi d’un AUI depuis le RBC après la reconnexion de la rame, provoquant ainsi l’arrêt du train."/>
    <m/>
    <x v="2"/>
    <s v="chaine antennaire dégradé, besoin de vérification de la chaine /Zone sous surveillance par équipe NOC GSMR"/>
    <s v=" H.O : avec recule Non finalisé   entre 207 et 308"/>
    <s v="dl Rxqual=7"/>
    <s v="dl rx level= -83 dbm"/>
    <s v="OK"/>
    <s v="OK"/>
    <s v="Mauvais"/>
    <s v=" Retransmission des trames HDLC*5"/>
    <m/>
    <s v="HARIRI Bahaeddine"/>
    <m/>
    <m/>
    <m/>
    <m/>
    <m/>
    <m/>
    <m/>
  </r>
  <r>
    <n v="448"/>
    <b v="0"/>
    <x v="184"/>
    <d v="1899-12-30T07:38:55"/>
    <n v="1001"/>
    <x v="0"/>
    <x v="1"/>
    <n v="1045"/>
    <m/>
    <s v="Casa/Tanger"/>
    <n v="129.18"/>
    <x v="10"/>
    <s v="N2"/>
    <s v="Ralentissement du train"/>
    <s v=" Etat H.O : complete  entre 323 et 324_x000a_* qualité /niveau de signal : dl rx-qual=0, dl rx level = -48 dbm_x000a_,Requête de déconnexion a été envoyée par le RBC"/>
    <m/>
    <x v="6"/>
    <s v="En attente de mise en place des tiroires filtrés /Zone sous surveillance par équipe NOC GSMR"/>
    <s v=" H.O complete entre 323 et 324"/>
    <s v="dl Rxqual=0"/>
    <s v="dl rx level= -48 dbm"/>
    <s v="OK"/>
    <s v="OK"/>
    <s v="Mauvais"/>
    <s v=" Retransmission des trames HDLC*5"/>
    <m/>
    <s v="HAMZAOUI Youssef"/>
    <m/>
    <m/>
    <m/>
    <m/>
    <m/>
    <m/>
    <m/>
  </r>
  <r>
    <n v="449"/>
    <b v="0"/>
    <x v="184"/>
    <d v="1899-12-30T18:48:29"/>
    <n v="1046"/>
    <x v="2"/>
    <x v="1"/>
    <n v="1035"/>
    <m/>
    <s v="Casa/Tanger"/>
    <n v="94.953999999999994"/>
    <x v="8"/>
    <s v="N2"/>
    <s v="Ralentissement du train"/>
    <s v=" Etat H.O : Non finalisé entre 318 et 217_x000a_* qualité /niveau de signal : dl rx-qual=7, dl rx level = -85 dbm_x000a_,Requête de déconnexion a été envoyée par le Bord"/>
    <m/>
    <x v="0"/>
    <s v="étant donné que la rame 1205 se déconnecter cette année beaucoup de fois (30 déconnexion jusqu'à présent )nous recommendons de vérifier la chaine antennaire "/>
    <s v=" H.O non finalisé entre 318 et 217"/>
    <s v="dl Rxqual=7"/>
    <s v="dl rx level= -85 dbm"/>
    <s v="OK"/>
    <s v="OK"/>
    <s v="Mauvais"/>
    <s v=" Pas de Retransmission des trames HDLC"/>
    <m/>
    <s v="Fahd OUSSALH"/>
    <m/>
    <m/>
    <m/>
    <m/>
    <m/>
    <m/>
    <m/>
  </r>
  <r>
    <n v="450"/>
    <b v="0"/>
    <x v="184"/>
    <d v="1899-12-30T19:58:46"/>
    <n v="1049"/>
    <x v="7"/>
    <x v="1"/>
    <n v="1049"/>
    <m/>
    <s v="Casa/Tanger"/>
    <n v="32.625999999999998"/>
    <x v="25"/>
    <s v="N2"/>
    <s v="Ralentissement du train"/>
    <s v=" Etat H.O : complete  entre 307 et 306_x000a_* qualité /niveau de signal : dl rx-qual=0, dl rx level = -60 dbm_x000a_,Requête de déconnexion a été envoyée par le RBC"/>
    <m/>
    <x v="0"/>
    <s v="En attente de mise en place des tiroires filtrés"/>
    <s v=" H.O complete entre 307 et 306"/>
    <s v="dl Rxqual=0"/>
    <s v="dl rx level= -60 dbm"/>
    <s v="OK"/>
    <s v="OK"/>
    <s v="Mauvais"/>
    <s v="retransmission des trames HDLC*5"/>
    <m/>
    <s v="Fahd OUSSALH"/>
    <m/>
    <m/>
    <m/>
    <m/>
    <m/>
    <m/>
    <m/>
  </r>
  <r>
    <n v="451"/>
    <b v="0"/>
    <x v="184"/>
    <d v="1899-12-30T20:04:46"/>
    <n v="2057"/>
    <x v="9"/>
    <x v="0"/>
    <n v="1052"/>
    <m/>
    <s v="Tanger/Casa"/>
    <n v="6.13"/>
    <x v="2"/>
    <s v="N2"/>
    <s v="Ralentissement du train"/>
    <s v=" Etat H.O : Non finalisé  entre 302 et 203_x000a_* qualité /niveau de signal : dl rx-qual=7, dl rx level = -54 dbm_x000a_,Requête de déconnexion a été envoyée par le Bord"/>
    <m/>
    <x v="0"/>
    <s v="En attente de mise en place des tiroires filtrés"/>
    <s v=" H.O non finalisé entre 302 et 203"/>
    <s v="dl Rxqual=7"/>
    <s v="dl rx level= -54 dbm"/>
    <s v="OK"/>
    <s v="OK"/>
    <s v="Mauvais"/>
    <s v="pas de retransmission des trames HDLC"/>
    <m/>
    <s v="Fahd OUSSALH"/>
    <m/>
    <m/>
    <m/>
    <m/>
    <m/>
    <m/>
    <m/>
  </r>
  <r>
    <n v="452"/>
    <b v="0"/>
    <x v="185"/>
    <d v="1899-12-30T08:39:47"/>
    <n v="1005"/>
    <x v="5"/>
    <x v="1"/>
    <n v="1027"/>
    <m/>
    <s v="Casa/Tanger"/>
    <n v="127.815"/>
    <x v="6"/>
    <s v="N2"/>
    <s v="Ralentissement du train"/>
    <s v=" Etat H.O : Non finalisé  entre 223 et 322_x000a_* qualité /niveau de signal : dl rx-qual=7, dl rx level = -87 dbm_x000a_,Requête de déconnexion a été envoyée par le Bord"/>
    <m/>
    <x v="0"/>
    <s v="En attente de mise en place des tiroires filtrés "/>
    <s v=" H.O Non finalisé entre 223 et 322 "/>
    <s v="dl Rxqual=7"/>
    <s v="dl rx level= -87 dbm"/>
    <s v="OK"/>
    <s v="OK"/>
    <s v="Mauvais"/>
    <s v=" Pas de Retransmission des trames HDLC"/>
    <m/>
    <s v="Noura MOUSSAOUI"/>
    <m/>
    <m/>
    <m/>
    <m/>
    <m/>
    <m/>
    <m/>
  </r>
  <r>
    <n v="453"/>
    <b v="0"/>
    <x v="185"/>
    <s v=" 09:05:49"/>
    <n v="1005"/>
    <x v="5"/>
    <x v="1"/>
    <n v="1026"/>
    <m/>
    <s v="Casa/Tanger"/>
    <n v="7.3209999999999997"/>
    <x v="2"/>
    <s v="N2"/>
    <s v="Arrêt du train"/>
    <s v=" Etat H.O : Non finalisé  entre 202 et 201_x000a_* qualité /niveau de signal : dl rx-qual=7, dl rx level = -57 dbm_x000a_,Requête de déconnexion a été envoyée par le RBC"/>
    <m/>
    <x v="0"/>
    <s v="En attente de mise en place des tiroires filtrés "/>
    <s v=" H.O Non finalisé entre 202 et 201"/>
    <s v="dl Rxqual=7"/>
    <s v="dl rx level= -57 dbm"/>
    <s v="NOK"/>
    <s v="OK"/>
    <s v="Mauvais"/>
    <s v="retransmission des trames HDLC*5"/>
    <m/>
    <s v="HAMZAOUI Youssef"/>
    <m/>
    <m/>
    <m/>
    <m/>
    <m/>
    <m/>
    <m/>
  </r>
  <r>
    <n v="454"/>
    <b v="0"/>
    <x v="185"/>
    <d v="1899-12-30T09:44:52"/>
    <n v="2013"/>
    <x v="0"/>
    <x v="0"/>
    <n v="1037"/>
    <m/>
    <s v="Tanger/Casa"/>
    <n v="185.82499999999999"/>
    <x v="19"/>
    <s v="N2"/>
    <s v="Arrêt du train"/>
    <s v=" Etat H.O : complete  entre 231 et 232_x000a_* qualité /niveau de signal : dl rx-qual=0, dl rx level = -55 dbm_x000a_,Requête de déconnexion a été envoyée par le Bord"/>
    <m/>
    <x v="0"/>
    <s v="En attente de mise en place des tiroires filtrés "/>
    <s v=" H.O complete entre 231 et 232"/>
    <s v="dl Rxqual=0"/>
    <s v="dl rx level= -55  dbm"/>
    <s v="OK"/>
    <s v="OK"/>
    <s v="Mauvais"/>
    <s v=" Pas de Retransmission des trames HDLC"/>
    <m/>
    <s v="HAMZAOUI Youssef"/>
    <m/>
    <m/>
    <m/>
    <m/>
    <m/>
    <m/>
    <m/>
  </r>
  <r>
    <n v="455"/>
    <b v="0"/>
    <x v="185"/>
    <d v="1899-12-30T12:05:36"/>
    <n v="2025"/>
    <x v="4"/>
    <x v="0"/>
    <n v="7208"/>
    <m/>
    <s v="Tanger/Casa"/>
    <n v="6.13"/>
    <x v="2"/>
    <s v="N2"/>
    <s v="Arrêt du train"/>
    <s v=" Etat H.O :  Non finalisé entre 302 et 203_x000a_* qualité /niveau de signal : dl rx-qual=6, dl rx level = -53 dbm_x000a_,Requête de déconnexion a été envoyée par le RBC"/>
    <m/>
    <x v="0"/>
    <s v="En attente de mise en place des tiroires filtrés "/>
    <s v=" H.O Non finalisé entre 302 et 203"/>
    <s v="dl Rxqual=6"/>
    <s v="dl rx level= -53  dbm"/>
    <s v="NOK"/>
    <s v="OK"/>
    <s v="Mauvais"/>
    <s v="retransmission des trames HDLC*5"/>
    <m/>
    <s v="Noura MOUSSAOUI"/>
    <m/>
    <m/>
    <m/>
    <m/>
    <m/>
    <m/>
    <m/>
  </r>
  <r>
    <n v="456"/>
    <b v="0"/>
    <x v="185"/>
    <d v="1899-12-30T13:07:10"/>
    <n v="2021"/>
    <x v="7"/>
    <x v="1"/>
    <n v="1041"/>
    <m/>
    <s v="Casa/Tanger"/>
    <n v="7.3209999999999997"/>
    <x v="2"/>
    <s v="N2"/>
    <s v="Arrêt du train"/>
    <s v=" Etat H.O : complete  entre 202 et 303_x000a_* qualité /niveau de signal : dl rx-qual=0, dl rx level = -77 dbm_x000a_,Requête de déconnexion a été envoyée par le RBC"/>
    <m/>
    <x v="0"/>
    <s v="En attente de mise en place des tiroires filtrés "/>
    <s v=" H.O complete entre 202 et 303"/>
    <s v="dl Rxqual=0"/>
    <s v="dl rx level= -77  dbm"/>
    <s v="OK"/>
    <s v="OK"/>
    <s v="Mauvais"/>
    <s v="retransmission des trames HDLC*5"/>
    <m/>
    <s v="HAMZAOUI Youssef"/>
    <m/>
    <m/>
    <m/>
    <m/>
    <m/>
    <m/>
    <m/>
  </r>
  <r>
    <n v="457"/>
    <b v="0"/>
    <x v="185"/>
    <d v="1899-12-30T21:28:28"/>
    <n v="2061"/>
    <x v="0"/>
    <x v="0"/>
    <n v="1036"/>
    <m/>
    <s v="Tanger/Casa"/>
    <n v="109.495"/>
    <x v="1"/>
    <s v="N2"/>
    <s v="Ralentissement du train"/>
    <s v=" Etat H.O : Non finalisé entre 220 et 319_x000a_* qualité /niveau de signal : dl rx-qual=5, dl rx level = -58 dbm_x000a_,Requête de déconnexion a été envoyée par le Bord"/>
    <m/>
    <x v="2"/>
    <s v="En attente de mise en place des tiroires filtrés "/>
    <s v=" H.O Non finalisé entre 220 et 319"/>
    <s v="dl Rxqual=5"/>
    <s v="dl rx level= -58  dbm"/>
    <s v="OK"/>
    <s v="OK"/>
    <s v="Mauvais"/>
    <s v="retransmission des trames HDLC*4"/>
    <m/>
    <s v="HARIRI Bahaeddine"/>
    <m/>
    <m/>
    <m/>
    <m/>
    <m/>
    <m/>
    <m/>
  </r>
  <r>
    <n v="458"/>
    <b v="0"/>
    <x v="186"/>
    <d v="1899-12-30T16:05:27"/>
    <n v="1034"/>
    <x v="5"/>
    <x v="1"/>
    <n v="1027"/>
    <m/>
    <s v="Casa/Tanger"/>
    <n v="7.3209999999999997"/>
    <x v="2"/>
    <s v="N2"/>
    <s v="Arrêt du train"/>
    <s v=" Etat H.O : complete entre 202 et 303_x000a_* qualité /niveau de signal : dl rx-qual=0, dl rx level = -79 dbm_x000a_,Requête de déconnexion a été envoyée par le RBC"/>
    <m/>
    <x v="0"/>
    <s v="En attente de mise en place des tiroires filtrés "/>
    <s v=" H.O complete entre 202 et 303"/>
    <s v="dl Rxqual=0"/>
    <s v="dl rx level= -79  dbm"/>
    <s v="OK"/>
    <s v="OK"/>
    <s v="Mauvais"/>
    <s v="retransmission des trames HDLC*5"/>
    <m/>
    <s v="Fahd OUSSALH"/>
    <m/>
    <m/>
    <m/>
    <m/>
    <m/>
    <m/>
    <m/>
  </r>
  <r>
    <n v="459"/>
    <b v="0"/>
    <x v="186"/>
    <d v="1899-12-30T21:06:19"/>
    <n v="1053"/>
    <x v="2"/>
    <x v="1"/>
    <n v="1034"/>
    <m/>
    <s v="Casa/Tanger"/>
    <n v="25.85"/>
    <x v="7"/>
    <s v="N2"/>
    <s v="Ralentissement du train"/>
    <s v="Etat H.O : non finalisé entre 207 et 305_x000a_* qualité /niveau de signal : dl rx-qual=7, dl rx level = -85dbm_x000a_,Requête de déconnexion a été envoyée par le Bord"/>
    <m/>
    <x v="0"/>
    <s v="En attente de pousser les analyses coté Bord"/>
    <s v=" H.O non finalisé entre 207 et 305"/>
    <s v="dl Rxqual=7"/>
    <s v="dl rx level= -85  dbm"/>
    <s v="OK"/>
    <s v="OK"/>
    <s v="Mauvais"/>
    <s v=" Pas de Retransmission des trames HDLC"/>
    <m/>
    <s v="Saad Elhabib"/>
    <m/>
    <m/>
    <m/>
    <m/>
    <m/>
    <m/>
    <m/>
  </r>
  <r>
    <n v="460"/>
    <b v="0"/>
    <x v="186"/>
    <d v="1899-12-30T22:00:39"/>
    <n v="1057"/>
    <x v="5"/>
    <x v="1"/>
    <n v="1027"/>
    <m/>
    <s v="Casa/Tanger"/>
    <n v="26.739000000000001"/>
    <x v="7"/>
    <s v="N2"/>
    <s v="Arrêt du train"/>
    <s v="Etat H.O : non finalisé entre 207 et 308_x000a_* qualité /niveau de signal : dl rx-qual=7, dl rx level = -92dbm_x000a_,Requête de déconnexion a été envoyée par le Bord"/>
    <m/>
    <x v="0"/>
    <s v="En attente de pousser les analyses coté Bord"/>
    <s v=" H.O non finalisé entre 207 et 308"/>
    <s v="dl Rxqual=7"/>
    <s v="dl rx level= -92  dbm"/>
    <s v="OK"/>
    <s v="OK"/>
    <s v="Mauvais"/>
    <s v="retransmission des trames HDLC*5"/>
    <m/>
    <s v="Saad Elhabib"/>
    <m/>
    <m/>
    <m/>
    <m/>
    <m/>
    <m/>
    <m/>
  </r>
  <r>
    <n v="461"/>
    <b v="0"/>
    <x v="187"/>
    <d v="1899-12-30T08:54:49"/>
    <n v="1005"/>
    <x v="0"/>
    <x v="1"/>
    <n v="1044"/>
    <m/>
    <s v="Casa/Tanger"/>
    <n v="56.555"/>
    <x v="23"/>
    <s v="N2"/>
    <s v="Arrêt du train"/>
    <s v=" Etat H.O : complete  entre 311 et 310_x000a_* qualité /niveau de signal : dl rx-qual=1, dl rx level = -48 dbm_x000a_,Requête de déconnexion a été envoyée par le RBC"/>
    <m/>
    <x v="3"/>
    <s v="En attente de pousser les analyses coté RBC"/>
    <s v=" H.O complete entre 311 et 310"/>
    <s v="dl Rxqual=1"/>
    <s v="dl rx level= -48 dbm"/>
    <s v="OK"/>
    <s v="OK"/>
    <s v="Mauvais"/>
    <s v=" Pas de Retransmission des trames HDLC"/>
    <m/>
    <s v="HAMZAOUI Youssef"/>
    <m/>
    <m/>
    <m/>
    <m/>
    <m/>
    <m/>
    <m/>
  </r>
  <r>
    <n v="462"/>
    <b v="0"/>
    <x v="187"/>
    <d v="1899-12-30T14:05:10"/>
    <n v="2033"/>
    <x v="7"/>
    <x v="0"/>
    <n v="1054"/>
    <m/>
    <s v="Tanger/Casa"/>
    <n v="6.13"/>
    <x v="2"/>
    <s v="N2"/>
    <s v="Ralentissement du train"/>
    <s v=" Etat H.O : non finalisé entre 202 et 203_x000a_* qualité /niveau de signal : dl rx-qual=6, dl rx level = -53 dbm_x000a_,Requête de déconnexion a été envoyée par le RBC"/>
    <m/>
    <x v="0"/>
    <s v="En attente de mise en place des tiroires filtrés "/>
    <s v=" H.O non finalisé entre 202 et 203"/>
    <s v="dl Rxqual=6"/>
    <s v="dl rx level= -53 dbm"/>
    <s v="NOK"/>
    <s v="OK"/>
    <s v="Mauvais"/>
    <s v="retransmission des trames HDLC*5"/>
    <m/>
    <s v="Fahd OUSSALH"/>
    <m/>
    <m/>
    <m/>
    <m/>
    <m/>
    <m/>
    <m/>
  </r>
  <r>
    <n v="463"/>
    <b v="0"/>
    <x v="187"/>
    <d v="1899-12-30T16:02:08"/>
    <n v="1033"/>
    <x v="3"/>
    <x v="1"/>
    <n v="1007"/>
    <m/>
    <s v="Casa/Tanger"/>
    <n v="25.91"/>
    <x v="7"/>
    <s v="N2"/>
    <s v="Ralentissement du train"/>
    <s v=" Etat H.O : non finalisé entre 207 et 306_x000a_* qualité /niveau de signal : dl rx-qual=6, dl rx level = -94 dbm_x000a_,Requête de déconnexion a été envoyée par le RBC"/>
    <m/>
    <x v="1"/>
    <s v="Zone sous surveillance par équipe NOC GSMR"/>
    <s v=" H.O non finalisé entre 207 et 308"/>
    <s v="dl Rxqual=6"/>
    <s v="dl rx level= -94 dbm"/>
    <s v="OK"/>
    <s v="OK"/>
    <s v="moyen"/>
    <s v="retransmission des trames HDLC*5"/>
    <m/>
    <s v="Fahd OUSSALH"/>
    <m/>
    <m/>
    <m/>
    <m/>
    <m/>
    <m/>
    <m/>
  </r>
  <r>
    <n v="464"/>
    <b v="0"/>
    <x v="187"/>
    <d v="1899-12-30T20:21:29"/>
    <n v="2057"/>
    <x v="1"/>
    <x v="0"/>
    <n v="1028"/>
    <m/>
    <s v="Tanger/Casa"/>
    <n v="74.712999999999994"/>
    <x v="13"/>
    <s v="N2"/>
    <s v="Ralentissement du train"/>
    <s v=" Etat H.O : finalisé entre 213 et 214_x000a_* qualité /niveau de signal : dl rx-qual=7, dl rx level = -72 dbm_x000a_,Requête de déconnexion a été envoyée par le RBC"/>
    <m/>
    <x v="0"/>
    <s v="En attente de pousser les analyses coté Bord / H.O s'execute avec succés entre 213 et 214 "/>
    <s v=" H.O finalisé entre 213 et 214"/>
    <s v="dl Rxqual=7"/>
    <s v="dl rx level= -72 dbm"/>
    <s v="OK"/>
    <s v="OK"/>
    <s v="Mauvais"/>
    <s v="retransmission des trames HDLC*5"/>
    <m/>
    <s v="Saad Elhabib"/>
    <m/>
    <m/>
    <m/>
    <m/>
    <m/>
    <m/>
    <m/>
  </r>
  <r>
    <n v="465"/>
    <b v="0"/>
    <x v="187"/>
    <d v="1899-12-30T21:28:59"/>
    <n v="2049"/>
    <x v="5"/>
    <x v="0"/>
    <n v="1025"/>
    <m/>
    <s v="Tanger/Casa"/>
    <n v="114.607"/>
    <x v="17"/>
    <s v="N2"/>
    <s v="Ralentissement du train"/>
    <s v="Etat H.O : finalisé entre 219 et 220_x000a_* qualité /niveau de signal : dl rx-qual=0, dl rx level = -48dbm_x000a_,Requête de déconnexion a été envoyée par le RBC"/>
    <m/>
    <x v="2"/>
    <s v="chaine antennaire dégradé, besoin de vérification de la chaine /des perturbations de Hand Over entre 219 et 320 , dans l'attente d'une analyse spectral "/>
    <s v=" H.O  finalisé entre 219 et 220"/>
    <s v="dl Rxqual=0"/>
    <s v="dl rx level= -48 dbm"/>
    <s v="OK"/>
    <s v="OK"/>
    <s v="Mauvais"/>
    <s v="retransmission des trames HDLC*5"/>
    <m/>
    <s v="Saad Elhabib"/>
    <m/>
    <m/>
    <m/>
    <m/>
    <m/>
    <m/>
    <m/>
  </r>
  <r>
    <n v="466"/>
    <b v="0"/>
    <x v="188"/>
    <d v="1899-12-30T11:46:24"/>
    <n v="1017"/>
    <x v="10"/>
    <x v="1"/>
    <n v="1061"/>
    <m/>
    <s v="Casa/Tanger"/>
    <n v="92.561000000000007"/>
    <x v="12"/>
    <s v="N2"/>
    <s v="Arrêt du train"/>
    <s v=" Etat H.O : complete  entre 318 et 317_x000a_* qualité /niveau de signal : dl rx-qual=3, dl rx level = -52 dbm_x000a_,Requête de déconnexion a été envoyée par le RBC"/>
    <m/>
    <x v="1"/>
    <s v="Attente d'une analyse spectral "/>
    <s v=" H.O  complete entre 318 et 317"/>
    <s v="dl Rxqual=3"/>
    <s v="dl rx level= -52 dbm"/>
    <s v="OK"/>
    <s v="OK"/>
    <s v="Mauvais"/>
    <s v="retransmission des trames HDLC*5"/>
    <m/>
    <s v="ELHAJOUIA Achraf"/>
    <m/>
    <m/>
    <m/>
    <m/>
    <m/>
    <m/>
    <m/>
  </r>
  <r>
    <n v="467"/>
    <b v="0"/>
    <x v="188"/>
    <d v="1899-12-30T13:38:20"/>
    <n v="1025"/>
    <x v="7"/>
    <x v="1"/>
    <n v="1041"/>
    <m/>
    <s v="Casa/Tanger"/>
    <n v="130.48400000000001"/>
    <x v="10"/>
    <s v="N2"/>
    <s v="Ralentissement du train"/>
    <s v=" Etat H.O : complete  entre 324 et 323_x000a_* qualité /niveau de signal : dl rx-qual=0, dl rx level = -48 dbm_x000a_,Requête de déconnexion a été envoyée par le RBC"/>
    <m/>
    <x v="0"/>
    <s v="En attente de pousser les analyses coté Bord "/>
    <s v=" H.O  complete entre 324 et 323"/>
    <s v="dl Rxqual=0"/>
    <s v="dl rx level= -48 dbm"/>
    <s v="OK"/>
    <s v="OK"/>
    <s v="Mauvais"/>
    <s v="retransmission des trames HDLC*5"/>
    <m/>
    <s v="ELHAJOUIA Achraf"/>
    <m/>
    <m/>
    <m/>
    <m/>
    <m/>
    <m/>
    <m/>
  </r>
  <r>
    <n v="468"/>
    <b v="0"/>
    <x v="188"/>
    <d v="1899-12-30T16:29:00"/>
    <n v="1038"/>
    <x v="2"/>
    <x v="1"/>
    <n v="1034"/>
    <m/>
    <s v="Casa/Tanger"/>
    <n v="177.85"/>
    <x v="4"/>
    <s v="N2"/>
    <s v="Ralentissement du train"/>
    <s v=" Etat H.O : complete  entre 231 et 329_x000a_* qualité /niveau de signal : dl rx-qual=0, dl rx level = -110 dbm_x000a_,Requête de déconnexion a été envoyée par le RBC"/>
    <m/>
    <x v="2"/>
    <s v="chaine antennaire dégradé, besoin de vérification de la chaine /Attente de vérificationPar l'équipe SOR"/>
    <s v=" H.O  complete entre 231 et 329"/>
    <s v="dl Rxqual=0"/>
    <s v="dl rx level= -110 dbm"/>
    <s v="OK"/>
    <s v="OK"/>
    <s v="Mauvais"/>
    <s v="retransmission des trames HDLC*5"/>
    <m/>
    <s v="Fahd OUSSALH"/>
    <m/>
    <m/>
    <m/>
    <m/>
    <m/>
    <m/>
    <m/>
  </r>
  <r>
    <n v="469"/>
    <b v="0"/>
    <x v="188"/>
    <d v="1899-12-30T16:36:14"/>
    <n v="1038"/>
    <x v="2"/>
    <x v="1"/>
    <n v="1034"/>
    <m/>
    <s v="Casa/Tanger"/>
    <n v="152.488"/>
    <x v="18"/>
    <s v="N2"/>
    <s v="Ralentissement du train"/>
    <s v=" Etat H.O : Non finalisé  entre 326 et 327_x000a_* qualité /niveau de signal : dl rx-qual=7, dl rx level = -56 dbm_x000a_,Requête de déconnexion a été envoyée par le RBC"/>
    <m/>
    <x v="0"/>
    <s v="chaine antennaire dégradé, besoin de vérification de la chaine /Zone sous surveillance par équipe NOC GSMR"/>
    <s v=" H.O  Non finalisé entre 326 et 327"/>
    <s v="dl Rxqual=7"/>
    <s v="dl rx level= -56 dbm"/>
    <s v="OK"/>
    <s v="OK"/>
    <s v="Mauvais"/>
    <s v="retransmission des trames HDLC*5"/>
    <m/>
    <s v="Fahd OUSSALH"/>
    <m/>
    <m/>
    <m/>
    <m/>
    <m/>
    <m/>
    <m/>
  </r>
  <r>
    <n v="470"/>
    <b v="0"/>
    <x v="188"/>
    <d v="1899-12-30T19:01:33"/>
    <n v="1046"/>
    <x v="4"/>
    <x v="1"/>
    <n v="1033"/>
    <m/>
    <s v="Casa/Tanger"/>
    <n v="25.85"/>
    <x v="7"/>
    <s v="N2"/>
    <s v="Ralentissement du train"/>
    <s v="Etat H.O : Non finalisé entre 207 et 208_x000a_* qualité /niveau de signal : dl rx-qual=7 , dl rx level = -84dbm_x000a_,Requête de déconnexion a été envoyée par le RBC"/>
    <m/>
    <x v="2"/>
    <s v="chaine antennaire dégradé, besoin de vérification de la chaine /taux de succés de H.O 96%"/>
    <s v=" H.O  Non finalisé entre 207 et 208"/>
    <s v="dl Rxqual=7"/>
    <s v="dl rx level= -84 dbm"/>
    <s v="OK"/>
    <s v="OK"/>
    <s v="Mauvais"/>
    <s v="retransmission des trames HDLC*5"/>
    <m/>
    <s v="Fahd OUSSALH"/>
    <m/>
    <m/>
    <m/>
    <m/>
    <m/>
    <m/>
    <m/>
  </r>
  <r>
    <n v="471"/>
    <b v="0"/>
    <x v="188"/>
    <d v="1899-12-30T19:49:01"/>
    <n v="15576"/>
    <x v="2"/>
    <x v="1"/>
    <n v="1034"/>
    <m/>
    <s v="Casa/Tanger"/>
    <n v="177.85"/>
    <x v="4"/>
    <s v="N2"/>
    <s v="Ralentissement du train"/>
    <s v="Etat H.O : complet entre 231 et 329_x000a_* qualité /niveau de signal : dl rx-qual=0 , dl rx level = -62 dbm_x000a_,Requête de déconnexion a été envoyée par le RBC"/>
    <m/>
    <x v="2"/>
    <s v="chaine antennaire dégradé, besoin de vérification de la chaine /Attente de vérificationPar l'équipe SOR"/>
    <s v=" H.O  finalisé entre 306 et 207"/>
    <s v="dl Rxqual=0"/>
    <s v="dl rx level= -62 dbm"/>
    <s v="OK"/>
    <s v="OK"/>
    <s v="Mauvais"/>
    <s v="retransmission des trames HDLC*5"/>
    <m/>
    <s v="Fahd OUSSALH"/>
    <m/>
    <m/>
    <m/>
    <m/>
    <m/>
    <m/>
    <m/>
  </r>
  <r>
    <n v="472"/>
    <b v="0"/>
    <x v="188"/>
    <d v="1899-12-30T20:21:23"/>
    <n v="15576"/>
    <x v="2"/>
    <x v="1"/>
    <n v="1035"/>
    <m/>
    <s v="Casa/Tanger"/>
    <n v="26.739000000000001"/>
    <x v="7"/>
    <s v="N2"/>
    <s v="Arrêt du train"/>
    <s v="Etat H.O: Ho recule non finalisé entre 207 et 208_x000a_* qualité /niveau de signal : dl rx-qual=7, dl rx level = -92 dbm_x000a_,Requête de déconnexion a été envoyée par le RBC"/>
    <m/>
    <x v="1"/>
    <s v=" Attente de vérification  Par l'équipe SOR"/>
    <s v="H.O  recule non finalisé entre 207 et 208"/>
    <s v="dl Rxqual=7"/>
    <s v="dl rx level= -92 dbm"/>
    <s v="OK"/>
    <s v="OK"/>
    <s v="Mauvais"/>
    <s v="retransmission des trames HDLC*5"/>
    <m/>
    <s v="Fahd OUSSALH"/>
    <m/>
    <m/>
    <m/>
    <m/>
    <m/>
    <m/>
    <m/>
  </r>
  <r>
    <n v="473"/>
    <b v="0"/>
    <x v="188"/>
    <d v="1899-12-30T20:31:41"/>
    <n v="1053"/>
    <x v="5"/>
    <x v="1"/>
    <n v="1027"/>
    <m/>
    <s v="Casa/Tanger"/>
    <n v="176.61199999999999"/>
    <x v="4"/>
    <s v="N2"/>
    <s v="Ralentissement du train"/>
    <s v="Etat H.O : finalisé entre 330 et 231_x000a_* qualité /niveau de signal : dl rx-qual=7, dl rx level = -73dbm_x000a_,Requête de déconnexion a été envoyée par le RBC"/>
    <m/>
    <x v="2"/>
    <s v="chaine antennaire dégradé, besoin de vérification de la chaine /Attente de vérificationPar l'équipe SOR"/>
    <s v=" H.O  finalisé entre 330 et 231"/>
    <s v="dl Rxqual=7"/>
    <s v="dl rx level= -73 dbm"/>
    <s v="NOK"/>
    <s v="OK"/>
    <s v="Mauvais"/>
    <s v="retransmission des trames HDLC*5"/>
    <m/>
    <s v="Saad Elhabib"/>
    <m/>
    <m/>
    <m/>
    <m/>
    <m/>
    <m/>
    <m/>
  </r>
  <r>
    <n v="474"/>
    <b v="0"/>
    <x v="188"/>
    <d v="1899-12-30T20:36:19"/>
    <n v="15576"/>
    <x v="2"/>
    <x v="1"/>
    <n v="1035"/>
    <m/>
    <s v="Casa/Tanger"/>
    <n v="12.496"/>
    <x v="22"/>
    <s v="N2"/>
    <s v="Ralentissement du train"/>
    <s v="Etat H.O : A la reconnexion la rame a été accrochée au cellule 591 de la ligne sidi Kacem / tanger puis nous avons constaté un échec HO entre cette dernière et la cellule 592 ce qui a causé une deuxième déconnexion   _x000a_* qualité /niveau de signal : dl rx-qual=1, dl rx level = -86 dbm_x000a_,Requête de déconnexion a été envoyée par le BORD"/>
    <m/>
    <x v="1"/>
    <s v="En attente de vérification par l'équipe SOR"/>
    <s v="HO non finalisé entre la cellule 591 et la cellule 592 "/>
    <s v="dl Rxqual=1"/>
    <s v="dl rx level= -86 dbm"/>
    <s v="OK"/>
    <s v="OK"/>
    <s v="Mauvais"/>
    <s v="retransmission des trames HDLC*5"/>
    <m/>
    <s v="Saad Elhabib"/>
    <m/>
    <m/>
    <m/>
    <m/>
    <m/>
    <m/>
    <m/>
  </r>
  <r>
    <n v="475"/>
    <b v="0"/>
    <x v="189"/>
    <d v="1899-12-30T06:28:15"/>
    <n v="2001"/>
    <x v="10"/>
    <x v="0"/>
    <n v="7206"/>
    <m/>
    <s v="Tanger/Casa"/>
    <n v="110.843"/>
    <x v="1"/>
    <s v="N2"/>
    <s v="Ralentissement du train"/>
    <s v="Etat H.O : complet entre  219 et 220                                                                                                           * qualité /niveau de signal : dl rx-qual=0 , dl rx level = -48 dbm_x000a_,Requête de déconnexion a été envoyée par le RBC"/>
    <m/>
    <x v="1"/>
    <s v="dans l'attente d'une analyse spectral "/>
    <s v=" H.O  complete entre 219 et 220"/>
    <s v="dl Rxqual=0"/>
    <s v="dl rx level= -48 dbm"/>
    <s v="OK"/>
    <s v="OK"/>
    <s v="Mauvais"/>
    <s v="retransmission des trames HDLC*5"/>
    <m/>
    <s v="Saad Elhabib"/>
    <m/>
    <m/>
    <m/>
    <m/>
    <m/>
    <m/>
    <m/>
  </r>
  <r>
    <n v="476"/>
    <b v="0"/>
    <x v="189"/>
    <d v="1899-12-30T07:05:24"/>
    <n v="2005"/>
    <x v="0"/>
    <x v="0"/>
    <n v="1037"/>
    <m/>
    <s v="Tanger/Casa"/>
    <n v="6.13"/>
    <x v="2"/>
    <s v="N2"/>
    <s v="Arrêt du train"/>
    <s v="Etat H.O : complet entre 202 et 203_x000a_* qualité /niveau de signal : dl rx-qual=0 , dl rx level = -71 dbm_x000a_,Requête de déconnexion a été envoyée par le RBC"/>
    <m/>
    <x v="0"/>
    <s v="En attente de mise en place des tiroires filtrés "/>
    <s v=" H.O  complete entre 202 et 203"/>
    <s v="dl Rxqual=0"/>
    <s v="dl rx level= -71 dbm"/>
    <s v="OK"/>
    <s v="OK"/>
    <s v="Mauvais"/>
    <s v="retransmission des trames HDLC*5"/>
    <m/>
    <s v="ELHAJOUIA Achraf"/>
    <m/>
    <m/>
    <m/>
    <m/>
    <m/>
    <m/>
    <m/>
  </r>
  <r>
    <n v="477"/>
    <b v="0"/>
    <x v="189"/>
    <d v="1899-12-30T17:43:39"/>
    <n v="1041"/>
    <x v="11"/>
    <x v="1"/>
    <n v="1072"/>
    <m/>
    <s v="Casa/Tanger"/>
    <n v="104.253"/>
    <x v="24"/>
    <s v="N2"/>
    <s v="Ralentissement du train"/>
    <s v="Etat H.O : complet entre 320 et 319_x000a_* qualité /niveau de signal : dl rx-qual=2 , dl rx level = -58 dbm_x000a_,Requête de déconnexion a été envoyée par le RBC"/>
    <m/>
    <x v="2"/>
    <s v="chaine antennaire dégradé, besoin de vérification de la chaine /des perturbations de H.O entre 320 et 319 ; dans l'attente d'une analyse spectrale "/>
    <s v=" H.O  complete entre 320 et 319"/>
    <s v="dl Rxqual=2"/>
    <s v="dl rx level= -58 dbm"/>
    <s v="OK"/>
    <s v="OK"/>
    <s v="Mauvais"/>
    <s v="retransmission des trames HDLC*5"/>
    <m/>
    <s v="HAMZAOUI Youssef"/>
    <m/>
    <m/>
    <m/>
    <m/>
    <m/>
    <m/>
    <m/>
  </r>
  <r>
    <n v="478"/>
    <b v="0"/>
    <x v="190"/>
    <d v="1899-12-30T08:53:26"/>
    <n v="1005"/>
    <x v="1"/>
    <x v="1"/>
    <n v="3063"/>
    <m/>
    <s v="Casa/Tanger"/>
    <n v="59.758000000000003"/>
    <x v="23"/>
    <s v="N2"/>
    <s v="Ralentissement du train"/>
    <s v="Etat H.O : complet entre 311 et 310_x000a_* qualité /niveau de signal : dl rx-qual=0 , dl rx level = -53 dbm_x000a_,Requête de déconnexion a été envoyée par le RBC"/>
    <m/>
    <x v="2"/>
    <s v="chaine antennaire dégradé, besoin de vérification de la chaine /Attente de vérificationPar l'équipe SOR"/>
    <s v=" H.O  complete entre 311 et 310"/>
    <s v="dl Rxqual=0"/>
    <s v="dl rx level= -53 dbm"/>
    <s v="OK"/>
    <s v="OK"/>
    <s v="Mauvais"/>
    <s v="retransmission des trames HDLC*5"/>
    <m/>
    <s v="ELGUEZZAR Anas"/>
    <m/>
    <m/>
    <m/>
    <m/>
    <m/>
    <m/>
    <m/>
  </r>
  <r>
    <n v="479"/>
    <b v="0"/>
    <x v="190"/>
    <d v="1899-12-30T15:05:05"/>
    <n v="2037"/>
    <x v="11"/>
    <x v="0"/>
    <n v="1048"/>
    <m/>
    <s v="Tanger/Casa"/>
    <n v="6.13"/>
    <x v="2"/>
    <s v="N2"/>
    <s v="Arrêt du train"/>
    <s v="Etat H.O : Non finalisé entre 202 et 303_x000a_* qualité /niveau de signal : dl rx-qual=5 , dl rx level = -52 dbm_x000a_,Requête de déconnexion a été envoyée par le Bord"/>
    <m/>
    <x v="0"/>
    <s v="En attente de mise en place des tiroires filtrés "/>
    <s v=" H.O  Non finalisé entre 202 et 303"/>
    <s v="dl Rxqual=5"/>
    <s v="dl rx level= -52 dbm"/>
    <s v="OK"/>
    <s v="OK"/>
    <s v="Mauvais"/>
    <s v="pas de retransmission des trames HDLC"/>
    <m/>
    <s v="HAMZAOUI Youssef"/>
    <m/>
    <m/>
    <m/>
    <m/>
    <m/>
    <m/>
    <m/>
  </r>
  <r>
    <n v="480"/>
    <b v="0"/>
    <x v="190"/>
    <d v="1899-12-30T17:05:10"/>
    <n v="2045"/>
    <x v="10"/>
    <x v="0"/>
    <n v="7206"/>
    <m/>
    <s v="Tanger/Casa"/>
    <n v="6.13"/>
    <x v="2"/>
    <s v="N2"/>
    <s v="Ralentissement du train"/>
    <s v="Etat H.O : Non finalisé entre 202 et 303_x000a_* qualité /niveau de signal : dl rx-qual=5 , dl rx level = -56 dbm_x000a_,Requête de déconnexion a été envoyée par le RBC"/>
    <m/>
    <x v="0"/>
    <s v="En attente de mise en place des tiroires filtrés "/>
    <s v=" H.O  Non finalisé entre 202 et 304"/>
    <s v="dl Rxqual=5"/>
    <s v="dl rx level= -56 dbm"/>
    <s v="OK"/>
    <s v="OK"/>
    <s v="Mauvais"/>
    <s v="retransmission des trames HDLC*5"/>
    <m/>
    <s v="HAMZAOUI Youssef"/>
    <m/>
    <m/>
    <m/>
    <m/>
    <m/>
    <m/>
    <m/>
  </r>
  <r>
    <n v="481"/>
    <b v="0"/>
    <x v="191"/>
    <d v="1899-12-30T16:27:51"/>
    <n v="2041"/>
    <x v="5"/>
    <x v="0"/>
    <n v="1025"/>
    <m/>
    <s v="Tanger/Casa"/>
    <n v="108.206"/>
    <x v="1"/>
    <s v="N2"/>
    <s v="Ralentissement du train"/>
    <s v="Etat H.O : Non finalisé entre 219 et 320_x000a_* qualité /niveau de signal : dl rx-qual=6 , dl rx level = -77 dbm_x000a_,Requête de déconnexion a été envoyée par le Bord"/>
    <m/>
    <x v="2"/>
    <s v="chaine antennaire dégradé, besoin de vérification de la chaine /des perturbations de H.O entre 320 et 319 ; dans l'attente d'une analyse spectrale "/>
    <s v=" H.O  Non finalisé entre 219 et 320"/>
    <s v="dl Rxqual=6"/>
    <s v="dl rx level= -77 dbm"/>
    <s v="OK"/>
    <s v="OK"/>
    <s v="Mauvais"/>
    <s v="pas de retransmission des trames HDLC"/>
    <m/>
    <s v="HAMZAOUI Youssef"/>
    <m/>
    <m/>
    <m/>
    <m/>
    <m/>
    <m/>
    <m/>
  </r>
  <r>
    <n v="482"/>
    <b v="0"/>
    <x v="191"/>
    <d v="1899-12-30T16:39:57"/>
    <n v="2041"/>
    <x v="5"/>
    <x v="0"/>
    <n v="1024"/>
    <m/>
    <s v="Tanger/Casa"/>
    <n v="164.066"/>
    <x v="28"/>
    <s v="N2"/>
    <s v="Ralentissement du train"/>
    <s v="Etat H.O : Complet entre 227 et 228_x000a_* qualité /niveau de signal : dl rx-qual=0 , dl rx level = -48 dbm_x000a_,Requête de déconnexion a été envoyée par le RBC"/>
    <m/>
    <x v="2"/>
    <s v="chaine antennaire dégradé, besoin de vérification de la chaine /Zone sous surveillance par équipe NOC GSMR"/>
    <s v=" H.O  complete entre 227 et 228"/>
    <s v="dl Rxqual=0"/>
    <s v="dl rx level= -48 dbm"/>
    <s v="OK"/>
    <s v="NOK"/>
    <s v="Mauvais"/>
    <s v="retransmission des trames HDLC*5"/>
    <m/>
    <s v="HAMZAOUI Youssef"/>
    <m/>
    <m/>
    <m/>
    <m/>
    <m/>
    <m/>
    <m/>
  </r>
  <r>
    <n v="483"/>
    <b v="0"/>
    <x v="191"/>
    <d v="1899-12-30T20:21:27"/>
    <n v="2057"/>
    <x v="3"/>
    <x v="0"/>
    <n v="1047"/>
    <m/>
    <s v="Tanger/Casa"/>
    <n v="73.585999999999999"/>
    <x v="13"/>
    <s v="N2"/>
    <s v="Ralentissement du train"/>
    <s v="Etat H.O : Complet entre 213 et 214_x000a_* qualité /niveau de signal : dl rx-qual=1 , dl rx level = -49 dbm_x000a_,Requête de déconnexion a été envoyée par le RBC"/>
    <m/>
    <x v="0"/>
    <s v="chaine antennaire dégradé, besoin de vérification de la chaine /Zone sous surveillance par équipe NOC GSMR"/>
    <s v=" H.O  complete entre 213 et 214"/>
    <s v="dl Rxqual=1"/>
    <s v="dl rx level= -49 dbm"/>
    <s v="OK"/>
    <s v="OK"/>
    <s v="Mauvais"/>
    <s v="retransmission des trames HDLC*5"/>
    <m/>
    <s v="ELHAJOUIA Achraf"/>
    <m/>
    <m/>
    <m/>
    <m/>
    <m/>
    <m/>
    <m/>
  </r>
  <r>
    <n v="484"/>
    <b v="0"/>
    <x v="192"/>
    <d v="1899-12-30T08:04:40"/>
    <n v="1001"/>
    <x v="8"/>
    <x v="1"/>
    <n v="1048"/>
    <m/>
    <s v="Casa/Tanger"/>
    <n v="8.9700000000000006"/>
    <x v="2"/>
    <s v="N2"/>
    <s v="Arrêt du train"/>
    <s v="Etat H.O : Complet entre 304 et 303_x000a_* qualité /niveau de signal : dl rx-qual=3 , dl rx level = -69 dbm_x000a_,Requête de déconnexion a été envoyée par le RBC"/>
    <m/>
    <x v="6"/>
    <s v="En attente de mise en place des tiroires filtrés / En attente de pousser les analyses coté RBC"/>
    <s v=" H.O  complete entre 304 et 303"/>
    <s v="dl Rxqual=3"/>
    <s v="dl rx level= -69 dbm"/>
    <s v="OK"/>
    <s v="OK"/>
    <s v="Mauvais"/>
    <s v="pas de retransmission des trames HDLC"/>
    <m/>
    <s v="Noura MOUSSAOUI"/>
    <m/>
    <m/>
    <m/>
    <m/>
    <m/>
    <m/>
    <m/>
  </r>
  <r>
    <n v="485"/>
    <b v="0"/>
    <x v="192"/>
    <d v="1899-12-30T18:35:56"/>
    <n v="2049"/>
    <x v="9"/>
    <x v="0"/>
    <n v="1049"/>
    <m/>
    <s v="Tanger/Casa"/>
    <n v="144.32599999999999"/>
    <x v="3"/>
    <s v="N2"/>
    <s v="Arrêt du train"/>
    <s v="Etat H.O : Complet entre 224 et 225_x000a_* qualité /niveau de signal : dl rx-qual=2 , dl rx level = -69 dbm_x000a_,Requête de déconnexion a été envoyée par le RBC"/>
    <m/>
    <x v="2"/>
    <s v="chaine antennaire dégradé, besoin de vérification de la chaine /Zone sous surveillance par équipe NOC GSMR"/>
    <s v=" H.O  complete entre 224 et 225"/>
    <s v="dl Rxqual=2"/>
    <s v="dl rx level= -69 dbm"/>
    <s v="OK"/>
    <s v="OK"/>
    <s v="Mauvais"/>
    <s v="retransmission des trames HDLC*5"/>
    <m/>
    <s v="HAMZAOUI Youssef"/>
    <m/>
    <m/>
    <m/>
    <m/>
    <m/>
    <m/>
    <m/>
  </r>
  <r>
    <n v="486"/>
    <b v="0"/>
    <x v="192"/>
    <d v="1899-12-30T08:16:27"/>
    <n v="2009"/>
    <x v="1"/>
    <x v="0"/>
    <n v="1028"/>
    <m/>
    <s v="Tanger/Casa"/>
    <n v="49.784999999999997"/>
    <x v="29"/>
    <s v="N2"/>
    <s v="Ralentissement du train"/>
    <s v="Etat H.O : Complet entre 208 et 209_x000a_* qualité /niveau de signal : dl rx-qual=0 , dl rx level = -48 dbm_x000a_,Requête de déconnexion a été envoyée par le RBC"/>
    <m/>
    <x v="0"/>
    <s v="En attente de pousser les analyses coté Bord"/>
    <s v=" H.O  complete entre 208 et 209"/>
    <s v="dl Rxqual=0"/>
    <s v="dl rx level= -48 dbm"/>
    <s v="OK"/>
    <s v="OK"/>
    <s v="Mauvais"/>
    <s v="retransmission des trames HDLC*5"/>
    <m/>
    <s v="ELHAJOUIA Achraf"/>
    <m/>
    <m/>
    <m/>
    <m/>
    <m/>
    <m/>
    <m/>
  </r>
  <r>
    <n v="487"/>
    <b v="0"/>
    <x v="193"/>
    <d v="1899-12-30T15:05:09"/>
    <n v="2037"/>
    <x v="3"/>
    <x v="0"/>
    <n v="1046"/>
    <m/>
    <s v="Tanger/Casa"/>
    <n v="6.13"/>
    <x v="2"/>
    <s v="N2"/>
    <s v="Ralentissement du train"/>
    <s v="Etat H.O : Non finalisé entre 202 et 303_x000a_* qualité /niveau de signal : dl rx-qual=7 , dl rx level = -53 dbm_x000a_,Requête de déconnexion a été envoyée par le Bord"/>
    <m/>
    <x v="0"/>
    <s v="En attente de mise en place des tiroires filtrés "/>
    <s v=" H.O  Non finalisé entre 202 et 303"/>
    <s v="dl Rxqual=7"/>
    <s v="dl rx level= -53 dbm"/>
    <s v="OK"/>
    <s v="OK"/>
    <s v="Mauvais"/>
    <s v="retransmission des trames HDLC*5"/>
    <m/>
    <s v="HAMZAOUI Youssef"/>
    <m/>
    <m/>
    <m/>
    <m/>
    <m/>
    <m/>
    <m/>
  </r>
  <r>
    <n v="488"/>
    <b v="0"/>
    <x v="193"/>
    <d v="1899-12-30T15:17:03"/>
    <n v="2037"/>
    <x v="3"/>
    <x v="0"/>
    <n v="1047"/>
    <m/>
    <s v="Tanger/Casa"/>
    <n v="44.47"/>
    <x v="16"/>
    <s v="N2"/>
    <s v="Arrêt du train"/>
    <s v="Etat H.O : Complet entre 207 et 208_x000a_* qualité /niveau de signal : dl rx-qual=0 , dl rx level = - 73dbm_x000a_,Requête de déconnexion a été envoyée par le RBC"/>
    <m/>
    <x v="2"/>
    <s v="chaine antennaire dégradé, besoin de vérification de la chaine /Zone sous surveillance par équipe NOC GSMR"/>
    <s v=" H.O  complete entre 207 et 208"/>
    <s v="dl Rxqual=0"/>
    <s v="dl rx level= -73 dbm"/>
    <s v="NOK"/>
    <s v="OK"/>
    <s v="Mauvais"/>
    <s v="retransmission des trames HDLC*5"/>
    <m/>
    <s v="HAMZAOUI Youssef"/>
    <m/>
    <m/>
    <m/>
    <m/>
    <m/>
    <m/>
    <m/>
  </r>
  <r>
    <n v="489"/>
    <b v="0"/>
    <x v="193"/>
    <d v="1899-12-30T22:20:43"/>
    <n v="1057"/>
    <x v="7"/>
    <x v="1"/>
    <n v="1041"/>
    <m/>
    <s v="Casa/Tanger"/>
    <n v="35.259"/>
    <x v="25"/>
    <s v="N2"/>
    <s v="Ralentissement du train"/>
    <s v="Etat H.O : Complet entre 308 et 307_x000a_* qualité /niveau de signal : dl rx-qual=0 , dl rx level = - 50dbm_x000a_,Requête de déconnexion a été envoyée par le RBC"/>
    <m/>
    <x v="0"/>
    <s v="chaine antennaire dégradé, besoin de vérification de la chaine /Zone sous surveillance par équipe NOC GSMR"/>
    <s v=" H.O  complete entre 308 et 307"/>
    <s v="dl Rxqual=0"/>
    <s v="dl rx level= -50 dbm"/>
    <s v="OK"/>
    <s v="OK"/>
    <s v="Mauvais"/>
    <s v="retransmission des trames HDLC*5"/>
    <m/>
    <s v="ELHAJOUIA Achraf"/>
    <m/>
    <m/>
    <m/>
    <m/>
    <m/>
    <m/>
    <m/>
  </r>
  <r>
    <n v="490"/>
    <b v="0"/>
    <x v="194"/>
    <d v="1899-12-30T11:27:04"/>
    <n v="2021"/>
    <x v="7"/>
    <x v="0"/>
    <n v="1055"/>
    <m/>
    <s v="Tanger/Casa"/>
    <n v="98.981999999999999"/>
    <x v="8"/>
    <s v="N2"/>
    <s v="Ralentissement du train"/>
    <s v="Etat H.O : Complet entre 217 et 218_x000a_* qualité /niveau de signal : dl rx-qual=1 , dl rx level = - 48dbm_x000a_,Requête de déconnexion a été envoyée par le RBC"/>
    <m/>
    <x v="0"/>
    <s v="chaine antennaire dégradé, besoin de vérification de la chaine /Zone sous surveillance par équipe NOC GSMR"/>
    <s v=" H.O  complete entre 217 et 218"/>
    <s v="dl Rxqual=1"/>
    <s v="dl rx level= -48 dbm"/>
    <s v="OK"/>
    <s v="OK"/>
    <s v="Mauvais"/>
    <s v="retransmission des trames HDLC*5"/>
    <m/>
    <s v="HAMZAOUI Youssef"/>
    <m/>
    <m/>
    <m/>
    <m/>
    <m/>
    <m/>
    <m/>
  </r>
  <r>
    <n v="491"/>
    <b v="0"/>
    <x v="194"/>
    <d v="1899-12-30T14:05:00"/>
    <n v="2033"/>
    <x v="10"/>
    <x v="0"/>
    <n v="7206"/>
    <m/>
    <s v="Tanger/Casa"/>
    <n v="6.13"/>
    <x v="2"/>
    <s v="N2"/>
    <s v="Arrêt du train"/>
    <s v="Etat H.O : non finalisé entre 302 et 203_x000a_* qualité /niveau de signal : dl rx-qual=7, dl rx level = -52 dbm_x000a_,Requête de déconnexion a été envoyée par le RBC"/>
    <m/>
    <x v="0"/>
    <s v="En attente de mise en place des tiroires filtrés "/>
    <s v=" H.O  Non finalisé entre 302 et 203"/>
    <s v="dl Rxqual=7"/>
    <s v="dl rx level= -52dbm"/>
    <s v="OK"/>
    <s v="OK"/>
    <s v="Mauvais"/>
    <s v="retransmission des trames HDLC*5"/>
    <m/>
    <s v="Saad Elhabib"/>
    <m/>
    <m/>
    <m/>
    <m/>
    <m/>
    <m/>
    <m/>
  </r>
  <r>
    <n v="492"/>
    <b v="0"/>
    <x v="194"/>
    <d v="1899-12-30T17:08:31"/>
    <n v="2045"/>
    <x v="7"/>
    <x v="0"/>
    <s v="1054."/>
    <m/>
    <s v="Tanger/Casa"/>
    <n v="11.28"/>
    <x v="22"/>
    <s v="N2"/>
    <s v="Ralentissement du train"/>
    <s v="Etat H.O : finalisé entre 202 et 303_x000a_* qualité /niveau de signal : dl rx-qual=0, dl rx level = -61 dbm_x000a_,Requête de déconnexion a été envoyée par le Bord"/>
    <m/>
    <x v="0"/>
    <s v="chaine antennaire dégradé, besoin de vérification de la chaine /Zone sous surveillance par équipe NOC GSMR"/>
    <s v=" H.O   finalisé entre 202 et 303"/>
    <s v="dl Rxqual=0"/>
    <s v="dl rx level= -61dbm"/>
    <s v="OK"/>
    <s v="OK"/>
    <s v="Mauvais"/>
    <s v="retransmission des trames HDLC*5"/>
    <m/>
    <s v="Saad Elhabib"/>
    <m/>
    <m/>
    <m/>
    <m/>
    <m/>
    <m/>
    <m/>
  </r>
  <r>
    <n v="493"/>
    <b v="0"/>
    <x v="194"/>
    <d v="1899-12-30T17:53:01"/>
    <n v="1042"/>
    <x v="1"/>
    <x v="1"/>
    <n v="3062"/>
    <m/>
    <s v="Casa/Tanger"/>
    <n v="64.387"/>
    <x v="21"/>
    <s v="N2"/>
    <s v="Ralentissement du train"/>
    <s v="Etat H.O : Non finalisé entre 312 et 311_x000a_* qualité /niveau de signal : dl rx-qual=1, dl rx level = -77 dbm_x000a_,Requête de déconnexion a été envoyée par le RBC"/>
    <m/>
    <x v="0"/>
    <s v="chaine antennaire dégradé, besoin de vérification de la chaine /enchainement H.O normal pour les autres appels ETCS "/>
    <s v=" H.O  Non finalisé entre 312 et 311"/>
    <s v="dl Rxqual=1"/>
    <s v="dl rx level= -77dbm"/>
    <s v="OK"/>
    <s v="OK"/>
    <s v="Mauvais"/>
    <s v="retransmission des trames HDLC*5"/>
    <m/>
    <s v="Saad Elhabib"/>
    <m/>
    <m/>
    <m/>
    <m/>
    <m/>
    <m/>
    <m/>
  </r>
  <r>
    <n v="494"/>
    <b v="0"/>
    <x v="194"/>
    <d v="1899-12-30T18:31:40"/>
    <n v="1045"/>
    <x v="11"/>
    <x v="1"/>
    <n v="1020"/>
    <m/>
    <s v="Casa/Tanger"/>
    <n v="177.85"/>
    <x v="4"/>
    <s v="N2"/>
    <s v="Ralentissement du train"/>
    <s v="Etat H.O : Ho complet entre  231 et 229 _x000a_* qualité /niveau de signal : dl rx-qual=7 , dl rx level =-70dbm_x000a_,Requête de déconnexion a été envoyée par le RBC"/>
    <m/>
    <x v="2"/>
    <s v="chaine antennaire dégradé, besoin de vérification de la chaine /Des ping pong pour quelques marches (zone sous surveillance par SOR )"/>
    <s v=" H.O  complet entre  231 et 229 "/>
    <s v="dl Rxqual=7"/>
    <s v="dl rx level= -70dbm"/>
    <s v="OK"/>
    <s v="OK"/>
    <s v="Mauvais"/>
    <s v="retransmission des trames HDLC*5"/>
    <m/>
    <s v="Saad Elhabib"/>
    <m/>
    <m/>
    <m/>
    <m/>
    <m/>
    <m/>
    <m/>
  </r>
  <r>
    <n v="495"/>
    <b v="0"/>
    <x v="194"/>
    <d v="1899-12-30T16:28:29"/>
    <n v="1037"/>
    <x v="4"/>
    <x v="1"/>
    <n v="1033"/>
    <m/>
    <s v="Casa/Tanger"/>
    <n v="177.85"/>
    <x v="4"/>
    <s v="N2"/>
    <s v="Ralentissement du train"/>
    <s v="Etat H.O : Ho complet entre  231 et 329 (saute cellule)_x000a_* qualité /niveau de signal : dl rx-qual=2 , dl rx level =-61dbm_x000a_,Requête de déconnexion a été envoyée par le RBC"/>
    <m/>
    <x v="2"/>
    <s v="chaine antennaire dégradé, besoin de vérification de la chaine /Des ping pong pour quelques marches (zone sous surveillance par SOR )"/>
    <s v=" H.O  complet entre  231 et 329"/>
    <s v="dl Rxqual=2"/>
    <s v="dl rx level= -60dbm"/>
    <s v="OK"/>
    <s v="OK"/>
    <s v="Mauvais"/>
    <s v="retransmission des trames HDLC*5"/>
    <m/>
    <s v="ELHAJOUIA Achraf"/>
    <m/>
    <m/>
    <m/>
    <m/>
    <m/>
    <m/>
    <m/>
  </r>
  <r>
    <n v="496"/>
    <b v="0"/>
    <x v="195"/>
    <d v="1899-12-30T07:13:16"/>
    <n v="2005"/>
    <x v="3"/>
    <x v="0"/>
    <n v="1047"/>
    <m/>
    <s v="Tanger/Casa"/>
    <n v="33.960999999999999"/>
    <x v="25"/>
    <s v="N2"/>
    <s v="Ralentissement du train"/>
    <s v="Etat H.O : Ho complet entre  206 et 207 _x000a_* qualité /niveau de signal : dl rx-qual=0 , dl rx level =-48dbm_x000a_,Requête de déconnexion a été envoyée par le RBC"/>
    <m/>
    <x v="0"/>
    <s v="chaine antennaire dégradé, besoin de vérification de la chaine /Zone sous surveillance par équipe NOC GSMR"/>
    <s v=" H.O  complet entre  206 et 207"/>
    <s v="dl Rxqual=0"/>
    <s v="dl rx level= -48dbm"/>
    <s v="OK"/>
    <s v="OK"/>
    <s v="Mauvais"/>
    <s v="retransmission des trames HDLC*5"/>
    <m/>
    <s v="ELHAJOUIA Achraf"/>
    <m/>
    <m/>
    <m/>
    <m/>
    <m/>
    <m/>
    <m/>
  </r>
  <r>
    <n v="497"/>
    <b v="0"/>
    <x v="195"/>
    <d v="1899-12-30T14:05:06"/>
    <n v="2033"/>
    <x v="9"/>
    <x v="0"/>
    <n v="1052"/>
    <m/>
    <s v="Tanger/Casa"/>
    <n v="6.13"/>
    <x v="2"/>
    <s v="N2"/>
    <s v="Arrêt du train"/>
    <s v="Etat H.O : Ho non finalisé  entre  302  et 203_x000a_* qualité /niveau de signal : dl rx-qual=5 , dl rx level =-51dbm._x000a_,Requête de déconnexion a été envoyée par le RBC"/>
    <m/>
    <x v="0"/>
    <s v="En attente de mise en place des tiroires filtrés "/>
    <s v=" H.O  non finalisé  entre  302  et 203"/>
    <s v="dl Rxqual=5"/>
    <s v="dl rx level= -51dbm"/>
    <s v="NOK"/>
    <s v="OK"/>
    <s v="Mauvais"/>
    <s v="retransmission des trames HDLC*5"/>
    <m/>
    <s v="Saad Elhabib"/>
    <m/>
    <m/>
    <m/>
    <m/>
    <m/>
    <m/>
    <m/>
  </r>
  <r>
    <n v="498"/>
    <b v="0"/>
    <x v="195"/>
    <d v="1899-12-30T15:05:04"/>
    <n v="2037"/>
    <x v="0"/>
    <x v="0"/>
    <n v="1036"/>
    <m/>
    <s v="Tanger/Casa"/>
    <n v="6.13"/>
    <x v="2"/>
    <s v="N2"/>
    <s v="Arrêt du train"/>
    <s v="* Etat H.O : Ho non finalisé  entre  302  et 303_x000a_* qualité /niveau de signal : dl rx-qual=6 , dl rx level =-53dbm._x000a_,Requête de déconnexion a été envoyée par le RBC"/>
    <m/>
    <x v="0"/>
    <s v="En attente de mise en place des tiroires filtrés "/>
    <s v=" H.O  non finalisé  entre  302  et 203"/>
    <s v="dl Rxqual=6"/>
    <s v="dl rx level= -53dbm"/>
    <s v="OK"/>
    <s v="OK"/>
    <s v="Mauvais"/>
    <s v="retransmission des trames HDLC*5"/>
    <m/>
    <s v="Saad Elhabib"/>
    <m/>
    <m/>
    <m/>
    <m/>
    <m/>
    <m/>
    <m/>
  </r>
  <r>
    <n v="499"/>
    <b v="0"/>
    <x v="195"/>
    <d v="1899-12-30T15:20:22"/>
    <n v="2037"/>
    <x v="0"/>
    <x v="0"/>
    <n v="1037"/>
    <m/>
    <s v="Tanger/Casa"/>
    <n v="59.817999999999998"/>
    <x v="23"/>
    <s v="N2"/>
    <s v="Ralentissement du train"/>
    <s v="* Etat H.O : Ho finalisé  entre  210 et 211_x000a_* qualité /niveau de signal : dl rx-qual=2 , dl rx level =-50dbm._x000a_,Requête de déconnexion a été envoyée par le RBC"/>
    <m/>
    <x v="0"/>
    <s v="chaine antennaire dégradé, besoin de vérification de la chaine"/>
    <s v=" H.O  finalisé  entre  210 et 211"/>
    <s v="dl Rxqual=2"/>
    <s v="dl rx level= -50dbm"/>
    <s v="OK"/>
    <s v="OK"/>
    <s v="Mauvais"/>
    <s v="retransmission des trames HDLC*5"/>
    <m/>
    <s v="Saad Elhabib"/>
    <m/>
    <m/>
    <m/>
    <m/>
    <m/>
    <m/>
    <m/>
  </r>
  <r>
    <n v="500"/>
    <b v="0"/>
    <x v="195"/>
    <d v="1899-12-30T16:05:15"/>
    <n v="2041"/>
    <x v="8"/>
    <x v="0"/>
    <n v="1040"/>
    <m/>
    <s v="Tanger/Casa"/>
    <n v="6.13"/>
    <x v="2"/>
    <s v="N2"/>
    <s v="Arrêt du train"/>
    <s v="Etat H.O : Ho Non finalisé  entre  202 et 303_x000a_* qualité /niveau de signal : dl rx-qual=3 , dl rx level =-52dbm._x000a_,Requête de déconnexion a été envoyée par le Bord"/>
    <m/>
    <x v="0"/>
    <s v="En attente de mise en place des tiroires filtrés "/>
    <s v=" H.O  Non finalisé  entre  202 et 303"/>
    <s v="dl Rxqual=3"/>
    <s v="dl rx level= -52dbm"/>
    <s v="NOK"/>
    <s v="OK"/>
    <s v="Mauvais"/>
    <s v="retransmission des trames HDLC*5"/>
    <m/>
    <s v="Saad Elhabib"/>
    <m/>
    <m/>
    <m/>
    <m/>
    <m/>
    <m/>
    <m/>
  </r>
  <r>
    <n v="501"/>
    <b v="0"/>
    <x v="195"/>
    <d v="1899-12-30T19:11:45"/>
    <n v="2053"/>
    <x v="5"/>
    <x v="0"/>
    <n v="1025"/>
    <m/>
    <s v="Tanger/Casa"/>
    <n v="21.55"/>
    <x v="20"/>
    <s v="N2"/>
    <s v="Arrêt du train"/>
    <s v="Etat H.O : Ho finalisé  entre  204 et 205_x000a_* qualité /niveau de signal : dl rx-qual=0 , dl rx level =-51dbm._x000a_,Requête de déconnexion a été envoyée par le RBC"/>
    <m/>
    <x v="0"/>
    <s v="chaine antennaire dégradé, besoin de vérification de la chaine /les conditions gsm-r sont bon "/>
    <s v=" H.O finalisé  entre  204 et 205"/>
    <s v="dl Rxqual=0"/>
    <s v="dl rx level= -51dbm"/>
    <s v="OK"/>
    <s v="OK"/>
    <s v="Mauvais"/>
    <s v="retransmission des trames HDLC*5"/>
    <m/>
    <s v="Saad Elhabib"/>
    <m/>
    <m/>
    <m/>
    <m/>
    <m/>
    <m/>
    <m/>
  </r>
  <r>
    <n v="502"/>
    <b v="0"/>
    <x v="195"/>
    <d v="1899-12-30T21:23:45"/>
    <n v="2061"/>
    <x v="0"/>
    <x v="0"/>
    <n v="1037"/>
    <m/>
    <s v="Tanger/Casa"/>
    <n v="88.911000000000001"/>
    <x v="12"/>
    <s v="N2"/>
    <s v="Ralentissement du train"/>
    <s v="Etat H.O : Ho complet entre  216 et 217 _x000a_* qualité /niveau de signal : dl rx-qual=0 , dl rx level =-69dbm_x000a_,Requête de déconnexion a été envoyée par le RBC; Redemarrage fugitif du RBC a mené a la déconnexion"/>
    <m/>
    <x v="0"/>
    <s v="chaine antennaire dégradé, besoin de vérification de la chaine"/>
    <s v=" H.O complet  entre  216 et 217"/>
    <s v="dl Rxqual=0"/>
    <s v="dl rx level= -69dbm"/>
    <s v="OK"/>
    <s v="OK"/>
    <s v="Mauvais"/>
    <s v="retransmission des trames HDLC*5"/>
    <m/>
    <s v="ELHAJOUIA Achraf"/>
    <m/>
    <m/>
    <m/>
    <m/>
    <m/>
    <m/>
    <m/>
  </r>
  <r>
    <n v="503"/>
    <b v="0"/>
    <x v="196"/>
    <d v="1899-12-30T10:45:43"/>
    <n v="1013"/>
    <x v="3"/>
    <x v="1"/>
    <n v="1008"/>
    <m/>
    <s v="Casa/Tanger"/>
    <n v="93.757999999999996"/>
    <x v="8"/>
    <s v="N2"/>
    <s v="Arrêt du train"/>
    <s v="Etat H.O : complet entre  318 et 317 _x000a_* qualité /niveau de signal : dl rx-qual=0 , dl rx level =-52 dbm_x000a_,Requête de déconnexion a été envoyée par le Bord"/>
    <m/>
    <x v="3"/>
    <s v="Pas d'action"/>
    <s v=" H.O complet  entre  318 et 317"/>
    <s v="dl Rxqual=0"/>
    <s v="dl rx level= -52 dbm"/>
    <s v="OK"/>
    <s v="NOK"/>
    <s v="Mauvais"/>
    <s v="retransmission des trames HDLC*5"/>
    <m/>
    <s v="HAMZAOUI Youssef"/>
    <m/>
    <m/>
    <m/>
    <m/>
    <m/>
    <m/>
    <m/>
  </r>
  <r>
    <n v="504"/>
    <b v="0"/>
    <x v="196"/>
    <d v="1899-12-30T17:05:08"/>
    <n v="2045"/>
    <x v="9"/>
    <x v="0"/>
    <n v="1052"/>
    <m/>
    <s v="Tanger/Casa"/>
    <n v="4.7069999999999999"/>
    <x v="2"/>
    <s v="N2"/>
    <s v="Arrêt du train"/>
    <s v="Etat H.O : complet entre  301 et 202 _x000a_* qualité /niveau de signal : dl rx-qual=0 , dl rx level =-48 dbm_x000a_,Requête de déconnexion a été envoyée par le RBC"/>
    <m/>
    <x v="0"/>
    <s v="En attente de mise en place des tiroires filtrés "/>
    <s v=" H.O complet  entre  301 et 302"/>
    <s v="dl Rxqual=0"/>
    <s v="dl rx level= -48 dbm"/>
    <s v="NOK"/>
    <s v="OK"/>
    <s v="Mauvais"/>
    <s v="retransmission des trames HDLC*5"/>
    <m/>
    <s v="ELGUEZZAR Anas"/>
    <m/>
    <m/>
    <m/>
    <m/>
    <m/>
    <m/>
    <m/>
  </r>
  <r>
    <n v="505"/>
    <b v="0"/>
    <x v="196"/>
    <d v="1899-12-30T18:05:13"/>
    <n v="2049"/>
    <x v="3"/>
    <x v="0"/>
    <n v="1046"/>
    <m/>
    <s v="Tanger/Casa"/>
    <n v="6.13"/>
    <x v="2"/>
    <s v="N2"/>
    <s v="Ralentissement du train"/>
    <s v="Etat H.O : Non Finalisé entre  202 et 303 _x000a_* qualité /niveau de signal : dl rx-qual=5 , dl rx level =-53 dbm_x000a_,Requête de déconnexion a été envoyée par le RBC"/>
    <m/>
    <x v="0"/>
    <s v="En attente de mise en place des tiroires filtrés "/>
    <s v=" H.O Non Finalisé entre  202 et 303 "/>
    <s v="dl Rxqual=5"/>
    <s v="dl rx level= -53 dbm"/>
    <s v="OK"/>
    <s v="OK"/>
    <s v="Mauvais"/>
    <s v="retransmission des trames HDLC*5"/>
    <m/>
    <s v="MAROUANI Otmane"/>
    <m/>
    <m/>
    <m/>
    <m/>
    <m/>
    <m/>
    <m/>
  </r>
  <r>
    <n v="506"/>
    <b v="0"/>
    <x v="196"/>
    <d v="1899-12-30T19:37:10"/>
    <n v="1049"/>
    <x v="8"/>
    <x v="1"/>
    <n v="1022"/>
    <m/>
    <s v="Casa/Tanger"/>
    <n v="135.52500000000001"/>
    <x v="10"/>
    <s v="N2"/>
    <s v="Ralentissement du train"/>
    <s v="Etat H.O : Complete entre  325 et 324 _x000a_* qualité /niveau de signal : dl rx-qual=0 , dl rx level =-54 dbm_x000a_,Requête de déconnexion a été envoyée par le RBC"/>
    <m/>
    <x v="0"/>
    <s v="chaine antennaire dégradé, besoin de vérification de la chaine"/>
    <s v=" H.O Complete entre  325 et 324  "/>
    <s v="dl Rxqual=0"/>
    <s v="dl rx level= -54 dbm"/>
    <s v="OK"/>
    <s v="OK"/>
    <s v="Mauvais"/>
    <s v="retransmission des trames HDLC*5"/>
    <m/>
    <s v="MAROUANI Otmane"/>
    <m/>
    <m/>
    <m/>
    <m/>
    <m/>
    <m/>
    <m/>
  </r>
  <r>
    <n v="507"/>
    <b v="0"/>
    <x v="196"/>
    <d v="1899-12-30T21:07:50"/>
    <n v="1054"/>
    <x v="11"/>
    <x v="1"/>
    <n v="1072"/>
    <m/>
    <s v="Casa/Tanger"/>
    <n v="48.426000000000002"/>
    <x v="16"/>
    <s v="N2"/>
    <s v="Ralentissement du train"/>
    <s v="Etat H.O : Non Finalisé entre  210 et 308 _x000a_* qualité /niveau de signal : dl rx-qual=7 , dl rx level =-80 dbm_x000a_,Requête de déconnexion a été envoyée par le Bord"/>
    <m/>
    <x v="0"/>
    <s v="chaine antennaire dégradé, besoin de vérification de la chaine"/>
    <s v=" H.O Non Finalisé entre  210 et 308 "/>
    <s v="dl Rxqual=7"/>
    <s v="dl rx level= -80 dbm"/>
    <s v="OK"/>
    <s v="OK"/>
    <s v="Mauvais"/>
    <s v="retransmission des trames HDLC*5"/>
    <m/>
    <s v="Fahd OUSSALH"/>
    <m/>
    <m/>
    <m/>
    <m/>
    <m/>
    <m/>
    <m/>
  </r>
  <r>
    <n v="508"/>
    <b v="0"/>
    <x v="196"/>
    <d v="1899-12-30T20:23:46"/>
    <n v="1053"/>
    <x v="11"/>
    <x v="1"/>
    <n v="1072"/>
    <m/>
    <s v="Casa/Tanger"/>
    <n v="205.125"/>
    <x v="5"/>
    <s v="N2"/>
    <s v="Ralentissement du train"/>
    <s v="Etat H.O : Non complet entre  234 et 99_x000a_* qualité /niveau de signal : dl rx-qual=0 , dl rx level =-53 dbm_x000a_,Requête de déconnexion a été envoyée par le RBC"/>
    <m/>
    <x v="0"/>
    <s v="chaine antennaire dégradé, besoin de vérification de la chaine"/>
    <s v=" H.O Complete entre  234 et 233  "/>
    <s v="dl Rxqual=0"/>
    <s v="dl rx level= -53 dbm"/>
    <s v="OK"/>
    <s v="OK"/>
    <s v="Mauvais"/>
    <s v="retransmission des trames HDLC*5"/>
    <m/>
    <s v="Fahd OUSSALH"/>
    <m/>
    <m/>
    <m/>
    <m/>
    <m/>
    <m/>
    <m/>
  </r>
  <r>
    <n v="509"/>
    <b v="0"/>
    <x v="196"/>
    <d v="1899-12-30T20:24:40"/>
    <n v="1053"/>
    <x v="11"/>
    <x v="1"/>
    <n v="1072"/>
    <m/>
    <s v="Casa/Tanger"/>
    <n v="198.98400000000001"/>
    <x v="5"/>
    <s v="N2"/>
    <s v="Arrêt du train"/>
    <s v="Etat H.O : complet entre  234 et 233_x000a_* qualité /niveau de signal : dl rx-qual=0 , dl rx level =-54 dbm_x000a_,Requête de déconnexion a été envoyée par le Bord"/>
    <m/>
    <x v="2"/>
    <s v="chaine antennaire dégradé, besoin de vérification de la chaine /Chantier d'optimisation en cour "/>
    <s v=" H.O Complete entre  234 et 233  "/>
    <s v="dl Rxqual=0"/>
    <s v="dl rx level= -53 dbm"/>
    <s v="OK"/>
    <s v="OK"/>
    <s v="Mauvais"/>
    <s v="pas de retransmission des trames HDLC"/>
    <m/>
    <s v="SGHAYER Achraf"/>
    <m/>
    <m/>
    <m/>
    <m/>
    <m/>
    <m/>
    <m/>
  </r>
  <r>
    <n v="510"/>
    <b v="0"/>
    <x v="197"/>
    <d v="1899-12-30T04:16:44"/>
    <n v="2081"/>
    <x v="9"/>
    <x v="0"/>
    <n v="1053"/>
    <m/>
    <s v="Tanger/Casa"/>
    <n v="33.960999999999999"/>
    <x v="25"/>
    <s v="N2"/>
    <s v="Ralentissement du train"/>
    <s v="Etat H.O : Complete entre  206 et 207 _x000a_* qualité /niveau de signal : dl rx-qual=0 , dl rx level =-48 dbm_x000a_,Requête de déconnexion a été envoyée par le RBC"/>
    <m/>
    <x v="0"/>
    <s v="chaine antennaire dégradé, besoin de vérification de la chaine"/>
    <s v=" H.O Complete entre  206 et 207  "/>
    <s v="dl Rxqual=0"/>
    <s v="dl rx level= -48 dbm"/>
    <s v="OK"/>
    <s v="OK"/>
    <s v="Mauvais"/>
    <s v="retransmission des trames HDLC*5"/>
    <m/>
    <s v="Fahd OUSSALH"/>
    <m/>
    <m/>
    <m/>
    <m/>
    <m/>
    <m/>
    <m/>
  </r>
  <r>
    <n v="511"/>
    <b v="0"/>
    <x v="197"/>
    <d v="1899-12-30T08:33:54"/>
    <n v="2009"/>
    <x v="1"/>
    <x v="0"/>
    <n v="1028"/>
    <m/>
    <s v="Tanger/Casa"/>
    <n v="138.30199999999999"/>
    <x v="26"/>
    <s v="N2"/>
    <s v="Ralentissement du train"/>
    <s v="Etat H.O : Complete entre  323 et 324_x000a_* qualité /niveau de signal : dl rx-qual=1 , dl rx level =-65 dbm_x000a_,Requête de déconnexion a été envoyée par le RBC"/>
    <m/>
    <x v="0"/>
    <s v="chaine antennaire dégradé, besoin de vérification de la chaine"/>
    <s v=" H.O Complete entre  323 et 324  "/>
    <s v="dl Rxqual=1"/>
    <s v="dl rx level= -65 dbm"/>
    <s v="OK"/>
    <s v="OK"/>
    <s v="Mauvais"/>
    <s v="retransmission des trames HDLC*5"/>
    <m/>
    <s v="MAROUANI Otmane"/>
    <m/>
    <m/>
    <m/>
    <m/>
    <m/>
    <m/>
    <m/>
  </r>
  <r>
    <n v="512"/>
    <b v="0"/>
    <x v="197"/>
    <d v="1899-12-30T15:41:41"/>
    <n v="1033"/>
    <x v="4"/>
    <x v="1"/>
    <n v="1032"/>
    <m/>
    <s v="Casa/Tanger"/>
    <n v="122.536"/>
    <x v="30"/>
    <s v="N2"/>
    <s v="Ralentissement du train"/>
    <s v="Etat H.O : Complete entre  322 et 321_x000a_* qualité /niveau de signal : dl rx-qual=3 , dl rx level =-53 dbm_x000a_,Requête de déconnexion a été envoyée par le RBC"/>
    <m/>
    <x v="0"/>
    <s v="chaine antennaire dégradé, besoin de vérification de la chaine"/>
    <s v=" H.O Complete entre  322 et 321"/>
    <s v="dl Rxqual=3"/>
    <s v="dl rx level= -53 dbm"/>
    <s v="OK"/>
    <s v="NOK"/>
    <s v="Mauvais"/>
    <s v="retransmission des trames HDLC*5"/>
    <m/>
    <s v="HAMZAOUI Youssef"/>
    <m/>
    <m/>
    <m/>
    <m/>
    <m/>
    <m/>
    <m/>
  </r>
  <r>
    <n v="513"/>
    <b v="0"/>
    <x v="197"/>
    <d v="1899-12-30T15:53:21"/>
    <n v="1033"/>
    <x v="4"/>
    <x v="1"/>
    <n v="1032"/>
    <m/>
    <s v="Casa/Tanger"/>
    <n v="75.84"/>
    <x v="13"/>
    <s v="N2"/>
    <s v="Ralentissement du train"/>
    <s v="Etat H.O : Complete entre  315 et 314_x000a_* qualité /niveau de signal : dl rx-qual=0 , dl rx level =-58 dbm_x000a_,Requête de déconnexion a été envoyée par le RBC"/>
    <m/>
    <x v="0"/>
    <s v="chaine antennaire dégradé, besoin de vérification de la chaine"/>
    <s v=" H.O Complete entre  315 et 314"/>
    <s v="dl Rxqual=0"/>
    <s v="dl rx level= -58 dbm"/>
    <s v="OK"/>
    <s v="OK"/>
    <s v="Mauvais"/>
    <s v="retransmission des trames HDLC*5"/>
    <m/>
    <s v="HAMZAOUI Youssef"/>
    <m/>
    <m/>
    <m/>
    <m/>
    <m/>
    <m/>
    <m/>
  </r>
  <r>
    <n v="514"/>
    <b v="0"/>
    <x v="197"/>
    <d v="1899-12-30T16:12:34"/>
    <n v="1033"/>
    <x v="4"/>
    <x v="1"/>
    <n v="1032"/>
    <m/>
    <s v="Casa/Tanger"/>
    <n v="7.3209999999999997"/>
    <x v="2"/>
    <s v="N2"/>
    <s v="Arrêt du train"/>
    <s v="Etat H.O : Non Finalisé entre  202 et 203 _x000a_* qualité /niveau de signal : dl rx-qual=6 , dl rx level =-50 dbm_x000a_,Requête de déconnexion a été envoyée par le RBC"/>
    <m/>
    <x v="0"/>
    <s v="En attente de mise en place des tiroires filtrés "/>
    <s v=" H.O Non Finalisé entre  202 et 203 "/>
    <s v="dl Rxqual=6"/>
    <s v="dl rx level= -50 dbm"/>
    <s v="NOK"/>
    <s v="NOK"/>
    <s v="Mauvais"/>
    <s v="retransmission des trames HDLC*5"/>
    <m/>
    <s v="HAMZAOUI Youssef"/>
    <m/>
    <m/>
    <m/>
    <m/>
    <m/>
    <m/>
    <m/>
  </r>
  <r>
    <n v="515"/>
    <b v="0"/>
    <x v="197"/>
    <d v="1899-12-30T17:42:32"/>
    <n v="2045"/>
    <x v="5"/>
    <x v="0"/>
    <n v="1024"/>
    <m/>
    <s v="Tanger/Casa"/>
    <n v="172.83600000000001"/>
    <x v="27"/>
    <s v="N2"/>
    <s v="Ralentissement du train"/>
    <s v="Etat H.O : Complete entre  228 et 229_x000a_* qualité /niveau de signal : dl rx-qual=0 , dl rx level =-56 dbm_x000a_,Requête de déconnexion a été envoyée par le RBC"/>
    <m/>
    <x v="0"/>
    <s v="chaine antennaire dégradé, besoin de vérification de la chaine"/>
    <s v=" H.O Complete entre  228 et 229"/>
    <s v="dl Rxqual=0"/>
    <s v="dl rx level= -56 dbm"/>
    <s v="OK"/>
    <s v="OK"/>
    <s v="Mauvais"/>
    <s v="retransmission des trames HDLC*5"/>
    <m/>
    <s v="HAMZAOUI Youssef"/>
    <m/>
    <m/>
    <m/>
    <m/>
    <m/>
    <m/>
    <m/>
  </r>
  <r>
    <n v="516"/>
    <b v="0"/>
    <x v="198"/>
    <d v="1899-12-30T08:34:14"/>
    <n v="1005"/>
    <x v="7"/>
    <x v="1"/>
    <n v="1040"/>
    <m/>
    <s v="Casa/Tanger"/>
    <n v="155.96199999999999"/>
    <x v="18"/>
    <s v="N2"/>
    <s v="Ralentissement du train"/>
    <s v="Etat H.O : Complete entre  328 et 327_x000a_* qualité /niveau de signal : dl rx-qual=0 , dl rx level =-67 dbm_x000a_,Requête de déconnexion a été envoyée par le RBC"/>
    <m/>
    <x v="0"/>
    <s v="chaine antennaire dégradé, besoin de vérification de la chaine"/>
    <s v=" H.O Complete entre  328 et 327"/>
    <s v="dl Rxqual=0"/>
    <s v="dl rx level= -67 dbm"/>
    <s v="OK"/>
    <s v="OK"/>
    <s v="Mauvais"/>
    <s v="retransmission des trames HDLC*5"/>
    <m/>
    <s v="ELGUEZZAR Anas"/>
    <m/>
    <m/>
    <m/>
    <m/>
    <m/>
    <m/>
    <m/>
  </r>
  <r>
    <n v="517"/>
    <b v="0"/>
    <x v="198"/>
    <d v="1899-12-30T15:05:08"/>
    <n v="2037"/>
    <x v="0"/>
    <x v="0"/>
    <n v="1036"/>
    <m/>
    <s v="Tanger/Casa"/>
    <n v="6.13"/>
    <x v="2"/>
    <s v="N2"/>
    <s v="Arrêt du train"/>
    <s v="Etat H.O : Non finalisé entre  202 et 301_x000a_* qualité /niveau de signal : dl rx-qual=7 , dl rx level =-56 dbm_x000a_,Requête de déconnexion a été envoyée par le Bord"/>
    <m/>
    <x v="0"/>
    <s v="En attente de mise en place des tiroires filtrés "/>
    <s v=" H.O Non Finalisé entre  202 et 301 "/>
    <s v="dl Rxqual=7"/>
    <s v="dl rx level= -56 dbm"/>
    <s v="OK"/>
    <s v="OK"/>
    <s v="Mauvais"/>
    <s v="pas de retransmission des trames HDLC"/>
    <m/>
    <s v="HAMZAOUI Youssef"/>
    <m/>
    <m/>
    <m/>
    <m/>
    <m/>
    <m/>
    <m/>
  </r>
  <r>
    <n v="518"/>
    <b v="0"/>
    <x v="198"/>
    <d v="1899-12-30T17:29:29"/>
    <n v="2045"/>
    <x v="4"/>
    <x v="0"/>
    <n v="7208"/>
    <m/>
    <s v="Tanger/Casa"/>
    <n v="108.206"/>
    <x v="1"/>
    <s v="N2"/>
    <s v="Arrêt du train"/>
    <s v="Etat H.O : Non finalisé entre  219 et 320_x000a_* qualité /niveau de signal : dl rx-qual=7 , dl rx level =-71 dbm_x000a_,Requête de déconnexion a été envoyée par le Bord"/>
    <m/>
    <x v="2"/>
    <s v="chaine antennaire dégradé, besoin de vérification de la chaine /Attente de vérificationPar l'équipe SOR"/>
    <s v=" H.O Non Finalisé entre  219 et 320"/>
    <s v="dl Rxqual=7"/>
    <s v="dl rx level= -56 dbm"/>
    <s v="OK"/>
    <s v="OK"/>
    <s v="Mauvais"/>
    <s v="pas de retransmission des trames HDLC"/>
    <m/>
    <s v="HAMZAOUI Youssef"/>
    <m/>
    <m/>
    <m/>
    <m/>
    <m/>
    <m/>
    <m/>
  </r>
  <r>
    <n v="519"/>
    <b v="0"/>
    <x v="198"/>
    <d v="1899-12-30T19:46:15"/>
    <n v="1050"/>
    <x v="0"/>
    <x v="1"/>
    <n v="1045"/>
    <m/>
    <s v="Casa/Tanger"/>
    <n v="93.757999999999996"/>
    <x v="8"/>
    <s v="N2"/>
    <s v="Arrêt du train"/>
    <s v="Etat H.O : Non finalisé entre  318 et 317_x000a_* qualité /niveau de signal : dl rx-qual=0 , dl rx level =-48 dbm_x000a_,Requête de déconnexion a été envoyée par le RBC"/>
    <m/>
    <x v="2"/>
    <s v="chaine antennaire dégradé, besoin de vérification de la chaine /Zone sous surveillance par équipe NOC GSMR"/>
    <s v=" H.O Complete entre  318 et 317"/>
    <s v="dl Rxqual=0"/>
    <s v="dl rx level= -48 dbm"/>
    <s v="OK"/>
    <s v="OK"/>
    <s v="Mauvais"/>
    <s v="retransmission des trames HDLC*5"/>
    <m/>
    <s v="HAMZAOUI Youssef"/>
    <m/>
    <m/>
    <m/>
    <m/>
    <m/>
    <m/>
    <m/>
  </r>
  <r>
    <n v="520"/>
    <b v="0"/>
    <x v="199"/>
    <d v="1899-12-30T04:35:44"/>
    <n v="2082"/>
    <x v="9"/>
    <x v="1"/>
    <n v="1052"/>
    <m/>
    <s v="Casa/Tanger"/>
    <n v="79.281999999999996"/>
    <x v="11"/>
    <s v="N2"/>
    <s v="Ralentissement du train"/>
    <s v="Etat H.O : Complete entre  214 et 215_x000a_* qualité /niveau de signal : dl rx-qual=0 , dl rx level =-48 dbm_x000a_,Requête de déconnexion a été envoyée par le RBC"/>
    <m/>
    <x v="0"/>
    <s v="En attente de mise en place des tiroires filtrés "/>
    <s v=" H.O Complete entre  214 et 215"/>
    <s v="dl Rxqual=0"/>
    <s v="dl rx level= -48 dbm"/>
    <s v="OK"/>
    <s v="OK"/>
    <s v="Mauvais"/>
    <s v="retransmission des trames HDLC*5"/>
    <m/>
    <s v="SGHAYER Achraf"/>
    <m/>
    <m/>
    <m/>
    <m/>
    <m/>
    <m/>
    <m/>
  </r>
  <r>
    <n v="521"/>
    <b v="0"/>
    <x v="199"/>
    <d v="1899-12-30T07:29:19"/>
    <n v="1001"/>
    <x v="8"/>
    <x v="1"/>
    <n v="1022"/>
    <m/>
    <s v="Casa/Tanger"/>
    <n v="177.85"/>
    <x v="4"/>
    <s v="N2"/>
    <s v="Ralentissement du train"/>
    <s v="Etat H.O : Complete entre  231 et 229 avec saut de cellule x30_x000a_* qualité /niveau de signal : dl rx-qual=3, dl rx level = -61 dbm au moment du déconnexion et dl rx-qual=7, dl rx level = -63 dbm au moment du HO_x000a_,Requête de déconnexion a été envoyée par le RBC"/>
    <m/>
    <x v="1"/>
    <s v="Attente resultat d'analyse spectrale"/>
    <s v=" H.O Complete entre  231 et 229 avec saut de cellule x30"/>
    <s v="dl Rxqual=3"/>
    <s v="dl rx level= -61 dbm"/>
    <s v="OK"/>
    <s v="OK"/>
    <s v="Mauvais"/>
    <s v="retransmission des trames HDLC*5"/>
    <m/>
    <s v="SGHAYER Achraf"/>
    <m/>
    <m/>
    <m/>
    <m/>
    <m/>
    <m/>
    <m/>
  </r>
  <r>
    <n v="522"/>
    <b v="0"/>
    <x v="199"/>
    <d v="1899-12-30T19:34:22"/>
    <n v="1049"/>
    <x v="4"/>
    <x v="1"/>
    <n v="1033"/>
    <m/>
    <s v="Casa/Tanger"/>
    <n v="177.85"/>
    <x v="4"/>
    <s v="N2"/>
    <s v="Ralentissement du train"/>
    <s v="Etat H.O : Complete entre  231 et 230 (Ping pong entre cell 30 et cell 31 )_x000a_* qualité /niveau de signal : dl rx-qual=4 , dl rx level =-60 dbm_x000a_,Requête de déconnexion a été envoyée par le RBC"/>
    <m/>
    <x v="1"/>
    <s v="Attente resultat d'analyse spectrale"/>
    <s v=" H.O Complete entre  231 et 230"/>
    <s v="dl Rxqual=4"/>
    <s v="dl rx level= -60 dbm"/>
    <s v="OK"/>
    <s v="OK"/>
    <s v="Mauvais"/>
    <s v="retransmission des trames HDLC*5"/>
    <m/>
    <s v="HAMZAOUI Youssef"/>
    <m/>
    <m/>
    <m/>
    <m/>
    <m/>
    <m/>
    <m/>
  </r>
  <r>
    <n v="523"/>
    <b v="0"/>
    <x v="199"/>
    <d v="1899-12-30T22:31:55"/>
    <n v="1062"/>
    <x v="3"/>
    <x v="1"/>
    <n v="1007"/>
    <m/>
    <s v="Casa/Tanger"/>
    <n v="177.85"/>
    <x v="4"/>
    <s v="N2"/>
    <s v="Ralentissement du train"/>
    <s v="Etat H.O : Complete entre  330 et 231 _x000a_* qualité /niveau de signal : dl rx-qual=7 , dl rx level =-72 dbm_x000a_,Requête de déconnexion a été envoyée par le RBC"/>
    <m/>
    <x v="1"/>
    <s v="Attente resultat d'analyse spectrale"/>
    <s v=" H.O Complete entre  330 et 231"/>
    <s v="dl Rxqual=7"/>
    <s v="dl rx level= -73 dbm"/>
    <s v="OK"/>
    <s v="OK"/>
    <s v="Mauvais"/>
    <s v="retransmission des trames HDLC*5"/>
    <m/>
    <s v="Fahd OUSSALH"/>
    <m/>
    <m/>
    <m/>
    <m/>
    <m/>
    <m/>
    <m/>
  </r>
  <r>
    <n v="524"/>
    <b v="0"/>
    <x v="200"/>
    <d v="1899-12-30T08:28:00"/>
    <n v="2009"/>
    <x v="10"/>
    <x v="0"/>
    <n v="7198"/>
    <m/>
    <s v="Tanger/Casa"/>
    <n v="109.495"/>
    <x v="1"/>
    <s v="N2"/>
    <s v="Ralentissement du train"/>
    <s v="Etat H.O : Complete entre  219 et 220 _x000a_* qualité /niveau de signal : dl rx-qual=0 , dl rx level =-55 dbm_x000a_,Requête de déconnexion a été envoyée par le RBC"/>
    <m/>
    <x v="0"/>
    <s v="chaine antennaire dégradé"/>
    <s v=" H.O Complete entre  219 et 220"/>
    <s v="dl Rxqual=0"/>
    <s v="dl rx level= -56 dbm"/>
    <s v="OK"/>
    <s v="OK"/>
    <s v="Mauvais"/>
    <s v="retransmission des trames HDLC*5"/>
    <m/>
    <s v="HAMZAOUI Youssef"/>
    <m/>
    <m/>
    <m/>
    <m/>
    <m/>
    <m/>
    <m/>
  </r>
  <r>
    <n v="525"/>
    <b v="0"/>
    <x v="200"/>
    <d v="1899-12-30T17:26:11"/>
    <n v="2045"/>
    <x v="1"/>
    <x v="0"/>
    <n v="1028"/>
    <m/>
    <s v="Tanger/Casa"/>
    <n v="93.757999999999996"/>
    <x v="8"/>
    <s v="N2"/>
    <s v="Arrêt du train"/>
    <s v="Etat H.O : Non finalisé entre  217 et 218_x000a_* qualité /niveau de signal : dl rx-qual=2 , dl rx level =-83 dbm_x000a_,Requête de déconnexion a été envoyée par le RBC"/>
    <m/>
    <x v="2"/>
    <s v="chaine antennaire dégradé /Zone sous surveillance par équipe NOC GSMR"/>
    <s v=" H.O Complete entre  217 et 218"/>
    <s v="dl Rxqual=2"/>
    <s v="dl rx level= -83 dbm"/>
    <s v="NOK"/>
    <s v="NOK"/>
    <s v="Mauvais"/>
    <s v="retransmission des trames HDLC*5"/>
    <m/>
    <s v="ISMALI ALAOUI Hamza"/>
    <m/>
    <m/>
    <m/>
    <m/>
    <m/>
    <m/>
    <m/>
  </r>
  <r>
    <n v="526"/>
    <b v="0"/>
    <x v="201"/>
    <d v="1899-12-30T09:05:51"/>
    <n v="1005"/>
    <x v="10"/>
    <x v="1"/>
    <n v="1060"/>
    <m/>
    <s v="Casa/Tanger"/>
    <n v="7.3209999999999997"/>
    <x v="2"/>
    <s v="N2"/>
    <s v="Ralentissement du train"/>
    <s v="Etat H.O : HO non finalisé entre 202 et 303 _x000a_* qualité /niveau de signal : dl rx-qual=7, dl rx level = -52 dbm_x000a_,Requête de déconnexion a été envoyée par le RBC"/>
    <m/>
    <x v="0"/>
    <s v="En attente de mise en place des tiroires filtrés "/>
    <s v="HO non finalisé entre 202 et 303 "/>
    <s v="dl Rxqual=7"/>
    <s v="dl rx level= -52 dbm"/>
    <s v="NOK"/>
    <s v="OK"/>
    <s v="Mauvais"/>
    <s v="retransmission des trames HDLC*5"/>
    <m/>
    <s v="Saad Elhabib"/>
    <m/>
    <m/>
    <m/>
    <m/>
    <m/>
    <m/>
    <m/>
  </r>
  <r>
    <n v="527"/>
    <b v="0"/>
    <x v="201"/>
    <d v="1899-12-30T10:29:01"/>
    <n v="1013"/>
    <x v="4"/>
    <x v="1"/>
    <n v="1032"/>
    <m/>
    <s v="Casa/Tanger"/>
    <n v="182.86500000000001"/>
    <x v="31"/>
    <s v="N2"/>
    <s v="Arrêt du train"/>
    <s v="Etat H.O : HO finalisé entre 332 et 331_x000a_* qualité /niveau de signal : dl rx-qual=0, dl rx level = -48 dbm_x000a_,Requête de déconnexion a été envoyée par le Bord"/>
    <m/>
    <x v="0"/>
    <s v="chaine antennaire dégradé"/>
    <s v="HO finalisé entre 332 et 331"/>
    <s v="dl Rxqual=0"/>
    <s v="dl rx level= -48 dbm"/>
    <s v="OK"/>
    <s v="OK"/>
    <s v="Mauvais"/>
    <s v="pas de retransmission des trames HDLC"/>
    <m/>
    <s v="Saad Elhabib"/>
    <m/>
    <m/>
    <m/>
    <m/>
    <m/>
    <m/>
    <m/>
  </r>
  <r>
    <n v="528"/>
    <b v="0"/>
    <x v="201"/>
    <d v="1899-12-30T16:07:43"/>
    <n v="2041"/>
    <x v="0"/>
    <x v="0"/>
    <n v="1032"/>
    <m/>
    <s v="Tanger/Casa"/>
    <n v="7.3209999999999997"/>
    <x v="2"/>
    <s v="N2"/>
    <s v="Arrêt du train"/>
    <s v="Etat H.O : HO non finalisé entre 202 et 203_x000a_* qualité /niveau de signal : dl rx-qual=7, dl rx level = -55 dbm_x000a_,Requête de déconnexion a été envoyée par le RBC"/>
    <m/>
    <x v="0"/>
    <s v="En attente de mise en place des tiroires filtrés "/>
    <s v="HO non finalisé entre 202 et 203"/>
    <s v="dl Rxqual=7"/>
    <s v="dl rx level= -55 dbm"/>
    <s v="NOK"/>
    <s v="OK"/>
    <s v="Mauvais"/>
    <s v="retransmission des trames HDLC*5"/>
    <m/>
    <s v="ISMALI ALAOUI Hamza"/>
    <m/>
    <m/>
    <m/>
    <m/>
    <m/>
    <m/>
    <m/>
  </r>
  <r>
    <n v="529"/>
    <b v="0"/>
    <x v="201"/>
    <d v="1899-12-30T20:01:03"/>
    <n v="1050"/>
    <x v="3"/>
    <x v="1"/>
    <n v="1008"/>
    <m/>
    <s v="Casa/Tanger"/>
    <n v="25.91"/>
    <x v="7"/>
    <s v="N2"/>
    <s v="Arrêt du train"/>
    <s v="Etat H.O : HO non finalisé entre 207 et 308 _x000a_* qualité /niveau de signal : dl rx-qual=7, dl rx level = -92 dbm_x000a_,Requête de déconnexion a été envoyée par le Bord "/>
    <m/>
    <x v="0"/>
    <s v="chaine antennaire dégradé"/>
    <s v="HO non finalisé entre 207 et 308 "/>
    <s v="dl Rxqual=7"/>
    <s v="dl rx level= -92 dbm"/>
    <s v="OK"/>
    <s v="NOK"/>
    <s v="Mauvais"/>
    <s v="pas de retransmission des trames HDLC"/>
    <m/>
    <s v="HARIRI Bahaeddine"/>
    <m/>
    <m/>
    <m/>
    <m/>
    <m/>
    <m/>
    <m/>
  </r>
  <r>
    <n v="530"/>
    <b v="0"/>
    <x v="201"/>
    <d v="1899-12-30T20:05:21"/>
    <n v="2057"/>
    <x v="2"/>
    <x v="0"/>
    <n v="1008"/>
    <m/>
    <s v="Tanger/Casa"/>
    <n v="6.13"/>
    <x v="2"/>
    <s v="N2"/>
    <s v="Ralentissement du train"/>
    <s v="Etat H.O : HO non finalisé entre 202 et 303 _x000a_* qualité /niveau de signal : dl rx-qual=6, dl rx level = -49 dbm_x000a_,Requête de déconnexion a été envoyée par le RBC"/>
    <m/>
    <x v="0"/>
    <s v="En attente de mise en place des tiroires filtrés "/>
    <s v="HO non finalisé entre 202 et 303 "/>
    <s v="dl Rxqual=6"/>
    <s v="dl rx level= -49 dbm"/>
    <s v="NOK"/>
    <s v="OK"/>
    <s v="Mauvais"/>
    <s v="retransmission des trames HDLC*5"/>
    <m/>
    <s v="HARIRI Bahaeddine"/>
    <m/>
    <m/>
    <m/>
    <m/>
    <m/>
    <m/>
    <m/>
  </r>
  <r>
    <n v="531"/>
    <b v="0"/>
    <x v="201"/>
    <d v="1899-12-30T20:33:18"/>
    <n v="1054"/>
    <x v="0"/>
    <x v="0"/>
    <n v="1008"/>
    <m/>
    <s v="Tanger/Casa"/>
    <n v="177.85"/>
    <x v="4"/>
    <s v="N2"/>
    <s v="Ralentissement du train"/>
    <s v="Etat H.O : HO non finalisé entre 231 et 229 _x000a_* qualité /niveau de signal : dl rx-qual=7, dl rx level = -69 dbm_x000a_,Requête de déconnexion a été envoyée par le RBC"/>
    <m/>
    <x v="2"/>
    <s v="chaine antennaire dégradé /Attente demarrage chantier optimisation Par l'équipe SOR"/>
    <s v="HO non finalisé entre 331 et 229"/>
    <s v="dl Rxqual=7"/>
    <s v="dl rx level= -69 dbm"/>
    <s v="OK"/>
    <s v="OK"/>
    <s v="Mauvais"/>
    <s v="retransmission des trames HDLC*5"/>
    <m/>
    <s v="HARIRI Bahaeddine"/>
    <m/>
    <m/>
    <m/>
    <m/>
    <m/>
    <m/>
    <m/>
  </r>
  <r>
    <n v="532"/>
    <b v="0"/>
    <x v="202"/>
    <d v="1899-12-30T00:04:23"/>
    <n v="10092"/>
    <x v="10"/>
    <x v="1"/>
    <n v="1061"/>
    <m/>
    <s v="Casa/Tanger"/>
    <n v="10.125"/>
    <x v="22"/>
    <s v="N2"/>
    <s v="Arrêt du train"/>
    <s v="Etat H.O : Complete entre 304 et 303 _x000a_* qualité /niveau de signal : dl rx-qual=0 , dl rx level =-56 dbm_x000a_,Requête de déconnexion a été envoyée par le RBC_x000a_*les condition radio sont bonnes _x000a_*AUC non acquitté par le bord avant la déconnexion ce qui a généré l’envoi d’un AUI depuis le RBC après la reconnexion suivi d’un TRIP  _x000a_"/>
    <m/>
    <x v="7"/>
    <s v="En attente de pousser les analyses coté RBC/Zone sous surveillance par équipe NOC GSMR"/>
    <s v="HO finalisé entre 304 et 303"/>
    <s v="dl Rxqual=0"/>
    <s v="dl rx level= -56 dbm"/>
    <s v="OK"/>
    <s v="OK"/>
    <s v="Mauvais"/>
    <s v="pas de retransmission des trames HDLC"/>
    <m/>
    <s v="HARIRI Bahaeddine"/>
    <m/>
    <m/>
    <m/>
    <m/>
    <m/>
    <m/>
    <m/>
  </r>
  <r>
    <n v="533"/>
    <b v="0"/>
    <x v="202"/>
    <d v="1899-12-30T06:57:33"/>
    <n v="1081"/>
    <x v="1"/>
    <x v="1"/>
    <n v="3063"/>
    <m/>
    <s v="Casa/Tanger"/>
    <n v="32.625999999999998"/>
    <x v="25"/>
    <s v="N2"/>
    <s v="Arrêt du train"/>
    <s v="* Etat H.O : HO non finalisé entre 307 et 306_x000a_* qualité /niveau de signal : dl rx-qual=0, dl rx level = -62 dbm_x000a_* Retransmission des trames HDLC*5 _x000a_* Communication SOL-Bord : OK_x000a_* Voisinage: NOK_x000a_* temps perdu : 36s"/>
    <m/>
    <x v="0"/>
    <s v="En attente de pousser les analyses coté Bord"/>
    <s v="HO non finalisé entre 307 et 306"/>
    <s v="dl Rxqual=0"/>
    <s v="dl rx level= -62 dbm"/>
    <s v="NOK"/>
    <s v="OK"/>
    <s v="Mauvais"/>
    <s v="retransmission des trames HDLC*5"/>
    <m/>
    <s v="Saad Elhabib"/>
    <m/>
    <m/>
    <m/>
    <m/>
    <m/>
    <m/>
    <m/>
  </r>
  <r>
    <n v="534"/>
    <b v="0"/>
    <x v="202"/>
    <d v="1899-12-30T16:26:14"/>
    <n v="2041"/>
    <x v="0"/>
    <x v="0"/>
    <n v="1037"/>
    <m/>
    <s v="Tanger/Casa"/>
    <n v="91.364999999999995"/>
    <x v="12"/>
    <s v="N2"/>
    <s v="Ralentissement du train"/>
    <s v="Etat H.O : Complete entre  216 et 217_x000a_* qualité /niveau de signal : dl rx-qual=0 , dl rx level =-48 dbm_x000a_,Requête de déconnexion a été envoyée par le RBC"/>
    <m/>
    <x v="0"/>
    <s v="En attente de mise en place des tiroires filtrés"/>
    <s v="HO Complete entre 216 et 217"/>
    <s v="dl Rxqual=0"/>
    <s v="dl rx level= -48 dbm"/>
    <s v="OK"/>
    <s v="OK"/>
    <s v="Mauvais"/>
    <s v="retransmission des trames HDLC*5"/>
    <m/>
    <s v="MAROUANI Otmane"/>
    <m/>
    <m/>
    <m/>
    <m/>
    <m/>
    <m/>
    <m/>
  </r>
  <r>
    <n v="535"/>
    <b v="0"/>
    <x v="202"/>
    <d v="1899-12-30T21:04:58"/>
    <n v="2061"/>
    <x v="0"/>
    <x v="0"/>
    <n v="7208"/>
    <m/>
    <s v="Tanger/Casa"/>
    <n v="6.13"/>
    <x v="2"/>
    <s v="N2"/>
    <s v="Arrêt du train"/>
    <s v="Etat H.O : Non finalisé entre  301 et 202_x000a_* qualité /niveau de signal : dl rx-qual=7 , dl rx level =-53 dbm_x000a_,Requête de déconnexion a été envoyée par le RBC"/>
    <m/>
    <x v="0"/>
    <s v="En attente de mise en place des tiroires filtrés "/>
    <s v="HO non finalisé entre 307 et 306"/>
    <s v="dl Rxqual=7"/>
    <s v="dl rx level= -53 dbm"/>
    <s v="NOK"/>
    <s v="OK"/>
    <s v="Mauvais"/>
    <s v="retransmission des trames HDLC*5"/>
    <m/>
    <s v="HARIRI Bahaeddine"/>
    <m/>
    <m/>
    <m/>
    <m/>
    <m/>
    <m/>
    <m/>
  </r>
  <r>
    <n v="536"/>
    <b v="0"/>
    <x v="202"/>
    <d v="1899-12-30T22:52:45"/>
    <n v="1062"/>
    <x v="5"/>
    <x v="1"/>
    <n v="1026"/>
    <m/>
    <s v="Casa/Tanger"/>
    <n v="57.661999999999999"/>
    <x v="23"/>
    <s v="N2"/>
    <s v="Arrêt du train"/>
    <s v="Etat H.O : Complete entre  311 et 210_x000a_* qualité /niveau de signal : dl rx-qual=0 , dl rx level =-49 dbm_x000a_,Requête de déconnexion a été envoyée par le RBC"/>
    <m/>
    <x v="0"/>
    <s v="En attente de pousser les analyses coté Bord"/>
    <s v="HO Complet entre 311 et 210"/>
    <s v="dl Rxqual=0"/>
    <s v="dl rx level= -49 dbm"/>
    <s v="OK"/>
    <s v="OK"/>
    <s v="Mauvais"/>
    <s v="retransmission des trames HDLC*5"/>
    <m/>
    <s v="HARIRI Bahaeddine"/>
    <m/>
    <m/>
    <m/>
    <m/>
    <m/>
    <m/>
    <m/>
  </r>
  <r>
    <n v="537"/>
    <b v="0"/>
    <x v="203"/>
    <d v="1899-12-30T07:34:37"/>
    <n v="10076"/>
    <x v="8"/>
    <x v="1"/>
    <n v="1022"/>
    <m/>
    <s v="Casa/Tanger"/>
    <n v="78.155000000000001"/>
    <x v="11"/>
    <s v="N2"/>
    <s v="Ralentissement du train"/>
    <s v="Etat H.O : HO complet entre 315 et 314_x000a_* qualité /niveau de signal : dl rx-qual=0, dl rx level = -48 dbm_x000a_,Requête de déconnexion a été envoyée par le RBC"/>
    <m/>
    <x v="3"/>
    <s v="En attente de pousser les analyses coté RBC"/>
    <s v="HO complet entre 315 et 314"/>
    <s v="dl Rxqual=0"/>
    <s v="dl rx level= -48 dbm"/>
    <s v="OK"/>
    <s v="OK"/>
    <s v="Mauvais"/>
    <s v="pas de retransmission des trames HDLC"/>
    <m/>
    <s v="HARIRI Bahaeddine"/>
    <m/>
    <m/>
    <m/>
    <m/>
    <m/>
    <m/>
    <m/>
  </r>
  <r>
    <n v="538"/>
    <b v="0"/>
    <x v="203"/>
    <d v="1899-12-30T13:29:33"/>
    <n v="1025"/>
    <x v="8"/>
    <x v="1"/>
    <n v="1022"/>
    <m/>
    <s v="Casa/Tanger"/>
    <n v="174.07400000000001"/>
    <x v="27"/>
    <s v="N2"/>
    <s v="Ralentissement du train"/>
    <s v="* Etat H.O : HO non finalisé entre 230 et 329_x000a_* qualité /niveau de signal : dl rx-qual=0, dl rx level = -59 dbm_x000a_,Requête de déconnexion a été envoyée par le Bord"/>
    <m/>
    <x v="0"/>
    <s v="En attente de pousser les analyses coté Bord"/>
    <s v="HO non finalisé entre 230 et 329"/>
    <s v="dl Rxqual=0"/>
    <s v="dl rx level= -59 dbm"/>
    <s v="NOK"/>
    <s v="OK"/>
    <s v="Mauvais"/>
    <s v="pas de retransmission des trames HDLC"/>
    <m/>
    <s v="Fahd OUSSALH"/>
    <m/>
    <m/>
    <m/>
    <m/>
    <m/>
    <m/>
    <m/>
  </r>
  <r>
    <n v="539"/>
    <b v="0"/>
    <x v="203"/>
    <d v="1899-12-30T14:04:39"/>
    <n v="2033"/>
    <x v="3"/>
    <x v="0"/>
    <n v="1046"/>
    <m/>
    <s v="Tanger/Casa"/>
    <n v="6.13"/>
    <x v="2"/>
    <s v="N2"/>
    <s v="Arrêt du train"/>
    <s v="* Etat H.O : HO non finalisé entre 202 et 303_x000a_* qualité /niveau de signal : dl rx-qual=0, dl rx level = -53 dbm_x000a_,Requête de déconnexion a été envoyée par le Bord"/>
    <m/>
    <x v="0"/>
    <s v="En attente de mise en place des tiroires filtrés "/>
    <s v="HO non finalisé entre 202 et 303"/>
    <s v="dl Rxqual=5"/>
    <s v="dl rx level= -53 dbm"/>
    <s v="NOK"/>
    <s v="OK"/>
    <s v="Mauvais"/>
    <s v="retransmission des trames HDLC*5"/>
    <m/>
    <s v="Fahd OUSSALH"/>
    <m/>
    <m/>
    <m/>
    <m/>
    <m/>
    <m/>
    <m/>
  </r>
  <r>
    <n v="540"/>
    <b v="0"/>
    <x v="203"/>
    <d v="1899-12-30T20:04:27"/>
    <n v="2057"/>
    <x v="3"/>
    <x v="0"/>
    <n v="1046"/>
    <m/>
    <s v="Tanger/Casa"/>
    <n v="6.13"/>
    <x v="2"/>
    <s v="N2"/>
    <s v="Ralentissement du train"/>
    <s v="* Etat H.O : HO non finalisé entre 202 et 303_x000a_* qualité /niveau de signal : dl rx-qual=7, dl rx level = -55 dbm_x000a_,Requête de déconnexion a été envoyée par le RBC"/>
    <m/>
    <x v="0"/>
    <s v="En attente de mise en place des tiroires filtrés "/>
    <s v="HO non finalisé entre 202 et 303"/>
    <s v="dl Rxqual=7"/>
    <s v="dl rx level= -55 dbm"/>
    <s v="OK"/>
    <s v="OK"/>
    <s v="Mauvais"/>
    <s v="retransmission des trames HDLC*5"/>
    <m/>
    <s v="Fahd OUSSALH"/>
    <m/>
    <m/>
    <m/>
    <m/>
    <m/>
    <m/>
    <m/>
  </r>
  <r>
    <n v="541"/>
    <b v="0"/>
    <x v="204"/>
    <d v="1899-12-30T09:05:09"/>
    <n v="1005"/>
    <x v="5"/>
    <x v="1"/>
    <n v="1027"/>
    <m/>
    <s v="Casa/Tanger"/>
    <n v="7.3209999999999997"/>
    <x v="2"/>
    <s v="N2"/>
    <s v="Arrêt du train"/>
    <s v="Etat H.O : HO complet entre 202 et 303 avec downlink quality _x000a_* qualité /niveau de signal : dl rx-qual=7, dl rx level = -75 dbm_x000a_,Requête de déconnexion a été envoyée par le RBC"/>
    <m/>
    <x v="0"/>
    <s v="En attente de mise en place des tiroires filtrés "/>
    <s v="HO Complet entre 202 et 303"/>
    <s v="dl Rxqual=7"/>
    <s v="dl rx level= -75 dbm"/>
    <s v="OK"/>
    <s v="OK"/>
    <s v="Mauvais"/>
    <s v="retransmission des trames HDLC*5"/>
    <m/>
    <s v="ELHAJOUIA Achraf"/>
    <m/>
    <m/>
    <m/>
    <m/>
    <m/>
    <m/>
    <m/>
  </r>
  <r>
    <n v="542"/>
    <b v="0"/>
    <x v="204"/>
    <d v="1899-12-30T11:19:54"/>
    <n v="2021"/>
    <x v="11"/>
    <x v="0"/>
    <n v="1049"/>
    <m/>
    <s v="Tanger/Casa"/>
    <n v="62.072000000000003"/>
    <x v="21"/>
    <s v="N2"/>
    <s v="Ralentissement du train"/>
    <s v="Etat H.O : HO complet entre 210et 211  _x000a_* qualité /niveau de signal : dl rx-qual=0, dl rx level = -57 dbm_x000a_,Requête de déconnexion a été envoyée par le RBC"/>
    <m/>
    <x v="0"/>
    <s v="En attente de pousser les analyses coté Bord"/>
    <s v="HO Complet entre 210 et 211"/>
    <s v="dl Rxqual=0"/>
    <s v="dl rx level= -57 dbm"/>
    <s v="OK"/>
    <s v="OK"/>
    <s v="Mauvais"/>
    <s v="retransmission des trames HDLC*5"/>
    <m/>
    <s v="ELHAJOUIA Achraf"/>
    <m/>
    <m/>
    <m/>
    <m/>
    <m/>
    <m/>
    <m/>
  </r>
  <r>
    <n v="543"/>
    <b v="0"/>
    <x v="204"/>
    <d v="1899-12-30T12:39:43"/>
    <n v="1021"/>
    <x v="3"/>
    <x v="1"/>
    <n v="1008"/>
    <m/>
    <s v="Casa/Tanger"/>
    <n v="134.30000000000001"/>
    <x v="10"/>
    <s v="N2"/>
    <s v="Ralentissement du train"/>
    <s v="Etat H.O : HO non finalisé entre 324 et 323  _x000a_* qualité /niveau de signal : dl rx-qual=4, dl rx level = -78 dbm_x000a_,Requête de déconnexion a été envoyée par le RBC"/>
    <m/>
    <x v="0"/>
    <s v="chaine antennaire dégradé /Zone sous surveillance par équipe NOC GSMR"/>
    <s v="HO non finalisé entre 324 et 323"/>
    <s v="dl Rxqual=4"/>
    <s v="dl rx level= -78 dbm"/>
    <s v="NOK"/>
    <s v="OK"/>
    <s v="Mauvais"/>
    <s v="retransmission des trames HDLC*5"/>
    <m/>
    <s v="ELHAJOUIA Achraf"/>
    <m/>
    <m/>
    <m/>
    <m/>
    <m/>
    <m/>
    <m/>
  </r>
  <r>
    <n v="544"/>
    <b v="0"/>
    <x v="204"/>
    <d v="1899-12-30T17:35:40"/>
    <n v="2045"/>
    <x v="11"/>
    <x v="0"/>
    <n v="1049"/>
    <m/>
    <s v="Tanger/Casa"/>
    <n v="138.30199999999999"/>
    <x v="26"/>
    <s v="N2"/>
    <s v="Ralentissement du train"/>
    <s v="Etat H.O : HO compet entre 223 et 224  _x000a_* qualité /niveau de signal : dl rx-qual=0, dl rx level = -72 dbm_x000a_,Requête de déconnexion a été envoyée par le RBC"/>
    <m/>
    <x v="0"/>
    <s v="chaine antennaire dégradé"/>
    <s v="HO Complet entre 223 et 224"/>
    <s v="dl Rxqual=0"/>
    <s v="dl rx level= -72 dbm"/>
    <s v="OK"/>
    <s v="OK"/>
    <s v="Mauvais"/>
    <s v="retransmission des trames HDLC*5"/>
    <m/>
    <s v="Fahd OUSSALH"/>
    <m/>
    <m/>
    <m/>
    <m/>
    <m/>
    <m/>
    <m/>
  </r>
  <r>
    <n v="545"/>
    <b v="0"/>
    <x v="204"/>
    <d v="1899-12-30T19:26:54"/>
    <n v="1049"/>
    <x v="9"/>
    <x v="1"/>
    <n v="1048"/>
    <m/>
    <s v="Casa/Tanger"/>
    <n v="182.86500000000001"/>
    <x v="31"/>
    <s v="N2"/>
    <s v="Ralentissement du train"/>
    <s v="Etat H.O : HO compet entre 332 et 331  _x000a_* qualité /niveau de signal : dl rx-qual=0, dl rx level = -48 dbm_x000a_,Requête de déconnexion a été envoyée par le RBC"/>
    <m/>
    <x v="0"/>
    <s v="chaine antennaire dégradé"/>
    <s v="HO Complet entre 332 et 331"/>
    <s v="dl Rxqual=0"/>
    <s v="dl rx level= -48 dbm"/>
    <s v="OK"/>
    <s v="OK"/>
    <s v="Mauvais"/>
    <s v="retransmission des trames HDLC*5"/>
    <m/>
    <s v="Fahd OUSSALH"/>
    <m/>
    <m/>
    <m/>
    <m/>
    <m/>
    <m/>
    <m/>
  </r>
  <r>
    <n v="546"/>
    <b v="0"/>
    <x v="204"/>
    <d v="1899-12-30T22:05:43"/>
    <n v="1058"/>
    <x v="4"/>
    <x v="1"/>
    <n v="1057"/>
    <m/>
    <s v="Casa/Tanger"/>
    <n v="7.3209999999999997"/>
    <x v="2"/>
    <s v="N2"/>
    <s v="Ralentissement du train"/>
    <s v="Etat H.O : HO non finalisé entre 202 et 301  _x000a_* qualité /niveau de signal : dl rx-qual=5, dl rx level = -49 dbm_x000a_,Requête de déconnexion a été envoyée par le Bord"/>
    <m/>
    <x v="0"/>
    <s v="En attente de mise en place des tiroires filtrés "/>
    <s v="HO non finalisé entre 202 et 301"/>
    <s v="dl Rxqual=5"/>
    <s v="dl rx level= -49 dbm"/>
    <s v="OK"/>
    <s v="OK"/>
    <s v="Mauvais"/>
    <s v="retransmission des trames HDLC*5"/>
    <m/>
    <s v="HARIRI Bahaeddine"/>
    <m/>
    <m/>
    <m/>
    <m/>
    <m/>
    <m/>
    <m/>
  </r>
  <r>
    <n v="547"/>
    <b v="0"/>
    <x v="204"/>
    <d v="1899-12-30T23:04:07"/>
    <n v="1062"/>
    <x v="8"/>
    <x v="1"/>
    <n v="1061"/>
    <m/>
    <s v="Casa/Tanger"/>
    <n v="8.9700000000000006"/>
    <x v="2"/>
    <s v="N2"/>
    <s v="Ralentissement du train"/>
    <s v="Etat H.O : HO compet entre 304 et 303  _x000a_* qualité /niveau de signal : dl rx-qual=1, dl rx level = -66 dbm_x000a_,Requête de déconnexion a été envoyée par le RBC"/>
    <m/>
    <x v="6"/>
    <s v="En attente de mise en place des tiroires filtrés / En attente de pousser les analyses coté RBC"/>
    <s v="HO Complet entre 304 et 303"/>
    <s v="dl Rxqual=1"/>
    <s v="dl rx level= -66 dbm"/>
    <s v="OK"/>
    <s v="OK"/>
    <s v="Mauvais"/>
    <s v="pas de retransmission des trames HDLC"/>
    <m/>
    <s v="HARIRI Bahaeddine"/>
    <m/>
    <m/>
    <m/>
    <m/>
    <m/>
    <m/>
    <m/>
  </r>
  <r>
    <n v="548"/>
    <b v="0"/>
    <x v="205"/>
    <d v="1899-12-31T00:04:07"/>
    <n v="1062"/>
    <x v="8"/>
    <x v="1"/>
    <n v="1062"/>
    <m/>
    <s v="Casa/Tanger"/>
    <n v="9.9700000000000006"/>
    <x v="22"/>
    <s v="N2"/>
    <s v="Ralentissement du train"/>
    <s v="Etat H.O : HO compet entre 304 et 303  _x000a_* qualité /niveau de signal : dl rx-qual=1, dl rx level = -66 dbm_x000a_,Requête de déconnexion a été envoyée par le RBC"/>
    <m/>
    <x v="0"/>
    <s v="chaine antennaire dégradé"/>
    <s v="HO Complet entre 304 et 304"/>
    <s v="dl Rxqual=2"/>
    <s v="dl rx level= -66 dbm"/>
    <s v="OK"/>
    <s v="OK"/>
    <s v="Mauvais"/>
    <s v="pas de retransmission des trames HDLC"/>
    <m/>
    <s v="HARIRI Bahaeddine"/>
    <m/>
    <m/>
    <m/>
    <m/>
    <m/>
    <m/>
    <m/>
  </r>
  <r>
    <n v="549"/>
    <b v="0"/>
    <x v="205"/>
    <d v="1899-12-30T15:37:02"/>
    <n v="2037"/>
    <x v="9"/>
    <x v="0"/>
    <n v="1052"/>
    <m/>
    <s v="Tanger/Casa"/>
    <n v="153.68600000000001"/>
    <x v="18"/>
    <s v="N2"/>
    <s v="Ralentissement du train"/>
    <s v="Etat H.O : HO compet entre 226 et 227  _x000a_* qualité /niveau de signal : dl rx-qual=1, dl rx level = -57 dbm_x000a_,Requête de déconnexion a été envoyée par le RBC"/>
    <m/>
    <x v="0"/>
    <s v="En attente de mise en place des tiroires filtrés "/>
    <s v="HO Complet entre 226 et 227"/>
    <s v="dl Rxqual=1"/>
    <s v="dl rx level= -57 dbm"/>
    <s v="OK"/>
    <s v="OK"/>
    <s v="Mauvais"/>
    <s v="retransmission des trames HDLC*5"/>
    <m/>
    <s v="Fahd OUSSALH"/>
    <m/>
    <m/>
    <m/>
    <m/>
    <m/>
    <m/>
    <m/>
  </r>
  <r>
    <n v="550"/>
    <b v="0"/>
    <x v="205"/>
    <d v="1899-12-30T20:05:03"/>
    <n v="2057"/>
    <x v="2"/>
    <x v="0"/>
    <n v="7217"/>
    <m/>
    <s v="Tanger/Casa"/>
    <n v="6.13"/>
    <x v="2"/>
    <s v="N2"/>
    <s v="Arrêt du train"/>
    <s v="Etat H.O : Non Complet entre 202 et 303_x000a_* qualité /niveau de signal : dl rx-qual=6, dl rx level = -52 dbm_x000a_, Requête de déconnexion a été envoyé par le BORD"/>
    <m/>
    <x v="0"/>
    <s v="En attente de mise en place des tiroires filtrés "/>
    <s v="HO Non Complet entre 202 et 303"/>
    <s v="dl Rxqual=6"/>
    <s v="dl rx level= -52 dbm"/>
    <s v="OK"/>
    <s v="OK"/>
    <s v="Mauvais"/>
    <s v="pas de retransmission des trames HDLC"/>
    <m/>
    <s v="Fahd OUSSALH"/>
    <m/>
    <m/>
    <m/>
    <m/>
    <m/>
    <m/>
    <m/>
  </r>
  <r>
    <n v="551"/>
    <b v="0"/>
    <x v="205"/>
    <d v="1899-12-30T23:03:58"/>
    <n v="1061"/>
    <x v="10"/>
    <x v="1"/>
    <n v="1061"/>
    <m/>
    <s v="Casa/Tanger"/>
    <n v="7.3209999999999997"/>
    <x v="2"/>
    <s v="N2"/>
    <s v="Ralentissement du train"/>
    <s v="Etat H.O : Complet entre 303 et 202_x000a_* qualité /niveau de signal : dl rx-qual=0, dl rx level = -48 dbm_x000a_,Requête de déconnexion a été envoyée par le RBC"/>
    <m/>
    <x v="0"/>
    <s v="En attente de mise en place des tiroires filtrés "/>
    <s v="HO Complet entre 303 et 202"/>
    <s v="dl Rxqual=0"/>
    <s v="dl rx level= -48 dbm"/>
    <s v="OK"/>
    <s v="NOK"/>
    <s v="Mauvais"/>
    <s v="retransmission des trames HDLC*5"/>
    <m/>
    <s v="Saad Elhabib"/>
    <m/>
    <m/>
    <m/>
    <m/>
    <m/>
    <m/>
    <m/>
  </r>
  <r>
    <n v="552"/>
    <b v="0"/>
    <x v="206"/>
    <d v="1899-12-30T07:31:15"/>
    <n v="1001"/>
    <x v="2"/>
    <x v="1"/>
    <n v="1035"/>
    <m/>
    <s v="Casa/Tanger"/>
    <n v="166.529"/>
    <x v="28"/>
    <s v="N2"/>
    <s v="Ralentissement du train"/>
    <s v="Etat H.O : Complet entre 329et 328_x000a_* qualité /niveau de signal : dl rx-qual=0, dl rx level = -56 dbm_x000a_,Requête de déconnexion a été envoyée par le RBC"/>
    <m/>
    <x v="0"/>
    <s v="chaine antennaire dégradé"/>
    <s v="HO Complet entre 329 et 328"/>
    <s v="dl Rxqual=0"/>
    <s v="dl rx level= -56 dbm"/>
    <s v="OK"/>
    <s v="OK"/>
    <s v="Mauvais"/>
    <s v="retransmission des trames HDLC*5"/>
    <m/>
    <s v="ELHAJOUIA Achraf"/>
    <m/>
    <m/>
    <m/>
    <m/>
    <m/>
    <m/>
    <m/>
  </r>
  <r>
    <n v="553"/>
    <b v="0"/>
    <x v="206"/>
    <d v="1899-12-30T10:04:17"/>
    <n v="1009"/>
    <x v="9"/>
    <x v="1"/>
    <n v="1031"/>
    <m/>
    <s v="Casa/Tanger"/>
    <n v="7.3209999999999997"/>
    <x v="2"/>
    <s v="N2"/>
    <s v="Ralentissement du train"/>
    <s v="Etat H.O : Complet entre 202 et 303 avec Downlink quality_x000a_* qualité /niveau de signal : dl rx-qual=7, dl rx level = -80 dbm_x000a_,Requête de déconnexion a été envoyée par le RBC"/>
    <m/>
    <x v="0"/>
    <s v="En attente de mise en place des tiroires filtrés "/>
    <s v="HO Complet entre 202 et 303"/>
    <s v="dl Rxqual=7"/>
    <s v="dl rx level= -80 dbm"/>
    <s v="OK"/>
    <s v="OK"/>
    <s v="Mauvais"/>
    <s v="retransmission des trames HDLC*5"/>
    <m/>
    <s v="Noura MOUSSAOUI"/>
    <m/>
    <m/>
    <m/>
    <m/>
    <m/>
    <m/>
    <m/>
  </r>
  <r>
    <n v="554"/>
    <b v="0"/>
    <x v="206"/>
    <d v="1899-12-30T12:20:57"/>
    <n v="2025"/>
    <x v="7"/>
    <x v="0"/>
    <n v="1055"/>
    <m/>
    <s v="Tanger/Casa"/>
    <n v="72.397999999999996"/>
    <x v="13"/>
    <s v="N2"/>
    <s v="Ralentissement du train"/>
    <s v="Etat H.O : Complet entre 212 et 213 _x000a_* qualité /niveau de signal : dl rx-qual=0, dl rx level = -55 dbm_x000a_,Requête de déconnexion a été envoyée par le RBC"/>
    <m/>
    <x v="0"/>
    <s v="chaine antennaire dégradé"/>
    <s v="HO Complet entre 212 et 213"/>
    <s v="dl Rxqual=0"/>
    <s v="dl rx level= -55 dbm"/>
    <s v="OK"/>
    <s v="OK"/>
    <s v="Mauvais"/>
    <s v="retransmission des trames HDLC*5"/>
    <m/>
    <s v="ELHAJOUIA Achraf"/>
    <m/>
    <m/>
    <m/>
    <m/>
    <m/>
    <m/>
    <m/>
  </r>
  <r>
    <n v="555"/>
    <b v="0"/>
    <x v="206"/>
    <d v="1899-12-30T15:29:32"/>
    <n v="1033"/>
    <x v="9"/>
    <x v="1"/>
    <n v="1031"/>
    <m/>
    <s v="Casa/Tanger"/>
    <n v="172.61199999999999"/>
    <x v="27"/>
    <s v="N2"/>
    <s v="Ralentissement du train"/>
    <s v="Etat H.O : Complet entre 331 et 330  _x000a_* qualité /niveau de signal : dl rx-qual=0, dl rx level = -48 dbm_x000a_,Requête de déconnexion a été envoyée par le RBC"/>
    <m/>
    <x v="0"/>
    <s v="chaine antennaire dégradé"/>
    <s v="HO Complet entre 331 et 330  "/>
    <s v="dl Rxqual=0"/>
    <s v="dl rx level= -48 dbm"/>
    <s v="OK"/>
    <s v="OK"/>
    <s v="Mauvais"/>
    <s v="retransmission des trames HDLC*5"/>
    <m/>
    <s v="Fahd OUSSALH"/>
    <m/>
    <m/>
    <m/>
    <m/>
    <m/>
    <m/>
    <m/>
  </r>
  <r>
    <n v="556"/>
    <b v="0"/>
    <x v="206"/>
    <d v="1899-12-30T16:08:47"/>
    <n v="1033"/>
    <x v="9"/>
    <x v="1"/>
    <n v="1031"/>
    <m/>
    <s v="Casa/Tanger"/>
    <n v="7.3209999999999997"/>
    <x v="2"/>
    <s v="N2"/>
    <s v="Ralentissement du train"/>
    <s v="Etat H.O : non finalisé entre 303 et 202   _x000a_* qualité /niveau de signal : dl rx-qual=6, dl rx level = -52 dbm_x000a_,Requête de déconnexion a été envoyée par le RBC"/>
    <m/>
    <x v="0"/>
    <s v="En attente de mise en place des tiroires filtrés "/>
    <s v="HO Non Complet entre 303 et 202  "/>
    <s v="dl Rxqual=6"/>
    <s v="dl rx level= -52 dbm"/>
    <s v="NOK"/>
    <s v="OK"/>
    <s v="Mauvais"/>
    <s v="retransmission des trames HDLC*5"/>
    <m/>
    <s v="Fahd OUSSALH"/>
    <m/>
    <m/>
    <m/>
    <m/>
    <m/>
    <m/>
    <m/>
  </r>
  <r>
    <n v="557"/>
    <b v="0"/>
    <x v="207"/>
    <d v="1899-12-30T17:05:32"/>
    <n v="2045"/>
    <x v="4"/>
    <x v="0"/>
    <n v="7208"/>
    <m/>
    <s v="Tanger/Casa"/>
    <n v="6.13"/>
    <x v="2"/>
    <s v="N2"/>
    <s v="Arrêt du train"/>
    <s v="Etat H.O : non finalisé entre 302 et 203   _x000a_* qualité /niveau de signal : dl rx-qual=7, dl rx level = -52 dbm_x000a_,Requête de déconnexion a été envoyée par le BORD"/>
    <m/>
    <x v="0"/>
    <s v="En attente de mise en place des tiroires filtrés "/>
    <s v="HO Non Complet entre 302 et 203"/>
    <s v="dl Rxqual=7"/>
    <s v="dl rx level= -52 dbm"/>
    <s v="OK"/>
    <s v="OK"/>
    <s v="Mauvais"/>
    <s v="pas de retransmission des trames HDLC"/>
    <m/>
    <s v="ELGUEZZAR Anas"/>
    <m/>
    <m/>
    <m/>
    <m/>
    <m/>
    <m/>
    <m/>
  </r>
  <r>
    <n v="558"/>
    <b v="0"/>
    <x v="207"/>
    <d v="1899-12-30T21:58:14"/>
    <n v="1058"/>
    <x v="1"/>
    <x v="1"/>
    <n v="7208"/>
    <m/>
    <s v="Casa/Tanger"/>
    <n v="39.215000000000003"/>
    <x v="14"/>
    <s v="N2"/>
    <s v="Ralentissement du train"/>
    <s v="Etat H.O : complète entre 308 et 307_x000a_* qualité /niveau de signal : dl rx-qual=0, dl rx level = -53 dbm_x000a_,Requête de déconnexion a été envoyée par le RBC"/>
    <m/>
    <x v="6"/>
    <s v="En attente de pousser les analyses coté Bord/RBC"/>
    <s v="HO  Complet entre 308 et 307"/>
    <s v="dl Rxqual=0"/>
    <s v="dl rx level= -53 dbm"/>
    <s v="OK"/>
    <s v="OK"/>
    <s v="Mauvais"/>
    <s v="retransmission des trames HDLC*5"/>
    <m/>
    <s v="Saad Elhabib"/>
    <m/>
    <m/>
    <m/>
    <m/>
    <m/>
    <m/>
    <m/>
  </r>
  <r>
    <n v="559"/>
    <b v="0"/>
    <x v="208"/>
    <d v="1899-12-30T00:07:54"/>
    <n v="10091"/>
    <x v="9"/>
    <x v="1"/>
    <n v="1031"/>
    <m/>
    <s v="Casa/Tanger"/>
    <n v="7.3209999999999997"/>
    <x v="2"/>
    <s v="N2"/>
    <s v="Ralentissement du train"/>
    <s v="Etat H.O : complète entre 202 et 303 _x000a_* qualité /niveau de signal : dl rx-qual=1, dl rx level = -75 dbm_x000a_,Requête de déconnexion a été envoyée par le RBC"/>
    <m/>
    <x v="0"/>
    <s v="En attente de mise en place des tiroires filtrés "/>
    <s v="HO  Complet entre 202 et 303 "/>
    <s v="dl Rxqual=1"/>
    <s v="dl rx level= -75 dbm"/>
    <s v="OK"/>
    <s v="OK"/>
    <s v="Mauvais"/>
    <s v="retransmission des trames HDLC*5"/>
    <m/>
    <s v="Saad Elhabib"/>
    <m/>
    <m/>
    <m/>
    <m/>
    <m/>
    <m/>
    <m/>
  </r>
  <r>
    <n v="560"/>
    <b v="0"/>
    <x v="209"/>
    <d v="1899-12-30T07:28:09"/>
    <n v="2005"/>
    <x v="9"/>
    <x v="0"/>
    <n v="1053"/>
    <m/>
    <s v="Tanger/Casa"/>
    <n v="102.91800000000001"/>
    <x v="24"/>
    <s v="N2"/>
    <s v="Ralentissement du train"/>
    <s v="Etat H.O : complète entre 218 et 219 _x000a_* qualité /niveau de signal : dl rx-qual=1, dl rx level = -49 dbm_x000a_,Requête de déconnexion a été envoyée par le RBC"/>
    <m/>
    <x v="6"/>
    <s v="En attente de pousser les analyses coté Bord/RBC"/>
    <s v="HO  Complet entre 218 et 219"/>
    <s v="dl Rxqual=1"/>
    <s v="dl rx level= -49 dbm"/>
    <s v="OK"/>
    <s v="OK"/>
    <s v="Mauvais"/>
    <s v="retransmission des trames HDLC*5"/>
    <m/>
    <s v="LAGDEM Elmehdi"/>
    <m/>
    <m/>
    <m/>
    <m/>
    <m/>
    <m/>
    <m/>
  </r>
  <r>
    <n v="561"/>
    <b v="0"/>
    <x v="209"/>
    <s v=" 09:14:48"/>
    <n v="2013"/>
    <x v="0"/>
    <x v="0"/>
    <n v="1037"/>
    <m/>
    <s v="Tanger/Casa"/>
    <s v=" 44,470"/>
    <x v="16"/>
    <s v="N2"/>
    <s v="Ralentissement du train"/>
    <s v="Etat H.O : complète entre 207 et 208_x000a_* qualité /niveau de signal : dl rx-qual=0, dl rx level = -53 dbm_x000a_,Requête de déconnexion a été envoyée par le RBC"/>
    <m/>
    <x v="0"/>
    <s v="chaine antennaire dégradé"/>
    <s v="HO  Complet entre 207 et 208"/>
    <s v="dl Rxqual=0"/>
    <s v="dl rx level= -53 dbm"/>
    <s v="OK"/>
    <s v="OK"/>
    <s v="Mauvais"/>
    <s v="retransmission des trames HDLC*5"/>
    <m/>
    <s v="Noura MOUSSAOUI"/>
    <m/>
    <m/>
    <m/>
    <m/>
    <m/>
    <m/>
    <m/>
  </r>
  <r>
    <n v="562"/>
    <b v="0"/>
    <x v="209"/>
    <s v=" 11:02:50"/>
    <n v="1014"/>
    <x v="12"/>
    <x v="1"/>
    <s v=" 1035"/>
    <m/>
    <s v="Casa/Tanger"/>
    <n v="11.22"/>
    <x v="22"/>
    <s v="N2"/>
    <s v="Ralentissement du train"/>
    <s v="Etat H.O : complète entre 304 et 303_x000a_* qualité /niveau de signal : dl rx-qual=0, dl rx level = -48 dbm_x000a_,Requête de déconnexion a été envoyée par le RBC"/>
    <m/>
    <x v="0"/>
    <s v="En attente de pousser les analyses coté Bord"/>
    <s v="HO  Complet entre 304 et 303"/>
    <s v="dl Rxqual=0"/>
    <s v="dl rx level= -48 dbm"/>
    <s v="OK"/>
    <s v="OK"/>
    <s v="Mauvais"/>
    <s v="retransmission des trames HDLC*5"/>
    <m/>
    <s v="Noura MOUSSAOUI"/>
    <m/>
    <m/>
    <m/>
    <m/>
    <m/>
    <m/>
    <m/>
  </r>
  <r>
    <n v="563"/>
    <b v="0"/>
    <x v="209"/>
    <s v=" 17:29:08"/>
    <n v="2045"/>
    <x v="3"/>
    <x v="0"/>
    <s v=" 1046"/>
    <m/>
    <s v="Tanger/Casa"/>
    <n v="110.843"/>
    <x v="1"/>
    <s v="N2"/>
    <s v="Ralentissement du train"/>
    <s v="Etat H.O : non complète entre 220 et 221_x000a_* qualité /niveau de signal : dl rx-qual=6, dl rx level = -61 dbm_x000a_,Requête de déconnexion a été envoyée par le RBC"/>
    <m/>
    <x v="2"/>
    <s v="chaine antennaire dégradé /dans l'attente d'une analyse spectral "/>
    <s v="HO  non Complet entre 220 et 221"/>
    <s v="dl Rxqual=6"/>
    <s v="dl rx level= -61 dbm"/>
    <s v="NOK"/>
    <s v="OK"/>
    <s v="Mauvais"/>
    <s v="retransmission des trames HDLC*5"/>
    <m/>
    <s v="ELGUEZZAR Anas"/>
    <m/>
    <m/>
    <m/>
    <m/>
    <m/>
    <m/>
    <m/>
  </r>
  <r>
    <n v="564"/>
    <b v="0"/>
    <x v="209"/>
    <s v=" 18:50:21"/>
    <n v="1046"/>
    <x v="1"/>
    <x v="1"/>
    <s v=" 3063"/>
    <m/>
    <s v="Casa/Tanger"/>
    <n v="109.495"/>
    <x v="10"/>
    <s v="N2"/>
    <s v="Ralentissement du train"/>
    <s v="Etat H.O : complète entre 325 et 324_x000a_* qualité /niveau de signal : dl rx-qual=0, dl rx level = -48 dbm_x000a_,Requête de déconnexion a été envoyée par le RBC"/>
    <m/>
    <x v="0"/>
    <s v="En attente de pousser les analyses coté Bord"/>
    <s v="HO   Complet entre 325 et 324"/>
    <s v="dl Rxqual=0"/>
    <s v="dl rx level= -48 dbm"/>
    <s v="OK"/>
    <s v="OK"/>
    <s v="Mauvais"/>
    <s v="retransmission des trames HDLC*5"/>
    <m/>
    <s v="ELGUEZZAR Anas"/>
    <m/>
    <m/>
    <m/>
    <m/>
    <m/>
    <m/>
    <m/>
  </r>
  <r>
    <n v="565"/>
    <b v="0"/>
    <x v="209"/>
    <s v=" 20:07:43"/>
    <n v="1050"/>
    <x v="9"/>
    <x v="1"/>
    <n v="1030"/>
    <m/>
    <s v="Casa/Tanger"/>
    <n v="7.3209999999999997"/>
    <x v="2"/>
    <s v="N2"/>
    <s v="Ralentissement du train"/>
    <s v="Etat H.O : non complète entre 303 et 302_x000a_* qualité /niveau de signal : dl rx-qual=7, dl rx level = -70 dbm_x000a_,Requête de déconnexion a été envoyée par le RBC"/>
    <m/>
    <x v="0"/>
    <s v="En attente de mise en place des tiroires filtrés "/>
    <s v="HO  non Complet entre 325 et 325"/>
    <s v="dl Rxqual=7"/>
    <s v="dl rx level= -70 dbm"/>
    <s v="OK"/>
    <s v="OK"/>
    <s v="Mauvais"/>
    <s v="retransmission des trames HDLC*5"/>
    <m/>
    <s v="ELGUEZZAR Anas"/>
    <m/>
    <m/>
    <m/>
    <m/>
    <m/>
    <m/>
    <m/>
  </r>
  <r>
    <n v="566"/>
    <b v="0"/>
    <x v="209"/>
    <s v=" 20:45:43"/>
    <n v="2057"/>
    <x v="1"/>
    <x v="0"/>
    <n v="1029"/>
    <m/>
    <s v="Tanger/Casa"/>
    <n v="186.315"/>
    <x v="19"/>
    <s v="N2"/>
    <s v="Ralentissement du train"/>
    <s v="Etat H.O : non finalisé entre 232 et 233_x000a_* qualité /niveau de signal : dl rx-qual=0, dl rx level = -66 dbm_x000a_,Requête de déconnexion a été envoyée par le RBC"/>
    <m/>
    <x v="0"/>
    <s v="chaine antennaire dégradé "/>
    <s v="HO  non finalisé entre 232 et 233"/>
    <s v="dl Rxqual=0"/>
    <s v="dl rx level= -66 dbm"/>
    <s v="NOK"/>
    <s v="OK"/>
    <s v="Mauvais"/>
    <s v="retransmission des trames HDLC*5"/>
    <m/>
    <s v="ELHAJOUIA Achraf"/>
    <m/>
    <m/>
    <m/>
    <m/>
    <m/>
    <m/>
    <m/>
  </r>
  <r>
    <n v="567"/>
    <b v="0"/>
    <x v="210"/>
    <d v="1899-12-30T10:48:56"/>
    <n v="1013"/>
    <x v="0"/>
    <x v="1"/>
    <n v="1045"/>
    <m/>
    <s v="Casa/Tanger"/>
    <n v="88.911000000000001"/>
    <x v="12"/>
    <s v="N2"/>
    <s v="Ralentissement du train"/>
    <s v="Etat H.O : Complet  entre 318 et 317_x000a_* qualité /niveau de signal : dl rx-qual=2, dl rx level = -49 dbm_x000a_,Requête de déconnexion a été envoyée par le RBC"/>
    <m/>
    <x v="0"/>
    <s v="En attente de pousser les analyses coté Bord"/>
    <s v="HO  Complet  entre 318 et 317"/>
    <s v="dl Rxqual=2"/>
    <s v="dl rx level= -49 dbm"/>
    <s v="OK"/>
    <s v="OK"/>
    <s v="Mauvais"/>
    <s v="retransmission des trames HDLC*5"/>
    <m/>
    <s v="MAROUANI Otmane"/>
    <m/>
    <m/>
    <m/>
    <m/>
    <m/>
    <m/>
    <m/>
  </r>
  <r>
    <n v="568"/>
    <b v="0"/>
    <x v="210"/>
    <d v="1899-12-30T20:04:43"/>
    <n v="2057"/>
    <x v="4"/>
    <x v="0"/>
    <n v="7208"/>
    <m/>
    <s v="Tanger/Casa"/>
    <n v="7.3810000000000002"/>
    <x v="2"/>
    <s v="N2"/>
    <s v="Arrêt du train"/>
    <s v="* Etat H.O : HO non complète entre 302 et 203_x000a_* qualité /niveau de signal : dl rx-qual=7, dl rx level = -52 dbm_x000a_,Requête de déconnexion a été envoyée par le RBC"/>
    <m/>
    <x v="0"/>
    <s v="En attente de mise en place des tiroires filtrés "/>
    <s v="HO  non Complet entre 302 et 203"/>
    <s v="dl Rxqual=7"/>
    <s v="dl rx level= -52 dbm"/>
    <s v="OK"/>
    <s v="OK"/>
    <s v="Mauvais"/>
    <s v="retransmission des trames HDLC*5"/>
    <m/>
    <s v="ELGUEZZAR Anas"/>
    <m/>
    <m/>
    <m/>
    <m/>
    <m/>
    <m/>
    <m/>
  </r>
  <r>
    <n v="569"/>
    <b v="0"/>
    <x v="210"/>
    <d v="1899-12-30T21:18:22"/>
    <n v="2061"/>
    <x v="3"/>
    <x v="0"/>
    <n v="1047"/>
    <m/>
    <s v="Tanger/Casa"/>
    <n v="58.71"/>
    <x v="23"/>
    <s v="N2"/>
    <s v="Ralentissement du train"/>
    <s v="* Etat H.O : HO non finalisé entre 210 et 211_x000a_* qualité /niveau de signal : dl rx-qual=3, dl rx level = -74 dbm_x000a_,Requête de déconnexion a été envoyée par le RBC"/>
    <m/>
    <x v="0"/>
    <s v="En attente de pousser les analyses coté Bord"/>
    <s v="HO  non finalisé entre 210 et 211"/>
    <s v="dl Rxqual=3"/>
    <s v="dl rx level= -74 dbm"/>
    <s v="NOK"/>
    <s v="OK"/>
    <s v="Mauvais"/>
    <s v="retransmission des trames HDLC*5"/>
    <m/>
    <s v="ELHAJOUIA Achraf"/>
    <m/>
    <m/>
    <m/>
    <m/>
    <m/>
    <m/>
    <m/>
  </r>
  <r>
    <n v="570"/>
    <b v="0"/>
    <x v="211"/>
    <d v="1899-12-30T10:17:01"/>
    <n v="2017"/>
    <x v="7"/>
    <x v="0"/>
    <n v="1055"/>
    <m/>
    <s v="Tanger/Casa"/>
    <n v="53.600999999999999"/>
    <x v="29"/>
    <s v="N2"/>
    <s v="Ralentissement du train"/>
    <s v="* Etat H.O : HO complete entre 209 et 210_x000a_* qualité /niveau de signal : dl rx-qual=0, dl rx level = -50 dbm_x000a_,Requête de déconnexion a été envoyée par le RBC"/>
    <m/>
    <x v="0"/>
    <s v="En attente de mise en place des tiroires filtrés "/>
    <s v="HO complete entre 209 et 210"/>
    <s v="dl Rxqual=0"/>
    <s v="dl rx level= -50 dbm"/>
    <s v="OK"/>
    <s v="OK"/>
    <s v="Mauvais"/>
    <s v="retransmission des trames HDLC*5"/>
    <m/>
    <s v="LAGDEM Elmehdi"/>
    <m/>
    <m/>
    <m/>
    <m/>
    <m/>
    <m/>
    <m/>
  </r>
  <r>
    <n v="571"/>
    <b v="0"/>
    <x v="211"/>
    <d v="1899-12-30T12:04:45"/>
    <n v="2025"/>
    <x v="5"/>
    <x v="0"/>
    <n v="1024"/>
    <m/>
    <s v="Tanger/Casa"/>
    <n v="6.13"/>
    <x v="2"/>
    <s v="N2"/>
    <s v="Arrêt du train"/>
    <s v="* Etat H.O : HO Non finalisé entre 302 et 303_x000a_* qualité /niveau de signal : dl rx-qual=7, dl rx level = -56 dbm_x000a_,Requête de déconnexion a été envoyée par le RBC"/>
    <m/>
    <x v="0"/>
    <s v="En attente de mise en place des tiroires filtrés "/>
    <s v="HO Non finalisé entre 302 et 303"/>
    <s v="dl Rxqual=7"/>
    <s v="dl rx level= -56dbm"/>
    <s v="NOK"/>
    <s v="OK"/>
    <s v="Mauvais"/>
    <s v="retransmission des trames HDLC*5"/>
    <m/>
    <s v="Noura MOUSSAOUI"/>
    <m/>
    <m/>
    <m/>
    <m/>
    <m/>
    <m/>
    <m/>
  </r>
  <r>
    <n v="572"/>
    <b v="0"/>
    <x v="211"/>
    <d v="1899-12-30T13:07:04"/>
    <n v="1021"/>
    <x v="9"/>
    <x v="1"/>
    <n v="1030"/>
    <m/>
    <s v="Casa/Tanger"/>
    <n v="7.3209999999999997"/>
    <x v="2"/>
    <s v="N2"/>
    <s v="Ralentissement du train"/>
    <s v="* Etat H.O : HO Non finalisé entre 303 et 302_x000a_* qualité /niveau de signal : dl rx-qual=7, dl rx level = -61 dbm_x000a_,Requête de déconnexion a été envoyée par le RBC"/>
    <m/>
    <x v="0"/>
    <s v="En attente de mise en place des tiroires filtrés "/>
    <s v="HO Non finalisé entre 303 et 302"/>
    <s v="dl Rxqual=7"/>
    <s v="dl rx level= -61 dbm"/>
    <s v="OK"/>
    <s v="OK"/>
    <s v="Mauvais"/>
    <s v="retransmission des trames HDLC*5"/>
    <m/>
    <s v="Noura MOUSSAOUI"/>
    <m/>
    <m/>
    <m/>
    <m/>
    <m/>
    <m/>
    <m/>
  </r>
  <r>
    <n v="573"/>
    <b v="0"/>
    <x v="211"/>
    <s v="15:05:07 "/>
    <n v="2037"/>
    <x v="2"/>
    <x v="0"/>
    <n v="7217"/>
    <m/>
    <s v="Tanger/Casa"/>
    <n v="6.13"/>
    <x v="2"/>
    <s v="N2"/>
    <s v="Arrêt du train"/>
    <s v="* Etat H.O : HO Non finalisé entre 202 et 203_x000a_* qualité /niveau de signal : dl rx-qual=7, dl rx level = -52 dbm_x000a_,Requête de déconnexion a été envoyée par le RBC"/>
    <m/>
    <x v="0"/>
    <s v="En attente de mise en place des tiroires filtrés "/>
    <s v="HO Non finalisé entre 202 et 203"/>
    <s v="dl Rxqual=7"/>
    <s v="dl rx level= -52 dbm"/>
    <s v="NOK"/>
    <s v="OK"/>
    <s v="Mauvais"/>
    <s v="retransmission des trames HDLC*5"/>
    <m/>
    <s v="Noura MOUSSAOUI"/>
    <m/>
    <m/>
    <m/>
    <m/>
    <m/>
    <m/>
    <m/>
  </r>
  <r>
    <n v="574"/>
    <b v="0"/>
    <x v="212"/>
    <d v="1899-12-30T19:09:55"/>
    <n v="1045"/>
    <x v="11"/>
    <x v="1"/>
    <n v="1020"/>
    <m/>
    <s v="Casa/Tanger"/>
    <n v="10.125"/>
    <x v="22"/>
    <s v="N2"/>
    <s v="Ralentissement du train"/>
    <s v="* Etat H.O : HO Complet   entre 304 et 303_x000a_* qualité /niveau de signal : dl rx-qual= 5 , dl rx level = -47 dbm_x000a_*Requête de déconnexion a été envoyée par le RBC"/>
    <m/>
    <x v="6"/>
    <s v="En attente de pousser les analyses coté Bord/RBC"/>
    <s v="HO Complet   entre 304 et 303"/>
    <s v="dl Rxqual=5"/>
    <s v="dl rx level= -47 dbm"/>
    <s v="OK"/>
    <s v="OK"/>
    <s v="Mauvais"/>
    <s v="retransmission des trames HDLC*5"/>
    <m/>
    <s v="Oussama ZEHOUANI"/>
    <m/>
    <m/>
    <m/>
    <m/>
    <m/>
    <m/>
    <m/>
  </r>
  <r>
    <n v="575"/>
    <b v="0"/>
    <x v="212"/>
    <d v="1899-12-30T20:05:05"/>
    <n v="2057"/>
    <x v="5"/>
    <x v="0"/>
    <n v="1024"/>
    <m/>
    <s v="Tanger/Casa"/>
    <n v="6.13"/>
    <x v="2"/>
    <s v="N2"/>
    <s v="Arrêt du train"/>
    <s v="* Etat H.O : HO Non finalisé  entre 203 et 302_x000a_* qualité /niveau de signal : dl rx-qual= 7 , dl rx level = -53 dbm_x000a_*Requête de déconnexion a été envoyée par le bord"/>
    <m/>
    <x v="0"/>
    <s v="En attente de mise en place des tiroires filtrés "/>
    <s v="HO Non finalisé entre 203 et 302"/>
    <s v="dl Rxqual=7"/>
    <s v="dl rx level= -53 dbm"/>
    <s v="NOK"/>
    <s v="OK"/>
    <s v="Mauvais"/>
    <s v="retransmission des trames HDLC*5"/>
    <m/>
    <s v="Oussama ZEHOUANI"/>
    <m/>
    <m/>
    <m/>
    <m/>
    <m/>
    <m/>
    <m/>
  </r>
  <r>
    <n v="576"/>
    <b v="0"/>
    <x v="213"/>
    <d v="1899-12-30T12:05:38"/>
    <n v="2025"/>
    <x v="10"/>
    <x v="0"/>
    <n v="7206"/>
    <m/>
    <s v="Tanger/Casa"/>
    <n v="6.13"/>
    <x v="2"/>
    <s v="N2"/>
    <s v="Arrêt du train"/>
    <s v="* Etat H.O : HO Non finalisé  entre 302 et 203_x000a_* qualité /niveau de signal : dl rx-qual= 3 , dl rx level = -52 dbm_x000a_*Requête de déconnexion a été envoyée par le bord"/>
    <m/>
    <x v="0"/>
    <s v="En attente de mise en place des tiroires filtrés "/>
    <s v="HO Non finalisé entre 302 et 203"/>
    <s v="dl Rxqual=3"/>
    <s v="dl rx level= -52 dbm"/>
    <s v="OK"/>
    <s v="OK"/>
    <s v="Mauvais"/>
    <s v="retransmission des trames HDLC*5"/>
    <m/>
    <s v="ELGUEZZAR Anas"/>
    <m/>
    <m/>
    <m/>
    <m/>
    <m/>
    <m/>
    <m/>
  </r>
  <r>
    <n v="577"/>
    <b v="0"/>
    <x v="213"/>
    <d v="1899-12-30T14:05:26"/>
    <n v="2033"/>
    <x v="2"/>
    <x v="0"/>
    <n v="7217"/>
    <m/>
    <s v="Tanger/Casa"/>
    <n v="6.13"/>
    <x v="2"/>
    <s v="N2"/>
    <s v="Arrêt du train"/>
    <s v="* Etat H.O : Non finalisé entre 303 et 302_x000a_* qualité /niveau de signal : dl rx-qual=7, dl rx level = -55 dbm_x000a_* Retransmission des trames HDLC*5_x000a_* Communication SOL-Bord : OK_x000a_* Voisinage: NOK_x000a_* temps perdu : 21s"/>
    <m/>
    <x v="0"/>
    <s v="En attente de mise en place des tiroires filtrés "/>
    <s v="HO Non finalisé entre 303 et 302"/>
    <s v="dl Rxqual=7"/>
    <s v="dl rx level= -55 dbm"/>
    <s v="OK"/>
    <s v="OK"/>
    <s v="Mauvais"/>
    <s v="retransmission des trames HDLC*5"/>
    <m/>
    <s v="Oussama ZEHOUANI"/>
    <m/>
    <m/>
    <m/>
    <m/>
    <m/>
    <m/>
    <m/>
  </r>
  <r>
    <n v="578"/>
    <b v="0"/>
    <x v="213"/>
    <d v="1899-12-30T21:04:45"/>
    <n v="2061"/>
    <x v="1"/>
    <x v="0"/>
    <n v="1029"/>
    <m/>
    <s v="Tanger/Casa"/>
    <n v="6.13"/>
    <x v="2"/>
    <s v="N2"/>
    <s v="Arrêt du train"/>
    <s v="* Etat H.O : HO Complet   entre 202 et 203 avec downlink quality_x000a_* qualité /niveau de signal : dl rx-qual= 3 , dl rx level = -70 dbm_x000a_*Requête de déconnexion a été envoyée par le RBC"/>
    <m/>
    <x v="0"/>
    <s v="En attente de mise en place des tiroires filtrés "/>
    <s v="HO Complet   entre 202 et 203"/>
    <s v="dl Rxqual=3"/>
    <s v="dl rx level= -70 dbm"/>
    <s v="OK"/>
    <s v="OK"/>
    <s v="Mauvais"/>
    <s v="retransmission des trames HDLC*5"/>
    <m/>
    <s v="ELHAJOUIA Achraf"/>
    <m/>
    <m/>
    <m/>
    <m/>
    <m/>
    <m/>
    <m/>
  </r>
  <r>
    <n v="579"/>
    <b v="0"/>
    <x v="213"/>
    <d v="1899-12-30T23:38:06"/>
    <n v="1061"/>
    <x v="10"/>
    <x v="1"/>
    <n v="1060"/>
    <m/>
    <s v="Casa/Tanger"/>
    <n v="202.125"/>
    <x v="5"/>
    <s v="N2"/>
    <s v="Ralentissement du train"/>
    <s v="* Etat H.O : HO Complet   entre 234 et 233 avec downlink quality_x000a_* qualité /niveau de signal : dl rx-qual= 7 , dl rx level = -69 dbm_x000a_*Requête de déconnexion a été envoyée par le RBC"/>
    <m/>
    <x v="0"/>
    <s v="En attente de mise en place des tiroires filtrés "/>
    <s v="HO Complet   entre 234 et 233"/>
    <s v="dl Rxqual=7"/>
    <s v="dl rx level= -69 dbm"/>
    <s v="OK"/>
    <s v="OK"/>
    <s v="Mauvais"/>
    <s v="retransmission des trames HDLC*5"/>
    <m/>
    <s v="ELHAJOUIA Achraf"/>
    <m/>
    <m/>
    <m/>
    <m/>
    <m/>
    <m/>
    <m/>
  </r>
  <r>
    <n v="580"/>
    <b v="0"/>
    <x v="214"/>
    <d v="1899-12-30T09:26:40"/>
    <n v="1010"/>
    <x v="1"/>
    <x v="1"/>
    <n v="3063"/>
    <m/>
    <s v="Casa/Tanger"/>
    <n v="185.47"/>
    <x v="19"/>
    <s v="N2"/>
    <s v="Ralentissement du train"/>
    <s v="* Etat H.O : HO Complet   entre 332 et 331 avec downlink quality_x000a_* qualité /niveau de signal : dl rx-qual= 0 , dl rx level = -48 dbm_x000a_*Requête de déconnexion a été envoyée par le RBC"/>
    <m/>
    <x v="0"/>
    <s v="En attente de pousser les analyses coté Bord"/>
    <s v="HO Complet   entre 332 et 331"/>
    <s v="dl Rxqual=0"/>
    <s v="dl rx level= -48 dbm"/>
    <s v="OK"/>
    <s v="OK"/>
    <s v="Mauvais"/>
    <s v="retransmission des trames HDLC*5"/>
    <m/>
    <s v="ELGUEZZAR Anas"/>
    <m/>
    <m/>
    <m/>
    <m/>
    <m/>
    <m/>
    <m/>
  </r>
  <r>
    <n v="581"/>
    <b v="0"/>
    <x v="214"/>
    <d v="1899-12-30T19:12:32"/>
    <n v="2053"/>
    <x v="2"/>
    <x v="0"/>
    <n v="7218"/>
    <m/>
    <s v="Tanger/Casa"/>
    <n v="28.457000000000001"/>
    <x v="7"/>
    <s v="N2"/>
    <s v="Ralentissement du train"/>
    <s v="* Etat H.O : HO complet  entre 205 et 206  _x000a_* qualité /niveau de signal : dl rx-qual=5, dl rx level = -47 dbm_x000a_* Retransmission des trames HDLC*5_x000a_* Communication SOL-Bord : OK_x000a_* Voisinage: OK_x000a_* temps perdu : 21 s_x000a_"/>
    <m/>
    <x v="2"/>
    <s v="chaine antennaire dégradé /Zone sous surveillance par équipe NOC GSMR"/>
    <s v="HO complète  entre 205 et 206  "/>
    <s v="dl Rxqual=5"/>
    <s v="dl rx level= -47 dbm"/>
    <s v="OK"/>
    <s v="OK"/>
    <s v="Mauvais"/>
    <s v="retransmission des trames HDLC*5"/>
    <m/>
    <s v="Oussama ZEHOUANI"/>
    <m/>
    <m/>
    <m/>
    <m/>
    <m/>
    <m/>
    <m/>
  </r>
  <r>
    <n v="582"/>
    <b v="0"/>
    <x v="214"/>
    <d v="1899-12-30T22:38:52"/>
    <n v="10081"/>
    <x v="4"/>
    <x v="1"/>
    <n v="7208"/>
    <m/>
    <s v="Casa/Tanger"/>
    <n v="160.60900000000001"/>
    <x v="9"/>
    <s v="N2"/>
    <s v="Ralentissement du train"/>
    <s v="* Etat H.O : HO Non finalisé entre 327 et 228                                                                                               * qualité /niveau de signal : dl rx-qual=6, dl rx level = 56 dbm                                                         *Requête de déconnexion a été envoyée par le RBC"/>
    <m/>
    <x v="0"/>
    <s v="En attente de pousser les analyses coté Bord"/>
    <s v="HO Non finalisé entre 327 et 228"/>
    <s v="dl Rxqual=6"/>
    <s v="dl rx level= -56 dbm"/>
    <s v="OK"/>
    <s v="OK"/>
    <s v="Mauvais"/>
    <s v=" Retransmission des trames HDLC*5"/>
    <m/>
    <s v="Fahd OUSSALH"/>
    <m/>
    <m/>
    <m/>
    <m/>
    <m/>
    <m/>
    <m/>
  </r>
  <r>
    <n v="583"/>
    <b v="0"/>
    <x v="214"/>
    <d v="1899-12-30T23:06:03"/>
    <n v="1062"/>
    <x v="3"/>
    <x v="1"/>
    <n v="1007"/>
    <m/>
    <s v="Casa/Tanger"/>
    <n v="7.3810000000000002"/>
    <x v="2"/>
    <s v="N2"/>
    <s v="Ralentissement du train"/>
    <s v="* Etat H.O : HO Non finalisé entre 202 et 203                                                                                             * qualité /niveau de signal : dl rx-qual=7, dl rx level = -53 dbm                                                              *Requête de déconnexion a été envoyée par le RBC"/>
    <m/>
    <x v="0"/>
    <s v="En attente de mise en place des tiroires filtrés "/>
    <s v="HO Non finalisé entre 303 et 202"/>
    <s v="dl Rxqual=7"/>
    <s v="dl rx level= -53 dbm"/>
    <s v="NOK"/>
    <s v="OK"/>
    <s v="Mauvais"/>
    <s v="retransmission des trames HDLC*5"/>
    <m/>
    <s v="Fahd OUSSALH"/>
    <m/>
    <m/>
    <m/>
    <m/>
    <m/>
    <m/>
    <m/>
  </r>
  <r>
    <n v="584"/>
    <b v="0"/>
    <x v="214"/>
    <d v="1899-12-30T23:51:34"/>
    <n v="10092"/>
    <x v="0"/>
    <x v="1"/>
    <n v="1045"/>
    <m/>
    <s v="Casa/Tanger"/>
    <n v="71.271000000000001"/>
    <x v="0"/>
    <s v="N2"/>
    <s v="Arrêt du train"/>
    <s v="* Etat H.O : HO complet entre 314 et 313 _x000a_* qualité /niveau de signal : dl rx-qual=0, dl rx level = -48 dbm_x000a_    *Requête de déconnexion a été envoyée par le RBC"/>
    <m/>
    <x v="2"/>
    <s v="Zone sous surveillance par équipe NOC GSMR"/>
    <s v="HO Complet entre 314 et 313"/>
    <s v="dl Rxqual=0"/>
    <s v="dl rx level= -48 dbm"/>
    <s v="OK"/>
    <s v="OK"/>
    <s v="Mauvais"/>
    <s v="retransmission des trames HDLC*5"/>
    <m/>
    <s v="Fahd OUSSALH"/>
    <m/>
    <m/>
    <m/>
    <m/>
    <m/>
    <m/>
    <m/>
  </r>
  <r>
    <n v="585"/>
    <b v="0"/>
    <x v="215"/>
    <s v=" 07:09:09 "/>
    <n v="2005"/>
    <x v="5"/>
    <x v="0"/>
    <n v="1024"/>
    <m/>
    <s v="Tanger/Casa"/>
    <n v="16.29"/>
    <x v="22"/>
    <s v="N2"/>
    <s v="Ralentissement du train"/>
    <s v="* Etat H.O :HO complet entre 203 et 204  _x000a_* qualité /niveau de signal : dl rx-qual=0, dl rx level = -48 dbm_x000a_    *Requête de déconnexion a été envoyée par le RBC"/>
    <m/>
    <x v="0"/>
    <s v="En attente de mise en place des tiroires filtrés "/>
    <s v="HO complet entre 203 et 204  "/>
    <s v="dl Rxqual=0"/>
    <s v="dl rx level= -48 dbm"/>
    <s v="OK"/>
    <s v="OK"/>
    <s v="Mauvais"/>
    <s v="retransmission des trames HDLC*5"/>
    <m/>
    <s v="Noura MOUSSAOUI"/>
    <m/>
    <m/>
    <m/>
    <m/>
    <m/>
    <m/>
    <m/>
  </r>
  <r>
    <n v="586"/>
    <b v="0"/>
    <x v="215"/>
    <s v=" 10:53:41"/>
    <n v="2013"/>
    <x v="10"/>
    <x v="1"/>
    <n v="1061"/>
    <m/>
    <s v="Casa/Tanger"/>
    <n v="55.054000000000002"/>
    <x v="29"/>
    <s v="N2"/>
    <s v="Ralentissement du train"/>
    <s v="* Etat H.O :HO complet entre 311 et 310 _x000a_* qualité /niveau de signal : dl rx-qual=2, dl rx level = -57 dbm_x000a_    *Requête de déconnexion a été envoyée par le RBC"/>
    <m/>
    <x v="0"/>
    <s v="En attente de mise en place des tiroires filtrés "/>
    <s v="HO complet entre 311 et 310 "/>
    <s v="dl Rxqual=2"/>
    <s v="dl rx level= -57 dbm"/>
    <s v="OK"/>
    <s v="OK"/>
    <s v="Mauvais"/>
    <s v="retransmission des trames HDLC*5"/>
    <m/>
    <s v="Noura MOUSSAOUI"/>
    <m/>
    <m/>
    <m/>
    <m/>
    <m/>
    <m/>
    <m/>
  </r>
  <r>
    <n v="587"/>
    <b v="0"/>
    <x v="215"/>
    <s v=" 12:28:22"/>
    <n v="1022"/>
    <x v="0"/>
    <x v="1"/>
    <n v="1044"/>
    <m/>
    <s v="Casa/Tanger"/>
    <n v="187.233"/>
    <x v="5"/>
    <s v="N2"/>
    <s v="Arrêt du train"/>
    <s v="* Etat H.O : Pas de HO(Cell 233)_x000a_* qualité /niveau de signal : dl rx-qual=0, dl rx level = -51 dbm_x000a_    *Requête de déconnexion a été envoyée par le bord"/>
    <m/>
    <x v="0"/>
    <s v="Zone sous surveillance par équipe NOC GSMR"/>
    <s v=" Pas de HO (Cell 233)"/>
    <s v="dl Rxqual=0"/>
    <s v="dl rx level= -51 dbm"/>
    <s v="OK"/>
    <s v="OK"/>
    <s v="Mauvais"/>
    <s v=" Pas de Retransmission des trames HDLC"/>
    <m/>
    <s v="Noura MOUSSAOUI"/>
    <m/>
    <m/>
    <m/>
    <m/>
    <m/>
    <m/>
    <m/>
  </r>
  <r>
    <n v="588"/>
    <b v="0"/>
    <x v="215"/>
    <d v="1899-12-30T16:07:02"/>
    <n v="1034"/>
    <x v="4"/>
    <x v="1"/>
    <n v="1032"/>
    <m/>
    <s v="Casa/Tanger"/>
    <n v="7.3209999999999997"/>
    <x v="2"/>
    <s v="N2"/>
    <s v="Ralentissement du train"/>
    <s v="* Etat H.O : HO complet entre 202 et 303_x000a_* qualité /niveau de signal : dl rx-qual=0, dl rx level = -72 dbm_x000a_    *Requête de déconnexion a été envoyée par le RBC"/>
    <m/>
    <x v="0"/>
    <s v="En attente de mise en place des tiroires filtrés "/>
    <s v=" HO complet entre 202 et 303"/>
    <s v="dl Rxqual=0"/>
    <s v="dl rx level= -72 dbm"/>
    <s v="NOK"/>
    <s v="OK"/>
    <s v="Mauvais"/>
    <s v=" Retransmission des trames HDLC*5"/>
    <m/>
    <s v="LAGDEM Elmehdi"/>
    <m/>
    <m/>
    <m/>
    <m/>
    <m/>
    <m/>
    <m/>
  </r>
  <r>
    <n v="589"/>
    <b v="0"/>
    <x v="216"/>
    <d v="1899-12-30T11:50:11"/>
    <n v="1017"/>
    <x v="11"/>
    <x v="1"/>
    <n v="1072"/>
    <m/>
    <s v="Casa/Tanger"/>
    <n v="71.271000000000001"/>
    <x v="0"/>
    <s v="N2"/>
    <s v="Ralentissement du train"/>
    <s v="* Etat H.O : HO complet entre 314 et 313_x000a_* qualité /niveau de signal : dl rx-qual=0, dl rx level = -48 dbm_x000a_    *Requête de déconnexion a été envoyée par le RBC"/>
    <m/>
    <x v="0"/>
    <s v="En attente de mise en place des tiroires filtrés "/>
    <s v=" HO complet entre 314 et 313"/>
    <s v="dl Rxqual=0"/>
    <s v="dl rx level= -48 dbm"/>
    <s v="OK"/>
    <s v="OK"/>
    <s v="Mauvais"/>
    <s v=" Retransmission des trames HDLC*5"/>
    <m/>
    <s v="Noura MOUSSAOUI"/>
    <m/>
    <m/>
    <m/>
    <m/>
    <m/>
    <m/>
    <m/>
  </r>
  <r>
    <n v="590"/>
    <b v="0"/>
    <x v="216"/>
    <s v=" 13:51:10 "/>
    <n v="1025"/>
    <x v="3"/>
    <x v="1"/>
    <n v="1008"/>
    <m/>
    <s v="Casa/Tanger"/>
    <n v="67.828999999999994"/>
    <x v="0"/>
    <s v="N2"/>
    <s v="Arrêt du train"/>
    <s v="* Etat H.O : HO complet entre 313 et 312_x000a_* qualité /niveau de signal : dl rx-qual=0, dl rx level = -48 dbm_x000a_    *Requête de déconnexion a été envoyée par le RBC"/>
    <m/>
    <x v="0"/>
    <s v="En attente de mise en place des tiroires filtrés "/>
    <s v=" HO complet entre 313 et 312"/>
    <s v="dl Rxqual=0"/>
    <s v="dl rx level= -48 dbm"/>
    <s v="OK"/>
    <s v="OK"/>
    <s v="moyen"/>
    <s v=" Retransmission des trames HDLC*5"/>
    <m/>
    <s v="Noura MOUSSAOUI"/>
    <m/>
    <m/>
    <m/>
    <m/>
    <m/>
    <m/>
    <m/>
  </r>
  <r>
    <n v="591"/>
    <b v="0"/>
    <x v="216"/>
    <s v=" 17:04:47 "/>
    <n v="2045"/>
    <x v="10"/>
    <x v="0"/>
    <n v="7206"/>
    <m/>
    <s v="Tanger/Casa"/>
    <n v="6.13"/>
    <x v="2"/>
    <s v="N2"/>
    <s v="Arrêt du train"/>
    <s v="* Etat H.O : HO Non finalisé  entre 302 et 203_x000a_* qualité /niveau de signal : dl rx-qual=7, dl rx level = -54 dbm_x000a_    *Requête de déconnexion a été envoyée par le bord"/>
    <m/>
    <x v="0"/>
    <s v="En attente de mise en place des tiroires filtrés "/>
    <s v=" HO Non finalisé entre 302 et 203"/>
    <s v="dl Rxqual=7"/>
    <s v="dl rx level= -54 dbm"/>
    <s v="OK"/>
    <s v="OK"/>
    <s v="Mauvais"/>
    <s v=" Pas de Retransmission des trames HDLC"/>
    <m/>
    <s v="ELHAJOUIA Achraf"/>
    <m/>
    <m/>
    <m/>
    <m/>
    <m/>
    <m/>
    <m/>
  </r>
  <r>
    <n v="592"/>
    <b v="0"/>
    <x v="216"/>
    <s v=" 19:46:10 "/>
    <n v="1049"/>
    <x v="11"/>
    <x v="1"/>
    <n v="1072"/>
    <m/>
    <s v="Casa/Tanger"/>
    <n v="94.953999999999994"/>
    <x v="8"/>
    <s v="N2"/>
    <s v="Ralentissement du train"/>
    <s v="* Etat H.O : HO Non finalisé  entre 318 et 317_x000a_* qualité /niveau de signal : dl rx-qual=7, dl rx level = -84 dbm_x000a_    *Requête de déconnexion a été envoyée par le RBC"/>
    <m/>
    <x v="0"/>
    <s v="En attente de mise en place des tiroires filtrés "/>
    <s v=" HO Non finalisé entre 318 et 317"/>
    <s v="dl Rxqual=7"/>
    <s v="dl rx level= -84 dbm"/>
    <s v="OK"/>
    <s v="OK"/>
    <s v="Mauvais"/>
    <s v=" Retransmission des trames HDLC*5"/>
    <m/>
    <s v="ELHAJOUIA Achraf"/>
    <m/>
    <m/>
    <m/>
    <m/>
    <m/>
    <m/>
    <m/>
  </r>
  <r>
    <n v="593"/>
    <b v="0"/>
    <x v="216"/>
    <s v=" 20:05:33 "/>
    <n v="1049"/>
    <x v="11"/>
    <x v="1"/>
    <n v="1020"/>
    <m/>
    <s v="Casa/Tanger"/>
    <n v="7.3209999999999997"/>
    <x v="2"/>
    <s v="N2"/>
    <s v="Arrêt du train"/>
    <s v="* Etat H.O : HO Non finalisé  entre 303 et  202_x000a_* qualité /niveau de signal : dl rx-qual=6, dl rx level = -61 dbm_x000a_    *Requête de déconnexion a été envoyée par le bord"/>
    <m/>
    <x v="0"/>
    <s v="En attente de mise en place des tiroires filtrés "/>
    <s v=" HO Non finalisé entre 303 et 202"/>
    <s v="dl Rxqual=6"/>
    <s v="dl rx level= -61 dbm"/>
    <s v="OK"/>
    <s v="OK"/>
    <s v="Mauvais"/>
    <s v=" Retransmission des trames HDLC*5"/>
    <m/>
    <s v="ELHAJOUIA Achraf"/>
    <m/>
    <m/>
    <m/>
    <m/>
    <m/>
    <m/>
    <m/>
  </r>
  <r>
    <n v="594"/>
    <b v="0"/>
    <x v="216"/>
    <d v="1899-12-30T20:26:34"/>
    <n v="1054"/>
    <x v="3"/>
    <x v="1"/>
    <n v="1008"/>
    <m/>
    <s v="Casa/Tanger"/>
    <n v="185.47"/>
    <x v="19"/>
    <s v="N2"/>
    <s v="Ralentissement du train"/>
    <s v="* Etat H.O : HO complet  entre 332 et  331_x000a_* qualité /niveau de signal : dl rx-qual=0, dl rx level = -48 dbm_x000a_    *Requête de déconnexion a été envoyée par le RBC"/>
    <m/>
    <x v="0"/>
    <s v="En attente de mise en place des tiroires filtrés "/>
    <s v=" HO complet entre 332 et 331"/>
    <s v="dl Rxqual=0"/>
    <s v="dl rx level= -48 dbm"/>
    <s v="OK"/>
    <s v="OK"/>
    <s v="Mauvais"/>
    <s v=" Retransmission des trames HDLC*5"/>
    <m/>
    <s v="Fahd OUSSALH"/>
    <m/>
    <m/>
    <m/>
    <m/>
    <m/>
    <m/>
    <m/>
  </r>
  <r>
    <n v="595"/>
    <b v="0"/>
    <x v="216"/>
    <d v="1899-12-30T21:28:39"/>
    <n v="2061"/>
    <x v="11"/>
    <x v="0"/>
    <n v="1048"/>
    <m/>
    <s v="Tanger/Casa"/>
    <n v="109.495"/>
    <x v="1"/>
    <s v="N2"/>
    <s v="Ralentissement du train"/>
    <s v="* Etat H.O : HO Recul non finalisé entre 219 et 220_x000a_* qualité /niveau de signal : dl rx-qual=5, dl rx level = -60 dbm_x000a_    *Requête de déconnexion a été envoyée par le RBC"/>
    <m/>
    <x v="0"/>
    <s v="En attente de mise en place des tiroires filtrés "/>
    <s v=" HO complet entre 219 et 220"/>
    <s v="dl Rxqual=5"/>
    <s v="dl rx level= -60 dbm"/>
    <s v="OK"/>
    <s v="OK"/>
    <s v="Mauvais"/>
    <s v=" Retransmission des trames HDLC*5"/>
    <m/>
    <s v="Fahd OUSSALH"/>
    <m/>
    <m/>
    <m/>
    <m/>
    <m/>
    <m/>
    <m/>
  </r>
  <r>
    <n v="596"/>
    <b v="0"/>
    <x v="216"/>
    <d v="1899-12-30T21:58:24"/>
    <n v="1058"/>
    <x v="8"/>
    <x v="1"/>
    <n v="1023"/>
    <m/>
    <s v="Casa/Tanger"/>
    <n v="35.259"/>
    <x v="25"/>
    <s v="N2"/>
    <s v="Arrêt du train"/>
    <s v="* Etat H.O : HO complet  entre 308 et  307_x000a_* qualité /niveau de signal : dl rx-qual=0, dl rx level = -57 dbm_x000a_    *Requête de déconnexion a été envoyée par le RBC"/>
    <m/>
    <x v="6"/>
    <s v="En attente de pousser les analyses coté Bord/RBC"/>
    <s v=" HO complet entre 308 et 307"/>
    <s v="dl Rxqual=0"/>
    <s v="dl rx level= -57 dbm"/>
    <s v="OK"/>
    <s v="OK"/>
    <s v="Mauvais"/>
    <s v=" Retransmission des trames HDLC*5"/>
    <m/>
    <s v="Fahd OUSSALH"/>
    <m/>
    <m/>
    <m/>
    <m/>
    <m/>
    <m/>
    <m/>
  </r>
  <r>
    <n v="597"/>
    <b v="0"/>
    <x v="216"/>
    <d v="1899-12-30T21:05:50"/>
    <n v="1054"/>
    <x v="3"/>
    <x v="1"/>
    <n v="1007"/>
    <m/>
    <s v="Casa/Tanger"/>
    <n v="7.3209999999999997"/>
    <x v="2"/>
    <s v="N2"/>
    <s v="Ralentissement du train"/>
    <s v="* Etat H.O : HO complet  entre 303 et  202_x000a_* qualité /niveau de signal : dl rx-qual=7, dl rx level = -57 dbm_x000a_    *Requête de déconnexion a été envoyée par le RBC"/>
    <m/>
    <x v="0"/>
    <s v="En attente de mise en place des tiroires filtrés "/>
    <s v=" HO complet entre 303 et 202"/>
    <s v="dl Rxqual=7"/>
    <s v="dl rx level= -57 dbm"/>
    <s v="OK"/>
    <s v="OK"/>
    <s v="Mauvais"/>
    <s v=" Retransmission des trames HDLC*5"/>
    <m/>
    <s v="Fahd OUSSALH"/>
    <m/>
    <m/>
    <m/>
    <m/>
    <m/>
    <m/>
    <m/>
  </r>
  <r>
    <n v="598"/>
    <b v="0"/>
    <x v="217"/>
    <s v=" 07:45:58 "/>
    <n v="1001"/>
    <x v="10"/>
    <x v="1"/>
    <n v="1061"/>
    <m/>
    <s v="Casa/Tanger"/>
    <n v="94.953999999999994"/>
    <x v="8"/>
    <s v="N2"/>
    <s v="Ralentissement du train"/>
    <s v="* Etat H.O : HO Non finalisé entre 318 et 317_x000a_* qualité /niveau de signal : dl rx-qual=7, dl rx level = - 80 dbm_x000a_    *Requête de déconnexion a été envoyée par le RBC"/>
    <m/>
    <x v="0"/>
    <s v="chaine antennaire dégradé "/>
    <s v=" HO Non finalisé entre 318 et 317"/>
    <s v="dl Rxqual=7"/>
    <s v="dl rx level= -80dbm"/>
    <s v="OK"/>
    <s v="OK"/>
    <s v="Mauvais"/>
    <s v=" Retransmission des trames HDLC*5"/>
    <m/>
    <s v="Noura MOUSSAOUI"/>
    <m/>
    <m/>
    <m/>
    <m/>
    <m/>
    <m/>
    <m/>
  </r>
  <r>
    <n v="599"/>
    <b v="0"/>
    <x v="217"/>
    <d v="1899-12-30T12:20:08"/>
    <n v="2025"/>
    <x v="5"/>
    <x v="0"/>
    <n v="1024"/>
    <m/>
    <s v="Tanger/Casa"/>
    <n v="68.956000000000003"/>
    <x v="0"/>
    <s v="N2"/>
    <s v="Arrêt du train"/>
    <s v="* Etat H.O : HO Complet entre 212 et 213_x000a_* qualité /niveau de signal : dl rx-qual=0, dl rx level = -48 dbm_x000a_    *Requête de déconnexion a été envoyée par le RBC"/>
    <m/>
    <x v="0"/>
    <s v="Zone sous surveillance par équipe NOC GSMR"/>
    <s v=" HO Complet entre 212 et 213"/>
    <s v="dl Rxqual=0"/>
    <s v="dl rx level= -48 dbm"/>
    <s v="OK"/>
    <s v="OK"/>
    <s v="Mauvais"/>
    <s v=" Retransmission des trames HDLC*5"/>
    <m/>
    <s v="Noura MOUSSAOUI"/>
    <m/>
    <m/>
    <m/>
    <m/>
    <m/>
    <m/>
    <m/>
  </r>
  <r>
    <n v="600"/>
    <b v="0"/>
    <x v="217"/>
    <d v="1899-12-30T20:02:05"/>
    <n v="1049"/>
    <x v="8"/>
    <x v="1"/>
    <n v="1023"/>
    <m/>
    <s v="Casa/Tanger"/>
    <n v="26.739000000000001"/>
    <x v="7"/>
    <s v="N2"/>
    <s v="Arrêt du train"/>
    <s v="* Etat H.O : HO Non finalisé entre 207 et 305 (saute cellule)_x000a_* qualité /niveau de signal : dl rx-qual=7, dl rx level = - 89 dbm_x000a_    *Requête de déconnexion a été envoyée par le bord"/>
    <m/>
    <x v="0"/>
    <s v="En attente de mise en place des tiroires filtrés "/>
    <s v=" HO Non finalisé entre 207 et 305"/>
    <s v="dl Rxqual=7"/>
    <s v="dl rx level= -89 dbm"/>
    <s v="OK"/>
    <s v="OK"/>
    <s v="Mauvais"/>
    <s v=" Retransmission des trames HDLC*5"/>
    <m/>
    <s v="ELHAJOUIA Achraf"/>
    <m/>
    <m/>
    <m/>
    <m/>
    <m/>
    <m/>
    <m/>
  </r>
  <r>
    <n v="601"/>
    <b v="0"/>
    <x v="218"/>
    <d v="1899-12-30T08:39:46"/>
    <n v="1005"/>
    <x v="7"/>
    <x v="1"/>
    <n v="1041"/>
    <m/>
    <s v="Casa/Tanger"/>
    <n v="129.18"/>
    <x v="10"/>
    <s v="N2"/>
    <s v="Ralentissement du train"/>
    <s v="* Etat H.O :HO Complet entre 324 et 323_x000a_* qualité /niveau de signal : dl rx-qual=0, dl rx level = - 51 dbm_x000a_    *Requête de déconnexion a été envoyée par le RBC"/>
    <m/>
    <x v="0"/>
    <s v="En attente de mise en place des tiroires filtrés "/>
    <s v="HO Complet entre 324 et 323"/>
    <s v="dl Rxqual=0"/>
    <s v="dl rx level= -51 dbm"/>
    <s v="OK"/>
    <s v="OK"/>
    <s v="Mauvais"/>
    <s v=" Retransmission des trames HDLC*5"/>
    <m/>
    <s v="Noura MOUSSAOUI"/>
    <m/>
    <m/>
    <m/>
    <m/>
    <m/>
    <m/>
    <m/>
  </r>
  <r>
    <n v="602"/>
    <b v="0"/>
    <x v="218"/>
    <s v="09:35:15 "/>
    <n v="2013"/>
    <x v="8"/>
    <x v="0"/>
    <n v="1042"/>
    <m/>
    <s v="Tanger/Casa"/>
    <n v="144.32599999999999"/>
    <x v="3"/>
    <s v="N2"/>
    <s v="Ralentissement du train"/>
    <s v="* Etat H.O :HO Complet entre 324 et 225_x000a_* qualité /niveau de signal : dl rx-qual=0, dl rx level = -59 dbm_x000a_    *Requête de déconnexion a été envoyée par le RBC"/>
    <m/>
    <x v="0"/>
    <s v="En attente de mise en place des tiroires filtrés "/>
    <s v="HO Complet entre 324 et 225"/>
    <s v="dl Rxqual=0"/>
    <s v="dl rx level= -59 dbm"/>
    <s v="OK"/>
    <s v="OK"/>
    <s v="Mauvais"/>
    <s v=" Retransmission des trames HDLC*5"/>
    <m/>
    <s v="Noura MOUSSAOUI"/>
    <m/>
    <m/>
    <m/>
    <m/>
    <m/>
    <m/>
    <m/>
  </r>
  <r>
    <n v="603"/>
    <b v="0"/>
    <x v="218"/>
    <d v="1899-12-30T10:08:40"/>
    <n v="2017"/>
    <x v="7"/>
    <x v="0"/>
    <n v="1055"/>
    <m/>
    <s v="Tanger/Casa"/>
    <n v="16.29"/>
    <x v="22"/>
    <s v="N2"/>
    <s v="Ralentissement du train"/>
    <s v="* Etat H.O :HO Complet entre 203 et 204_x000a_* qualité /niveau de signal : dl rx-qual=0, dl rx level = -48 dbm_x000a_    *Requête de déconnexion a été envoyée par le RBC"/>
    <m/>
    <x v="0"/>
    <s v="En attente de mise en place des tiroires filtrés "/>
    <s v="HO Complet entre 203 et 204"/>
    <s v="dl Rxqual=0"/>
    <s v="dl rx level= -48 dbm"/>
    <s v="OK"/>
    <s v="OK"/>
    <s v="Mauvais"/>
    <s v=" Retransmission des trames HDLC*5"/>
    <m/>
    <s v="Noura MOUSSAOUI"/>
    <m/>
    <m/>
    <m/>
    <m/>
    <m/>
    <m/>
    <m/>
  </r>
  <r>
    <n v="604"/>
    <b v="0"/>
    <x v="218"/>
    <d v="1899-12-30T20:41:47"/>
    <n v="2057"/>
    <x v="0"/>
    <x v="0"/>
    <n v="1037"/>
    <m/>
    <s v="Tanger/Casa"/>
    <n v="172.83600000000001"/>
    <x v="27"/>
    <s v="N2"/>
    <s v="Ralentissement du train"/>
    <s v="* Etat H.O :HO Non finalisé entre 229 et 230_x000a_* qualité /niveau de signal : dl rx-qual=1, dl rx level = -64 dbm_x000a_    *Requête de déconnexion a été envoyée par le RBC"/>
    <m/>
    <x v="0"/>
    <s v="En attente de mise en place des tiroires filtrés "/>
    <s v=" HO Non finalisé entre 229 et 230"/>
    <s v="dl Rxqual=1"/>
    <s v="dl rx level= -64 dbm"/>
    <s v="NOK"/>
    <s v="OK"/>
    <s v="Mauvais"/>
    <s v=" Retransmission des trames HDLC*5"/>
    <m/>
    <s v="ELHAJOUIA Achraf"/>
    <m/>
    <m/>
    <m/>
    <m/>
    <m/>
    <m/>
    <m/>
  </r>
  <r>
    <n v="605"/>
    <b v="0"/>
    <x v="218"/>
    <d v="1899-12-30T22:56:30"/>
    <n v="1262"/>
    <x v="2"/>
    <x v="1"/>
    <n v="1061"/>
    <m/>
    <s v="Casa/Tanger"/>
    <n v="39.215000000000003"/>
    <x v="14"/>
    <s v="N2"/>
    <s v="Ralentissement du train"/>
    <s v="* Etat H.O :HO Complet entre 308 et 307_x000a_* qualité /niveau de signal : dl rx-qual=0, dl rx level = -55 dbm_x000a_    *Requête de déconnexion a été envoyée par le RBC"/>
    <m/>
    <x v="0"/>
    <s v="En attente de mise en place des tiroires filtrés "/>
    <s v="HO Complet entre 308 et 307"/>
    <s v="dl Rxqual=0"/>
    <s v="dl rx level= -55 dbm"/>
    <s v="OK"/>
    <s v="OK"/>
    <s v="Mauvais"/>
    <s v=" Retransmission des trames HDLC*5"/>
    <m/>
    <s v="HARIRI Bahaeddine"/>
    <m/>
    <m/>
    <m/>
    <m/>
    <m/>
    <m/>
    <m/>
  </r>
  <r>
    <n v="606"/>
    <b v="0"/>
    <x v="219"/>
    <d v="1899-12-30T23:56:30"/>
    <n v="1262"/>
    <x v="11"/>
    <x v="0"/>
    <n v="1048"/>
    <m/>
    <s v="Tanger/Casa"/>
    <n v="6.13"/>
    <x v="2"/>
    <s v="N2"/>
    <s v="Arrêt du train"/>
    <s v="* Etat H.O : HO Non finalisé  entre 202 et 203  _x000a_* qualité /niveau de signal : dl rx-qual=7, dl rx level = -110 dbm_x000a_* Retransmission des trames HDLC*5_x000a_* Communication SOL-Bord : OK_x000a_* Voisinage: OK_x000a__x000a_"/>
    <m/>
    <x v="0"/>
    <s v="En attente de mise en place des tiroires filtrés "/>
    <s v=" HO Non finalisé  entre 202 et 203 "/>
    <s v="dl Rxqual=7"/>
    <s v="dl rx level= - 110  dbm"/>
    <s v="OK"/>
    <s v="OK"/>
    <s v="Mauvais"/>
    <s v=" Retransmission des trames HDLC*5"/>
    <m/>
    <s v="Oussama ZEHOUANI"/>
    <m/>
    <m/>
    <m/>
    <m/>
    <m/>
    <m/>
    <m/>
  </r>
  <r>
    <n v="607"/>
    <b v="0"/>
    <x v="220"/>
    <d v="1899-12-30T10:58:26"/>
    <n v="1013"/>
    <x v="3"/>
    <x v="1"/>
    <n v="1008"/>
    <m/>
    <s v="Casa/Tanger"/>
    <n v="31.350999999999999"/>
    <x v="25"/>
    <s v="N2"/>
    <s v="Ralentissement du train"/>
    <s v="* Etat H.O : HO finalisé entre 307 et 306_x000a_* qualité /niveau de signal : dl rx-qual=0, dl rx level = -48 dbm_x000a_* Retransmission des trames HDLC*5_x000a_* Communication SOL-Bord : NOK_x000a_* Voisinage: OK_x000a__x000a_"/>
    <m/>
    <x v="6"/>
    <s v="Zone sous surveillance par équipe NOC GSMR"/>
    <s v=" HO finalisé entre 307 et 306"/>
    <s v="dl Rxqual=0"/>
    <s v="dl rx level= - 48  dbm"/>
    <s v="OK"/>
    <s v="NOK"/>
    <s v="Mauvais"/>
    <s v=" Retransmission des trames HDLC*5"/>
    <m/>
    <s v="Saad Elhabib"/>
    <m/>
    <m/>
    <m/>
    <m/>
    <m/>
    <m/>
    <m/>
  </r>
  <r>
    <n v="608"/>
    <b v="0"/>
    <x v="220"/>
    <d v="1899-12-30T18:26:30"/>
    <n v="2049"/>
    <x v="3"/>
    <x v="0"/>
    <n v="1046"/>
    <m/>
    <s v="Tanger/Casa"/>
    <n v="101.587"/>
    <x v="24"/>
    <s v="N2"/>
    <s v="Ralentissement du train"/>
    <s v="* Etat H.O :HO Complet entre 317 et 318_x000a_* qualité /niveau de signal : dl rx-qual=0, dl rx level = -51 dbm_x000a_    *Requête de déconnexion a été envoyée par le RBC"/>
    <m/>
    <x v="0"/>
    <s v="En attente de mise en place des tiroires filtrés "/>
    <s v=" HO finalisé entre 317 et 318"/>
    <s v="dl Rxqual=0"/>
    <s v="dl rx level= - 51  dbm"/>
    <s v="OK"/>
    <s v="OK"/>
    <s v="Mauvais"/>
    <s v=" Retransmission des trames HDLC*5"/>
    <m/>
    <s v="HARIRI Bahaeddine"/>
    <m/>
    <m/>
    <m/>
    <m/>
    <m/>
    <m/>
    <m/>
  </r>
  <r>
    <n v="609"/>
    <b v="0"/>
    <x v="220"/>
    <d v="1899-12-30T21:33:13"/>
    <n v="1058"/>
    <x v="0"/>
    <x v="1"/>
    <n v="1046"/>
    <m/>
    <s v="Casa/Tanger"/>
    <n v="182.86500000000001"/>
    <x v="31"/>
    <s v="N2"/>
    <s v="Ralentissement du train"/>
    <s v="* Etat H.O :HO Complet entre 332 et 331_x000a_* qualité /niveau de signal : dl rx-qual=0, dl rx level = -48 dbm_x000a_    *Requête de déconnexion a été envoyée par le RBC"/>
    <m/>
    <x v="0"/>
    <s v="En attente de mise en place des tiroires filtrés "/>
    <s v=" HO finalisé entre 332 et 331"/>
    <s v="dl Rxqual=0"/>
    <s v="dl rx level= - 48  dbm"/>
    <s v="OK"/>
    <s v="OK"/>
    <s v="Mauvais"/>
    <s v=" Retransmission des trames HDLC*5"/>
    <m/>
    <s v="HARIRI Bahaeddine"/>
    <m/>
    <m/>
    <m/>
    <m/>
    <m/>
    <m/>
    <m/>
  </r>
  <r>
    <n v="610"/>
    <b v="0"/>
    <x v="221"/>
    <d v="1899-12-30T07:46:05"/>
    <n v="1001"/>
    <x v="7"/>
    <x v="1"/>
    <n v="1041"/>
    <m/>
    <s v="Casa/Tanger"/>
    <n v="94.953999999999994"/>
    <x v="8"/>
    <s v="N2"/>
    <s v="Ralentissement du train"/>
    <s v="* Etat H.O :HO non finalisé entre 318 et 317_x000a_* qualité /niveau de signal : dl rx-qual=7, dl rx level = -85 dbm_x000a_    *Requête de déconnexion a été envoyée par le RBC"/>
    <m/>
    <x v="1"/>
    <s v="Zone sous surveillance par équipe NOC GSMR"/>
    <s v=" HO Non finalisé  entre 318 et 317 "/>
    <s v="dl Rxqual=7"/>
    <s v="dl rx level= - 85  dbm"/>
    <s v="OK"/>
    <s v="OK"/>
    <s v="Mauvais"/>
    <s v=" Retransmission des trames HDLC*5"/>
    <m/>
    <s v="Noura MOUSSAOUI"/>
    <m/>
    <m/>
    <m/>
    <m/>
    <m/>
    <m/>
    <m/>
  </r>
  <r>
    <n v="611"/>
    <b v="0"/>
    <x v="221"/>
    <d v="1899-12-30T12:30:59"/>
    <n v="1021"/>
    <x v="9"/>
    <x v="1"/>
    <n v="1030"/>
    <m/>
    <s v="Casa/Tanger"/>
    <n v="166.529"/>
    <x v="28"/>
    <s v="N2"/>
    <s v="Ralentissement du train"/>
    <s v="* Etat H.O :HO Complet entre 330 et 329_x000a_* qualité /niveau de signal : dl rx-qual=5, dl rx level = -68 dbm_x000a_    *Requête de déconnexion a été envoyée par le RBC"/>
    <m/>
    <x v="0"/>
    <s v="En attente de mise en place des tiroires filtrés "/>
    <s v=" HO finalisé entre 330 et 329"/>
    <s v="dl Rxqual=5"/>
    <s v="dl rx level= - 68  dbm"/>
    <s v="OK"/>
    <s v="OK"/>
    <s v="Mauvais"/>
    <s v=" Retransmission des trames HDLC*5"/>
    <m/>
    <s v="HAMZAOUI Youssef"/>
    <m/>
    <m/>
    <m/>
    <m/>
    <m/>
    <m/>
    <m/>
  </r>
  <r>
    <n v="612"/>
    <b v="0"/>
    <x v="221"/>
    <d v="1899-12-30T12:42:39"/>
    <n v="1022"/>
    <x v="9"/>
    <x v="1"/>
    <n v="1031"/>
    <m/>
    <s v="Casa/Tanger"/>
    <n v="114.607"/>
    <x v="17"/>
    <s v="N2"/>
    <s v="Ralentissement du train"/>
    <s v="* Etat H.O :HO Complet entre 320 et 321_x000a_* qualité /niveau de signal : dl rx-qual=0, dl rx level = -60 dbm_x000a_    *Requête de déconnexion a été envoyée par le RBC"/>
    <m/>
    <x v="2"/>
    <s v="Zone sous surveillance par équipe NOC GSMR"/>
    <s v=" HO finalisé entre 320 et 321"/>
    <s v="dl Rxqual=0"/>
    <s v="dl rx level= - 60  dbm"/>
    <s v="OK"/>
    <s v="OK"/>
    <s v="Mauvais"/>
    <s v=" Retransmission des trames HDLC*5"/>
    <m/>
    <s v="HAMZAOUI Youssef"/>
    <m/>
    <m/>
    <m/>
    <m/>
    <m/>
    <m/>
    <m/>
  </r>
  <r>
    <n v="613"/>
    <b v="0"/>
    <x v="221"/>
    <s v="17 :05 :31"/>
    <n v="2045"/>
    <x v="2"/>
    <x v="0"/>
    <s v=" 7217"/>
    <m/>
    <s v="Tanger/Casa"/>
    <n v="7.3810000000000002"/>
    <x v="2"/>
    <s v="N2"/>
    <s v="Arrêt du train"/>
    <s v="* Etat H.O :HO Non Finalisé entre 202 et 303_x000a_* qualité /niveau de signal : dl rx-qual=6, dl rx level = -51 dbm_x000a_    *Requête de déconnexion a été envoyée par le Bord"/>
    <m/>
    <x v="0"/>
    <s v="En attente de mise en place des tiroires filtrés "/>
    <s v="HO Non Finalisé entre 202 et 303"/>
    <s v="dl Rxqual=6"/>
    <s v="dl rx level= - 51  dbm"/>
    <s v="OK"/>
    <s v="NOK"/>
    <s v="Mauvais"/>
    <s v=" Pas de Retransmission des trames HDLC"/>
    <m/>
    <s v="Noura MOUSSAOUI"/>
    <m/>
    <m/>
    <m/>
    <m/>
    <m/>
    <m/>
    <m/>
  </r>
  <r>
    <n v="614"/>
    <b v="0"/>
    <x v="221"/>
    <d v="1899-12-30T17:11:45"/>
    <n v="2045"/>
    <x v="2"/>
    <x v="0"/>
    <n v="7218"/>
    <m/>
    <s v="Tanger/Casa"/>
    <n v="13.712999999999999"/>
    <x v="22"/>
    <s v="N2"/>
    <s v="Ralentissement du train"/>
    <s v="* Etat H.O :HO Complet entre 203 et 204_x000a_* qualité /niveau de signal : Absence des mesures radio_x000a_    *Requête de déconnexion a été envoyée par le RBC"/>
    <m/>
    <x v="0"/>
    <s v="En attente de mise en place des tiroires filtrés "/>
    <s v=" HO finalisé entre 203 et 204"/>
    <s v="dl Rxqual="/>
    <s v="dl rx level= "/>
    <s v="OK"/>
    <s v="OK"/>
    <s v="Mauvais"/>
    <s v=" Retransmission des trames HDLC*5"/>
    <m/>
    <s v="HARIRI Bahaeddine"/>
    <m/>
    <m/>
    <m/>
    <m/>
    <m/>
    <m/>
    <m/>
  </r>
  <r>
    <n v="615"/>
    <b v="0"/>
    <x v="222"/>
    <s v="08:46:31 "/>
    <s v="2009 "/>
    <x v="3"/>
    <x v="0"/>
    <n v="1046"/>
    <m/>
    <s v="Tanger/Casa"/>
    <n v="186.315"/>
    <x v="19"/>
    <s v="N2"/>
    <s v="Ralentissement du train"/>
    <s v="* Etat H.O : HO Non finalisé entre 232 et 233_x000a_* qualité /niveau de signal : dl rx-qual=0, dl rx level = -62 dbm_x000a_    *Requête de déconnexion a été envoyée par le RBC"/>
    <m/>
    <x v="2"/>
    <s v="En attente de mise en place des tiroires filtrés "/>
    <s v="HO Non finalisé entre 232 et 233"/>
    <s v="dl Rxqual=0"/>
    <s v="dl rx level= -62"/>
    <s v="NOK"/>
    <s v="OK"/>
    <s v="Mauvais"/>
    <s v=" Retransmission des trames HDLC*5"/>
    <m/>
    <s v="Noura MOUSSAOUI"/>
    <m/>
    <m/>
    <m/>
    <m/>
    <m/>
    <m/>
    <m/>
  </r>
  <r>
    <n v="616"/>
    <b v="0"/>
    <x v="222"/>
    <s v="13:05:08 "/>
    <n v="1021"/>
    <x v="3"/>
    <x v="1"/>
    <n v="1007"/>
    <m/>
    <s v="Casa/Tanger"/>
    <n v="7.3209999999999997"/>
    <x v="2"/>
    <s v="N2"/>
    <s v="Ralentissement du train"/>
    <s v="* Etat H.O : HO Non finalisé entre 202 et 203_x000a_* qualité /niveau de signal : dl rx-qual=6, dl rx level = -52 dbm_x000a_    *Requête de déconnexion a été envoyée par le RBC"/>
    <m/>
    <x v="0"/>
    <s v="En attente de mise en place des tiroires filtrés "/>
    <s v="HO Non finalisé entre 202 et 203"/>
    <s v="dl Rxqual=6"/>
    <s v="dl rx level= -52"/>
    <s v="NOK"/>
    <s v="OK"/>
    <s v="Mauvais"/>
    <s v=" Retransmission des trames HDLC*5"/>
    <m/>
    <s v="Noura MOUSSAOUI"/>
    <m/>
    <m/>
    <m/>
    <m/>
    <m/>
    <m/>
    <m/>
  </r>
  <r>
    <n v="617"/>
    <b v="0"/>
    <x v="222"/>
    <s v="18:03:52 "/>
    <n v="2049"/>
    <x v="4"/>
    <x v="0"/>
    <n v="1058"/>
    <m/>
    <s v="Tanger/Casa"/>
    <n v="4"/>
    <x v="2"/>
    <s v="N2"/>
    <s v="Arrêt du train"/>
    <s v="* Etat H.O : HO finalisé entre 201 et 202_x000a_* qualité /niveau de signal : dl rx-qual=0, dl rx level = -48 dbm_x000a_    *Requête de déconnexion a été envoyée par le RBC"/>
    <m/>
    <x v="0"/>
    <s v="En attente de mise en place des tiroires filtrés "/>
    <s v="HO finalisé entre 202 et 203"/>
    <s v="dl Rxqual=0"/>
    <s v="dl rx level= -48"/>
    <s v="NOK"/>
    <s v="OK"/>
    <s v="Mauvais"/>
    <s v=" Retransmission des trames HDLC*5"/>
    <m/>
    <s v="MAROUANI Otmane"/>
    <m/>
    <m/>
    <m/>
    <m/>
    <m/>
    <m/>
    <m/>
  </r>
  <r>
    <n v="618"/>
    <b v="0"/>
    <x v="223"/>
    <d v="1899-12-30T04:37:30"/>
    <n v="2081"/>
    <x v="1"/>
    <x v="0"/>
    <n v="1029"/>
    <m/>
    <s v="Tanger/Casa"/>
    <n v="85.888000000000005"/>
    <x v="12"/>
    <s v="N2"/>
    <s v="Ralentissement du train"/>
    <s v="* Etat H.O : HO complet entre 215 et 216_x000a_* qualité /niveau de signal : dl rx-qual=0, dl rx level = -48 dbm_x000a_    *Requête de déconnexion a été envoyée par le RBC"/>
    <m/>
    <x v="0"/>
    <s v="En attente de mise en place des tiroires filtrés "/>
    <s v="HO complet entre 215 et 216"/>
    <s v="dl Rxqual=0"/>
    <s v="dl rx level= -48"/>
    <s v="OK"/>
    <s v="OK"/>
    <s v="Mauvais"/>
    <s v=" Retransmission des trames HDLC*5"/>
    <m/>
    <s v="HARIRI Bahaeddine"/>
    <m/>
    <m/>
    <m/>
    <m/>
    <m/>
    <m/>
    <m/>
  </r>
  <r>
    <n v="619"/>
    <b v="0"/>
    <x v="223"/>
    <s v="13:06:46 "/>
    <n v="1022"/>
    <x v="1"/>
    <x v="1"/>
    <n v="3062"/>
    <m/>
    <s v="Casa/Tanger"/>
    <n v="7.3209999999999997"/>
    <x v="2"/>
    <s v="N2"/>
    <s v="Ralentissement du train"/>
    <s v="* Etat H.O :  HO Non finalisé entre 302 et 203_x000a_* qualité /niveau de signal : dl rx-qual=6, dl rx level = -52 dbm_x000a_    *Requête de déconnexion a été envoyée par le bord"/>
    <m/>
    <x v="0"/>
    <s v="En attente de mise en place des tiroires filtrés "/>
    <s v="HO Non finalisé entre 302 et 203"/>
    <s v="dl Rxqual=6"/>
    <s v="dl rx level= -52"/>
    <s v="OK"/>
    <s v="OK"/>
    <s v="Mauvais"/>
    <s v=" Pas de Retransmission des trames HDLC"/>
    <m/>
    <s v="Noura MOUSSAOUI"/>
    <m/>
    <m/>
    <m/>
    <m/>
    <m/>
    <m/>
    <m/>
  </r>
  <r>
    <n v="620"/>
    <b v="0"/>
    <x v="223"/>
    <d v="1899-12-30T19:05:02"/>
    <n v="2053"/>
    <x v="10"/>
    <x v="0"/>
    <n v="7206"/>
    <m/>
    <s v="Tanger/Casa"/>
    <n v="6.13"/>
    <x v="2"/>
    <s v="N2"/>
    <s v="Arrêt du train"/>
    <s v="* Etat H.O : HO non complet entre 202 et 203_x000a_* qualité /niveau de signal : dl rx-qual=7, dl rx level = -54 dbm_x000a_    *Requête de déconnexion a été envoyée par le RBC"/>
    <m/>
    <x v="0"/>
    <s v="En attente de mise en place des tiroires filtrés "/>
    <s v="HO complet entre 202 et 203"/>
    <s v="dl Rxqual=7"/>
    <s v="dl rx level= -54"/>
    <s v="NOK"/>
    <s v="OK"/>
    <s v="Mauvais"/>
    <s v=" Retransmission des trames HDLC*5"/>
    <m/>
    <s v="ELGUEZZAR Anas"/>
    <m/>
    <m/>
    <m/>
    <m/>
    <m/>
    <m/>
    <m/>
  </r>
  <r>
    <n v="621"/>
    <b v="0"/>
    <x v="224"/>
    <d v="1899-12-30T07:38:52"/>
    <n v="2005"/>
    <x v="7"/>
    <x v="0"/>
    <n v="1055"/>
    <m/>
    <s v="Tanger/Casa"/>
    <n v="161.72200000000001"/>
    <x v="9"/>
    <s v="N2"/>
    <s v="Ralentissement du train"/>
    <s v="* Etat H.O : HO Non finalisé entre 227 et 228_x000a_* qualité /niveau de signal : dl rx-qual=0, dl rx level = -66 dbm_x000a_    *Requête de déconnexion a été envoyée par le RBC"/>
    <m/>
    <x v="0"/>
    <s v="En attente de mise en place des tiroires filtrés "/>
    <s v="HO Non finalisé entre 227 et 228"/>
    <s v="dl Rxqual=0"/>
    <s v="dl rx level= -66"/>
    <s v="NOK"/>
    <s v="OK"/>
    <s v="Mauvais"/>
    <s v=" Retransmission des trames HDLC*5"/>
    <m/>
    <s v="ELHAJOUIA Achraf"/>
    <m/>
    <m/>
    <m/>
    <m/>
    <m/>
    <m/>
    <m/>
  </r>
  <r>
    <n v="622"/>
    <b v="0"/>
    <x v="224"/>
    <d v="1899-12-30T12:05:16"/>
    <n v="1018"/>
    <x v="7"/>
    <x v="1"/>
    <n v="1041"/>
    <m/>
    <s v="Casa/Tanger"/>
    <n v="7.3209999999999997"/>
    <x v="2"/>
    <s v="N2"/>
    <s v="Ralentissement du train"/>
    <s v="* Etat H.O : HO Complet entre 202 et 203_x000a_* qualité /niveau de signal : dl rx-qual=0, dl rx level = -77dbm_x000a_    *Requête de déconnexion a été envoyée par le RBC"/>
    <m/>
    <x v="0"/>
    <s v="En attente de mise en place des tiroires filtrés "/>
    <s v="HO complet entre 202 et 203"/>
    <s v="dl Rxqual=0"/>
    <s v="dl rx level= -77"/>
    <s v="OK"/>
    <s v="OK"/>
    <s v="Mauvais"/>
    <s v=" Retransmission des trames HDLC*5"/>
    <m/>
    <s v="Noura MOUSSAOUI"/>
    <m/>
    <m/>
    <m/>
    <m/>
    <m/>
    <m/>
    <m/>
  </r>
  <r>
    <n v="623"/>
    <b v="0"/>
    <x v="224"/>
    <d v="1899-12-30T21:11:16"/>
    <n v="1053"/>
    <x v="7"/>
    <x v="1"/>
    <n v="1040"/>
    <m/>
    <s v="Casa/Tanger"/>
    <n v="7.3209999999999997"/>
    <x v="2"/>
    <s v="N2"/>
    <s v="Arrêt du train"/>
    <s v="* Etat H.O : HO non finalisé entre 202 et 303_x000a_* qualité /niveau de signal : dl rx-qual=6, dl rx level = -53 dbm_x000a_*Requête de déconnexion a été envoyée par le RBC"/>
    <m/>
    <x v="0"/>
    <s v="En attente de mise en place des tiroires filtrés "/>
    <s v="HO Non finalisé entre 202 et 303"/>
    <s v="dl Rxqual=6"/>
    <s v="dl rx level= -53"/>
    <s v="NOK"/>
    <s v="OK"/>
    <s v="Mauvais"/>
    <s v=" Retransmission des trames HDLC*5"/>
    <m/>
    <s v="Saad Elhabib"/>
    <m/>
    <m/>
    <m/>
    <m/>
    <m/>
    <m/>
    <m/>
  </r>
  <r>
    <n v="624"/>
    <b v="0"/>
    <x v="224"/>
    <d v="1899-12-30T22:25:29"/>
    <n v="1062"/>
    <x v="3"/>
    <x v="1"/>
    <n v="1007"/>
    <m/>
    <s v="Casa/Tanger"/>
    <n v="198.98400000000001"/>
    <x v="5"/>
    <s v="N2"/>
    <s v="Arrêt du train"/>
    <s v="* Etat H.O : HO non finalisé entre RAC et 333_x000a_* qualité /niveau de signal : dl rx-qual=7, dl rx level = -70 dbm_x000a_*Requête de déconnexion a été envoyée par le Bord"/>
    <m/>
    <x v="1"/>
    <s v="Zone sous surveillance par équipe NOC GSMR"/>
    <s v="HO non finalisé entre RAC et 333"/>
    <s v="dl Rxqual=7"/>
    <s v="dl rx level= -70"/>
    <s v="OK"/>
    <s v="OK"/>
    <s v="Mauvais"/>
    <s v=" Retransmission des trames HDLC*5"/>
    <m/>
    <s v="Saad Elhabib"/>
    <m/>
    <m/>
    <m/>
    <m/>
    <m/>
    <m/>
    <m/>
  </r>
  <r>
    <n v="625"/>
    <b v="0"/>
    <x v="225"/>
    <d v="1899-12-30T07:44:22"/>
    <n v="1001"/>
    <x v="0"/>
    <x v="1"/>
    <n v="1045"/>
    <m/>
    <s v="Casa/Tanger"/>
    <n v="104.253"/>
    <x v="24"/>
    <s v="N2"/>
    <s v="Ralentissement du train"/>
    <s v="* Etat H.O : HO non finalisé entre 319 et 318_x000a_* qualité /niveau de signal : dl rx-qual=0, dl rx level = -62dbm_x000a_*Requête de déconnexion a été envoyée par le RBC"/>
    <m/>
    <x v="0"/>
    <s v="En attente de mise en place des tiroires filtrés "/>
    <s v="HO non finalisé entre 319 et 318"/>
    <s v="dl Rxqual=0"/>
    <s v="dl rx level= -62"/>
    <s v="NOK"/>
    <s v="OK"/>
    <s v="Mauvais"/>
    <s v=" Retransmission des trames HDLC*5"/>
    <m/>
    <s v="Noura MOUSSAOUI"/>
    <m/>
    <m/>
    <m/>
    <m/>
    <m/>
    <m/>
    <m/>
  </r>
  <r>
    <n v="626"/>
    <b v="0"/>
    <x v="225"/>
    <d v="1899-12-30T08:29:41"/>
    <n v="1005"/>
    <x v="9"/>
    <x v="1"/>
    <n v="1030"/>
    <m/>
    <s v="Casa/Tanger"/>
    <n v="177.85"/>
    <x v="4"/>
    <s v="N2"/>
    <s v="Ralentissement du train"/>
    <s v="* Etat H.O : HO Complet entre 231 et 229 (saute cellule)_x000a_* qualité /niveau de signal : dl rx-qual=0, dl rx level = -66dbm_x000a_*Requête de déconnexion a été envoyée par le RBC"/>
    <m/>
    <x v="0"/>
    <s v="En attente de mise en place des tiroires filtrés "/>
    <s v=" HO Complet entre 231 et 229"/>
    <s v="dl Rxqual=0"/>
    <s v="dl rx level= -66"/>
    <s v="OK"/>
    <s v="OK"/>
    <s v="Mauvais"/>
    <s v=" Retransmission des trames HDLC*5"/>
    <m/>
    <s v="Noura MOUSSAOUI"/>
    <m/>
    <m/>
    <m/>
    <m/>
    <m/>
    <m/>
    <m/>
  </r>
  <r>
    <n v="627"/>
    <b v="0"/>
    <x v="225"/>
    <d v="1899-12-30T20:24:57"/>
    <n v="1053"/>
    <x v="0"/>
    <x v="1"/>
    <n v="1044"/>
    <m/>
    <s v="Casa/Tanger"/>
    <n v="199.292"/>
    <x v="5"/>
    <s v="N2"/>
    <s v="Arrêt du train"/>
    <s v="*  Etat H.O : HO finalisé entre 234 et 233_x000a_* qualité /niveau de signal : dl rx-qual=0, dl rx level = -48 dbm_x000a_*Requête de déconnexion a été envoyée par le RBC"/>
    <m/>
    <x v="0"/>
    <s v="En attente de mise en place des tiroires filtrés "/>
    <s v="HO finalisé entre 234 et 233"/>
    <s v="dl Rxqual=0"/>
    <s v="dl rx level= -48"/>
    <s v="OK"/>
    <s v="OK"/>
    <s v="Mauvais"/>
    <s v=" Retransmission des trames HDLC*5"/>
    <m/>
    <s v="Saad Elhabib"/>
    <m/>
    <m/>
    <m/>
    <m/>
    <m/>
    <m/>
    <m/>
  </r>
  <r>
    <n v="628"/>
    <b v="0"/>
    <x v="225"/>
    <d v="1899-12-30T20:29:35"/>
    <n v="2057"/>
    <x v="7"/>
    <x v="0"/>
    <n v="1038"/>
    <m/>
    <s v="Tanger/Casa"/>
    <n v="108.206"/>
    <x v="1"/>
    <s v="N2"/>
    <s v="Ralentissement du train"/>
    <s v="* Etat H.O : HO Non finalisé entre 219 et 320_x000a_* qualité /niveau de signal : dl rx-qual=7, dl rx level = -69 dbm_x000a_*Requête de déconnexion a été envoyée par le RBC"/>
    <m/>
    <x v="2"/>
    <s v="zone sous surveillance par équipe NOC GSMR"/>
    <s v="HO Non finalisé entre 219 et 320"/>
    <s v="dl Rxqual=7"/>
    <s v="dl rx level= -69"/>
    <s v="OK"/>
    <s v="OK"/>
    <s v="Mauvais"/>
    <s v=" Retransmission des trames HDLC*5"/>
    <m/>
    <s v="ISMALI ALAOUI Hamza"/>
    <m/>
    <m/>
    <m/>
    <m/>
    <m/>
    <m/>
    <m/>
  </r>
  <r>
    <n v="629"/>
    <b v="0"/>
    <x v="225"/>
    <d v="1899-12-30T20:35:56"/>
    <n v="1054"/>
    <x v="0"/>
    <x v="1"/>
    <n v="1044"/>
    <m/>
    <s v="Casa/Tanger"/>
    <n v="177.85"/>
    <x v="4"/>
    <s v="N2"/>
    <s v="Ralentissement du train"/>
    <s v="* Etat H.O : HO finalisé entre 231 et 329_x000a_* qualité /niveau de signal : dl rx-qual=0, dl rx level = -110 dbm_x000a_*Requête de déconnexion a été envoyée par le RBC"/>
    <m/>
    <x v="0"/>
    <s v="En attente de mise en place des tiroires filtrés "/>
    <s v="HO finalisé entre 231 et 329"/>
    <s v="dl Rxqual=0"/>
    <s v="dl rx level= -110"/>
    <s v="OK"/>
    <s v="OK"/>
    <s v="Mauvais"/>
    <s v=" Retransmission des trames HDLC*5"/>
    <m/>
    <s v="Saad Elhabib"/>
    <m/>
    <m/>
    <m/>
    <m/>
    <m/>
    <m/>
    <m/>
  </r>
  <r>
    <n v="630"/>
    <b v="0"/>
    <x v="225"/>
    <d v="1899-12-30T21:28:04"/>
    <n v="2061"/>
    <x v="10"/>
    <x v="0"/>
    <n v="7206"/>
    <m/>
    <s v="Tanger/Casa"/>
    <n v="108.206"/>
    <x v="1"/>
    <s v="N2"/>
    <s v="Ralentissement du train"/>
    <s v="*  Etat H.O :HO Non finalisé entre 219 et 320_x000a_* qualité /niveau de signal : dl rx-qual=7, dl rx level = -70 dbm_x000a_*Requête de déconnexion a été envoyée par le bord"/>
    <m/>
    <x v="2"/>
    <s v="zone sous surveillance par équipe NOC GSMR"/>
    <s v="HO Non finalisé entre 219 et 320"/>
    <s v="dl Rxqual=7"/>
    <s v="dl rx level= -70"/>
    <s v="OK"/>
    <s v="OK"/>
    <s v="Mauvais"/>
    <s v=" Retransmission des trames HDLC*5"/>
    <m/>
    <s v="Saad Elhabib"/>
    <m/>
    <m/>
    <m/>
    <m/>
    <m/>
    <m/>
    <m/>
  </r>
  <r>
    <n v="631"/>
    <b v="0"/>
    <x v="226"/>
    <d v="1899-12-30T23:08:45"/>
    <n v="1061"/>
    <x v="1"/>
    <x v="1"/>
    <n v="3062"/>
    <m/>
    <s v="Casa/Tanger"/>
    <n v="7.3209999999999997"/>
    <x v="2"/>
    <s v="N2"/>
    <s v="Arrêt du train"/>
    <s v="*: Ho recule non finalisé entre les cellules 202 et 303_x000a_* qualité /niveau de signal : dl rx-qual=7, dl rx level = -54 dbm_x000a_*Requête de déconnexion a été envoyée par le RBC"/>
    <m/>
    <x v="0"/>
    <s v="En attente de mise en place des tiroires filtrés "/>
    <s v=" Ho non finalisé entre  202 et 303"/>
    <s v="dl Rxqual=0"/>
    <s v="dl rx level= -54"/>
    <s v="OK"/>
    <s v="OK"/>
    <s v="Mauvais"/>
    <s v=" Retransmission des trames HDLC*5"/>
    <m/>
    <s v="Saad Elhabib"/>
    <m/>
    <m/>
    <m/>
    <m/>
    <m/>
    <m/>
    <m/>
  </r>
  <r>
    <n v="632"/>
    <b v="0"/>
    <x v="227"/>
    <d v="1899-12-30T09:19:11"/>
    <n v="2013"/>
    <x v="9"/>
    <x v="0"/>
    <n v="1052"/>
    <m/>
    <s v="Tanger/Casa"/>
    <n v="62.072000000000003"/>
    <x v="21"/>
    <s v="N2"/>
    <s v="Arrêt du train"/>
    <s v="* Etat H.O : HO Complet entre 210 et 211 _x000a_* qualité /niveau de signal : dl rx-qual=0, dl rx level = -56dbm_x000a_*Requête de déconnexion a été envoyée par le RBC"/>
    <m/>
    <x v="0"/>
    <s v="En attente de mise en place des tiroires filtrés "/>
    <s v=" HO Complet entre 210 et 211"/>
    <s v="dl Rxqual=0"/>
    <s v="dl rx level= -56"/>
    <s v="OK"/>
    <s v="OK"/>
    <s v="Mauvais"/>
    <s v=" Retransmission des trames HDLC*5"/>
    <m/>
    <s v="HARIRI Bahaeddine"/>
    <m/>
    <m/>
    <m/>
    <m/>
    <m/>
    <m/>
    <m/>
  </r>
  <r>
    <n v="633"/>
    <b v="0"/>
    <x v="227"/>
    <d v="1899-12-30T17:30:52"/>
    <n v="2045"/>
    <x v="7"/>
    <x v="0"/>
    <n v="7217"/>
    <m/>
    <s v="Tanger/Casa"/>
    <n v="117.258"/>
    <x v="17"/>
    <s v="N2"/>
    <s v="Ralentissement du train"/>
    <s v="* Etat H.O : HO non finalisé entre 220 et 321 _x000a_* qualité /niveau de signal : dl rx-qual=0, dl rx level = -63dbm_x000a_*Requête de déconnexion a été envoyée par le RBC"/>
    <m/>
    <x v="0"/>
    <s v="En attente de mise en place des tiroires filtrés "/>
    <s v=" Ho non finalisé entre  220 et 321"/>
    <s v="dl Rxqual=0"/>
    <s v="dl rx level= -63"/>
    <s v="OK"/>
    <s v="OK"/>
    <s v="Mauvais"/>
    <s v=" Retransmission des trames HDLC*5"/>
    <m/>
    <s v="ISMALI ALAOUI Hamza"/>
    <m/>
    <m/>
    <m/>
    <m/>
    <m/>
    <m/>
    <m/>
  </r>
  <r>
    <n v="634"/>
    <b v="0"/>
    <x v="227"/>
    <d v="1899-12-30T18:05:34"/>
    <n v="2049"/>
    <x v="2"/>
    <x v="0"/>
    <n v="7198"/>
    <m/>
    <s v="Tanger/Casa"/>
    <n v="7.3209999999999997"/>
    <x v="2"/>
    <s v="N2"/>
    <s v="Ralentissement du train"/>
    <s v="*: Ho  non finalisé entre les cellules 302 et 203_x000a_* qualité /niveau de signal : dl rx-qual=7, dl rx level = -52 dbm_x000a_*Requête de déconnexion a été envoyée par le RBC"/>
    <m/>
    <x v="0"/>
    <s v="En attente de mise en place des tiroires filtrés "/>
    <s v=" Ho non finalisé entre  302 et 203"/>
    <s v="dl Rxqual=7"/>
    <s v="dl rx level= -52"/>
    <s v="NOK"/>
    <s v="OK"/>
    <s v="Mauvais"/>
    <s v=" Retransmission des trames HDLC*5"/>
    <m/>
    <s v="ISMALI ALAOUI Hamza"/>
    <m/>
    <m/>
    <m/>
    <m/>
    <m/>
    <m/>
    <m/>
  </r>
  <r>
    <n v="635"/>
    <b v="0"/>
    <x v="228"/>
    <d v="1899-12-30T11:34:39"/>
    <n v="1018"/>
    <x v="3"/>
    <x v="1"/>
    <n v="1008"/>
    <m/>
    <s v="Casa/Tanger"/>
    <n v="146.738"/>
    <x v="3"/>
    <s v="N2"/>
    <s v="Ralentissement du train"/>
    <s v="*: Ho complet entre les cellules 327 et 326_x000a_* qualité /niveau de signal : dl rx-qual=0, dl rx level = -64 dbm_x000a_*Requête de déconnexion a été envoyée par le RBC"/>
    <m/>
    <x v="0"/>
    <s v="En attente de mise en place des tiroires filtrés "/>
    <s v=" Ho non finalisé entre  327 et 326"/>
    <s v="dl Rxqual=0"/>
    <s v="dl rx level= -64"/>
    <s v="OK"/>
    <s v="NOK"/>
    <s v="Mauvais"/>
    <s v=" Retransmission des trames HDLC*5"/>
    <m/>
    <s v="ISMALI ALAOUI Hamza"/>
    <m/>
    <m/>
    <m/>
    <m/>
    <m/>
    <m/>
    <m/>
  </r>
  <r>
    <n v="636"/>
    <b v="0"/>
    <x v="228"/>
    <d v="1899-12-30T21:17:14"/>
    <n v="2061"/>
    <x v="0"/>
    <x v="0"/>
    <n v="1036"/>
    <m/>
    <s v="Tanger/Casa"/>
    <n v="55.405000000000001"/>
    <x v="23"/>
    <s v="N2"/>
    <s v="Ralentissement du train"/>
    <s v="* Etat H.O : HO Complet entre 309 et 310 _x000a_* qualité /niveau de signal : dl rx-qual=0, dl rx level = -48dbm_x000a_*Requête de déconnexion a été envoyée par le RBC"/>
    <m/>
    <x v="0"/>
    <s v="En attente de mise en place des tiroires filtrés "/>
    <s v=" HO Complet entre 309 et  310"/>
    <s v="dl Rxqual=0"/>
    <s v="dl rx level= -48"/>
    <s v="OK"/>
    <s v="OK"/>
    <s v="Mauvais"/>
    <s v=" Retransmission des trames HDLC*5"/>
    <m/>
    <s v="ELHAJOUIA Achraf"/>
    <m/>
    <m/>
    <m/>
    <m/>
    <m/>
    <m/>
    <m/>
  </r>
  <r>
    <n v="637"/>
    <b v="0"/>
    <x v="229"/>
    <d v="1899-12-30T18:06:17"/>
    <n v="2049"/>
    <x v="0"/>
    <x v="0"/>
    <n v="1036"/>
    <m/>
    <s v="Tanger/Casa"/>
    <n v="6.13"/>
    <x v="2"/>
    <s v="N2"/>
    <s v="Arrêt du train"/>
    <s v="* Etat H.O : HO non Complet entre 302 et 203 _x000a_* qualité /niveau de signal : dl rx-qual=7, dl rx level = -52dbm_x000a_*Requête de déconnexion a été envoyée par le BORD"/>
    <m/>
    <x v="0"/>
    <s v="En attente de mise en place des tiroires filtrés "/>
    <s v=" HO non Complet entre 302 et  203"/>
    <s v="dl Rxqual=7"/>
    <s v="dl rx level= -52"/>
    <s v="NOK"/>
    <s v="OK"/>
    <s v="Mauvais"/>
    <s v=" Retransmission des trames HDLC*5"/>
    <m/>
    <s v="ELGUEZZAR Anas"/>
    <m/>
    <m/>
    <m/>
    <m/>
    <m/>
    <m/>
    <m/>
  </r>
  <r>
    <n v="638"/>
    <b v="0"/>
    <x v="229"/>
    <d v="1899-12-30T19:35:24"/>
    <n v="2053"/>
    <x v="7"/>
    <x v="0"/>
    <n v="1055"/>
    <m/>
    <s v="Tanger/Casa"/>
    <n v="152.488"/>
    <x v="18"/>
    <s v="N2"/>
    <s v="Arrêt du train"/>
    <s v="*: Ho complet entre les cellules 225 et 226_x000a_* qualité /niveau de signal : dl rx-qual=0, dl rx level = -48 dbm_x000a_*Requête de déconnexion a été envoyée par le RBC"/>
    <m/>
    <x v="0"/>
    <s v="En attente de mise en place des tiroires filtrés "/>
    <s v=" HO Complet entre 225 et  226"/>
    <s v="dl Rxqual=0"/>
    <s v="dl rx level= -48"/>
    <s v="OK"/>
    <s v="OK"/>
    <s v="Mauvais"/>
    <s v=" Retransmission des trames HDLC*5"/>
    <m/>
    <s v="ELGUEZZAR Anas"/>
    <m/>
    <m/>
    <m/>
    <m/>
    <m/>
    <m/>
    <m/>
  </r>
  <r>
    <n v="639"/>
    <b v="0"/>
    <x v="230"/>
    <d v="1899-12-30T12:05:41"/>
    <n v="2025"/>
    <x v="4"/>
    <x v="0"/>
    <n v="7208"/>
    <m/>
    <s v="Tanger/Casa"/>
    <n v="6.13"/>
    <x v="2"/>
    <s v="N2"/>
    <s v="Ralentissement du train"/>
    <s v="*: Ho non finalisé entre les cellules 302 et 203_x000a_* qualité /niveau de signal : dl rx-qual=7, dl rx level = -52 dbm_x000a_*Requête de déconnexion a été envoyée par le bord"/>
    <m/>
    <x v="0"/>
    <s v="En attente de mise en place des tiroires filtrés "/>
    <s v=" Ho non finalisé entre 302 et 203"/>
    <s v="dl Rxqual=7"/>
    <s v="dl rx level= -52"/>
    <s v="OK"/>
    <s v="OK"/>
    <s v="Mauvais"/>
    <s v=" Retransmission des trames HDLC*5"/>
    <m/>
    <s v="Noura MOUSSAOUI"/>
    <m/>
    <m/>
    <m/>
    <m/>
    <m/>
    <m/>
    <m/>
  </r>
  <r>
    <n v="640"/>
    <b v="0"/>
    <x v="230"/>
    <d v="1899-12-30T15:05:37"/>
    <n v="2037"/>
    <x v="11"/>
    <x v="0"/>
    <n v="1049"/>
    <m/>
    <s v="Tanger/Casa"/>
    <n v="7.3810000000000002"/>
    <x v="2"/>
    <s v="N2"/>
    <s v="Arrêt du train"/>
    <s v="*: Ho non complet entre les cellules 202 et 303_x000a_* qualité /niveau de signal : dl rx-qual=6, dl rx level = -58 dbm_x000a_*Requête de déconnexion a été envoyée par le RBC"/>
    <m/>
    <x v="0"/>
    <s v="En attente de mise en place des tiroires filtrés "/>
    <s v=" HO non Complet entre 202 et  303"/>
    <s v="dl Rxqual=6"/>
    <s v="dl rx level= -58"/>
    <s v="OK"/>
    <s v="OK"/>
    <s v="Mauvais"/>
    <s v=" Retransmission des trames HDLC*5"/>
    <m/>
    <s v="ELGUEZZAR Anas"/>
    <m/>
    <m/>
    <m/>
    <m/>
    <m/>
    <m/>
    <m/>
  </r>
  <r>
    <n v="641"/>
    <b v="0"/>
    <x v="230"/>
    <d v="1899-12-30T17:08:32"/>
    <n v="1037"/>
    <x v="4"/>
    <x v="1"/>
    <n v="1033"/>
    <m/>
    <s v="Casa/Tanger"/>
    <n v="7.3810000000000002"/>
    <x v="2"/>
    <s v="N2"/>
    <s v="Arrêt du train"/>
    <s v="*: Ho  complet entre les cellules 303 et 202_x000a_* qualité /niveau de signal : dl rx-qual=7, dl rx level = -56 dbm_x000a_*Requête de déconnexion a été envoyée par le RBC"/>
    <m/>
    <x v="0"/>
    <s v="En attente de mise en place des tiroires filtrés "/>
    <s v=" HO  Complet entre 303 et  202"/>
    <s v="dl Rxqual=7"/>
    <s v="dl rx level= -56"/>
    <s v="OK"/>
    <s v="OK"/>
    <s v="Mauvais"/>
    <s v=" Retransmission des trames HDLC*5"/>
    <m/>
    <s v="ELGUEZZAR Anas"/>
    <m/>
    <m/>
    <m/>
    <m/>
    <m/>
    <m/>
    <m/>
  </r>
  <r>
    <n v="642"/>
    <b v="0"/>
    <x v="230"/>
    <d v="1899-12-30T20:05:18"/>
    <n v="2057"/>
    <x v="0"/>
    <x v="0"/>
    <n v="1033"/>
    <m/>
    <s v="Tanger/Casa"/>
    <n v="7.3810000000000002"/>
    <x v="2"/>
    <s v="N2"/>
    <s v="Arrêt du train"/>
    <s v="*: Ho non complet entre les cellules 202 et 203_x000a_* qualité /niveau de signal : dl rx-qual=7, dl rx level = -54 dbm_x000a_*Requête de déconnexion a été envoyée par le RBC"/>
    <m/>
    <x v="0"/>
    <s v="En attente de mise en place des tiroires filtrés "/>
    <s v=" HO  Complet entre 303 et  202"/>
    <s v="dl Rxqual=7"/>
    <s v="dl rx level= -54"/>
    <s v="OK"/>
    <s v="OK"/>
    <s v="Mauvais"/>
    <s v=" Retransmission des trames HDLC*5"/>
    <m/>
    <s v="ELGUEZZAR Anas"/>
    <m/>
    <m/>
    <m/>
    <m/>
    <m/>
    <m/>
    <m/>
  </r>
  <r>
    <n v="643"/>
    <b v="0"/>
    <x v="230"/>
    <d v="1899-12-30T23:20:58"/>
    <n v="1061"/>
    <x v="2"/>
    <x v="1"/>
    <n v="1034"/>
    <m/>
    <s v="Casa/Tanger"/>
    <n v="8.9700000000000006"/>
    <x v="2"/>
    <s v="N2"/>
    <s v="Ralentissement du train"/>
    <s v="*: Ho  complet entre les cellules 304 et 303_x000a_* qualité /niveau de signal : dl rx-qual=0, dl rx level = -53 dbm_x000a_*Requête de déconnexion a été envoyée par le RBC"/>
    <m/>
    <x v="0"/>
    <s v="En attente de mise en place des tiroires filtrés "/>
    <s v=" HO  Complet entre 304 et 303"/>
    <s v="dl Rxqual=0"/>
    <s v="dl rx level= -53"/>
    <s v="OK"/>
    <s v="OK"/>
    <s v="Mauvais"/>
    <s v=" Retransmission des trames HDLC*5"/>
    <m/>
    <s v="ELHAJOUIA Achraf"/>
    <m/>
    <m/>
    <m/>
    <m/>
    <m/>
    <m/>
    <m/>
  </r>
  <r>
    <n v="644"/>
    <b v="0"/>
    <x v="231"/>
    <s v=" 08:54:53 "/>
    <n v="1005"/>
    <x v="11"/>
    <x v="1"/>
    <n v="1072"/>
    <m/>
    <s v="Casa/Tanger"/>
    <n v="53.540999999999997"/>
    <x v="29"/>
    <s v="N2"/>
    <s v="Ralentissement du train"/>
    <s v="*: Ho  complet entre les cellules 311 et 310_x000a_* qualité /niveau de signal : dl rx-qual=0, dl rx level = -66 dbm_x000a_*Requête de déconnexion a été envoyée par le RBC"/>
    <m/>
    <x v="0"/>
    <s v="En attente de mise en place des tiroires filtrés "/>
    <s v=" HO  Complet entre 311 et 310"/>
    <s v="dl Rxqual=0"/>
    <s v="dl rx level= -66"/>
    <s v="OK"/>
    <s v="OK"/>
    <s v="Mauvais"/>
    <s v=" Retransmission des trames HDLC*5"/>
    <m/>
    <s v="Noura MOUSSAOUI"/>
    <m/>
    <m/>
    <m/>
    <m/>
    <m/>
    <m/>
    <m/>
  </r>
  <r>
    <n v="645"/>
    <b v="0"/>
    <x v="232"/>
    <d v="1899-12-30T14:35:58"/>
    <n v="2033"/>
    <x v="2"/>
    <x v="0"/>
    <n v="7218"/>
    <m/>
    <s v="Tanger/Casa"/>
    <n v="135.58500000000001"/>
    <x v="10"/>
    <s v="N2"/>
    <s v="Arrêt du train"/>
    <s v="*: Ho  complet entre les cellules 223 et 224_x000a_* qualité /niveau de signal : dl rx-qual=0, dl rx level = -57 dbm_x000a_*Requête de déconnexion a été envoyée par le RBC "/>
    <m/>
    <x v="3"/>
    <s v="En attente de pousser les analyses coté Bord/RBC"/>
    <s v=" HO  Complet entre 223 et 224"/>
    <s v="dl Rxqual=0"/>
    <s v="dl rx level= -57"/>
    <s v="OK"/>
    <s v="OK"/>
    <s v="Mauvais"/>
    <s v="Pas de  Retransmission des trames HDLC*5"/>
    <m/>
    <s v="Saad Elhabib"/>
    <m/>
    <m/>
    <m/>
    <m/>
    <m/>
    <m/>
    <m/>
  </r>
  <r>
    <n v="646"/>
    <b v="0"/>
    <x v="232"/>
    <d v="1899-12-30T16:05:28"/>
    <n v="2041"/>
    <x v="6"/>
    <x v="0"/>
    <n v="1056"/>
    <m/>
    <s v="Tanger/Casa"/>
    <n v="6.13"/>
    <x v="2"/>
    <s v="N2"/>
    <s v="Arrêt du train"/>
    <s v="*: Ho non finalisé entre les cellules 202 et 203_x000a_* qualité /niveau de signal : dl rx-qual=7, dl rx level = -53 dbm_x000a_*Requête de déconnexion a été envoyée par le RBC"/>
    <m/>
    <x v="0"/>
    <s v="En attente de mise en place des tiroires filtrés "/>
    <s v=" HO  non finalisé entre 202 et 203"/>
    <s v="dl Rxqual=7"/>
    <s v="dl rx level= -53"/>
    <s v="NOK"/>
    <s v="OK"/>
    <s v="Mauvais"/>
    <s v=" Retransmission des trames HDLC*5"/>
    <m/>
    <s v="Saad Elhabib"/>
    <m/>
    <m/>
    <m/>
    <m/>
    <m/>
    <m/>
    <m/>
  </r>
  <r>
    <n v="647"/>
    <b v="0"/>
    <x v="232"/>
    <d v="1899-12-30T17:04:59"/>
    <n v="2045"/>
    <x v="0"/>
    <x v="0"/>
    <n v="1036"/>
    <m/>
    <s v="Tanger/Casa"/>
    <n v="6.13"/>
    <x v="2"/>
    <s v="N2"/>
    <s v="Ralentissement du train"/>
    <s v="*: Ho  non finalisé entre les cellules 202 et 303_x000a_* qualité /niveau de signal : dl rx-qual=7, dl rx level = -55 dbm_x000a_*Requête de déconnexion a été envoyée par le BORD"/>
    <m/>
    <x v="0"/>
    <s v="En attente de mise en place des tiroires filtrés "/>
    <s v=" HO   non finalisé entre 202 et 303"/>
    <s v="dl Rxqual=7"/>
    <s v="dl rx level= -55"/>
    <s v="NOK"/>
    <s v="OK"/>
    <s v="Mauvais"/>
    <s v=" Retransmission des trames HDLC*5"/>
    <m/>
    <s v="Saad Elhabib"/>
    <m/>
    <m/>
    <m/>
    <m/>
    <m/>
    <m/>
    <m/>
  </r>
  <r>
    <n v="648"/>
    <b v="0"/>
    <x v="232"/>
    <d v="1899-12-30T21:04:51"/>
    <n v="2061"/>
    <x v="4"/>
    <x v="0"/>
    <n v="7208"/>
    <m/>
    <s v="Tanger/Casa"/>
    <n v="6.13"/>
    <x v="2"/>
    <s v="N2"/>
    <s v="Arrêt du train"/>
    <s v="*: Ho non finalisé entre les cellules 302 et 203_x000a_* qualité /niveau de signal : dl rx-qual=7, dl rx level = -50 dbm_x000a_*Requête de déconnexion a été envoyée par le RBC"/>
    <m/>
    <x v="0"/>
    <s v="En attente de mise en place des tiroires filtrés "/>
    <s v=" HO   non finalisé entre 302 et 203"/>
    <s v="dl Rxqual=7"/>
    <s v="dl rx level= -50"/>
    <s v="OK"/>
    <s v="OK"/>
    <s v="Mauvais"/>
    <s v=" Retransmission des trames HDLC*5"/>
    <m/>
    <s v="ELHAJOUIA Achraf"/>
    <m/>
    <m/>
    <m/>
    <m/>
    <m/>
    <m/>
    <m/>
  </r>
  <r>
    <n v="649"/>
    <b v="0"/>
    <x v="233"/>
    <d v="1899-12-30T12:07:17"/>
    <n v="1018"/>
    <x v="11"/>
    <x v="1"/>
    <n v="1072"/>
    <m/>
    <s v="Casa/Tanger"/>
    <n v="7.3209999999999997"/>
    <x v="2"/>
    <s v="N2"/>
    <s v="Ralentissement du train"/>
    <s v="*: Ho non finalisé entre les cellules 302 et 303_x000a_* qualité /niveau de signal : dl rx-qual=0, dl rx level = -110 dbm_x000a_*Requête de déconnexion a été envoyée par le RBC"/>
    <m/>
    <x v="0"/>
    <s v="En attente de mise en place des tiroires filtrés "/>
    <s v=" HO  complet entre 302 et 303"/>
    <s v="dl Rxqual=0"/>
    <s v="dl rx level= -110"/>
    <s v="OK"/>
    <s v="NOK"/>
    <s v="Mauvais"/>
    <s v=" Retransmission des trames HDLC*5"/>
    <m/>
    <s v="ISMALI ALAOUI Hamza"/>
    <m/>
    <m/>
    <m/>
    <m/>
    <m/>
    <m/>
    <m/>
  </r>
  <r>
    <n v="650"/>
    <b v="0"/>
    <x v="233"/>
    <d v="1899-12-30T19:35:09"/>
    <n v="2053"/>
    <x v="6"/>
    <x v="0"/>
    <n v="1057"/>
    <m/>
    <s v="Tanger/Casa"/>
    <n v="143.11199999999999"/>
    <x v="26"/>
    <s v="N2"/>
    <s v="Ralentissement du train"/>
    <s v="*: Ho Complet entre les cellules 224 et 225_x000a_* qualité /niveau de signal : dl rx-qual=0, dl rx level = -57 dbm_x000a_*Requête de déconnexion a été envoyée par le RBC"/>
    <m/>
    <x v="0"/>
    <s v="En attente de mise en place des tiroires filtrés "/>
    <s v=" HO  complet entre 302 et 203"/>
    <s v="dl Rxqual=0"/>
    <s v="dl rx level= -57"/>
    <s v="OK"/>
    <s v="OK"/>
    <s v="Mauvais"/>
    <s v="pas de retransmission des trames HDLC"/>
    <m/>
    <s v="Saad Elhabib"/>
    <m/>
    <m/>
    <m/>
    <m/>
    <m/>
    <m/>
    <m/>
  </r>
  <r>
    <n v="651"/>
    <b v="0"/>
    <x v="233"/>
    <d v="1899-12-30T20:05:00"/>
    <n v="2057"/>
    <x v="3"/>
    <x v="0"/>
    <n v="1046"/>
    <m/>
    <s v="Tanger/Casa"/>
    <n v="6.13"/>
    <x v="2"/>
    <s v="N2"/>
    <s v="Arrêt du train"/>
    <s v="*: Ho non finalisé entre les cellules 202 et 303_x000a_* qualité /niveau de signal : dl rx-qual=7, dl rx level = -54 dbm_x000a_*Requête de déconnexion a été envoyée par le RBC"/>
    <m/>
    <x v="0"/>
    <s v="En attente de mise en place des tiroires filtrés "/>
    <s v=" HO non finalisé entre 302 et 303"/>
    <s v="dl Rxqual=7"/>
    <s v="dl rx level= -54"/>
    <s v="NOK"/>
    <s v="OK"/>
    <s v="Mauvais"/>
    <s v=" Retransmission des trames HDLC*5"/>
    <m/>
    <s v="Saad Elhabib"/>
    <m/>
    <m/>
    <m/>
    <m/>
    <m/>
    <m/>
    <m/>
  </r>
  <r>
    <n v="652"/>
    <b v="0"/>
    <x v="234"/>
    <d v="1899-12-30T11:35:17"/>
    <n v="2021"/>
    <x v="9"/>
    <x v="0"/>
    <n v="1052"/>
    <m/>
    <s v="Tanger/Casa"/>
    <n v="144.32599999999999"/>
    <x v="3"/>
    <s v="N2"/>
    <s v="Arrêt du train"/>
    <s v="*: Ho Complet entre les cellules 324 et 225_x000a_* qualité /niveau de signal : dl rx-qual=0, dl rx level = -65 dbm_x000a_*Requête de déconnexion a été envoyée par le RBC"/>
    <m/>
    <x v="0"/>
    <s v="En attente de mise en place des tiroires filtrés "/>
    <s v=" HO  complet entre 324 et 225"/>
    <s v="dl Rxqual=0"/>
    <s v="dl rx level= -65"/>
    <s v="OK"/>
    <s v="NOK"/>
    <s v="Mauvais"/>
    <s v=" Retransmission des trames HDLC*5"/>
    <m/>
    <s v="ISMALI ALAOUI Hamza"/>
    <m/>
    <m/>
    <m/>
    <m/>
    <m/>
    <m/>
    <m/>
  </r>
  <r>
    <n v="653"/>
    <b v="0"/>
    <x v="234"/>
    <d v="1899-12-30T13:24:14"/>
    <n v="1025"/>
    <x v="10"/>
    <x v="0"/>
    <n v="1060"/>
    <m/>
    <s v="Tanger/Casa"/>
    <n v="202.125"/>
    <x v="5"/>
    <s v="N2"/>
    <s v="Ralentissement du train"/>
    <s v="*: Ho Complet entre les cellules 234 et 233_x000a_* qualité /niveau de signal : dl rx-qual=7, dl rx level = -67 dbm_x000a_*Requête de déconnexion a été envoyée par le RBC"/>
    <m/>
    <x v="2"/>
    <s v="Zone sous surveillance par équipe NOC GSMR"/>
    <s v=" HO  complet entre 234 et 233"/>
    <s v="dl Rxqual=7"/>
    <s v="dl rx level= -67"/>
    <s v="OK"/>
    <s v="NOK"/>
    <s v="Mauvais"/>
    <s v=" Retransmission des trames HDLC*5"/>
    <m/>
    <s v="ISMALI ALAOUI Hamza"/>
    <m/>
    <m/>
    <m/>
    <m/>
    <m/>
    <m/>
    <m/>
  </r>
  <r>
    <n v="654"/>
    <b v="0"/>
    <x v="234"/>
    <d v="1899-12-30T14:05:31"/>
    <n v="2033"/>
    <x v="11"/>
    <x v="0"/>
    <n v="1048"/>
    <m/>
    <s v="Tanger/Casa"/>
    <n v="6.13"/>
    <x v="2"/>
    <s v="N2"/>
    <s v="Ralentissement du train"/>
    <s v="*HO non finalisé entre 202 et 303_x000a_* qualité /niveau de signal : dl rx-qual=7, dl rx level = -53 dbm_x000a_*Requête de déconnexion a été envoyée par le RBC"/>
    <m/>
    <x v="0"/>
    <s v="En attente de mise en place des tiroires filtrés "/>
    <s v="HO non finalisé entre 202 et 303"/>
    <s v="dl Rxqual=7"/>
    <s v="dl rx level= -53"/>
    <s v="NOK"/>
    <s v="OK"/>
    <s v="Mauvais"/>
    <s v=" Retransmission des trames HDLC*5"/>
    <m/>
    <s v="Saad Elhabib"/>
    <m/>
    <m/>
    <m/>
    <m/>
    <m/>
    <m/>
    <m/>
  </r>
  <r>
    <n v="655"/>
    <b v="0"/>
    <x v="234"/>
    <d v="1899-12-30T14:09:15"/>
    <n v="2033"/>
    <x v="11"/>
    <x v="0"/>
    <n v="1049"/>
    <m/>
    <s v="Tanger/Casa"/>
    <n v="9.0299999999999994"/>
    <x v="2"/>
    <s v="N2"/>
    <s v="Ralentissement du train"/>
    <s v="*Le conducteur a essayé de ce reconnecter sauf que le RBC a demandé la déconnexion sans Retransmission des trames HDLC_x000a_*Requête de déconnexion a été envoyée par le RBC"/>
    <m/>
    <x v="2"/>
    <s v="Zone sous surveillance par équipe NOC GSMR"/>
    <m/>
    <m/>
    <m/>
    <s v="NOK"/>
    <s v="OK"/>
    <s v="Mauvais"/>
    <s v="pas de retransmission des trames HDLC"/>
    <m/>
    <s v="Saad Elhabib"/>
    <m/>
    <m/>
    <m/>
    <m/>
    <m/>
    <m/>
    <m/>
  </r>
  <r>
    <n v="656"/>
    <b v="0"/>
    <x v="234"/>
    <d v="1899-12-30T17:31:56"/>
    <n v="2045"/>
    <x v="9"/>
    <x v="0"/>
    <n v="1052"/>
    <m/>
    <s v="Tanger/Casa"/>
    <n v="121.232"/>
    <x v="30"/>
    <s v="N2"/>
    <s v="Ralentissement du train"/>
    <s v="*Etat H.O : HO non Finalisé entre 221 et 222_x000a_* qualité /niveau de signal : dl rx-qual=1, dl rx level = -74 dbm_x000a_*Requête de déconnexion a été envoyée par le RBC"/>
    <m/>
    <x v="0"/>
    <s v="En attente de mise en place des tiroires filtrés "/>
    <s v="HO non Finalisé entre 221 et 222"/>
    <s v="dl Rxqual=1"/>
    <s v="dl rx level= -74"/>
    <s v="OK"/>
    <s v="OK"/>
    <s v="Mauvais"/>
    <s v=" Retransmission des trames HDLC*5"/>
    <m/>
    <s v="Saad Elhabib"/>
    <m/>
    <m/>
    <m/>
    <m/>
    <m/>
    <m/>
    <m/>
  </r>
  <r>
    <n v="657"/>
    <b v="0"/>
    <x v="234"/>
    <d v="1899-12-30T20:34:00"/>
    <n v="2057"/>
    <x v="11"/>
    <x v="0"/>
    <n v="1049"/>
    <m/>
    <s v="Tanger/Casa"/>
    <n v="139.48099999999999"/>
    <x v="10"/>
    <s v="N2"/>
    <s v="Ralentissement du train"/>
    <s v="* Etat H.O : HO complète entre 223 et 224_x000a_* qualité /niveau de signal : dl rx-qual=0, dl rx level = -71 dbm_x000a_*Requête de déconnexion a été envoyée par le RBC_x000a_"/>
    <m/>
    <x v="0"/>
    <s v="En attente de mise en place des tiroires filtrés "/>
    <s v=" HO  complet entre 223 et 224"/>
    <s v="dl Rxqual=0"/>
    <s v="dl rx level= -71"/>
    <s v="OK"/>
    <s v="OK"/>
    <s v="Mauvais"/>
    <s v="pas de retransmission des trames HDLC"/>
    <m/>
    <s v="LAGDEM Elmehdi"/>
    <m/>
    <m/>
    <m/>
    <m/>
    <m/>
    <m/>
    <m/>
  </r>
  <r>
    <n v="658"/>
    <b v="0"/>
    <x v="235"/>
    <d v="1899-12-30T08:05:09"/>
    <n v="2009"/>
    <x v="4"/>
    <x v="0"/>
    <n v="7208"/>
    <m/>
    <s v="Tanger/Casa"/>
    <n v="6.13"/>
    <x v="2"/>
    <s v="N2"/>
    <s v="Arrêt du train"/>
    <s v="*Etat H.O : HO non Finalisé entre 302 et 303_x000a_* qualité /niveau de signal : dl rx-qual=7, dl rx level = -55 dbm_x000a_*Requête de déconnexion a été envoyée par le RBC"/>
    <m/>
    <x v="0"/>
    <s v="En attente de mise en place des tiroires filtrés "/>
    <s v="HO non finalisé entre 302 et 303"/>
    <s v="dl Rxqual=7"/>
    <s v="dl rx level= -55"/>
    <s v="NOK"/>
    <s v="OK"/>
    <s v="Mauvais"/>
    <s v=" Retransmission des trames HDLC*5"/>
    <m/>
    <s v="HAMZAOUI Youssef"/>
    <m/>
    <m/>
    <m/>
    <m/>
    <m/>
    <m/>
    <m/>
  </r>
  <r>
    <n v="659"/>
    <b v="0"/>
    <x v="235"/>
    <d v="1899-12-30T16:27:21"/>
    <n v="2041"/>
    <x v="2"/>
    <x v="0"/>
    <n v="7218"/>
    <m/>
    <s v="Tanger/Casa"/>
    <n v="108.206"/>
    <x v="1"/>
    <s v="N2"/>
    <s v="Ralentissement du train"/>
    <s v="*Etat H.O : HO non Finalisé entre 219 et 220_x000a_* qualité /niveau de signal : dl rx-qual=2, dl rx level = -80 dbm_x000a_*Requête de déconnexion a été envoyée par le RBC"/>
    <m/>
    <x v="0"/>
    <s v="En attente de mise en place des tiroires filtrés "/>
    <s v="HO non finalisé entre 219 et 220"/>
    <s v="dl Rxqual=2"/>
    <s v="dl rx level= -80"/>
    <s v="NOK"/>
    <s v="OK"/>
    <s v="Mauvais"/>
    <s v=" Retransmission des trames HDLC*5"/>
    <m/>
    <s v="Saad Elhabib"/>
    <m/>
    <m/>
    <m/>
    <m/>
    <m/>
    <m/>
    <m/>
  </r>
  <r>
    <n v="660"/>
    <b v="0"/>
    <x v="235"/>
    <d v="1899-12-30T17:36:40"/>
    <n v="2045"/>
    <x v="0"/>
    <x v="0"/>
    <n v="1037"/>
    <m/>
    <s v="Tanger/Casa"/>
    <n v="140.65899999999999"/>
    <x v="26"/>
    <s v="N2"/>
    <s v="Arrêt du train"/>
    <s v="*Etat H.O : HO Complet entre 224 et 225_x000a_* qualité /niveau de signal : dl rx-qual=0, dl rx level = -58 dbm_x000a_*Requête de déconnexion a été envoyée par le RBC"/>
    <m/>
    <x v="0"/>
    <s v="En attente de mise en place des tiroires filtrés "/>
    <s v=" HO  complet entre 224 et 225"/>
    <s v="dl Rxqual=0"/>
    <s v="dl rx level= -58"/>
    <s v="OK"/>
    <s v="OK"/>
    <s v="Mauvais"/>
    <s v="Pas de  Retransmission des trames HDLC"/>
    <m/>
    <s v="Saad Elhabib"/>
    <m/>
    <m/>
    <m/>
    <m/>
    <m/>
    <m/>
    <m/>
  </r>
  <r>
    <n v="661"/>
    <b v="0"/>
    <x v="235"/>
    <d v="1899-12-30T19:35:09"/>
    <n v="2053"/>
    <x v="6"/>
    <x v="0"/>
    <n v="1057"/>
    <m/>
    <s v="Tanger/Casa"/>
    <n v="141.898"/>
    <x v="26"/>
    <s v="N2"/>
    <s v="Ralentissement du train"/>
    <s v="*Etat H.O : HO complet entre 224 et 225_x000a_* qualité /niveau de signal : dl rx-qual=2, dl rx level = -48 dbm_x000a_*Requête de déconnexion a été envoyée par le RBC"/>
    <m/>
    <x v="0"/>
    <s v="En attente de mise en place des tiroires filtrés "/>
    <s v=" HO  complet entre 224 et 225"/>
    <s v="dl Rxqual=2"/>
    <s v="dl rx level= -48"/>
    <s v="OK"/>
    <s v="OK"/>
    <s v="Mauvais"/>
    <s v=" Retransmission des trames HDLC*5"/>
    <m/>
    <s v="Saad Elhabib"/>
    <m/>
    <m/>
    <m/>
    <m/>
    <m/>
    <m/>
    <m/>
  </r>
  <r>
    <n v="662"/>
    <b v="0"/>
    <x v="236"/>
    <d v="1899-12-30T08:05:15"/>
    <n v="2009"/>
    <x v="7"/>
    <x v="0"/>
    <n v="1054"/>
    <m/>
    <s v="Tanger/Casa"/>
    <n v="6.13"/>
    <x v="2"/>
    <s v="N2"/>
    <s v="Arrêt du train"/>
    <s v="*Etat H.O : HO Complet entre 201 et 202_x000a_* qualité /niveau de signal : dl rx-qual=0, dl rx level = -53 dbm_x000a_*Requête de déconnexion a été envoyée par le RBC"/>
    <m/>
    <x v="0"/>
    <s v="En attente de mise en place des tiroires filtrés "/>
    <s v=" HO  complet entre 201 et 202"/>
    <s v="dl Rxqual=0"/>
    <s v="dl rx level= -53"/>
    <s v="NOK"/>
    <s v="OK"/>
    <s v="Mauvais"/>
    <s v=" Retransmission des trames HDLC*5"/>
    <m/>
    <s v="Noura MOUSSAOUI"/>
    <m/>
    <m/>
    <m/>
    <m/>
    <m/>
    <m/>
    <m/>
  </r>
  <r>
    <n v="663"/>
    <b v="0"/>
    <x v="236"/>
    <s v="08:46:45 "/>
    <n v="1005"/>
    <x v="6"/>
    <x v="1"/>
    <n v="1023"/>
    <m/>
    <s v="Casa/Tanger"/>
    <n v="94.953999999999994"/>
    <x v="8"/>
    <s v="N2"/>
    <s v="Ralentissement du train"/>
    <s v="*Etat H.O : HO Complet entre 318 et 317_x000a_* qualité /niveau de signal : dl rx-qual=0, dl rx level = -110 dbm_x000a_*Requête de déconnexion a été envoyée par le RBC"/>
    <m/>
    <x v="0"/>
    <s v="En attente de mise en place des tiroires filtrés "/>
    <s v=" HO Complet entre 318 et 317"/>
    <s v="dl Rxqual=0"/>
    <s v="dl rx level= -110"/>
    <s v="OK"/>
    <s v="OK"/>
    <s v="Mauvais"/>
    <s v=" Retransmission des trames HDLC*5"/>
    <m/>
    <s v="Noura MOUSSAOUI"/>
    <m/>
    <m/>
    <m/>
    <m/>
    <m/>
    <m/>
    <m/>
  </r>
  <r>
    <n v="664"/>
    <b v="0"/>
    <x v="236"/>
    <d v="1899-12-30T09:06:23"/>
    <n v="1006"/>
    <x v="6"/>
    <x v="1"/>
    <n v="1058"/>
    <m/>
    <s v="Casa/Tanger"/>
    <n v="7.3209999999999997"/>
    <x v="2"/>
    <s v="N2"/>
    <s v="Ralentissement du train"/>
    <s v="*Etat H.O :HO Complet entre 303 et 202_x000a_* qualité /niveau de signal : dl rx-qual=7 dl rx level = -55 dbm_x000a_*Requête de déconnexion a été envoyée par le RBC"/>
    <m/>
    <x v="0"/>
    <s v="En attente de mise en place des tiroires filtrés "/>
    <s v="HO Complet entre 303 et 202"/>
    <s v="dl Rxqual=7"/>
    <s v="dl rx level= -55"/>
    <s v="OK"/>
    <s v="OK"/>
    <s v="Mauvais"/>
    <s v=" Retransmission des trames HDLC*5"/>
    <m/>
    <s v="Noura MOUSSAOUI"/>
    <m/>
    <m/>
    <m/>
    <m/>
    <m/>
    <m/>
    <m/>
  </r>
  <r>
    <n v="665"/>
    <b v="0"/>
    <x v="236"/>
    <d v="1899-12-30T10:35:01"/>
    <n v="2017"/>
    <x v="6"/>
    <x v="0"/>
    <n v="1057"/>
    <m/>
    <s v="Tanger/Casa"/>
    <n v="144.32599999999999"/>
    <x v="3"/>
    <s v="N2"/>
    <s v="Arrêt du train"/>
    <s v="*Etat H.O : HO Complet entre 224 et 225_x000a_* qualité /niveau de signal : dl rx-qual=0, dl rx level = -67 dbm_x000a_*Requête de déconnexion a été envoyée par le RBC"/>
    <m/>
    <x v="0"/>
    <s v="En attente de mise en place des tiroires filtrés "/>
    <s v="HO Complet entre 224 et 225"/>
    <s v="dl Rxqual=0"/>
    <s v="dl rx level= -67"/>
    <s v="OK"/>
    <s v="OK"/>
    <s v="Mauvais"/>
    <s v=" Retransmission des trames HDLC*5"/>
    <m/>
    <s v="Noura MOUSSAOUI"/>
    <m/>
    <m/>
    <m/>
    <m/>
    <m/>
    <m/>
    <m/>
  </r>
  <r>
    <n v="666"/>
    <b v="0"/>
    <x v="236"/>
    <d v="1899-12-30T14:05:39"/>
    <n v="2033"/>
    <x v="7"/>
    <x v="0"/>
    <n v="1054"/>
    <m/>
    <s v="Tanger/Casa"/>
    <n v="6.13"/>
    <x v="2"/>
    <s v="N2"/>
    <s v="Arrêt du train"/>
    <s v="*Etat H.O : HO non Finalisé entre 202 et 203_x000a_* qualité /niveau de signal : dl rx-qual=3, dl rx level = -52 dbm_x000a_*Requête de déconnexion a été envoyée par le RBC"/>
    <m/>
    <x v="0"/>
    <s v="En attente de mise en place des tiroires filtrés "/>
    <s v="HO non finalisé entre 202 et 203"/>
    <s v="dl Rxqual=3"/>
    <s v="dl rx level= -52"/>
    <s v="OK"/>
    <s v="OK"/>
    <s v="Mauvais"/>
    <s v=" Retransmission des trames HDLC*5"/>
    <m/>
    <s v="HAMZAOUI Youssef"/>
    <m/>
    <m/>
    <m/>
    <m/>
    <m/>
    <m/>
    <m/>
  </r>
  <r>
    <n v="667"/>
    <b v="0"/>
    <x v="237"/>
    <d v="1899-12-30T07:46:00"/>
    <n v="1001"/>
    <x v="10"/>
    <x v="1"/>
    <n v="1060"/>
    <m/>
    <s v="Casa/Tanger"/>
    <n v="94.95"/>
    <x v="8"/>
    <s v="N2"/>
    <s v="Ralentissement du train"/>
    <s v="*Etat H.O : HO non Finalisé entre 318 et 317_x000a_* qualité /niveau de signal : dl rx-qual=7, dl rx level = -83 dbm_x000a_*Requête de déconnexion a été envoyée par le RBC"/>
    <m/>
    <x v="0"/>
    <s v="En attente de mise en place des tiroires filtrés "/>
    <s v="HO non Finalisé entre 318 et 317"/>
    <s v="dl Rxqual=7"/>
    <s v="dl rx level= -83"/>
    <s v="OK"/>
    <s v="OK"/>
    <s v="Mauvais"/>
    <s v=" Retransmission des trames HDLC*5"/>
    <m/>
    <s v="Noura MOUSSAOUI"/>
    <m/>
    <m/>
    <m/>
    <m/>
    <m/>
    <m/>
    <m/>
  </r>
  <r>
    <n v="668"/>
    <b v="0"/>
    <x v="237"/>
    <d v="1899-12-30T10:35:43"/>
    <n v="2017"/>
    <x v="6"/>
    <x v="0"/>
    <n v="1057"/>
    <m/>
    <s v="Tanger/Casa"/>
    <n v="141.898"/>
    <x v="26"/>
    <s v="N2"/>
    <s v="Ralentissement du train"/>
    <s v="*Etat H.O : HO complet entre 224 et 225_x000a_* qualité /niveau de signal : dl rx-qual=0, dl rx level = -48 dbm_x000a_*Requête de déconnexion a été envoyée par le RBC"/>
    <m/>
    <x v="3"/>
    <s v="En attente de pousser les analyses coté RBC"/>
    <s v="HO complet entre 224 et 225"/>
    <s v="dl Rxqual=0"/>
    <s v="dl rx level= -48"/>
    <s v="OK"/>
    <s v="OK"/>
    <s v="Mauvais"/>
    <s v="pas de retransmission des trames HDLC"/>
    <m/>
    <s v="Noura MOUSSAOUI"/>
    <m/>
    <m/>
    <m/>
    <m/>
    <m/>
    <m/>
    <m/>
  </r>
  <r>
    <n v="669"/>
    <b v="0"/>
    <x v="237"/>
    <d v="1899-12-30T10:45:42"/>
    <n v="1013"/>
    <x v="2"/>
    <x v="1"/>
    <n v="1035"/>
    <m/>
    <s v="Casa/Tanger"/>
    <n v="94.95"/>
    <x v="8"/>
    <s v="N2"/>
    <s v="Ralentissement du train"/>
    <s v="*Etat H.O : HO non Finalisé entre 318 et 317_x000a_* qualité /niveau de signal : dl rx-qual=7, dl rx level = -85 dbm_x000a_*Requête de déconnexion a été envoyée par le RBC"/>
    <m/>
    <x v="2"/>
    <s v="Zone sous surveillance par équipe NOC GSMR"/>
    <s v="HO non Finalisé entre 318 et 317"/>
    <s v="dl Rxqual=7"/>
    <s v="dl rx level= -85"/>
    <s v="OK"/>
    <s v="OK"/>
    <s v="Mauvais"/>
    <s v=" Retransmission des trames HDLC*5"/>
    <m/>
    <s v="Noura MOUSSAOUI"/>
    <m/>
    <m/>
    <m/>
    <m/>
    <m/>
    <m/>
    <m/>
  </r>
  <r>
    <n v="670"/>
    <b v="0"/>
    <x v="237"/>
    <d v="1899-12-30T11:05:26"/>
    <n v="1013"/>
    <x v="2"/>
    <x v="1"/>
    <n v="1034"/>
    <m/>
    <s v="Casa/Tanger"/>
    <n v="7.3209999999999997"/>
    <x v="2"/>
    <s v="N2"/>
    <s v="Ralentissement du train"/>
    <s v="*Etat H.O : HO non Finalisé entre 202 et 203_x000a_* qualité /niveau de signal : dl rx-qual=6, dl rx level = -53 dbm_x000a_*Requête de déconnexion a été envoyée par le RBC"/>
    <m/>
    <x v="0"/>
    <s v="En attente de mise en place des tiroires filtrés "/>
    <s v="HO non Finalisé entre 202 et 203"/>
    <s v="dl Rxqual=6"/>
    <s v="dl rx level= -53"/>
    <s v="NOK"/>
    <s v="OK"/>
    <s v="Mauvais"/>
    <s v=" Retransmission des trames HDLC*5"/>
    <m/>
    <s v="Noura MOUSSAOUI"/>
    <m/>
    <m/>
    <m/>
    <m/>
    <m/>
    <m/>
    <m/>
  </r>
  <r>
    <n v="671"/>
    <b v="0"/>
    <x v="237"/>
    <d v="1899-12-30T14:04:44"/>
    <n v="2033"/>
    <x v="4"/>
    <x v="0"/>
    <n v="7208"/>
    <m/>
    <s v="Tanger/Casa"/>
    <n v="5.73"/>
    <x v="2"/>
    <s v="N2"/>
    <s v="Arrêt du train"/>
    <s v="*Etat H.O : HO complet  entre 201 et 302 _x000a_* qualité /niveau de signal : dl rx-qual=0, dl rx level = -48 dbm_x000a_*Requête de déconnexion a été envoyée par le RBC"/>
    <m/>
    <x v="0"/>
    <s v="En attente de mise en place des tiroires filtrés "/>
    <s v="HO complet entre 201 et 302"/>
    <s v="dl Rxqual=0"/>
    <s v="dl rx level= -48"/>
    <s v="OK"/>
    <s v="OK"/>
    <s v="Mauvais"/>
    <s v=" Retransmission des trames HDLC*5"/>
    <m/>
    <s v="Noura MOUSSAOUI"/>
    <m/>
    <m/>
    <m/>
    <m/>
    <m/>
    <m/>
    <m/>
  </r>
  <r>
    <n v="672"/>
    <b v="0"/>
    <x v="237"/>
    <d v="1899-12-30T18:26:42"/>
    <n v="1046"/>
    <x v="4"/>
    <x v="1"/>
    <n v="1032"/>
    <m/>
    <s v="Casa/Tanger"/>
    <n v="182.86500000000001"/>
    <x v="31"/>
    <s v="N2"/>
    <s v="Ralentissement du train"/>
    <s v="*Etat H.O : HO complet entre 332 et 331_x000a_* qualité /niveau de signal : dl rx-qual=0, dl rx level = -48 dbm_x000a_*Requête de déconnexion a été envoyée par le RBC"/>
    <m/>
    <x v="0"/>
    <s v="En attente de mise en place des tiroires filtrés "/>
    <s v="HO complet entre 332 et 331"/>
    <s v="dl Rxqual=0"/>
    <s v="dl rx level= -48"/>
    <s v="OK"/>
    <s v="NOK"/>
    <s v="Mauvais"/>
    <s v=" Retransmission des trames HDLC*5"/>
    <m/>
    <s v="Noura MOUSSAOUI"/>
    <m/>
    <m/>
    <m/>
    <m/>
    <m/>
    <m/>
    <m/>
  </r>
  <r>
    <n v="673"/>
    <b v="0"/>
    <x v="237"/>
    <d v="1899-12-30T19:05:16"/>
    <n v="2053"/>
    <x v="5"/>
    <x v="0"/>
    <n v="1032"/>
    <m/>
    <s v="Tanger/Casa"/>
    <n v="6.13"/>
    <x v="2"/>
    <s v="N2"/>
    <s v="Ralentissement du train"/>
    <s v="*Etat H.O : HO complet entre 301 et 302_x000a_* qualité /niveau de signal : dl rx-qual=7, dl rx level = -55 dbm_x000a_*Requête de déconnexion a été envoyée par le RBC"/>
    <m/>
    <x v="0"/>
    <s v="En attente de mise en place des tiroires filtrés "/>
    <s v="HO complet entre 301 et 302"/>
    <s v="dl Rxqual=7"/>
    <s v="dl rx level= -55"/>
    <s v="NOK"/>
    <s v="OK"/>
    <s v="Mauvais"/>
    <s v=" Retransmission des trames HDLC*5"/>
    <m/>
    <s v="Noura MOUSSAOUI"/>
    <m/>
    <m/>
    <m/>
    <m/>
    <m/>
    <m/>
    <m/>
  </r>
  <r>
    <n v="674"/>
    <b v="0"/>
    <x v="238"/>
    <d v="1899-12-30T10:42:50"/>
    <n v="2017"/>
    <x v="5"/>
    <x v="0"/>
    <n v="1024"/>
    <m/>
    <s v="Tanger/Casa"/>
    <n v="181.626"/>
    <x v="4"/>
    <s v="N2"/>
    <s v="Arrêt du train"/>
    <s v="*Etat H.O :HO Complet entre 230 et 231_x000a_* qualité /niveau de signal : dl rx-qual=0, dl rx level = -48 dbm_x000a_*Requête de déconnexion a été envoyée par le RBC"/>
    <m/>
    <x v="0"/>
    <s v="En attente de mise en place des tiroires filtrés "/>
    <s v="HO Complet entre 230 et 231"/>
    <s v="dl Rxqual=0"/>
    <s v="dl rx level= -48"/>
    <s v="OK"/>
    <s v="OK"/>
    <s v="Mauvais"/>
    <s v=" Retransmission des trames HDLC*5"/>
    <m/>
    <s v="Noura MOUSSAOUI"/>
    <m/>
    <m/>
    <m/>
    <m/>
    <m/>
    <m/>
    <m/>
  </r>
  <r>
    <n v="675"/>
    <b v="0"/>
    <x v="238"/>
    <d v="1899-12-30T16:20:32"/>
    <n v="2041"/>
    <x v="9"/>
    <x v="0"/>
    <n v="1053"/>
    <m/>
    <s v="Tanger/Casa"/>
    <n v="70.144000000000005"/>
    <x v="0"/>
    <s v="N2"/>
    <s v="Ralentissement du train"/>
    <s v="*Etat H.O :HO Complet entre 212 et 213_x000a_* qualité /niveau de signal : dl rx-qual=0, dl rx level = -48 dbm_x000a_*Requête de déconnexion a été envoyée par le RBC"/>
    <m/>
    <x v="0"/>
    <s v="En attente de mise en place des tiroires filtrés "/>
    <s v="HO Complet entre 212 et 213"/>
    <s v="dl Rxqual=0"/>
    <s v="dl rx level= -48"/>
    <s v="OK"/>
    <s v="NOK"/>
    <s v="Mauvais"/>
    <s v=" Retransmission des trames HDLC*5"/>
    <m/>
    <s v="HAMZAOUI Youssef"/>
    <m/>
    <m/>
    <m/>
    <m/>
    <m/>
    <m/>
    <m/>
  </r>
  <r>
    <n v="676"/>
    <b v="0"/>
    <x v="238"/>
    <d v="1899-12-30T18:05:53"/>
    <n v="2049"/>
    <x v="11"/>
    <x v="0"/>
    <n v="1048"/>
    <m/>
    <s v="Tanger/Casa"/>
    <n v="6.13"/>
    <x v="2"/>
    <s v="N2"/>
    <s v="Arrêt du train"/>
    <s v="*Etat H.O :Non finalise entre 301 et 203 (saut de cellule)_x000a_* qualité /niveau de signal : dl rx-qual=6, dl rx level = -54 dbm_x000a_*Requête de déconnexion a été envoyée par le RBC"/>
    <m/>
    <x v="0"/>
    <s v="En attente de mise en place des tiroires filtrés "/>
    <s v="HO non Finalisé entre 301 et 203"/>
    <s v="dl Rxqual=6"/>
    <s v="dl rx level= -54"/>
    <s v="NOK"/>
    <s v="OK"/>
    <s v="Mauvais"/>
    <s v=" Retransmission des trames HDLC*5"/>
    <m/>
    <s v="HAMZAOUI Youssef"/>
    <m/>
    <m/>
    <m/>
    <m/>
    <m/>
    <m/>
    <m/>
  </r>
  <r>
    <n v="677"/>
    <b v="0"/>
    <x v="238"/>
    <d v="1899-12-30T21:02:00"/>
    <n v="1054"/>
    <x v="9"/>
    <x v="1"/>
    <n v="1030"/>
    <m/>
    <s v="Casa/Tanger"/>
    <n v="16.29"/>
    <x v="22"/>
    <s v="N2"/>
    <s v="Ralentissement du train"/>
    <s v="*Etat H.O :complet entre 305 et 204 _x000a_* qualité /niveau de signal : dl rx-qual=0, dl rx level = -48 dbm_x000a_*Requête de déconnexion a été envoyée par le RBC(le conducteur a tenté de se reconnecter mais lors de la reconnexion le bord s'est accroché a la cellule 591 de la ligne Sidi Kacem-Tanger ce qui a provoqué une deuxiéme déconnexion en raison d'un HO non finalisé entre cette cellule et la cellule 592)"/>
    <m/>
    <x v="0"/>
    <s v="En attente de mise en place des tiroires filtrés "/>
    <s v="HO Complet entre 305 et 304"/>
    <s v="dl Rxqual=0"/>
    <s v="dl rx level= -48"/>
    <s v="OK"/>
    <s v="OK"/>
    <s v="Mauvais"/>
    <s v=" Retransmission des trames HDLC*5"/>
    <m/>
    <s v="HARIRI Bahaeddine"/>
    <m/>
    <m/>
    <m/>
    <m/>
    <m/>
    <m/>
    <m/>
  </r>
  <r>
    <n v="678"/>
    <b v="0"/>
    <x v="239"/>
    <d v="1899-12-30T07:47:04"/>
    <n v="1001"/>
    <x v="6"/>
    <x v="1"/>
    <n v="1023"/>
    <m/>
    <s v="Casa/Tanger"/>
    <n v="90.108000000000004"/>
    <x v="12"/>
    <s v="N2"/>
    <s v="Ralentissement du train"/>
    <s v="*Etat H.O : HO Complet entre 318 et 317_x000a_* qualité /niveau de signal : dl rx-qual=3, dl rx level = -65 dbm_x000a_*Requête de déconnexion a été envoyée par le RBC"/>
    <m/>
    <x v="0"/>
    <s v="En attente de mise en place des tiroires filtrés "/>
    <s v=" HO Complet entre 318 et 317"/>
    <s v="dl Rxqual=3"/>
    <s v="dl rx level= -65"/>
    <s v="OK"/>
    <s v="OK"/>
    <s v="Mauvais"/>
    <s v=" Retransmission des trames HDLC*5"/>
    <m/>
    <s v="Noura MOUSSAOUI"/>
    <m/>
    <m/>
    <m/>
    <m/>
    <m/>
    <m/>
    <m/>
  </r>
  <r>
    <n v="679"/>
    <b v="0"/>
    <x v="240"/>
    <s v=" 09:24:06"/>
    <n v="2013"/>
    <x v="9"/>
    <x v="0"/>
    <n v="1053"/>
    <m/>
    <s v="Tanger/Casa"/>
    <n v="87.715000000000003"/>
    <x v="12"/>
    <s v="N2"/>
    <s v="Ralentissement du train"/>
    <s v="*Etat H.O :  HO Complet entre 215 et 216_x000a_* qualité /niveau de signal : dl rx-qual=1, dl rx level = -61 dbm_x000a_*Requête de déconnexion a été envoyée par le RBC"/>
    <m/>
    <x v="0"/>
    <s v="En attente de mise en place des tiroires filtrés "/>
    <s v="HO Complet entre 215 et 216"/>
    <s v="dl Rxqual=1"/>
    <s v="dl rx level= -61"/>
    <s v="OK"/>
    <s v="NOK"/>
    <s v="Mauvais"/>
    <s v=" Retransmission des trames HDLC*5"/>
    <m/>
    <s v="Noura MOUSSAOUI"/>
    <m/>
    <m/>
    <m/>
    <m/>
    <m/>
    <m/>
    <m/>
  </r>
  <r>
    <n v="680"/>
    <b v="0"/>
    <x v="240"/>
    <s v=" 10:35:39"/>
    <n v="2017"/>
    <x v="11"/>
    <x v="0"/>
    <n v="1049"/>
    <m/>
    <s v="Tanger/Casa"/>
    <n v="145.54"/>
    <x v="3"/>
    <s v="N2"/>
    <s v="Ralentissement du train"/>
    <s v="*Etat H.O :  HO Complet entre 224 et 225_x000a_* qualité /niveau de signal : dl rx-qual=2, dl rx level = -70 dbm_x000a_*Requête de déconnexion a été envoyée par le RBC"/>
    <m/>
    <x v="3"/>
    <s v="En attente de pousser les analyses coté RBC"/>
    <s v="HO Complet entre 224 et 225"/>
    <s v="dl Rxqual=2"/>
    <s v="dl rx level= -70"/>
    <s v="OK"/>
    <s v="OK"/>
    <s v="Mauvais"/>
    <s v="pas de retransmission des trames HDLC"/>
    <m/>
    <s v="HAMZAOUI Youssef"/>
    <m/>
    <m/>
    <m/>
    <m/>
    <m/>
    <m/>
    <m/>
  </r>
  <r>
    <n v="681"/>
    <b v="0"/>
    <x v="240"/>
    <d v="1899-12-30T15:44:29"/>
    <n v="2037"/>
    <x v="10"/>
    <x v="0"/>
    <n v="7198"/>
    <m/>
    <s v="Tanger/Casa"/>
    <n v="186.315"/>
    <x v="19"/>
    <s v="N2"/>
    <s v="Ralentissement du train"/>
    <s v="*Etat H.O :  HO Complet entre 231 et 232_x000a_* qualité /niveau de signal : dl rx-qual=0, dl rx level = -65 dbm_x000a_*Requête de déconnexion a été envoyée par le RBC"/>
    <m/>
    <x v="0"/>
    <s v="En attente de mise en place des tiroires filtrés "/>
    <s v="HO Complet entre 231 et 232"/>
    <s v="dl Rxqual=0"/>
    <s v="dl rx level= -54"/>
    <s v="OK"/>
    <s v="NOK"/>
    <s v="Mauvais"/>
    <s v=" Retransmission des trames HDLC*5"/>
    <m/>
    <s v="ISMALI ALAOUI Hamza"/>
    <m/>
    <m/>
    <m/>
    <m/>
    <m/>
    <m/>
    <m/>
  </r>
  <r>
    <n v="682"/>
    <b v="0"/>
    <x v="240"/>
    <d v="1899-12-30T18:04:57"/>
    <n v="2049"/>
    <x v="1"/>
    <x v="0"/>
    <n v="1028"/>
    <m/>
    <s v="Tanger/Casa"/>
    <n v="6.13"/>
    <x v="2"/>
    <s v="N2"/>
    <s v="Arrêt du train"/>
    <s v="*Etat H.O :  HO non finalisé entre 302 et 203_x000a_* qualité /niveau de signal : dl rx-qual=7, dl rx level = -55 dbm_x000a_*Requête de déconnexion a été envoyée par le RBC"/>
    <m/>
    <x v="0"/>
    <s v="En attente de mise en place des tiroires filtrés "/>
    <s v="HO non Finalisé entre 302 et 203"/>
    <s v="dl Rxqual=7"/>
    <s v="dl rx level= -55"/>
    <s v="OK"/>
    <s v="OK"/>
    <s v="Mauvais"/>
    <s v=" Retransmission des trames HDLC*5"/>
    <m/>
    <s v="ISMALI ALAOUI Hamza"/>
    <m/>
    <m/>
    <m/>
    <m/>
    <m/>
    <m/>
    <m/>
  </r>
  <r>
    <n v="683"/>
    <b v="0"/>
    <x v="240"/>
    <d v="1899-12-30T19:24:42"/>
    <n v="1050"/>
    <x v="10"/>
    <x v="1"/>
    <n v="1061"/>
    <m/>
    <s v="Casa/Tanger"/>
    <n v="198.98400000000001"/>
    <x v="5"/>
    <s v="N2"/>
    <s v="Arrêt du train"/>
    <s v="*Etat H.O : HO Complet entre 234 et 233_x000a_* qualité /niveau de signal : dl rx-qual=0, dl rx level = -50 dbm_x000a_*Requête de déconnexion a été envoyée par le MSC"/>
    <m/>
    <x v="0"/>
    <s v="En attente de mise en place des tiroires filtrés "/>
    <s v=" HO Complet entre 234 et 233"/>
    <s v="dl Rxqual=0"/>
    <s v="dl rx level= -50"/>
    <s v="OK"/>
    <s v="OK"/>
    <s v="Mauvais"/>
    <s v="pas de retransmission des trames HDLC"/>
    <m/>
    <s v="HARIRI Bahaeddine"/>
    <m/>
    <m/>
    <m/>
    <m/>
    <m/>
    <m/>
    <m/>
  </r>
  <r>
    <n v="684"/>
    <b v="0"/>
    <x v="241"/>
    <d v="1899-12-30T20:05:51"/>
    <n v="2057"/>
    <x v="11"/>
    <x v="0"/>
    <n v="1048"/>
    <m/>
    <s v="Tanger/Casa"/>
    <n v="6.13"/>
    <x v="2"/>
    <s v="N2"/>
    <s v="Arrêt du train"/>
    <s v="*Etat H.O :  HO recule non finalisé entre 202 et 301_x000a_* qualité /niveau de signal : dl rx-qual=7, dl rx level = -52 dbm_x000a_*Requête de déconnexion a été envoyée par le RBC"/>
    <m/>
    <x v="0"/>
    <s v="En attente de mise en place des tiroires filtrés "/>
    <s v=" HO recule non finalisé entre 202 et 301"/>
    <s v="dl Rxqual=7"/>
    <s v="dl rx level= -52"/>
    <s v="OK"/>
    <s v="OK"/>
    <s v="Mauvais"/>
    <s v=" Retransmission des trames HDLC*5"/>
    <m/>
    <s v="HARIRI Bahaeddine"/>
    <m/>
    <m/>
    <m/>
    <m/>
    <m/>
    <m/>
    <m/>
  </r>
  <r>
    <n v="685"/>
    <b v="0"/>
    <x v="242"/>
    <d v="1899-12-30T09:57:51"/>
    <n v="1009"/>
    <x v="11"/>
    <x v="1"/>
    <n v="1020"/>
    <m/>
    <s v="Casa/Tanger"/>
    <n v="94.953999999999994"/>
    <x v="8"/>
    <s v="N2"/>
    <s v="Ralentissement du train"/>
    <s v="*Etat H.O :  HO non finalisé entre 318 et 317_x000a_* qualité /niveau de signal : dl rx-qual=7, dl rx level = -85 dbm_x000a_*Requête de déconnexion a été envoyée par le RBC"/>
    <m/>
    <x v="2"/>
    <s v="Zone sous surveillance par équipe NOC GSMR"/>
    <s v=" HO non finalisé entre 318 et 317"/>
    <s v="dl Rxqual=7"/>
    <s v="dl rx level= -85"/>
    <s v="OK"/>
    <s v="OK"/>
    <s v="Mauvais"/>
    <s v=" Retransmission des trames HDLC*5"/>
    <m/>
    <s v="Noura MOUSSAOUI"/>
    <m/>
    <m/>
    <m/>
    <m/>
    <m/>
    <m/>
    <m/>
  </r>
  <r>
    <n v="686"/>
    <b v="0"/>
    <x v="242"/>
    <s v="12:05:29 "/>
    <n v="2025"/>
    <x v="6"/>
    <x v="0"/>
    <n v="1056"/>
    <m/>
    <s v="Tanger/Casa"/>
    <n v="6.13"/>
    <x v="2"/>
    <s v="N2"/>
    <s v="Ralentissement du train"/>
    <s v="*Etat H.O : HO non finalisé entre 202 et 203_x000a_* qualité /niveau de signal : dl rx-qual=7, dl rx level = -54 dbm_x000a_*Requête de déconnexion a été envoyée par le RBC"/>
    <m/>
    <x v="0"/>
    <s v="En attente de mise en place des tiroires filtrés "/>
    <s v="HO non finalisé entre 202 et 203"/>
    <s v="dl Rxqual=7"/>
    <s v="dl rx level= -54"/>
    <s v="NOK"/>
    <s v="OK"/>
    <s v="Mauvais"/>
    <s v=" Retransmission des trames HDLC*5"/>
    <m/>
    <s v="Noura MOUSSAOUI"/>
    <m/>
    <m/>
    <m/>
    <m/>
    <m/>
    <m/>
    <m/>
  </r>
  <r>
    <n v="687"/>
    <b v="0"/>
    <x v="242"/>
    <d v="1899-12-30T20:04:06"/>
    <n v="1049"/>
    <x v="3"/>
    <x v="1"/>
    <n v="1008"/>
    <m/>
    <s v="Casa/Tanger"/>
    <n v="25.91"/>
    <x v="7"/>
    <s v="N2"/>
    <s v="Arrêt du train"/>
    <s v="*Etat H.O : HO non finalisé entre 306 et 207_x000a_* qualité /niveau de signal : dl rx-qual=7, dl rx level = -82 dbm_x000a_*Requête de déconnexion a été envoyée par le RBC"/>
    <m/>
    <x v="2"/>
    <s v="Zone sous surveillance par équipe NOC GSMR"/>
    <s v="HO non finalisé entre 306 et 207"/>
    <s v="dl Rxqual=7"/>
    <s v="dl rx level= -82"/>
    <s v="NOK"/>
    <s v="OK"/>
    <s v="Mauvais"/>
    <s v=" Retransmission des trames HDLC*5"/>
    <m/>
    <s v="Fahd OUSSALH"/>
    <m/>
    <m/>
    <m/>
    <m/>
    <m/>
    <m/>
    <m/>
  </r>
  <r>
    <n v="688"/>
    <b v="0"/>
    <x v="243"/>
    <d v="1899-12-30T17:35:59"/>
    <n v="2045"/>
    <x v="6"/>
    <x v="0"/>
    <n v="1057"/>
    <m/>
    <s v="Tanger/Casa"/>
    <n v="140.65899999999999"/>
    <x v="26"/>
    <s v="N2"/>
    <s v="Arrêt du train"/>
    <s v="*Etat H.O : HO finalisé entre 224 et 225_x000a_* qualité /niveau de signal : dl rx-qual=0, dl rx level = -77 dbm_x000a_*Requête de déconnexion a été envoyée par le RBC"/>
    <m/>
    <x v="3"/>
    <s v="En attente de pousser les analyses coté RBC"/>
    <s v="HO finalisé entre 224 et 225"/>
    <s v="dl Rxqual=0"/>
    <s v="dl rx level= -77"/>
    <s v="OK"/>
    <s v="OK"/>
    <s v="Mauvais"/>
    <s v="  Pas de Retransmission des trames "/>
    <m/>
    <s v="Fahd OUSSALH"/>
    <m/>
    <m/>
    <m/>
    <m/>
    <m/>
    <m/>
    <m/>
  </r>
  <r>
    <n v="689"/>
    <b v="0"/>
    <x v="243"/>
    <d v="1899-12-30T20:05:57"/>
    <n v="1050"/>
    <x v="3"/>
    <x v="1"/>
    <n v="1008"/>
    <m/>
    <s v="Casa/Tanger"/>
    <n v="7.3209999999999997"/>
    <x v="2"/>
    <s v="N2"/>
    <s v="Ralentissement du train"/>
    <s v="*Etat H.O : HO finalisé entre 303 et 302_x000a_* qualité /niveau de signal : dl rx-qual=7, dl rx level = -79 dbm_x000a_*Requête de déconnexion a été envoyée par le RBC"/>
    <m/>
    <x v="0"/>
    <s v="En attente de mise en place des tiroires filtrés "/>
    <s v="HO finalisé entre 303 et 302"/>
    <s v="dl Rxqual=7"/>
    <s v="dl rx level= -79"/>
    <s v="OK"/>
    <s v="OK"/>
    <s v="Mauvais"/>
    <s v=" Retransmission des trames HDLC*5"/>
    <m/>
    <s v="Fahd OUSSALH"/>
    <m/>
    <m/>
    <m/>
    <m/>
    <m/>
    <m/>
    <m/>
  </r>
  <r>
    <n v="690"/>
    <b v="0"/>
    <x v="243"/>
    <d v="1899-12-30T23:03:54"/>
    <n v="1061"/>
    <x v="4"/>
    <x v="1"/>
    <n v="1033"/>
    <m/>
    <s v="Casa/Tanger"/>
    <n v="8.9700000000000006"/>
    <x v="2"/>
    <s v="N2"/>
    <s v="Arrêt du train"/>
    <s v="* Etat H.O : Ho est complet entre 304 et 303_x000a_* qualité /niveau de signal : dl rx-qual=2, dl rx level = -64dbm_x000a_*Requête de déconnexion a été envoyée par le RBC"/>
    <m/>
    <x v="0"/>
    <s v="En attente de mise en place des tiroires filtrés "/>
    <s v="HO finalisé entre 304 et 303"/>
    <s v="dl Rxqual=2"/>
    <s v="dl rx level= -64"/>
    <s v="OK"/>
    <s v="OK"/>
    <s v="Mauvais"/>
    <s v=" Retransmission des trames HDLC*5"/>
    <m/>
    <s v="Saad Elhabib"/>
    <m/>
    <m/>
    <m/>
    <m/>
    <m/>
    <m/>
    <m/>
  </r>
  <r>
    <n v="691"/>
    <b v="0"/>
    <x v="243"/>
    <d v="1899-12-30T11:27:11"/>
    <n v="2021"/>
    <x v="11"/>
    <x v="0"/>
    <n v="1049"/>
    <m/>
    <s v="Tanger/Casa"/>
    <n v="106.91800000000001"/>
    <x v="1"/>
    <s v="N2"/>
    <s v="Ralentissement du train"/>
    <s v="* Etat H.O : HO Complet entre 218 et 219_x000a_* qualité /niveau de signal : dl rx-qual=0, dl rx level = -51dbm_x000a_*Requête de déconnexion a été envoyée par le RBC"/>
    <m/>
    <x v="0"/>
    <s v="En attente de mise en place des tiroires filtrés "/>
    <s v="HO finalisé entre 218 et 219"/>
    <s v="dl Rxqual=0"/>
    <s v="dl rx level= -51"/>
    <s v="OK"/>
    <s v="OK"/>
    <s v="Mauvais"/>
    <s v=" Retransmission des trames HDLC*5"/>
    <m/>
    <s v="Saad Elhabib"/>
    <m/>
    <m/>
    <m/>
    <m/>
    <m/>
    <m/>
    <m/>
  </r>
  <r>
    <n v="692"/>
    <b v="0"/>
    <x v="244"/>
    <d v="1899-12-30T13:05:00"/>
    <n v="1021"/>
    <x v="4"/>
    <x v="1"/>
    <n v="1033"/>
    <m/>
    <s v="Tanger/Casa"/>
    <n v="8.9700000000000006"/>
    <x v="2"/>
    <s v="N2"/>
    <s v="Arrêt du train"/>
    <s v="* Etat H.O :Ho est complet entre 304 et 303_x000a_* qualité /niveau de signal : dl rx-qual=5, dl rx level = -66dbm_x000a_*Requête de déconnexion a été envoyée par le RBC"/>
    <m/>
    <x v="0"/>
    <s v="En attente de mise en place des tiroires filtrés "/>
    <s v="HO finalisé entre 304 et 303"/>
    <s v="dl Rxqual=5"/>
    <s v="dl rx level= -66"/>
    <s v="OK"/>
    <s v="OK"/>
    <s v="Mauvais"/>
    <s v="  Pas de Retransmission des trames "/>
    <m/>
    <s v="Noura MOUSSAOUI"/>
    <m/>
    <m/>
    <m/>
    <m/>
    <m/>
    <m/>
    <m/>
  </r>
  <r>
    <n v="693"/>
    <b v="0"/>
    <x v="244"/>
    <d v="1899-12-30T20:05:21"/>
    <n v="1050"/>
    <x v="10"/>
    <x v="1"/>
    <n v="1060"/>
    <m/>
    <s v="Casa/Tanger"/>
    <n v="7.3209999999999997"/>
    <x v="2"/>
    <s v="N2"/>
    <s v="Ralentissement du train"/>
    <s v="* Etat H.O :Ho non finalisé entre 203 et 302_x000a_* qualité /niveau de signal : dl rx-qual=6, dl rx level = -52dbm_x000a_*Requête de déconnexion a été envoyée par le BORD"/>
    <m/>
    <x v="0"/>
    <s v="En attente de mise en place des tiroires filtrés "/>
    <s v="HO NON finalisé entre 302 et 203"/>
    <s v="dl Rxqual=6"/>
    <s v="dl rx level= -52"/>
    <s v="NOK"/>
    <s v="OK"/>
    <s v="Mauvais"/>
    <s v=" Retransmission des trames HDLC*5"/>
    <m/>
    <s v="MAROUANI Otmane"/>
    <m/>
    <m/>
    <m/>
    <m/>
    <m/>
    <m/>
    <m/>
  </r>
  <r>
    <n v="694"/>
    <b v="0"/>
    <x v="245"/>
    <d v="1899-12-30T04:09:45"/>
    <n v="2081"/>
    <x v="3"/>
    <x v="0"/>
    <n v="1047"/>
    <m/>
    <s v="Tanger/Casa"/>
    <n v="14.99"/>
    <x v="22"/>
    <s v="N2"/>
    <s v="Arrêt du train"/>
    <s v="* Etat H.O : HO Complet entre 203 et 204_x000a_* qualité /niveau de signal : dl rx-qual=0, dl rx level = -48dbm_x000a_*Requête de déconnexion a été envoyée par le RBC"/>
    <m/>
    <x v="0"/>
    <s v="En attente de mise en place des tiroires filtrés "/>
    <s v="HO Complete entre 203 et 204"/>
    <s v="dl Rxqual=0"/>
    <s v="dl rx level= -48"/>
    <s v="OK"/>
    <s v="OK"/>
    <s v="Mauvais"/>
    <s v=" Retransmission des trames HDLC*5"/>
    <m/>
    <s v="Saad Elhabib"/>
    <m/>
    <m/>
    <m/>
    <m/>
    <m/>
    <m/>
    <m/>
  </r>
  <r>
    <n v="695"/>
    <b v="0"/>
    <x v="245"/>
    <d v="1899-12-30T08:13:14"/>
    <n v="2009"/>
    <x v="3"/>
    <x v="0"/>
    <n v="1046"/>
    <m/>
    <s v="Tanger/Casa"/>
    <n v="31.350999999999999"/>
    <x v="25"/>
    <s v="N2"/>
    <s v="Ralentissement du train"/>
    <s v="* Etat H.O : HO Complet entre 205 et 206_x000a_* qualité /niveau de signal : dl rx-qual=0, dl rx level = -55dbm_x000a_*Requête de déconnexion a été envoyée par le RBC"/>
    <m/>
    <x v="0"/>
    <s v="En attente de mise en place des tiroires filtrés "/>
    <s v="HO Complete entre 205 et 206"/>
    <s v="dl Rxqual=0"/>
    <s v="dl rx level= -55"/>
    <s v="OK"/>
    <s v="OK"/>
    <s v="Mauvais"/>
    <s v=" Retransmission des trames HDLC*5"/>
    <m/>
    <s v="Noura MOUSSAOUI"/>
    <m/>
    <m/>
    <m/>
    <m/>
    <m/>
    <m/>
    <m/>
  </r>
  <r>
    <n v="696"/>
    <b v="0"/>
    <x v="245"/>
    <d v="1899-12-30T09:35:47"/>
    <n v="2013"/>
    <x v="1"/>
    <x v="0"/>
    <n v="1029"/>
    <m/>
    <s v="Tanger/Casa"/>
    <n v="144.63200000000001"/>
    <x v="3"/>
    <s v="N2"/>
    <s v="Ralentissement du train"/>
    <s v="* Etat H.O : HO Complet entre 224 et 225_x000a_* qualité /niveau de signal : dl rx-qual=0, dl rx level = -59dbm_x000a_*Requête de déconnexion a été envoyée par le RBC"/>
    <m/>
    <x v="0"/>
    <s v="En attente de mise en place des tiroires filtrés "/>
    <s v="HO Complete entre 225 et 226"/>
    <s v="dl Rxqual=0"/>
    <s v="dl rx level= -59"/>
    <s v="OK"/>
    <s v="OK"/>
    <s v="Mauvais"/>
    <s v=" Retransmission des trames HDLC*5"/>
    <m/>
    <s v="SGHAYER Achraf"/>
    <m/>
    <m/>
    <m/>
    <m/>
    <m/>
    <m/>
    <m/>
  </r>
  <r>
    <n v="697"/>
    <b v="0"/>
    <x v="245"/>
    <d v="1899-12-30T12:14:14"/>
    <n v="2025"/>
    <x v="4"/>
    <x v="0"/>
    <n v="7208"/>
    <m/>
    <s v="Tanger/Casa"/>
    <n v="39.215000000000003"/>
    <x v="14"/>
    <s v="N2"/>
    <s v="Ralentissement du train"/>
    <s v="* Etat H.O : HO non finalisé entre 207 et 208_x000a_* qualité /niveau de signal : dl rx-qual=0, dl rx level = -65dbm_x000a_*Requête de déconnexion a été envoyée par le RBC"/>
    <m/>
    <x v="0"/>
    <s v="En attente de mise en place des tiroires filtrés "/>
    <s v="HO non finalisé entre 207 et 208"/>
    <s v="dl Rxqual=0"/>
    <s v="dl rx level= -65"/>
    <s v="NOK"/>
    <s v="OK"/>
    <s v="Mauvais"/>
    <s v=" Retransmission des trames HDLC*5"/>
    <m/>
    <s v="Noura MOUSSAOUI"/>
    <m/>
    <m/>
    <m/>
    <m/>
    <m/>
    <m/>
    <m/>
  </r>
  <r>
    <n v="698"/>
    <b v="0"/>
    <x v="246"/>
    <s v="08:08:30 "/>
    <n v="2009"/>
    <x v="10"/>
    <x v="0"/>
    <n v="7206"/>
    <m/>
    <s v="Tanger/Casa"/>
    <n v="12.496"/>
    <x v="22"/>
    <s v="N2"/>
    <s v="Ralentissement du train"/>
    <s v="* Etat H.O :  HO complet entre 203 et 204_x000a_* qualité /niveau de signal : dl rx-qual=0, dl rx level = -55dbm_x000a_*Requête de déconnexion a été envoyée par le RBC"/>
    <m/>
    <x v="0"/>
    <s v="En attente de mise en place des tiroires filtrés "/>
    <s v="HO non finalisé entre 203 et 204"/>
    <s v="dl Rxqual=0"/>
    <s v="dl rx level= -55"/>
    <s v="OK"/>
    <s v="OK"/>
    <s v="Mauvais"/>
    <s v=" Retransmission des trames HDLC*5"/>
    <m/>
    <s v="Noura MOUSSAOUI"/>
    <m/>
    <m/>
    <m/>
    <m/>
    <m/>
    <m/>
    <m/>
  </r>
  <r>
    <n v="699"/>
    <b v="0"/>
    <x v="246"/>
    <s v="17:05:05 "/>
    <n v="2045"/>
    <x v="4"/>
    <x v="0"/>
    <n v="7208"/>
    <m/>
    <s v="Tanger/Casa"/>
    <n v="6.13"/>
    <x v="2"/>
    <s v="N2"/>
    <s v="Arrêt du train"/>
    <s v="* Etat H.O :  HO non complet entre 202 et 203_x000a_* qualité /niveau de signal : dl rx-qual=7, dl rx level = -53dbm_x000a_*Requête de déconnexion a été envoyée par le RBC"/>
    <m/>
    <x v="0"/>
    <s v="En attente de mise en place des tiroires filtrés "/>
    <s v="HO non finalisé entre 202 et 203"/>
    <s v="dl Rxqual=7"/>
    <s v="dl rx level= -53"/>
    <s v="OK"/>
    <s v="OK"/>
    <s v="Mauvais"/>
    <s v=" Retransmission des trames HDLC*5"/>
    <m/>
    <s v="HARIRI Bahaeddine"/>
    <m/>
    <m/>
    <m/>
    <m/>
    <m/>
    <m/>
    <m/>
  </r>
  <r>
    <n v="700"/>
    <b v="0"/>
    <x v="246"/>
    <s v="19:05:02 "/>
    <n v="2053"/>
    <x v="0"/>
    <x v="0"/>
    <n v="1036"/>
    <m/>
    <s v="Tanger/Casa"/>
    <n v="6.13"/>
    <x v="2"/>
    <s v="N2"/>
    <s v="Arrêt du train"/>
    <s v="* Etat H.O :  HO non complet entre 202 et 203_x000a_* qualité /niveau de signal : dl rx-qual=7, dl rx level = -55dbm_x000a_*Requête de déconnexion a été envoyée par le RBC"/>
    <m/>
    <x v="0"/>
    <s v="En attente de mise en place des tiroires filtrés "/>
    <s v="HO non finalisé entre 202 et 203"/>
    <s v="dl Rxqual=7"/>
    <s v="dl rx level= -55"/>
    <s v="OK"/>
    <s v="OK"/>
    <s v="Mauvais"/>
    <s v=" Retransmission des trames HDLC*5"/>
    <m/>
    <s v="HARIRI Bahaeddine"/>
    <m/>
    <m/>
    <m/>
    <m/>
    <m/>
    <m/>
    <m/>
  </r>
  <r>
    <n v="701"/>
    <b v="0"/>
    <x v="246"/>
    <d v="1899-12-30T17:20:42"/>
    <n v="2045"/>
    <x v="4"/>
    <x v="0"/>
    <n v="1058"/>
    <m/>
    <s v="Tanger/Casa"/>
    <n v="57.661999999999999"/>
    <x v="23"/>
    <s v="N2"/>
    <s v="Ralentissement du train"/>
    <s v="*Etat H.O : HO  complet entre 209 et 210_x000a_* qualité /niveau de signal : absence des traces radios_x000a_*Requête de déconnexion a été envoyée par le RBC"/>
    <m/>
    <x v="0"/>
    <s v="absence des mesures radio &quot; problème au niveau de l'interface expandium&quot; "/>
    <s v="HO  complet entre 209 et 210"/>
    <m/>
    <m/>
    <s v="absence des traces radios"/>
    <s v="OK"/>
    <s v="Mauvais"/>
    <s v=" Retransmission des trames HDLC*5"/>
    <m/>
    <s v="Saad Elhabib"/>
    <m/>
    <m/>
    <m/>
    <m/>
    <m/>
    <m/>
    <m/>
  </r>
  <r>
    <n v="702"/>
    <b v="0"/>
    <x v="247"/>
    <s v=" 09 :05 :21"/>
    <n v="2013"/>
    <x v="11"/>
    <x v="0"/>
    <n v="1048"/>
    <m/>
    <s v="Tanger/Casa"/>
    <n v="6.13"/>
    <x v="2"/>
    <s v="N2"/>
    <s v="Arrêt du train"/>
    <s v="*Etat H.O : HO non finalisé entre 302 et 303_x000a_* qualité /niveau de signal : dl Rxqual=7,dl rx level= -52_x000a_*Requête de déconnexion a été envoyée par le RBC"/>
    <m/>
    <x v="0"/>
    <s v="En attente de mise en place des tiroires filtrés "/>
    <s v="HO non finalisé entre 302 et 303"/>
    <s v="dl Rxqual=7"/>
    <s v="dl rx level= -52"/>
    <s v="NOK"/>
    <s v="OK"/>
    <s v="Mauvais"/>
    <s v=" Retransmission des trames HDLC*5"/>
    <m/>
    <s v="Noura MOUSSAOUI"/>
    <m/>
    <m/>
    <m/>
    <m/>
    <m/>
    <m/>
    <m/>
  </r>
  <r>
    <n v="703"/>
    <b v="0"/>
    <x v="247"/>
    <s v="13:01:41 "/>
    <n v="1022"/>
    <x v="4"/>
    <x v="1"/>
    <n v="7206"/>
    <m/>
    <s v="Casa/Tanger"/>
    <n v="16.29"/>
    <x v="22"/>
    <s v="N2"/>
    <s v="Ralentissement du train"/>
    <s v="* Etat H.O :  HO complet entre 305 et 304_x000a_* qualité /niveau de signal : dl rx-qual=0, dl rx level = -51dbm_x000a_*Requête de déconnexion a été envoyée par le RBC"/>
    <m/>
    <x v="0"/>
    <s v="En attente de mise en place des tiroires filtrés "/>
    <s v="HO  complet entre 305 et 304"/>
    <s v="dl Rxqual=0"/>
    <s v="dl rx level= -51"/>
    <s v="OK"/>
    <s v="OK"/>
    <s v="Mauvais"/>
    <s v=" Retransmission des trames HDLC*5"/>
    <m/>
    <s v="HARIRI Bahaeddine"/>
    <m/>
    <m/>
    <m/>
    <m/>
    <m/>
    <m/>
    <m/>
  </r>
  <r>
    <n v="704"/>
    <b v="0"/>
    <x v="247"/>
    <d v="1899-12-30T15:05:21"/>
    <n v="2037"/>
    <x v="11"/>
    <x v="0"/>
    <n v="1048"/>
    <m/>
    <s v="Tanger/Casa"/>
    <n v="6.13"/>
    <x v="2"/>
    <s v="N2"/>
    <s v="Arrêt du train"/>
    <s v="* Etat H.O :  HO complet entre 202 et 203_x000a_* qualité /niveau de signal : dl rx-qual=7, dl rx level = -58dbm_x000a_*Requête de déconnexion a été envoyée par le RBC"/>
    <m/>
    <x v="0"/>
    <s v="En attente de mise en place des tiroires filtrés "/>
    <s v="HO complet  entre 202 et 203"/>
    <s v="dl Rxqual=7"/>
    <s v="dl rx level= -58"/>
    <s v="NOK"/>
    <s v="OK"/>
    <s v="Mauvais"/>
    <s v=" Retransmission des trames HDLC*5"/>
    <m/>
    <s v="HARIRI Bahaeddine"/>
    <m/>
    <m/>
    <m/>
    <m/>
    <m/>
    <m/>
    <m/>
  </r>
  <r>
    <n v="705"/>
    <b v="0"/>
    <x v="248"/>
    <d v="1899-12-30T11:29:31"/>
    <n v="2021"/>
    <x v="7"/>
    <x v="0"/>
    <n v="1055"/>
    <m/>
    <s v="Tanger/Casa"/>
    <n v="118.562"/>
    <x v="17"/>
    <s v="N2"/>
    <s v="Ralentissement du train"/>
    <s v="* Etat H.O :  HO complet entre 220 et 321_x000a_* qualité /niveau de signal : dl rx-qual=0, dl rx level = -48dbm_x000a_*Requête de déconnexion a été envoyée par le RBC"/>
    <m/>
    <x v="0"/>
    <s v="En attente de mise en place des tiroires filtrés "/>
    <s v="HO complet entre 220 et 321"/>
    <s v="dl Rxqual=0"/>
    <s v="dl rx level= -48"/>
    <s v="OK"/>
    <s v="OK"/>
    <s v="Mauvais"/>
    <s v=" Retransmission des trames HDLC*5"/>
    <m/>
    <s v="Fahd OUSSALH"/>
    <m/>
    <m/>
    <m/>
    <m/>
    <m/>
    <m/>
    <m/>
  </r>
  <r>
    <n v="706"/>
    <b v="0"/>
    <x v="248"/>
    <d v="1899-12-30T15:05:13"/>
    <n v="2037"/>
    <x v="6"/>
    <x v="0"/>
    <n v="1055"/>
    <m/>
    <s v="Tanger/Casa"/>
    <n v="6.13"/>
    <x v="2"/>
    <s v="N2"/>
    <s v="Ralentissement du train"/>
    <s v="*Etat H.O : HO non finalisé entre 202 et 303_x000a_* qualité /niveau de signal : dl Rxqual=7,dl rx level= -55_x000a_*Requête de déconnexion a été envoyée par le Bord"/>
    <m/>
    <x v="0"/>
    <s v="En attente de mise en place des tiroires filtrés "/>
    <s v="HO non finalisé entre 302 et 303"/>
    <s v="dl Rxqual=7"/>
    <s v="dl rx level= -55"/>
    <s v="OK"/>
    <s v="OK"/>
    <s v="Mauvais"/>
    <s v="pas de retransmission des trames HDLC"/>
    <m/>
    <s v="HARIRI Bahaeddine"/>
    <m/>
    <m/>
    <m/>
    <m/>
    <m/>
    <m/>
    <m/>
  </r>
  <r>
    <n v="707"/>
    <b v="0"/>
    <x v="248"/>
    <d v="1899-12-30T20:35:24"/>
    <n v="2057"/>
    <x v="4"/>
    <x v="0"/>
    <n v="1058"/>
    <m/>
    <s v="Tanger/Casa"/>
    <n v="144.32599999999999"/>
    <x v="3"/>
    <s v="N2"/>
    <s v="Ralentissement du train"/>
    <s v="*Etat H.O : HO complete entre 224 et 225_x000a_* qualité /niveau de signal : dl Rxqual=1,dl rx level= -64_x000a_*Requête de déconnexion a été envoyée par le RBC "/>
    <m/>
    <x v="3"/>
    <s v="En attente de pousser les analyses coté RBC"/>
    <s v="HO Compléte  entre 224 et 225"/>
    <s v="dl Rxqual=1"/>
    <s v="dl rx level= -64"/>
    <s v="OK "/>
    <s v="OK"/>
    <s v="Mauvais"/>
    <s v="pas de retransmission des trames HDLC"/>
    <m/>
    <s v="ELHAJOUIA Achraf"/>
    <m/>
    <m/>
    <m/>
    <m/>
    <m/>
    <m/>
    <m/>
  </r>
  <r>
    <n v="708"/>
    <b v="0"/>
    <x v="248"/>
    <d v="1899-12-30T21:05:26"/>
    <n v="2061"/>
    <x v="3"/>
    <x v="0"/>
    <n v="1046"/>
    <m/>
    <s v="Tanger/Casa"/>
    <n v="6.13"/>
    <x v="2"/>
    <s v="N2"/>
    <s v="Arrêt du train"/>
    <s v="*Etat H.O : HO non finalisé entre 202 et 303_x000a_* qualité /niveau de signal : dl Rxqual=6,dl rx level= -52_x000a_*Requête de déconnexion a été envoyée par le RBC"/>
    <m/>
    <x v="0"/>
    <s v="En attente de mise en place des tiroires filtrés "/>
    <s v="HO Non finalisé  entre 202 et 303"/>
    <s v="dl Rxqual=6"/>
    <s v="dl rx level= -52"/>
    <s v="NOK "/>
    <s v="OK"/>
    <s v="Mauvais"/>
    <s v=" Retransmission des trames HDLC*5"/>
    <m/>
    <s v="ELHAJOUIA Achraf"/>
    <m/>
    <m/>
    <m/>
    <m/>
    <m/>
    <m/>
    <m/>
  </r>
  <r>
    <n v="709"/>
    <b v="0"/>
    <x v="249"/>
    <d v="1899-12-30T06:10:41"/>
    <n v="2001"/>
    <x v="10"/>
    <x v="0"/>
    <n v="7198"/>
    <m/>
    <s v="Tanger/Casa"/>
    <n v="21.55"/>
    <x v="20"/>
    <s v="N2"/>
    <s v="Ralentissement du train"/>
    <s v="*Etat H.O : HO non finalisé entre 204 et 205_x000a_* qualité /niveau de signal : dl Rxqual=0,dl rx level= -71_x000a_*Requête de déconnexion a été envoyée par le RBC"/>
    <m/>
    <x v="0"/>
    <s v="En attente de mise en place des tiroires filtrés "/>
    <s v="HO Non finalisé  entre 204 et 205"/>
    <s v="dl Rxqual=0"/>
    <s v="dl rx level= -71"/>
    <s v="NOK "/>
    <s v="OK"/>
    <s v="Mauvais"/>
    <s v=" Retransmission des trames HDLC*5"/>
    <m/>
    <s v="ELHAJOUIA Achraf"/>
    <m/>
    <m/>
    <m/>
    <m/>
    <m/>
    <m/>
    <m/>
  </r>
  <r>
    <n v="710"/>
    <b v="0"/>
    <x v="249"/>
    <d v="1899-12-30T09:10:50"/>
    <n v="1005"/>
    <x v="0"/>
    <x v="1"/>
    <n v="1045"/>
    <m/>
    <s v="Casa/Tanger"/>
    <n v="94.953999999999994"/>
    <x v="8"/>
    <s v="N2"/>
    <s v="Ralentissement du train"/>
    <s v="*Etat H.O : HO Non finalisé entre 318 et 317_x000a_* qualité /niveau de signal : dl Rxqual=6,dl rx level= -84_x000a_*Requête de déconnexion a été envoyée par le RBC"/>
    <m/>
    <x v="2"/>
    <s v="Zone sous surveillance par équipe NOC GSMR"/>
    <s v="HO Non finalisé entre 318 et 317"/>
    <s v="dl Rxqual=6"/>
    <s v="dl rx level= -84"/>
    <s v="OK "/>
    <s v="OK"/>
    <s v="Mauvais"/>
    <s v=" Retransmission des trames HDLC*5"/>
    <m/>
    <s v="MAROUANI Otmane"/>
    <m/>
    <m/>
    <m/>
    <m/>
    <m/>
    <m/>
    <m/>
  </r>
  <r>
    <n v="711"/>
    <b v="0"/>
    <x v="249"/>
    <d v="1899-12-30T23:28:55"/>
    <n v="15652"/>
    <x v="5"/>
    <x v="1"/>
    <n v="1026"/>
    <m/>
    <s v="Casa/Tanger"/>
    <n v="133.49199999999999"/>
    <x v="10"/>
    <s v="N2"/>
    <s v="Arrêt du train"/>
    <s v="*Etat H.O : HO complete entre 324 et 223_x000a_* qualité /niveau de signal : dl Rxqual=7,dl rx level= -65_x000a_*Requête de déconnexion a été envoyée par le RBC "/>
    <m/>
    <x v="2"/>
    <s v="Zone sous surveillance par équipe NOC GSMR"/>
    <s v="HO complete entre 324 et 223"/>
    <s v="dl Rxqual=7"/>
    <s v="dl rx level= -65"/>
    <s v="OK "/>
    <s v="OK"/>
    <s v="Mauvais"/>
    <s v=" Retransmission des trames HDLC*5"/>
    <m/>
    <s v="ELHAJOUIA Achraf"/>
    <m/>
    <m/>
    <m/>
    <m/>
    <m/>
    <m/>
    <m/>
  </r>
  <r>
    <n v="712"/>
    <b v="0"/>
    <x v="250"/>
    <d v="1899-12-30T06:26:04"/>
    <n v="2001"/>
    <x v="6"/>
    <x v="0"/>
    <n v="1057"/>
    <m/>
    <s v="Tanger/Casa"/>
    <n v="73.585999999999999"/>
    <x v="13"/>
    <s v="N2"/>
    <s v="Ralentissement du train"/>
    <s v="*Etat H.O : HO complete entre 212 et 213_x000a_* qualité /niveau de signal : dl Rxqual=0,dl rx level= -61_x000a_*Requête de déconnexion a été envoyée par le RBC "/>
    <m/>
    <x v="0"/>
    <s v="En attente de mise en place des tiroires filtrés "/>
    <s v="HO complete entre 212 et 213"/>
    <s v="dl Rxqual=0"/>
    <s v="dl rx level= -61"/>
    <s v="OK "/>
    <s v="OK"/>
    <s v="Mauvais"/>
    <s v=" Retransmission des trames HDLC*5"/>
    <m/>
    <s v="ELHAJOUIA Achraf"/>
    <m/>
    <m/>
    <m/>
    <m/>
    <m/>
    <m/>
    <m/>
  </r>
  <r>
    <n v="713"/>
    <b v="0"/>
    <x v="250"/>
    <d v="1899-12-30T06:38:47"/>
    <n v="15652"/>
    <x v="5"/>
    <x v="1"/>
    <n v="1026"/>
    <m/>
    <s v="Casa/Tanger"/>
    <n v="7.3209999999999997"/>
    <x v="2"/>
    <s v="N2"/>
    <s v="Arrêt du train"/>
    <s v="*Etat H.O : HO complete entre 202 et 203 avec downlink quality_x000a_* qualité /niveau de signal : dl Rxqual=7,dl rx level= -58_x000a_*Requête de déconnexion a été envoyée par le RBC "/>
    <m/>
    <x v="0"/>
    <s v="En attente de mise en place des tiroires filtrés "/>
    <s v="HO complete entre 202 et 203"/>
    <s v="dl Rxqual=7"/>
    <s v="dl rx level= -58"/>
    <s v="OK "/>
    <s v="OK"/>
    <s v="Mauvais"/>
    <s v=" Retransmission des trames HDLC*5"/>
    <m/>
    <s v="ELHAJOUIA Achraf"/>
    <m/>
    <m/>
    <m/>
    <m/>
    <m/>
    <m/>
    <m/>
  </r>
  <r>
    <n v="714"/>
    <b v="0"/>
    <x v="250"/>
    <d v="1899-12-30T11:51:28"/>
    <n v="1018"/>
    <x v="11"/>
    <x v="1"/>
    <n v="1072"/>
    <m/>
    <s v="Casa/Tanger"/>
    <n v="94.953999999999994"/>
    <x v="8"/>
    <s v="N2"/>
    <s v="Ralentissement du train"/>
    <s v="*Etat H.O : HO non complete entre 318 et 317 _x000a_* qualité /niveau de signal : dl Rxqual=7,dl rx level= -85_x000a_*Requête de déconnexion a été envoyée par le RBC "/>
    <m/>
    <x v="2"/>
    <s v="Zone sous surveillance par équipe NOC GSMR"/>
    <s v="HO non complete entre 318 et 317"/>
    <s v="dl Rxqual=7"/>
    <s v="dl rx level= -85"/>
    <s v="OK "/>
    <s v="OK"/>
    <s v="Mauvais"/>
    <s v=" Retransmission des trames HDLC*5"/>
    <m/>
    <s v="ELGUEZZAR Anas"/>
    <m/>
    <m/>
    <m/>
    <m/>
    <m/>
    <m/>
    <m/>
  </r>
  <r>
    <n v="715"/>
    <b v="0"/>
    <x v="250"/>
    <d v="1899-12-30T12:35:24"/>
    <n v="1018"/>
    <x v="6"/>
    <x v="0"/>
    <n v="1057"/>
    <m/>
    <s v="Tanger/Casa"/>
    <n v="143.11199999999999"/>
    <x v="26"/>
    <s v="N2"/>
    <s v="Ralentissement du train"/>
    <s v="*Etat H.O : HO non complete entre 224et 225_x000a_* qualité /niveau de signal : dl Rxqual=0,dl rx level= -55_x000a_*Requête de déconnexion a été envoyée par le RBC "/>
    <m/>
    <x v="0"/>
    <s v="En attente de mise en place des tiroires filtrés "/>
    <s v="HO complete entre 224 et 225"/>
    <s v="dl Rxqual=0"/>
    <s v="dl rx level= -55"/>
    <s v="OK "/>
    <s v="OK"/>
    <s v="Mauvais"/>
    <s v=" Retransmission des trames HDLC*5"/>
    <m/>
    <s v="MAROUANI Otmane"/>
    <m/>
    <m/>
    <m/>
    <m/>
    <m/>
    <m/>
    <m/>
  </r>
  <r>
    <n v="716"/>
    <b v="0"/>
    <x v="251"/>
    <d v="1899-12-30T06:22:54"/>
    <n v="2001"/>
    <x v="1"/>
    <x v="0"/>
    <n v="1029"/>
    <m/>
    <s v="Tanger/Casa"/>
    <n v="81.777000000000001"/>
    <x v="15"/>
    <s v="N2"/>
    <s v="Ralentissement du train"/>
    <s v="*Etat H.O : HO non finalisé entre 215et 216_x000a_* qualité /niveau de signal : dl Rxqual=3,dl rx level= -62_x000a_*Requête de déconnexion a été envoyée par le RBC "/>
    <m/>
    <x v="0"/>
    <s v="En attente de mise en place des tiroires filtrés "/>
    <s v="HO Non finalisé entre 215 et 216"/>
    <s v="dl Rxqual=3"/>
    <s v="dl rx level= -62"/>
    <s v="NOK "/>
    <s v="OK"/>
    <s v="Mauvais"/>
    <s v=" Retransmission des trames HDLC*5"/>
    <m/>
    <s v="ELHAJOUIA Achraf"/>
    <m/>
    <m/>
    <m/>
    <m/>
    <m/>
    <m/>
    <m/>
  </r>
  <r>
    <n v="717"/>
    <b v="0"/>
    <x v="251"/>
    <d v="1899-12-30T13:46:34"/>
    <n v="2001"/>
    <x v="6"/>
    <x v="1"/>
    <n v="1023"/>
    <m/>
    <s v="Casa/Tanger"/>
    <n v="94.944999999999993"/>
    <x v="8"/>
    <s v="N2"/>
    <s v="Ralentissement du train"/>
    <s v="*Etat H.O :  HO non finalisé entre 318 et 317_x000a_* qualité /niveau de signal : dl Rxqual=7,dl rx level= -86_x000a_*Requête de déconnexion a été envoyée par le RBC"/>
    <m/>
    <x v="2"/>
    <s v="Zone sous surveillance par équipe NOC GSMR"/>
    <s v=" HO non finalisé entre 318 et 317"/>
    <s v="dl Rxqual=7"/>
    <s v="dl rx level= -86"/>
    <s v="OK"/>
    <s v="OK"/>
    <s v="Mauvais"/>
    <s v=" Retransmission des trames HDLC*5"/>
    <m/>
    <s v="ELGUEZZAR Anas"/>
    <m/>
    <m/>
    <m/>
    <m/>
    <m/>
    <m/>
    <m/>
  </r>
  <r>
    <n v="718"/>
    <b v="0"/>
    <x v="251"/>
    <d v="1899-12-30T14:05:42"/>
    <n v="1025"/>
    <x v="6"/>
    <x v="1"/>
    <n v="1022"/>
    <m/>
    <s v="Casa/Tanger"/>
    <n v="7.3209999999999997"/>
    <x v="2"/>
    <s v="N2"/>
    <s v="Ralentissement du train"/>
    <s v="*Etat H.O :  HO non finalisé entre 303 et 202_x000a_* qualité /niveau de signal : dl Rxqual=4,dl rx level= -66_x000a_*Requête de déconnexion a été envoyée par le Bord"/>
    <m/>
    <x v="0"/>
    <s v="En attente de mise en place des tiroires filtrés "/>
    <s v=" HO non finalisé entre 303 et 202"/>
    <s v="dl Rxqual=4"/>
    <s v="dl rx level= -66"/>
    <s v="OK"/>
    <s v="OK"/>
    <s v="Mauvais"/>
    <s v=" Retransmission des trames HDLC*5"/>
    <m/>
    <s v="Noura MOUSSAOUI"/>
    <m/>
    <m/>
    <m/>
    <m/>
    <m/>
    <m/>
    <m/>
  </r>
  <r>
    <n v="719"/>
    <b v="0"/>
    <x v="251"/>
    <d v="1899-12-30T17:38:54"/>
    <n v="2054"/>
    <x v="10"/>
    <x v="0"/>
    <n v="7206"/>
    <m/>
    <s v="Tanger/Casa"/>
    <n v="160.60900000000001"/>
    <x v="9"/>
    <s v="N2"/>
    <s v="Ralentissement du train"/>
    <s v="*Etat H.O : HO finalisé entre 327 et 228_x000a_* qualité /niveau de signal : dl rx-qual=0, dl rx level = -48 dbm_x000a_*Requête de déconnexion a été envoyée par le RBC"/>
    <m/>
    <x v="0"/>
    <s v="En attente de mise en place des tiroires filtrés "/>
    <s v="HO finalisé entre 327 et 228"/>
    <s v="dl Rxqual=0"/>
    <s v="dl rx level= -48"/>
    <s v="OK"/>
    <s v="NOK"/>
    <s v="Mauvais"/>
    <s v=" Retransmission des trames HDLC*5"/>
    <m/>
    <s v="Saad Elhabib"/>
    <m/>
    <m/>
    <m/>
    <m/>
    <m/>
    <m/>
    <m/>
  </r>
  <r>
    <n v="720"/>
    <b v="0"/>
    <x v="251"/>
    <d v="1899-12-30T19:39:37"/>
    <n v="1049"/>
    <x v="6"/>
    <x v="1"/>
    <n v="1022"/>
    <m/>
    <s v="Casa/Tanger"/>
    <n v="160.60900000000001"/>
    <x v="9"/>
    <s v="N2"/>
    <s v="Ralentissement du train"/>
    <s v="*Etat H.O : HO finalisé entre 327 et 328_x000a_* qualité /niveau de signal : dl rx-qual=1, dl rx level = -58 dbm_x000a_*Requête de déconnexion a été envoyée par le RBC"/>
    <m/>
    <x v="0"/>
    <s v="En attente de mise en place des tiroires filtrés "/>
    <s v="HO finalisé entre 327 et 328"/>
    <s v="dl Rxqual=1"/>
    <s v="dl rx level= -58"/>
    <s v="OK"/>
    <s v="OK"/>
    <s v="Mauvais"/>
    <s v=" Retransmission des trames HDLC*5"/>
    <m/>
    <s v="Saad Elhabib"/>
    <m/>
    <m/>
    <m/>
    <m/>
    <m/>
    <m/>
    <m/>
  </r>
  <r>
    <n v="721"/>
    <b v="0"/>
    <x v="251"/>
    <d v="1899-12-30T21:35:44"/>
    <n v="2061"/>
    <x v="6"/>
    <x v="0"/>
    <n v="1057"/>
    <m/>
    <s v="Tanger/Casa"/>
    <n v="140.65899999999999"/>
    <x v="26"/>
    <s v="N2"/>
    <s v="Arrêt du train"/>
    <s v="*Etat H.O : HO complete entre 224 et 225_x000a_* qualité /niveau de signal : dl Rxqual=0,dl rx level= -60_x000a_*Requête de déconnexion a été envoyée par le RBC "/>
    <m/>
    <x v="3"/>
    <s v="En attente de pousser les analyses coté RBC"/>
    <s v="HO complet entre 224 et 225"/>
    <s v="dl Rxqual=0"/>
    <s v="dl rx level= -60"/>
    <s v="OK"/>
    <s v="OK"/>
    <s v="Mauvais"/>
    <s v="pas de retransmission des trames HDLC"/>
    <m/>
    <s v="ELHAJOUIA Achraf"/>
    <m/>
    <m/>
    <m/>
    <m/>
    <m/>
    <m/>
    <m/>
  </r>
  <r>
    <n v="722"/>
    <b v="0"/>
    <x v="252"/>
    <d v="1899-12-30T09:05:18"/>
    <n v="2013"/>
    <x v="4"/>
    <x v="0"/>
    <n v="1058"/>
    <m/>
    <s v="Tanger/Casa"/>
    <n v="6.13"/>
    <x v="2"/>
    <s v="N2"/>
    <s v="Ralentissement du train"/>
    <s v="*Etat H.O : HO complet entre 201 et 202_x000a_* qualité /niveau de signal : dl Rxqual=2,dl rx level= -61_x000a_*Requête de déconnexion a été envoyée par le RBC "/>
    <m/>
    <x v="0"/>
    <s v="En attente de mise en place des tiroires filtrés "/>
    <s v="HO complet entre 201 et 202"/>
    <s v="dl Rxqual=2"/>
    <s v="dl rx level= -61"/>
    <s v="OK"/>
    <s v="OK"/>
    <s v="Mauvais"/>
    <s v=" Retransmission des trames HDLC*5"/>
    <m/>
    <s v="Noura MOUSSAOUI"/>
    <m/>
    <m/>
    <m/>
    <m/>
    <m/>
    <m/>
    <m/>
  </r>
  <r>
    <n v="723"/>
    <b v="0"/>
    <x v="252"/>
    <s v=" 14:04:18"/>
    <n v="1025"/>
    <x v="4"/>
    <x v="1"/>
    <n v="1032"/>
    <m/>
    <s v="Casa/Tanger"/>
    <n v="7.3209999999999997"/>
    <x v="2"/>
    <s v="N2"/>
    <s v="Ralentissement du train"/>
    <s v="*Etat H.O : HO complet entre 202 et 303 (HO recul)_x000a_* qualité /niveau de signal : dl Rxqual=7,dl rx level= -68_x000a_*Requête de déconnexion a été envoyée par le RBC "/>
    <m/>
    <x v="0"/>
    <s v="En attente de mise en place des tiroires filtrés "/>
    <s v="HO complet entre 202 et 303 (HO recul)"/>
    <s v="dl Rxqual=7"/>
    <s v="dl rx level= -68"/>
    <s v="OK"/>
    <s v="OK"/>
    <s v="Mauvais"/>
    <s v=" Retransmission des trames HDLC*5"/>
    <m/>
    <s v="Noura MOUSSAOUI"/>
    <m/>
    <m/>
    <m/>
    <m/>
    <m/>
    <m/>
    <m/>
  </r>
  <r>
    <n v="724"/>
    <b v="0"/>
    <x v="252"/>
    <d v="1899-12-30T16:35:02"/>
    <n v="2041"/>
    <x v="10"/>
    <x v="0"/>
    <n v="7198"/>
    <m/>
    <s v="Tanger/Casa"/>
    <n v="105.55500000000001"/>
    <x v="1"/>
    <s v="N2"/>
    <s v="Ralentissement du train"/>
    <s v="* Etat H.O : HO complet entre 218 et 219 _x000a_* qualité /niveau de signal : dl rx-qual=0, dl rx level = -48 dbm_x000a_*Requête de déconnexion a été envoyée par le RBC "/>
    <m/>
    <x v="3"/>
    <s v="En attente de pousser les analyses coté RBC"/>
    <s v="HO complet entre 218 et 219 "/>
    <s v="dl Rxqual=0"/>
    <s v="dl rx level= -48"/>
    <s v="OK"/>
    <s v="OK"/>
    <s v="Mauvais"/>
    <s v="pas de retransmission des trames HDLC"/>
    <m/>
    <s v="Saad Elhabib"/>
    <m/>
    <m/>
    <m/>
    <m/>
    <m/>
    <m/>
    <m/>
  </r>
  <r>
    <n v="725"/>
    <b v="0"/>
    <x v="252"/>
    <d v="1899-12-30T17:09:20"/>
    <n v="2045"/>
    <x v="7"/>
    <x v="0"/>
    <n v="1054"/>
    <m/>
    <s v="Tanger/Casa"/>
    <n v="14.99"/>
    <x v="22"/>
    <s v="N2"/>
    <s v="Ralentissement du train"/>
    <s v="* Etat H.O : HO Complet entre 203 et 204_x000a_* qualité /niveau de signal : dl rx-qual=0, dl rx level = -48 dbm_x000a_*Requête de déconnexion a été envoyée par le RBC "/>
    <m/>
    <x v="0"/>
    <s v="En attente de mise en place des tiroires filtrés "/>
    <s v=" HO Complet entre 203 et 204 "/>
    <s v="dl Rxqual=0"/>
    <s v="dl rx level= -48"/>
    <s v="OK"/>
    <s v="OK"/>
    <s v="Mauvais"/>
    <s v=" Retransmission des trames HDLC*5"/>
    <m/>
    <s v="Saad Elhabib"/>
    <m/>
    <m/>
    <m/>
    <m/>
    <m/>
    <m/>
    <m/>
  </r>
  <r>
    <n v="726"/>
    <b v="0"/>
    <x v="253"/>
    <d v="1899-12-30T11:05:29"/>
    <n v="2021"/>
    <x v="8"/>
    <x v="0"/>
    <n v="1042"/>
    <m/>
    <s v="Tanger/Casa"/>
    <n v="6.13"/>
    <x v="2"/>
    <s v="N2"/>
    <s v="Arrêt du train"/>
    <s v="* Etat H.O : HO non Complet entre 202 et 301_x000a_* qualité /niveau de signal : dl rx-qual=7, dl rx level = -55 dbm_x000a_*Requête de déconnexion a été envoyée par le BORD"/>
    <m/>
    <x v="0"/>
    <s v="En attente de mise en place des tiroires filtrés "/>
    <s v=" HO Complet entre 202 et 301 "/>
    <s v="dl Rxqual=7"/>
    <s v="dl rx level= -55"/>
    <s v="OK"/>
    <s v="OK"/>
    <s v="Mauvais"/>
    <s v="Pas  Retransmission des trames HDLC"/>
    <m/>
    <s v="ELGUEZZAR Anas"/>
    <m/>
    <m/>
    <m/>
    <m/>
    <m/>
    <m/>
    <m/>
  </r>
  <r>
    <n v="727"/>
    <b v="0"/>
    <x v="253"/>
    <d v="1899-12-30T12:05:23"/>
    <n v="2025"/>
    <x v="10"/>
    <x v="0"/>
    <n v="7206"/>
    <m/>
    <s v="Tanger/Casa"/>
    <s v=" 5,730"/>
    <x v="2"/>
    <s v="N2"/>
    <s v="Ralentissement du train"/>
    <s v="* Etat H.O :HO non finalisé entre 201 et 202_x000a_* qualité /niveau de signal : dl rx-qual=7, dl rx level = -54 dbm_x000a_*Requête de déconnexion a été envoyée par le RBC "/>
    <m/>
    <x v="0"/>
    <s v="En attente de mise en place des tiroires filtrés "/>
    <s v="HO non finalisé entre 201 et 202"/>
    <s v="dl Rxqual=7"/>
    <s v="dl rx level= -54"/>
    <s v="NOK"/>
    <s v="OK"/>
    <s v="Mauvais"/>
    <s v=" Retransmission des trames HDLC*5"/>
    <m/>
    <s v="Noura MOUSSAOUI"/>
    <m/>
    <m/>
    <m/>
    <m/>
    <m/>
    <m/>
    <m/>
  </r>
  <r>
    <n v="728"/>
    <b v="0"/>
    <x v="253"/>
    <d v="1899-12-30T18:07:31"/>
    <n v="1041"/>
    <x v="4"/>
    <x v="1"/>
    <n v="1032"/>
    <m/>
    <s v="Casa/Tanger"/>
    <n v="7.3209999999999997"/>
    <x v="2"/>
    <s v="N2"/>
    <s v="Ralentissement du train"/>
    <s v="* Etat H.O : HO finalisé entre 303 et 302 ._x000a_* qualité /niveau de signal : dl rx-qual=0, dl rx level = -110dbm_x000a_*Requête de déconnexion a été envoyée par le RBC "/>
    <m/>
    <x v="0"/>
    <s v="En attente de mise en place des tiroires filtrés "/>
    <s v=" HO finalisé entre 303 et 302 "/>
    <s v="dl Rxqual=0"/>
    <s v="dl rx level= -110"/>
    <s v="OK"/>
    <s v="NOK"/>
    <s v="Mauvais"/>
    <s v=" Retransmission des trames HDLC*5"/>
    <m/>
    <s v="Saad Elhabib"/>
    <m/>
    <m/>
    <m/>
    <m/>
    <m/>
    <m/>
    <m/>
  </r>
  <r>
    <n v="729"/>
    <b v="0"/>
    <x v="254"/>
    <d v="1899-12-30T14:11:40"/>
    <n v="2033"/>
    <x v="7"/>
    <x v="0"/>
    <n v="1054"/>
    <m/>
    <s v="Tanger/Casa"/>
    <n v="22.91"/>
    <x v="20"/>
    <s v="N2"/>
    <s v="Ralentissement du train"/>
    <s v="* Etat H.O : HO finalisé entre 204 et 205 _x000a_* qualité /niveau de signal : dl rx-qual=2, dl rx level = -48dbm_x000a_*Requête de déconnexion a été envoyée par le RBC "/>
    <m/>
    <x v="0"/>
    <s v="En attente de mise en place des tiroires filtrés "/>
    <s v="HO finalisé entre 204 et 205"/>
    <s v="dl Rxqual=2"/>
    <s v="dl rx level= -48"/>
    <s v="OK"/>
    <s v="OK"/>
    <s v="Mauvais"/>
    <s v=" Retransmission des trames HDLC*5"/>
    <m/>
    <s v="Saad Elhabib"/>
    <m/>
    <m/>
    <m/>
    <m/>
    <m/>
    <m/>
    <m/>
  </r>
  <r>
    <n v="730"/>
    <b v="0"/>
    <x v="254"/>
    <d v="1899-12-30T16:45:46"/>
    <n v="1038"/>
    <x v="10"/>
    <x v="1"/>
    <n v="1061"/>
    <m/>
    <s v="Casa/Tanger"/>
    <n v="130.48400000000001"/>
    <x v="10"/>
    <s v="N2"/>
    <s v="Ralentissement du train"/>
    <s v="*Etat H.O : HO Complet entre 324 et 323_x000a_* qualité /niveau de signal : dl rx-qual=0, dl rx level = -48 dbm_x000a_*Requête de déconnexion a été envoyée par le RBC "/>
    <m/>
    <x v="0"/>
    <s v="En attente de mise en place des tiroires filtrés "/>
    <s v="HO Complet entre 324 et 323"/>
    <s v="dl Rxqual=0"/>
    <s v="dl rx level= -48"/>
    <s v="OK"/>
    <s v="OK"/>
    <s v="Mauvais"/>
    <s v=" Retransmission des trames HDLC*5"/>
    <m/>
    <s v="Saad Elhabib"/>
    <m/>
    <m/>
    <m/>
    <m/>
    <m/>
    <m/>
    <m/>
  </r>
  <r>
    <n v="731"/>
    <b v="0"/>
    <x v="254"/>
    <d v="1899-12-30T17:12:31"/>
    <n v="1038"/>
    <x v="10"/>
    <x v="1"/>
    <n v="1060"/>
    <m/>
    <s v="Casa/Tanger"/>
    <n v="7.3209999999999997"/>
    <x v="2"/>
    <s v="N2"/>
    <s v="Ralentissement du train"/>
    <s v="* Etat H.O : HO non finalisé entre 202 et 303_x000a_* qualité /niveau de signal : dl rx-qual=7 , dl rx level = -52 dbm_x000a_*Requête de déconnexion a été envoyée par le RBC "/>
    <m/>
    <x v="0"/>
    <s v="En attente de mise en place des tiroires filtrés "/>
    <s v="HO non finalisé entre 202 et 303"/>
    <s v="dl Rxqual=7"/>
    <s v="dl rx level= -42"/>
    <s v="OK"/>
    <s v="NOK"/>
    <s v="Mauvais"/>
    <s v=" Retransmission des trames HDLC*5"/>
    <m/>
    <s v="Saad Elhabib"/>
    <m/>
    <m/>
    <m/>
    <m/>
    <m/>
    <m/>
    <m/>
  </r>
  <r>
    <n v="732"/>
    <b v="0"/>
    <x v="254"/>
    <d v="1899-12-30T19:38:58"/>
    <n v="1050"/>
    <x v="2"/>
    <x v="1"/>
    <n v="1060"/>
    <m/>
    <s v="Casa/Tanger"/>
    <n v="134.30000000000001"/>
    <x v="10"/>
    <s v="N2"/>
    <s v="Ralentissement du train"/>
    <s v="Etat H.O : HO  finalisé entre 325 et 324_x000a_* qualité /niveau de signal : dl rx-qual=0 , dl rx level = -59 dbm_x000a_*Requête de déconnexion a été envoyée par le RBC "/>
    <m/>
    <x v="0"/>
    <s v="En attente de mise en place des tiroires filtrés "/>
    <s v="HO  finalisé entre 325 et 324"/>
    <s v="dl Rxqual=0"/>
    <s v="dl rx level= -59"/>
    <s v="OK"/>
    <s v="OK"/>
    <s v="Mauvais"/>
    <s v=" Retransmission des trames HDLC*5"/>
    <m/>
    <s v="Saad Elhabib"/>
    <m/>
    <m/>
    <m/>
    <m/>
    <m/>
    <m/>
    <m/>
  </r>
  <r>
    <n v="733"/>
    <b v="0"/>
    <x v="254"/>
    <d v="1899-12-30T22:44:29"/>
    <n v="2061"/>
    <x v="8"/>
    <x v="0"/>
    <n v="1042"/>
    <m/>
    <s v="Tanger/Casa"/>
    <n v="8.1999999999999993"/>
    <x v="2"/>
    <s v="N2"/>
    <s v="Ralentissement du train"/>
    <s v="Etat H.O : HO  non finalisé entre 202 et 303_x000a_* qualité /niveau de signal : dl rx-qual=7 , dl rx level = -59 dbm_x000a_*Requête de déconnexion a été envoyée par le RBC "/>
    <m/>
    <x v="0"/>
    <s v="En attente de mise en place des tiroires filtrés "/>
    <s v="HO non finalisé entre 202 et 303"/>
    <s v="dl Rxqual=7"/>
    <s v="dl rx level= -59"/>
    <s v="NOK"/>
    <s v="OK"/>
    <s v="Mauvais"/>
    <s v=" Pas Retransmission des trames HDLC*5"/>
    <m/>
    <s v="Fahd OUSSALH"/>
    <m/>
    <m/>
    <m/>
    <m/>
    <m/>
    <m/>
    <m/>
  </r>
  <r>
    <n v="734"/>
    <b v="0"/>
    <x v="254"/>
    <d v="1899-12-30T21:05:10"/>
    <n v="2061"/>
    <x v="2"/>
    <x v="0"/>
    <n v="7217"/>
    <m/>
    <s v="Tanger/Casa"/>
    <n v="8.1999999999999993"/>
    <x v="2"/>
    <s v="N2"/>
    <s v="Arrêt du train"/>
    <s v="Etat H.O : HO  non finalisé entre 302 et 303_x000a_* qualité /niveau de signal : dl rx-qual=7 , dl rx level = -59 dbm_x000a_*Requête de déconnexion a été envoyée par le RBC "/>
    <m/>
    <x v="0"/>
    <s v="En attente de mise en place des tiroires filtrés "/>
    <s v="HO non finalisé entre 302 et 303"/>
    <s v="dl Rxqual=7"/>
    <s v="dl rx level= -59"/>
    <s v="NOK"/>
    <s v="OK"/>
    <s v="Mauvais"/>
    <s v=" Pas Retransmission des trames HDLC*5"/>
    <m/>
    <s v="Fahd OUSSALH"/>
    <m/>
    <m/>
    <m/>
    <m/>
    <m/>
    <m/>
    <m/>
  </r>
  <r>
    <n v="735"/>
    <b v="0"/>
    <x v="255"/>
    <d v="1899-12-30T05:35:32"/>
    <n v="10071"/>
    <x v="6"/>
    <x v="0"/>
    <n v="1057"/>
    <m/>
    <s v="Tanger/Casa"/>
    <n v="93.757999999999996"/>
    <x v="8"/>
    <s v="N2"/>
    <s v="Ralentissement du train"/>
    <s v="Etat H.O : HO  complet entre 216 et 217_x000a_* qualité /niveau de signal : dl rx-qual=0 , dl rx level = -72 dbm_x000a_*Requête de déconnexion a été envoyée par le RBC "/>
    <m/>
    <x v="3"/>
    <s v="En attente de pousser les analyses coté RBC"/>
    <s v="HO Complet entre 216 et 217"/>
    <s v="dl Rxqual=0"/>
    <s v="dl rx level= -72"/>
    <s v="OK"/>
    <s v="OK"/>
    <s v="Mauvais"/>
    <s v=" Pas Retransmission des trames HDLC*5"/>
    <m/>
    <s v="Fahd OUSSALH"/>
    <m/>
    <m/>
    <m/>
    <m/>
    <m/>
    <m/>
    <m/>
  </r>
  <r>
    <n v="736"/>
    <b v="0"/>
    <x v="255"/>
    <d v="1899-12-30T09:03:43"/>
    <n v="1006"/>
    <x v="10"/>
    <x v="1"/>
    <n v="1061"/>
    <m/>
    <s v="Casa/Tanger"/>
    <n v="26.739000000000001"/>
    <x v="7"/>
    <s v="N2"/>
    <s v="Arrêt du train"/>
    <s v="Etat H.O : HO  non finalisé entre 306 et 305_x000a_* qualité /niveau de signal : dl rx-qual=2 , dl rx level = -87 dbm_x000a_*Requête de déconnexion a été envoyée par le RBC "/>
    <m/>
    <x v="2"/>
    <s v="zone sous surveillance par équipe NOC GSMR"/>
    <s v="HO non finalisé entre 306 et 305"/>
    <s v="dl Rxqual=2"/>
    <s v="dl rx level= -87"/>
    <s v="OK"/>
    <s v="OK"/>
    <s v="Mauvais"/>
    <s v="retransmission des trames HDLC*5"/>
    <m/>
    <s v="HARIRI Bahaeddine"/>
    <m/>
    <m/>
    <m/>
    <m/>
    <m/>
    <m/>
    <m/>
  </r>
  <r>
    <n v="737"/>
    <b v="0"/>
    <x v="255"/>
    <d v="1899-12-30T10:31:06"/>
    <n v="1006"/>
    <x v="10"/>
    <x v="0"/>
    <n v="7198"/>
    <m/>
    <s v="Tanger/Casa"/>
    <n v="129.18"/>
    <x v="10"/>
    <s v="N2"/>
    <s v="Ralentissement du train"/>
    <s v="Etat H.O : HO complet entre 222 et 323_x000a_* qualité /niveau de signal : dl rx-qual=2 , dl rx level = -48 dbm_x000a_*Requête de déconnexion a été envoyée par le RBC "/>
    <m/>
    <x v="0"/>
    <s v="En attente de mise en place des tiroires filtrés "/>
    <s v="HO Complet entre 222 et 323"/>
    <s v="dl Rxqual=2"/>
    <s v="dl rx level= -48"/>
    <s v="OK"/>
    <s v="OK"/>
    <s v="Mauvais"/>
    <s v="retransmission des trames HDLC*5"/>
    <m/>
    <s v="HARIRI Bahaeddine"/>
    <m/>
    <m/>
    <m/>
    <m/>
    <m/>
    <m/>
    <m/>
  </r>
  <r>
    <n v="738"/>
    <b v="0"/>
    <x v="255"/>
    <d v="1899-12-30T15:45:11"/>
    <n v="1034"/>
    <x v="11"/>
    <x v="1"/>
    <n v="1072"/>
    <m/>
    <s v="Casa/Tanger"/>
    <n v="94.953999999999994"/>
    <x v="8"/>
    <s v="N2"/>
    <s v="Ralentissement du train"/>
    <s v="Etat H.O : HO non finalisé entre 318 et 317_x000a_* qualité /niveau de signal : dl rx-qual=7, dl rx level = -83 dbm_x000a_*Requête de déconnexion a été envoyée par le RBC "/>
    <m/>
    <x v="0"/>
    <s v="En attente de mise en place des tiroires filtrés "/>
    <s v="HO non finalisé entre 318 et 317"/>
    <s v="dl Rxqual=7"/>
    <s v="dl rx level= -83"/>
    <s v="OK"/>
    <s v="OK"/>
    <s v="Mauvais"/>
    <s v="retransmission des trames HDLC*5"/>
    <m/>
    <s v="Saad Elhabib"/>
    <m/>
    <m/>
    <m/>
    <m/>
    <m/>
    <m/>
    <m/>
  </r>
  <r>
    <n v="739"/>
    <b v="0"/>
    <x v="256"/>
    <d v="1899-12-30T04:33:14"/>
    <n v="2041"/>
    <x v="2"/>
    <x v="0"/>
    <n v="7218"/>
    <m/>
    <s v="Tanger/Casa"/>
    <n v="75.84"/>
    <x v="13"/>
    <s v="N2"/>
    <s v="Ralentissement du train"/>
    <s v="Etat H.O : HO complet entre 213 et 214_x000a_* qualité /niveau de signal : dl rx-qual=0 , dl rx level = -48 dbm_x000a_*Requête de déconnexion a été envoyée par le RBC "/>
    <m/>
    <x v="1"/>
    <s v="Zone sous surveillance par équipe NOC GSMR"/>
    <s v="HO Complet entre 213 et 214"/>
    <s v="dl Rxqual=0"/>
    <s v="dl rx level= -48"/>
    <s v="OK"/>
    <s v="OK"/>
    <s v="Mauvais"/>
    <s v="retransmission des trames HDLC*5"/>
    <m/>
    <s v="Fahd OUSSALH"/>
    <m/>
    <m/>
    <m/>
    <m/>
    <m/>
    <m/>
    <m/>
  </r>
  <r>
    <n v="740"/>
    <b v="0"/>
    <x v="256"/>
    <d v="1899-12-30T07:29:16"/>
    <n v="1002"/>
    <x v="6"/>
    <x v="1"/>
    <n v="1022"/>
    <m/>
    <s v="Casa/Tanger"/>
    <n v="39.215000000000003"/>
    <x v="14"/>
    <s v="N2"/>
    <s v="Ralentissement du train"/>
    <s v="Etat H.O : HO complet entre 307 et 308_x000a_* qualité /niveau de signal : dl rx-qual=0 , dl rx level = -53 dbm_x000a_*Requête de déconnexion a été envoyée par le RBC "/>
    <m/>
    <x v="0"/>
    <s v="En attente de mise en place des tiroires filtrés "/>
    <s v="HO Complet entre 307 et 308"/>
    <s v="dl Rxqual=0"/>
    <s v="dl rx level= -49"/>
    <s v="OK"/>
    <s v="OK"/>
    <s v="Mauvais"/>
    <s v="retransmission des trames HDLC*5"/>
    <m/>
    <s v="HARIRI Bahaeddine"/>
    <m/>
    <m/>
    <m/>
    <m/>
    <m/>
    <m/>
    <m/>
  </r>
  <r>
    <n v="741"/>
    <b v="0"/>
    <x v="256"/>
    <d v="1899-12-30T14:05:13"/>
    <n v="2033"/>
    <x v="11"/>
    <x v="0"/>
    <n v="1048"/>
    <m/>
    <s v="Tanger/Casa"/>
    <n v="6.13"/>
    <x v="2"/>
    <s v="N2"/>
    <s v="Ralentissement du train"/>
    <s v="Etat H.O : HO non complet entre 202 et 203_x000a_* qualité /niveau de signal : dl rx-qual=7 , dl rx level = -55 dbm_x000a_*Requête de déconnexion a été envoyée par le RBC "/>
    <m/>
    <x v="0"/>
    <s v="En attente de mise en place des tiroires filtrés "/>
    <s v="HO non Complet entre 202 et 203"/>
    <s v="dl Rxqual=7"/>
    <s v="dl rx level= -55"/>
    <s v="NOK"/>
    <s v="OK"/>
    <s v="Mauvais"/>
    <s v="retransmission des trames HDLC*5"/>
    <m/>
    <s v="ELGUEZZAR Anas"/>
    <m/>
    <m/>
    <m/>
    <m/>
    <m/>
    <m/>
    <m/>
  </r>
  <r>
    <n v="742"/>
    <b v="0"/>
    <x v="256"/>
    <d v="1899-12-30T17:34:50"/>
    <n v="2045"/>
    <x v="0"/>
    <x v="0"/>
    <n v="1036"/>
    <m/>
    <s v="Tanger/Casa"/>
    <n v="143.11199999999999"/>
    <x v="26"/>
    <s v="N2"/>
    <s v="Ralentissement du train"/>
    <s v="Etat H.O : HO non complet entre 324 et 225_x000a_* qualité /niveau de signal : dl rx-qual=0 , dl rx level = -71 dbm_x000a_*Requête de déconnexion a été envoyée par le BORD"/>
    <m/>
    <x v="2"/>
    <s v="zone sous surveillance par équipe NOC GSMR"/>
    <s v="HO non Complet entre 324 et 225"/>
    <s v="dl Rxqual=0"/>
    <s v="dl rx level= -71"/>
    <s v="OK"/>
    <s v="OK"/>
    <s v="Mauvais"/>
    <s v="pas de retransmission des trames HDLC"/>
    <m/>
    <s v="ELGUEZZAR Anas"/>
    <m/>
    <m/>
    <m/>
    <m/>
    <m/>
    <m/>
    <m/>
  </r>
  <r>
    <n v="743"/>
    <b v="0"/>
    <x v="256"/>
    <d v="1899-12-30T17:47:37"/>
    <n v="1042"/>
    <x v="10"/>
    <x v="1"/>
    <n v="1061"/>
    <m/>
    <s v="Casa/Tanger"/>
    <n v="87.186999999999998"/>
    <x v="12"/>
    <s v="N2"/>
    <s v="Ralentissement du train"/>
    <s v="Etat H.O : HO complet entre 317 et 316_x000a_* qualité /niveau de signal : dl rx-qual=0 , dl rx level = -51 dbm_x000a_*Requête de déconnexion a été envoyée par le RBC"/>
    <m/>
    <x v="0"/>
    <s v="En attente de mise en place des tiroires filtrés "/>
    <s v="HO Complet entre 317 et 316"/>
    <s v="dl Rxqual=0"/>
    <s v="dl rx level= -51"/>
    <s v="OK"/>
    <s v="OK"/>
    <s v="Mauvais"/>
    <s v="retransmission des trames HDLC*5"/>
    <m/>
    <s v="ELGUEZZAR Anas"/>
    <m/>
    <m/>
    <m/>
    <m/>
    <m/>
    <m/>
    <m/>
  </r>
  <r>
    <n v="744"/>
    <b v="0"/>
    <x v="256"/>
    <d v="1899-12-30T20:51:38"/>
    <n v="1054"/>
    <x v="1"/>
    <x v="1"/>
    <n v="3062"/>
    <m/>
    <s v="Casa/Tanger"/>
    <n v="64.387"/>
    <x v="21"/>
    <s v="N2"/>
    <s v="Ralentissement du train"/>
    <s v="Etat H.O : HO non complet entre 313 et 312_x000a_* qualité /niveau de signal : dl rx-qual=2 , dl rx level = -77 dbm_x000a_*Requête de déconnexion a été envoyée par le RBC"/>
    <m/>
    <x v="8"/>
    <s v="Zone sous surveillance par équipe NOC GSMR"/>
    <s v="HO non Complet entre 313 et 312"/>
    <s v="dl Rxqual=2"/>
    <s v="dl rx level= -77"/>
    <s v="OK"/>
    <s v="OK"/>
    <s v="Mauvais"/>
    <s v="Pas Retransmission des trames HDLC*5"/>
    <m/>
    <s v="Fahd OUSSALH"/>
    <m/>
    <m/>
    <m/>
    <m/>
    <m/>
    <m/>
    <m/>
  </r>
  <r>
    <n v="745"/>
    <b v="0"/>
    <x v="257"/>
    <d v="1899-12-30T15:05:31"/>
    <n v="2037"/>
    <x v="7"/>
    <x v="0"/>
    <n v="1054"/>
    <m/>
    <s v="Tanger/Casa"/>
    <n v="6.13"/>
    <x v="2"/>
    <s v="N2"/>
    <s v="Ralentissement du train"/>
    <s v="Etat H.O : HO non complet entre 302 et 303_x000a_* qualité /niveau de signal : dl rx-qual=3 , dl rx level = -53 dbm_x000a_*Requête de déconnexion a été envoyée par le RBC"/>
    <m/>
    <x v="0"/>
    <s v="En attente de mise en place des tiroires filtrés "/>
    <s v="HO non Complet entre 302 et 303"/>
    <s v="dl Rxqual=7"/>
    <s v="dl rx level= -53"/>
    <s v="OK"/>
    <s v="OK"/>
    <s v="Mauvais"/>
    <s v="retransmission des trames HDLC*5"/>
    <m/>
    <s v="ELGUEZZAR Anas"/>
    <m/>
    <m/>
    <m/>
    <m/>
    <m/>
    <m/>
    <m/>
  </r>
  <r>
    <n v="746"/>
    <b v="0"/>
    <x v="257"/>
    <d v="1899-12-30T17:25:24"/>
    <n v="2045"/>
    <x v="4"/>
    <x v="0"/>
    <n v="1058"/>
    <m/>
    <s v="Tanger/Casa"/>
    <n v="93.757999999999996"/>
    <x v="8"/>
    <s v="N2"/>
    <s v="Ralentissement du train"/>
    <s v="Etat H.O : HO non complet entre 217 et 218_x000a_* qualité /niveau de signal : dl rx-qual=2 , dl rx level = -80 dbm_x000a_*Requête de déconnexion a été envoyée par le RBC"/>
    <m/>
    <x v="2"/>
    <s v="zone sous surveillance par équipe NOC GSMR"/>
    <s v="HO non Complet entre 302 et 303"/>
    <s v="dl Rxqual=7"/>
    <s v="dl rx level= -53"/>
    <s v="OK"/>
    <s v="OK"/>
    <s v="Mauvais"/>
    <s v="retransmission des trames HDLC*5"/>
    <m/>
    <s v="ELGUEZZAR Anas"/>
    <m/>
    <m/>
    <m/>
    <m/>
    <m/>
    <m/>
    <m/>
  </r>
  <r>
    <n v="747"/>
    <b v="0"/>
    <x v="257"/>
    <d v="1899-12-30T17:52:23"/>
    <n v="2045"/>
    <x v="4"/>
    <x v="0"/>
    <n v="7208"/>
    <m/>
    <s v="Tanger/Casa"/>
    <n v="165.298"/>
    <x v="28"/>
    <s v="N2"/>
    <s v="Arrêt du train"/>
    <s v="Etat H.O : HO non complet entre 228 et 229_x000a_* qualité /niveau de signal : dl rx-qual=3 , dl rx level = -73 dbm_x000a_*Requête de déconnexion a été envoyée par le RBC"/>
    <m/>
    <x v="0"/>
    <s v="En attente de mise en place des tiroires filtrés "/>
    <s v="HO non Complet entre 228 et 229"/>
    <s v="dl Rxqual=3"/>
    <s v="dl rx level= -73"/>
    <s v="OK"/>
    <s v="OK"/>
    <s v="Mauvais"/>
    <s v="retransmission des trames HDLC*5"/>
    <m/>
    <s v="ELGUEZZAR Anas"/>
    <m/>
    <m/>
    <m/>
    <m/>
    <m/>
    <m/>
    <m/>
  </r>
  <r>
    <n v="748"/>
    <b v="0"/>
    <x v="257"/>
    <d v="1899-12-30T18:11:40"/>
    <n v="2049"/>
    <x v="11"/>
    <x v="0"/>
    <n v="1049"/>
    <m/>
    <s v="Tanger/Casa"/>
    <n v="25.91"/>
    <x v="7"/>
    <s v="N2"/>
    <s v="Ralentissement du train"/>
    <s v="Etat H.O : HO non complet entre 205 et 206_x000a_* qualité /niveau de signal : dl rx-qual=3 , dl rx level = -87 dbm_x000a_*Requête de déconnexion a été envoyée par le RBC"/>
    <m/>
    <x v="0"/>
    <s v="En attente de mise en place des tiroires filtrés "/>
    <s v="HO non Complet entre 205 et 206"/>
    <s v="dl Rxqual=3"/>
    <s v="dl rx level= -87"/>
    <s v="OK"/>
    <s v="OK"/>
    <s v="Mauvais"/>
    <s v="retransmission des trames HDLC*5"/>
    <m/>
    <s v="ELGUEZZAR Anas"/>
    <m/>
    <m/>
    <m/>
    <m/>
    <m/>
    <m/>
    <m/>
  </r>
  <r>
    <n v="749"/>
    <b v="0"/>
    <x v="257"/>
    <d v="1899-12-30T18:14:30"/>
    <n v="2049"/>
    <x v="11"/>
    <x v="0"/>
    <n v="1048"/>
    <m/>
    <s v="Tanger/Casa"/>
    <n v="35.259"/>
    <x v="25"/>
    <s v="N2"/>
    <s v="Ralentissement du train"/>
    <s v="Etat H.O : Aucun HO réaliser _x000a_* qualité /niveau de signal : Absence des traces radio _x000a_*Requête de déconnexion a été envoyée par le RBC"/>
    <m/>
    <x v="8"/>
    <s v="En attente de pousser les analyses côté GSMR"/>
    <s v="Aucun HO réaliser"/>
    <s v="dl Rxqual=Absence des traces radio "/>
    <s v="dl rx level= Absence des traces radio "/>
    <s v="dl Rxqual=Absence des traces radio "/>
    <s v="OK"/>
    <s v="Mauvais"/>
    <s v="retransmission des trames HDLC*5"/>
    <m/>
    <s v="ELGUEZZAR Anas"/>
    <m/>
    <m/>
    <m/>
    <m/>
    <m/>
    <m/>
    <m/>
  </r>
  <r>
    <n v="750"/>
    <b v="0"/>
    <x v="257"/>
    <d v="1899-12-30T19:05:14"/>
    <n v="2053"/>
    <x v="5"/>
    <x v="0"/>
    <n v="1025"/>
    <m/>
    <s v="Tanger/Casa"/>
    <n v="6.13"/>
    <x v="2"/>
    <s v="N2"/>
    <s v="Arrêt du train"/>
    <s v="Etat H.O : HO  complet entre 202 et 303_x000a_* qualité /niveau de signal : dl rx-qual=7 , dl rx level = -66 dbm_x000a_*Requête de déconnexion a été envoyée par le RBC"/>
    <m/>
    <x v="0"/>
    <s v="En attente de mise en place des tiroires filtrés "/>
    <s v="HO  Complet entre 202 et 303"/>
    <s v="dl Rxqual=7"/>
    <s v="dl rx level= -66"/>
    <s v="NOK"/>
    <s v="OK"/>
    <s v="Mauvais"/>
    <s v="retransmission des trames HDLC*5"/>
    <m/>
    <s v="ELGUEZZAR Anas"/>
    <m/>
    <m/>
    <m/>
    <m/>
    <m/>
    <m/>
    <m/>
  </r>
  <r>
    <n v="751"/>
    <b v="0"/>
    <x v="258"/>
    <d v="1899-12-30T16:05:39"/>
    <n v="1033"/>
    <x v="5"/>
    <x v="1"/>
    <n v="1027"/>
    <m/>
    <s v="Casa/Tanger"/>
    <n v="7.3810000000000002"/>
    <x v="2"/>
    <s v="N2"/>
    <s v="Ralentissement du train"/>
    <s v="Etat H.O : HO  complet entre 303 et 702_x000a_* qualité /niveau de signal : dl rx-qual=2 , dl rx level = -65 dbm_x000a_*Requête de déconnexion a été envoyée par le RBC"/>
    <m/>
    <x v="0"/>
    <s v="En attente de mise en place des tiroires filtrés "/>
    <s v="HO  Complet entre 303 et 702"/>
    <s v="dl Rxqual=2"/>
    <s v="dl rx level= -65"/>
    <s v="OK"/>
    <s v="OK"/>
    <s v="Mauvais"/>
    <s v="retransmission des trames HDLC*5"/>
    <m/>
    <s v="ELGUEZZAR Anas"/>
    <m/>
    <m/>
    <m/>
    <m/>
    <m/>
    <m/>
    <m/>
  </r>
  <r>
    <n v="752"/>
    <b v="0"/>
    <x v="258"/>
    <d v="1899-12-30T17:04:16"/>
    <n v="1038"/>
    <x v="11"/>
    <x v="1"/>
    <n v="1027"/>
    <m/>
    <s v="Casa/Tanger"/>
    <n v="8.9700000000000006"/>
    <x v="2"/>
    <s v="N2"/>
    <s v="Ralentissement du train"/>
    <s v="Etat H.O : HO  complet entre 303 et 702_x000a_* qualité /niveau de signal : dl rx-qual=1 , dl rx level = -73 dbm_x000a_*Requête de déconnexion a été envoyée par le RBC"/>
    <m/>
    <x v="0"/>
    <s v="En attente de mise en place des tiroires filtrés "/>
    <s v="HO  Complet entre 303 et 702"/>
    <s v="dl Rxqual=1"/>
    <s v="dl rx level= -73"/>
    <s v="NOK"/>
    <s v="OK"/>
    <s v="Mauvais"/>
    <s v="retransmission des trames HDLC*5"/>
    <m/>
    <s v="ELGUEZZAR Anas"/>
    <m/>
    <m/>
    <m/>
    <m/>
    <m/>
    <m/>
    <m/>
  </r>
  <r>
    <n v="753"/>
    <b v="0"/>
    <x v="258"/>
    <d v="1899-12-30T17:06:25"/>
    <n v="2045"/>
    <x v="5"/>
    <x v="0"/>
    <n v="1024"/>
    <m/>
    <s v="Tanger/Casa"/>
    <n v="7.3810000000000002"/>
    <x v="2"/>
    <s v="N2"/>
    <s v="Arrêt du train"/>
    <s v="Etat H.O : HO  complet entre 701 et 702_x000a_* qualité /niveau de signal : dl rx-qual=1 , dl rx level = -66 dbm_x000a_*Requête de déconnexion a été envoyée par le RBC"/>
    <m/>
    <x v="0"/>
    <s v="En attente de mise en place des tiroires filtrés "/>
    <s v="HO  Complet entre 701 et 702"/>
    <s v="dl Rxqual=1"/>
    <s v="dl rx level= -66"/>
    <s v="OK"/>
    <s v="OK"/>
    <s v="Mauvais"/>
    <s v="retransmission des trames HDLC*5"/>
    <m/>
    <s v="ELGUEZZAR Anas"/>
    <m/>
    <m/>
    <m/>
    <m/>
    <m/>
    <m/>
    <m/>
  </r>
  <r>
    <n v="754"/>
    <b v="0"/>
    <x v="258"/>
    <d v="1899-12-30T21:05:09"/>
    <n v="2061"/>
    <x v="2"/>
    <x v="0"/>
    <n v="1024"/>
    <m/>
    <s v="Tanger/Casa"/>
    <n v="6.13"/>
    <x v="2"/>
    <s v="N2"/>
    <s v="Arrêt du train"/>
    <s v="Etat H.O : HO Non finalisé entre 301 et 202_x000a_* qualité /niveau de signal : dl rx-qual=7 , dl rx level = -52 dbm_x000a_*Requête de déconnexion a été envoyée par le RBC"/>
    <m/>
    <x v="0"/>
    <s v="En attente de mise en place des tiroires filtrés "/>
    <s v="HO non Complet entre 301 et 202"/>
    <s v="dl Rxqual=7"/>
    <s v="dl rx level= -52"/>
    <s v="NOK"/>
    <s v="OK"/>
    <s v="Mauvais"/>
    <s v="retransmission des trames HDLC*5"/>
    <m/>
    <s v="HARIRI Bahaeddine"/>
    <m/>
    <m/>
    <m/>
    <m/>
    <m/>
    <m/>
    <m/>
  </r>
  <r>
    <n v="755"/>
    <b v="0"/>
    <x v="259"/>
    <d v="1899-12-30T18:04:01"/>
    <n v="1041"/>
    <x v="5"/>
    <x v="1"/>
    <n v="1027"/>
    <m/>
    <s v="Casa/Tanger"/>
    <n v="7.3810000000000002"/>
    <x v="2"/>
    <s v="N2"/>
    <s v="Ralentissement du train"/>
    <s v="Etat H.O : HO Non finalisé entre 302 et 702_x000a_* qualité /niveau de signal : dl rx-qual=2 , dl rx level = -74 dbm_x000a_*Requête de déconnexion a été envoyée par le RBC"/>
    <m/>
    <x v="3"/>
    <s v="En attente de pousser les analyses côté RBC"/>
    <s v="HO non Complet entre 302 et 702"/>
    <s v="dl Rxqual=2"/>
    <s v="dl rx level= -74"/>
    <s v="NOK"/>
    <s v="OK"/>
    <s v="Mauvais"/>
    <s v="retransmission des trames HDLC*5"/>
    <m/>
    <s v="ELGUEZZAR Anas"/>
    <m/>
    <m/>
    <m/>
    <m/>
    <m/>
    <m/>
    <m/>
  </r>
  <r>
    <n v="756"/>
    <b v="0"/>
    <x v="259"/>
    <d v="1899-12-30T18:49:39"/>
    <n v="1045"/>
    <x v="8"/>
    <x v="1"/>
    <n v="1031"/>
    <m/>
    <s v="Casa/Tanger"/>
    <n v="78.155000000000001"/>
    <x v="11"/>
    <s v="N2"/>
    <s v="Ralentissement du train"/>
    <s v="Etat H.O : HO  finalisé entre 315 et 314_x000a_* qualité /niveau de signal : dl rx-qual=0 , dl rx level = -53 dbm_x000a_*Requête de déconnexion a été envoyée par le RBC"/>
    <m/>
    <x v="0"/>
    <s v="En attente de pousser les analyses côté BORD"/>
    <s v="HO  Complet entre 315 et 314"/>
    <s v="dl Rxqual=0"/>
    <s v="dl rx level= -53"/>
    <s v="OK"/>
    <s v="OK"/>
    <s v="Mauvais"/>
    <s v="retransmission des trames HDLC*5"/>
    <m/>
    <s v="ELGUEZZAR Anas"/>
    <m/>
    <m/>
    <m/>
    <m/>
    <m/>
    <m/>
    <m/>
  </r>
  <r>
    <n v="757"/>
    <b v="0"/>
    <x v="259"/>
    <d v="1899-12-30T19:04:42"/>
    <n v="2053"/>
    <x v="0"/>
    <x v="0"/>
    <n v="1031"/>
    <m/>
    <s v="Tanger/Casa"/>
    <n v="6.13"/>
    <x v="2"/>
    <s v="N2"/>
    <s v="Arrêt du train"/>
    <s v="Etat H.O : HO  finalisé entre 202 et 701_x000a_* qualité /niveau de signal : dl rx-qual=7 , dl rx level = -52 dbm_x000a_*Requête de déconnexion a été envoyée par le RBC"/>
    <m/>
    <x v="0"/>
    <s v="En attente de mise en place des tiroires filtrés "/>
    <s v="HO  Complet entre 202 et 701"/>
    <s v="dl Rxqual=7"/>
    <s v="dl rx level= -52"/>
    <s v="OK"/>
    <s v="OK"/>
    <s v="Mauvais"/>
    <s v="retransmission des trames HDLC*5"/>
    <m/>
    <s v="ELGUEZZAR Anas"/>
    <m/>
    <m/>
    <m/>
    <m/>
    <m/>
    <m/>
    <m/>
  </r>
  <r>
    <n v="758"/>
    <b v="0"/>
    <x v="259"/>
    <d v="1899-12-30T21:05:23"/>
    <n v="2061"/>
    <x v="6"/>
    <x v="0"/>
    <n v="1056"/>
    <m/>
    <s v="Tanger/Casa"/>
    <n v="6.13"/>
    <x v="2"/>
    <s v="N2"/>
    <s v="Ralentissement du train"/>
    <s v="Etat H.O : HO  finalisé entre 302 et  701_x000a_* qualité /niveau de signal : dl rx-qual=0 , dl rx level = -48 dbm_x000a_*Requête de déconnexion a été envoyée par le RBC"/>
    <m/>
    <x v="0"/>
    <s v="En attente de mise en place des tiroires filtrés "/>
    <s v="HO  Complet entre 302 et 701"/>
    <s v="dl Rxqual=0"/>
    <s v="dl rx level= -48"/>
    <s v="OK"/>
    <s v="OK"/>
    <s v="Mauvais"/>
    <s v="retransmission des trames HDLC*5"/>
    <m/>
    <s v="HARIRI Bahaeddine"/>
    <m/>
    <m/>
    <m/>
    <m/>
    <m/>
    <m/>
    <m/>
  </r>
  <r>
    <n v="759"/>
    <b v="0"/>
    <x v="260"/>
    <d v="1899-12-30T04:16:28"/>
    <n v="2081"/>
    <x v="3"/>
    <x v="0"/>
    <n v="1047"/>
    <m/>
    <s v="Tanger/Casa"/>
    <n v="31.350999999999999"/>
    <x v="25"/>
    <s v="N2"/>
    <s v="Ralentissement du train"/>
    <s v="Etat H.O : HO  finalisé entre 206 et  207_x000a_* qualité /niveau de signal : dl rx-qual=0 , dl rx level = -48 dbm_x000a_*Requête de déconnexion a été envoyée par le RBC"/>
    <m/>
    <x v="0"/>
    <s v="En attente de mise en place des tiroires filtrés "/>
    <s v="HO  Complet entre 206 et 207"/>
    <s v="dl Rxqual=0"/>
    <s v="dl rx level= -48"/>
    <s v="OK"/>
    <s v="OK"/>
    <s v="Mauvais"/>
    <s v="retransmission des trames HDLC*5"/>
    <m/>
    <s v="HARIRI Bahaeddine"/>
    <m/>
    <m/>
    <m/>
    <m/>
    <m/>
    <m/>
    <m/>
  </r>
  <r>
    <n v="760"/>
    <b v="0"/>
    <x v="260"/>
    <d v="1899-12-30T06:05:29"/>
    <n v="2001"/>
    <x v="10"/>
    <x v="0"/>
    <n v="1043"/>
    <m/>
    <s v="Tanger/Casa"/>
    <n v="7.3810000000000002"/>
    <x v="2"/>
    <s v="N2"/>
    <s v="Arrêt du train"/>
    <s v="Etat H.O : HO Complete entre 701 et 702_x000a_* qualité /niveau de signal : dl rx-qual=0, dl rx level = -72 dbm_x000a_*Requête de déconnexion a été envoyée par le RBC"/>
    <m/>
    <x v="0"/>
    <s v="En attente de mise en place des tiroires filtrés "/>
    <s v="HO Complete entre 701 et 702"/>
    <s v="dl Rxqual=0"/>
    <s v="dl rx level= -72"/>
    <s v="OK"/>
    <s v="OK"/>
    <s v="Mauvais"/>
    <s v="retransmission des trames HDLC*5"/>
    <m/>
    <s v="HARIRI Bahaeddine"/>
    <m/>
    <m/>
    <m/>
    <m/>
    <m/>
    <m/>
    <m/>
  </r>
  <r>
    <n v="761"/>
    <b v="0"/>
    <x v="260"/>
    <d v="1899-12-30T08:46:33"/>
    <n v="1005"/>
    <x v="6"/>
    <x v="1"/>
    <n v="1023"/>
    <m/>
    <s v="Casa/Tanger"/>
    <n v="94.953999999999994"/>
    <x v="8"/>
    <s v="N2"/>
    <s v="Ralentissement du train"/>
    <s v="Etat H.O : HO non finalisé entre 318 et 317_x000a_* qualité /niveau de signal : dl rx-qual=7, dl rx level = -84dbm_x000a_*Requête de déconnexion a été envoyée par le RBC"/>
    <m/>
    <x v="2"/>
    <s v="zone sous surveillance par équipe NOC GSMR"/>
    <s v="HO non finalisé entre 318 et 317"/>
    <s v="dl Rxqual=7"/>
    <s v="dl rx level= -84"/>
    <s v="OK"/>
    <s v="OK"/>
    <s v="Mauvais"/>
    <s v="Retransmission des trames HDLC*6"/>
    <m/>
    <s v="Saad Elhabib"/>
    <m/>
    <m/>
    <m/>
    <m/>
    <m/>
    <m/>
    <m/>
  </r>
  <r>
    <n v="762"/>
    <b v="0"/>
    <x v="260"/>
    <d v="1899-12-30T12:09:00"/>
    <n v="1018"/>
    <x v="5"/>
    <x v="1"/>
    <n v="1023"/>
    <m/>
    <s v="Casa/Tanger"/>
    <n v="9.07"/>
    <x v="2"/>
    <s v="N2"/>
    <s v="Arrêt du train"/>
    <s v="HO  finalisé entre 303 et 702_x000a_* qualité /niveau de signal : dl rx-qual=0, dl rx level = -73dbm_x000a_*Requête de déconnexion a été envoyée par le RBC"/>
    <m/>
    <x v="0"/>
    <s v="En attente de mise en place des tiroires filtrés "/>
    <s v="HO  finalisé entre 303 et 702"/>
    <s v="dl Rxqual=0"/>
    <s v="dl rx level= -73"/>
    <s v="OK"/>
    <s v="NOK"/>
    <s v="Mauvais"/>
    <s v="Retransmission des trames HDLC*6"/>
    <m/>
    <s v="Saad Elhabib"/>
    <m/>
    <m/>
    <m/>
    <m/>
    <m/>
    <m/>
    <m/>
  </r>
  <r>
    <n v="763"/>
    <b v="0"/>
    <x v="260"/>
    <d v="1899-12-30T12:05:48"/>
    <n v="2025"/>
    <x v="8"/>
    <x v="0"/>
    <n v="1042"/>
    <m/>
    <s v="Tanger/Casa"/>
    <n v="7.3810000000000002"/>
    <x v="2"/>
    <s v="N2"/>
    <s v="Arrêt du train"/>
    <s v="HO  non finalisé entre 701 et 702_x000a_* qualité /niveau de signal : dl rx-qual=6, dl rx level = -75dbm_x000a_*Requête de déconnexion a été envoyée par le RBC"/>
    <m/>
    <x v="0"/>
    <s v="En attente de mise en place des tiroires filtrés "/>
    <s v="HO  non finalisé entre 701 et 702"/>
    <s v="dl Rxqual=6"/>
    <s v="dl rx level= -75"/>
    <s v="OK"/>
    <s v="OK"/>
    <s v="Mauvais"/>
    <s v="retransmission des trames HDLC*5"/>
    <m/>
    <s v="Saad Elhabib"/>
    <m/>
    <m/>
    <m/>
    <m/>
    <m/>
    <m/>
    <m/>
  </r>
  <r>
    <n v="764"/>
    <b v="0"/>
    <x v="260"/>
    <d v="1899-12-30T13:04:25"/>
    <n v="1021"/>
    <x v="4"/>
    <x v="1"/>
    <n v="1016"/>
    <m/>
    <s v="Casa/Tanger"/>
    <n v="8.9700000000000006"/>
    <x v="2"/>
    <s v="N2"/>
    <s v="Ralentissement du train"/>
    <s v="HO  finalisé entre 303 et 702_x000a_* qualité /niveau de signal : dl rx-qual=0, dl rx level = -67dbm_x000a_*Requête de déconnexion a été envoyée par le RBC"/>
    <m/>
    <x v="0"/>
    <s v="En attente de mise en place des tiroires filtrés "/>
    <s v="HO  finalisé entre 303 et 702"/>
    <s v="dl Rxqual=0"/>
    <s v="dl rx level= -67"/>
    <s v="OK"/>
    <s v="OK"/>
    <s v="Mauvais"/>
    <s v="retransmission des trames HDLC*5"/>
    <m/>
    <s v="ELGUEZZAR Anas"/>
    <m/>
    <m/>
    <m/>
    <m/>
    <m/>
    <m/>
    <m/>
  </r>
  <r>
    <n v="765"/>
    <b v="0"/>
    <x v="260"/>
    <d v="1899-12-30T20:07:46"/>
    <n v="1049"/>
    <x v="2"/>
    <x v="1"/>
    <n v="1034"/>
    <m/>
    <s v="Casa/Tanger"/>
    <n v="7.3810000000000002"/>
    <x v="2"/>
    <s v="N2"/>
    <s v="Arrêt du train"/>
    <s v="HO  finalisé entre 702 et 701_x000a_* qualité /niveau de signal : dl rx-qual=7, dl rx level = -54dbm_x000a_*Requête de déconnexion a été envoyée par le RBC"/>
    <m/>
    <x v="0"/>
    <s v="En attente de mise en place des tiroires filtrés "/>
    <s v="HO  finalisé entre 702 et 701"/>
    <s v="dl Rxqual=7"/>
    <s v="dl rx level= -54"/>
    <s v="OK"/>
    <s v="OK"/>
    <s v="Mauvais"/>
    <s v="retransmission des trames HDLC*5"/>
    <m/>
    <s v="ELGUEZZAR Anas"/>
    <m/>
    <m/>
    <m/>
    <m/>
    <m/>
    <m/>
    <m/>
  </r>
  <r>
    <n v="766"/>
    <b v="0"/>
    <x v="260"/>
    <d v="1899-12-30T21:03:10"/>
    <n v="1054"/>
    <x v="7"/>
    <x v="1"/>
    <n v="1041"/>
    <m/>
    <s v="Casa/Tanger"/>
    <n v="8.9700000000000006"/>
    <x v="2"/>
    <s v="N2"/>
    <s v="Arrêt du train"/>
    <s v="HO  finalisé entre 303 et 702_x000a_* qualité /niveau de signal : dl rx-qual=0, dl rx level = -48dbm_x000a_*Requête de déconnexion a été envoyée par le RBC"/>
    <m/>
    <x v="0"/>
    <s v="En attente de mise en place des tiroires filtrés "/>
    <s v="HO  finalisé entre 303 et 702"/>
    <s v="dl Rxqual=0"/>
    <s v="dl rx level= -48"/>
    <s v="OK"/>
    <s v="OK"/>
    <s v="Mauvais"/>
    <s v="retransmission des trames HDLC*5"/>
    <m/>
    <s v="HARIRI Bahaeddine"/>
    <m/>
    <m/>
    <m/>
    <m/>
    <m/>
    <m/>
    <m/>
  </r>
  <r>
    <n v="767"/>
    <b v="0"/>
    <x v="261"/>
    <d v="1899-12-30T09:04:33"/>
    <n v="1005"/>
    <x v="2"/>
    <x v="1"/>
    <n v="1035"/>
    <m/>
    <s v="Casa/Tanger"/>
    <n v="8.9700000000000006"/>
    <x v="2"/>
    <s v="N2"/>
    <s v="Ralentissement du train"/>
    <s v="Etat H.O : HO  finalisé entre 303 et 702 _x000a_* qualité /niveau de signal : dl rx-qual=0, dl rx level = -50dbm_x000a_*Requête de déconnexion a été envoyée par le RBC"/>
    <m/>
    <x v="0"/>
    <s v="En attente de mise en place des tiroires filtrés "/>
    <s v="HO  finalisé entre 303 et 702"/>
    <s v="dl Rxqual=0"/>
    <s v="dl rx level= -50"/>
    <s v="OK"/>
    <s v="OK"/>
    <s v="Mauvais"/>
    <s v="retransmission des trames HDLC*5"/>
    <m/>
    <s v="Saad Elhabib"/>
    <m/>
    <m/>
    <m/>
    <m/>
    <m/>
    <m/>
    <m/>
  </r>
  <r>
    <n v="768"/>
    <b v="0"/>
    <x v="261"/>
    <d v="1899-12-30T13:04:19"/>
    <n v="1021"/>
    <x v="8"/>
    <x v="1"/>
    <n v="1031"/>
    <m/>
    <s v="Casa/Tanger"/>
    <n v="8.9700000000000006"/>
    <x v="2"/>
    <s v="N2"/>
    <s v="Arrêt du train"/>
    <s v="* Etat H.O : HO  finalisé entre 303 et 702 _x000a_* qualité /niveau de signal : dl rx-qual=5, dl rx level = -48dbm_x000a_*Requête de déconnexion a été envoyée par le RBC"/>
    <m/>
    <x v="0"/>
    <s v="En attente de mise en place des tiroires filtrés "/>
    <s v="HO  finalisé entre 303 et 702 "/>
    <s v="dl Rxqual=5"/>
    <s v="dl rx level= -48"/>
    <s v="OK"/>
    <s v="NOK"/>
    <s v="Mauvais"/>
    <s v="retransmission des trames HDLC*5"/>
    <m/>
    <s v="Saad Elhabib"/>
    <m/>
    <m/>
    <m/>
    <m/>
    <m/>
    <m/>
    <m/>
  </r>
  <r>
    <n v="769"/>
    <b v="0"/>
    <x v="261"/>
    <d v="1899-12-30T14:06:01"/>
    <n v="2033"/>
    <x v="11"/>
    <x v="0"/>
    <n v="1049"/>
    <m/>
    <s v="Tanger/Casa"/>
    <n v="7.3810000000000002"/>
    <x v="2"/>
    <s v="N2"/>
    <s v="Arrêt du train"/>
    <s v="* Etat H.O : HO  complet entre 701 et 702 _x000a_* qualité /niveau de signal : dl rx-qual=1, dl rx level = -75dbm_x000a_* Requête de déconnexion a été envoyé par le RBC_x000a_"/>
    <m/>
    <x v="0"/>
    <s v="En attente de mise en place des tiroires filtrés "/>
    <s v="HO  finalisé entre 701 et 702"/>
    <s v="dl Rxqual=1"/>
    <s v="dl rx level= -75"/>
    <s v="OK"/>
    <s v="OK"/>
    <s v="Mauvais"/>
    <s v="retransmission des trames HDLC*5"/>
    <m/>
    <s v="Fahd OUSSALH"/>
    <m/>
    <m/>
    <m/>
    <m/>
    <m/>
    <m/>
    <m/>
  </r>
  <r>
    <n v="770"/>
    <b v="0"/>
    <x v="261"/>
    <d v="1899-12-30T14:12:36"/>
    <n v="1026"/>
    <x v="6"/>
    <x v="1"/>
    <n v="1022"/>
    <m/>
    <s v="Casa/Tanger"/>
    <n v="8.9700000000000006"/>
    <x v="2"/>
    <s v="N2"/>
    <s v="Arrêt du train"/>
    <s v="* Etat H.O : HO  complet entre 702 et 701 _x000a_* qualité /niveau de signal : dl rx-qual=7, dl rx level = -56dbm_x000a_* Requête de déconnexion a été envoyé par le RBC_x000a_"/>
    <m/>
    <x v="0"/>
    <s v="En attente de mise en place des tiroires filtrés "/>
    <s v="HO  finalisé entre 702 et 701"/>
    <s v="dl Rxqual=7"/>
    <s v="dl rx level= -56"/>
    <s v="OK"/>
    <s v="OK"/>
    <s v="Mauvais"/>
    <s v="pas de retransmission des trames HDLC"/>
    <m/>
    <s v="Fahd OUSSALH"/>
    <m/>
    <m/>
    <m/>
    <m/>
    <m/>
    <m/>
    <m/>
  </r>
  <r>
    <n v="771"/>
    <b v="0"/>
    <x v="261"/>
    <d v="1899-12-30T15:05:27"/>
    <n v="2037"/>
    <x v="6"/>
    <x v="0"/>
    <n v="1057"/>
    <m/>
    <s v="Tanger/Casa"/>
    <n v="6.13"/>
    <x v="2"/>
    <s v="N2"/>
    <s v="Arrêt du train"/>
    <s v="* Etat H.O : HO non finalisé entre 202 et 701 _x000a_* qualité /niveau de signal : dl rx-qual=0, dl rx level = -57 dbm_x000a_*Requête de déconnexion a été envoyée par le BORD"/>
    <m/>
    <x v="0"/>
    <s v="En attente de mise en place des tiroires filtrés "/>
    <s v="HO  non finalisé entre 202 et 701"/>
    <s v="dl Rxqual=0"/>
    <s v="dl rx level= -57"/>
    <s v="OK"/>
    <s v="OK"/>
    <s v="Mauvais"/>
    <s v="pas de retransmission des trames HDLC"/>
    <m/>
    <s v="Fahd OUSSALH"/>
    <m/>
    <m/>
    <m/>
    <m/>
    <m/>
    <m/>
    <m/>
  </r>
  <r>
    <n v="772"/>
    <b v="0"/>
    <x v="262"/>
    <d v="1899-12-30T08:08:17"/>
    <n v="2009"/>
    <x v="0"/>
    <x v="0"/>
    <n v="1037"/>
    <m/>
    <s v="Tanger/Casa"/>
    <n v="16.29"/>
    <x v="22"/>
    <s v="N2"/>
    <s v="Ralentissement du train"/>
    <s v="* Etat H.O : HO  finalisé entre 303 et 304 _x000a_* qualité /niveau de signal : dl rx-qual=0, dl rx level = -48 dbm_x000a_*Requête de déconnexion a été envoyée par le RBC"/>
    <m/>
    <x v="0"/>
    <s v="En attente de mise en place des tiroires filtrés "/>
    <s v="HO   finalisé entre 303 et 304"/>
    <s v="dl Rxqual=0"/>
    <s v="dl rx level= -48"/>
    <s v="OK"/>
    <s v="OK"/>
    <s v="Mauvais"/>
    <s v=" Retransmission des trames HDLC*5"/>
    <m/>
    <s v="ELGUEZZAR Anas"/>
    <m/>
    <m/>
    <m/>
    <m/>
    <m/>
    <m/>
    <m/>
  </r>
  <r>
    <n v="773"/>
    <b v="0"/>
    <x v="262"/>
    <d v="1899-12-30T09:35:20"/>
    <n v="2013"/>
    <x v="2"/>
    <x v="0"/>
    <n v="7218"/>
    <m/>
    <s v="Tanger/Casa"/>
    <n v="145.6"/>
    <x v="3"/>
    <s v="N2"/>
    <s v="Ralentissement du train"/>
    <s v="* Etat H.O : HO  finalisé entre 225 et 226_x000a_* qualité /niveau de signal : dl rx-qual=0, dl rx level = -63 dbm_x000a_*Requête de déconnexion a été envoyée par le RBC"/>
    <m/>
    <x v="3"/>
    <s v="En attente de pousser les analyses côté RBC"/>
    <s v="HO   finalisé entre 225 et 226"/>
    <s v="dl Rxqual=0"/>
    <s v="dl rx level= -63"/>
    <s v="OK"/>
    <s v="OK"/>
    <s v="Mauvais"/>
    <s v=" Retransmission des trames HDLC*5"/>
    <m/>
    <s v="ELGUEZZAR Anas"/>
    <m/>
    <m/>
    <m/>
    <m/>
    <m/>
    <m/>
    <m/>
  </r>
  <r>
    <n v="774"/>
    <b v="0"/>
    <x v="262"/>
    <d v="1899-12-30T12:47:05"/>
    <n v="1017"/>
    <x v="0"/>
    <x v="1"/>
    <n v="1045"/>
    <m/>
    <s v="Tanger/Casa"/>
    <n v="90.108000000000004"/>
    <x v="12"/>
    <s v="N2"/>
    <s v="Ralentissement du train"/>
    <s v="* Etat H.O : HO  finalisé entre 317 et 316_x000a_* qualité /niveau de signal : dl rx-qual=0, dl rx level = -57 dbm_x000a_*Requête de déconnexion a été envoyée par le RBC"/>
    <m/>
    <x v="0"/>
    <s v="En attente de mise en place des tiroires filtrés "/>
    <s v="HO   finalisé entre 317 et 316"/>
    <s v="dl Rxqual=0"/>
    <s v="dl rx level= -57"/>
    <s v="OK"/>
    <s v="OK"/>
    <s v="Mauvais"/>
    <s v=" Retransmission des trames HDLC*5"/>
    <m/>
    <s v="ELGUEZZAR Anas"/>
    <m/>
    <m/>
    <m/>
    <m/>
    <m/>
    <m/>
    <m/>
  </r>
  <r>
    <n v="775"/>
    <b v="0"/>
    <x v="262"/>
    <d v="1899-12-30T14:35:50"/>
    <n v="2033"/>
    <x v="0"/>
    <x v="0"/>
    <n v="1037"/>
    <m/>
    <s v="Tanger/Casa"/>
    <n v="144.32599999999999"/>
    <x v="3"/>
    <s v="N2"/>
    <s v="Arrêt du train"/>
    <s v="* Etat H.O : HO  finalisé entre 224 et 225_x000a_* qualité /niveau de signal : dl rx-qual=0, dl rx level = -66 dbm_x000a_*Requête de déconnexion a été envoyée par le RBC"/>
    <m/>
    <x v="0"/>
    <s v="En attente de mise en place des tiroires filtrés "/>
    <s v="HO   finalisé entre 317 et 316"/>
    <s v="dl Rxqual=0"/>
    <s v="dl rx level= -66"/>
    <s v="OK"/>
    <s v="OK"/>
    <s v="Mauvais"/>
    <s v=" Retransmission des trames HDLC*5"/>
    <m/>
    <s v="Fahd OUSSALH"/>
    <m/>
    <m/>
    <m/>
    <m/>
    <m/>
    <m/>
    <m/>
  </r>
  <r>
    <n v="776"/>
    <b v="0"/>
    <x v="262"/>
    <d v="1899-12-30T14:36:12"/>
    <n v="2033"/>
    <x v="0"/>
    <x v="0"/>
    <n v="1045"/>
    <m/>
    <s v="Tanger/Casa"/>
    <n v="152.86199999999999"/>
    <x v="18"/>
    <s v="N2"/>
    <s v="Arrêt du train"/>
    <s v="* Etat H.O : HO  non finalisé entre 226 et 327_x000a_* qualité /niveau de signal : dl rx-qual=7, dl rx level = -56 dbm_x000a_*Requête de déconnexion a été envoyée par le RBC"/>
    <m/>
    <x v="2"/>
    <s v="zone sous surveillance par équipe NOC GSMR"/>
    <s v="HO  non finalisé entre 226 et 327"/>
    <s v="dl Rxqual=7"/>
    <s v="dl rx level= -56"/>
    <s v="OK"/>
    <s v="OK"/>
    <s v="Mauvais"/>
    <s v=" Retransmission des trames HDLC*5"/>
    <m/>
    <s v="Fahd OUSSALH"/>
    <m/>
    <m/>
    <m/>
    <m/>
    <m/>
    <m/>
    <m/>
  </r>
  <r>
    <n v="777"/>
    <b v="0"/>
    <x v="262"/>
    <d v="1899-12-30T16:03:31"/>
    <n v="1034"/>
    <x v="4"/>
    <x v="1"/>
    <n v="1033"/>
    <m/>
    <s v="Casa/Tanger"/>
    <n v="8.9700000000000006"/>
    <x v="2"/>
    <s v="N2"/>
    <s v="Arrêt du train"/>
    <s v="* Etat H.O : HO  non finalisé entre 303 et 202_x000a_* qualité /niveau de signal : dl rx-qual=5 dl rx level = -63 dbm_x000a_*Requête de déconnexion a été envoyée par le RBC"/>
    <m/>
    <x v="0"/>
    <s v="En attente de mise en place des tiroires filtrés "/>
    <s v="HO  non finalisé entre 303 et 202"/>
    <s v="dl Rxqual=5"/>
    <s v="dl rx level= -63"/>
    <s v="OK"/>
    <s v="OK"/>
    <s v="Mauvais"/>
    <s v=" Retransmission des trames HDLC*5"/>
    <m/>
    <s v="Fahd OUSSALH"/>
    <m/>
    <m/>
    <m/>
    <m/>
    <m/>
    <m/>
    <m/>
  </r>
  <r>
    <n v="778"/>
    <b v="0"/>
    <x v="262"/>
    <d v="1899-12-30T16:15:27"/>
    <n v="2041"/>
    <x v="6"/>
    <x v="0"/>
    <n v="1057"/>
    <m/>
    <s v="Tanger/Casa"/>
    <n v="43.170999999999999"/>
    <x v="16"/>
    <s v="N2"/>
    <s v="Ralentissement du train"/>
    <s v="* Etat H.O : HO  finalisé entre 207 et 208_x000a_* qualité /niveau de signal : dl rx-qual=3, dl rx level = -56 dbm_x000a_*Requête de déconnexion a été envoyée par le RBC"/>
    <m/>
    <x v="0"/>
    <s v="En attente de mise en place des tiroires filtrés "/>
    <s v="HO   finalisé entre 207 et 208"/>
    <s v="dl Rxqual=3"/>
    <s v="dl rx level= -56"/>
    <s v="OK"/>
    <s v="OK"/>
    <s v="Mauvais"/>
    <s v=" Retransmission des trames HDLC*5"/>
    <m/>
    <s v="Fahd OUSSALH"/>
    <m/>
    <m/>
    <m/>
    <m/>
    <m/>
    <m/>
    <m/>
  </r>
  <r>
    <n v="779"/>
    <b v="0"/>
    <x v="262"/>
    <d v="1899-12-30T17:04:50"/>
    <n v="2045"/>
    <x v="4"/>
    <x v="0"/>
    <n v="7208"/>
    <m/>
    <s v="Tanger/Casa"/>
    <n v="6.13"/>
    <x v="2"/>
    <s v="N2"/>
    <s v="Arrêt du train"/>
    <s v="* Etat H.O : HO non finalisé entre 302 et 203 _x000a_* qualité /niveau de signal : dl rx-qual=6, dl rx level = -53 dbm_x000a_*Requête de déconnexion a été envoyée par le BORD"/>
    <m/>
    <x v="0"/>
    <s v="En attente de mise en place des tiroires filtrés "/>
    <s v="HO  non finalisé entre 302 et 203"/>
    <s v="dl Rxqual=6"/>
    <s v="dl rx level= -53"/>
    <s v="NOK"/>
    <s v="OK"/>
    <s v="Mauvais"/>
    <s v=" Pas Retransmission des trames HDLC*5"/>
    <m/>
    <s v="Fahd OUSSALH"/>
    <m/>
    <m/>
    <m/>
    <m/>
    <m/>
    <m/>
    <m/>
  </r>
  <r>
    <n v="780"/>
    <b v="0"/>
    <x v="262"/>
    <d v="1899-12-30T17:04:50"/>
    <n v="2049"/>
    <x v="11"/>
    <x v="0"/>
    <n v="1048"/>
    <m/>
    <s v="Tanger/Casa"/>
    <n v="6.13"/>
    <x v="2"/>
    <s v="N2"/>
    <s v="Arrêt du train"/>
    <s v="* Etat H.O : HO non finalisé entre 202 et 303 _x000a_* qualité /niveau de signal : dl rx-qual=7, dl rx level = -55 dbm_x000a_*Requête de déconnexion a été envoyée par le BORD"/>
    <m/>
    <x v="0"/>
    <s v="En attente de mise en place des tiroires filtrés "/>
    <s v="HO  non finalisé entre 202 et 303"/>
    <s v="dl Rxqual=7"/>
    <s v="dl rx level= -55"/>
    <s v="NOK"/>
    <s v="OK"/>
    <s v="Mauvais"/>
    <s v=" Pas Retransmission des trames HDLC*5"/>
    <m/>
    <s v="Fahd OUSSALH"/>
    <m/>
    <m/>
    <m/>
    <m/>
    <m/>
    <m/>
    <m/>
  </r>
  <r>
    <n v="781"/>
    <b v="0"/>
    <x v="262"/>
    <d v="1899-12-30T21:16:47"/>
    <n v="2061"/>
    <x v="2"/>
    <x v="0"/>
    <n v="7218"/>
    <m/>
    <s v="Tanger/Casa"/>
    <n v="53.600999999999999"/>
    <x v="29"/>
    <s v="N2"/>
    <s v="Ralentissement du train"/>
    <s v="* Etat H.O : HO  finalisé entre 209 et 210_x000a_* qualité /niveau de signal : dl rx-qual=0, dl rx level = -48 dbm_x000a_*Requête de déconnexion a été envoyée par le RBC"/>
    <m/>
    <x v="0"/>
    <s v="En attente de mise en place des tiroires filtrés "/>
    <s v="HO   finalisé entre 209 et 210"/>
    <s v="dl Rxqual=0"/>
    <s v="dl rx level= -48"/>
    <s v="OK"/>
    <s v="OK"/>
    <s v="Mauvais"/>
    <s v=" Retransmission des trames HDLC*5"/>
    <m/>
    <s v="HARIRI Bahaeddine"/>
    <m/>
    <m/>
    <m/>
    <m/>
    <m/>
    <m/>
    <m/>
  </r>
  <r>
    <n v="782"/>
    <b v="0"/>
    <x v="263"/>
    <d v="1899-12-30T04:16:49"/>
    <n v="2081"/>
    <x v="8"/>
    <x v="0"/>
    <n v="1043"/>
    <m/>
    <s v="Tanger/Casa"/>
    <n v="32.625999999999998"/>
    <x v="25"/>
    <s v="N2"/>
    <s v="Ralentissement du train"/>
    <s v="* Etat H.O : HO  finalisé entre 206 et 207_x000a_* qualité /niveau de signal : dl rx-qual=0, dl rx level = -52 dbm_x000a_*Requête de déconnexion a été envoyée par le RBC"/>
    <m/>
    <x v="0"/>
    <s v="En attente de mise en place des tiroires filtrés "/>
    <s v="HO   finalisé entre 206 et 207"/>
    <s v="dl Rxqual=0"/>
    <s v="dl rx level= -52"/>
    <s v="OK"/>
    <s v="OK"/>
    <s v="Mauvais"/>
    <s v=" Retransmission des trames HDLC*5"/>
    <m/>
    <s v="HARIRI Bahaeddine"/>
    <m/>
    <m/>
    <m/>
    <m/>
    <m/>
    <m/>
    <m/>
  </r>
  <r>
    <n v="783"/>
    <b v="0"/>
    <x v="263"/>
    <d v="1899-12-30T13:05:04"/>
    <n v="1021"/>
    <x v="8"/>
    <x v="1"/>
    <n v="1030"/>
    <m/>
    <s v="Casa/Tanger"/>
    <n v="7.3209999999999997"/>
    <x v="2"/>
    <s v="N2"/>
    <s v="Ralentissement du train"/>
    <s v="* Etat H.O : HO non finalisé entre 303 et 302_x000a_* qualité /niveau de signal : dl rx-qual=7, dl rx level = -64 dbm_x000a_*Requête de déconnexion a été envoyée par le RBC"/>
    <m/>
    <x v="0"/>
    <s v="En attente de mise en place des tiroires filtrés "/>
    <s v="HO non finalisé entre 303 et 302"/>
    <s v="dl Rxqual=7"/>
    <s v="dl rx level= -64"/>
    <s v="OK"/>
    <s v="OK"/>
    <s v="Mauvais"/>
    <s v=" Retransmission des trames HDLC*5"/>
    <m/>
    <s v="Noura MOUSSAOUI"/>
    <m/>
    <m/>
    <m/>
    <m/>
    <m/>
    <m/>
    <m/>
  </r>
  <r>
    <n v="784"/>
    <b v="0"/>
    <x v="263"/>
    <d v="1899-12-30T14:35:29"/>
    <n v="2033"/>
    <x v="5"/>
    <x v="0"/>
    <n v="1031"/>
    <m/>
    <s v="Tanger/Casa"/>
    <n v="138.30199999999999"/>
    <x v="26"/>
    <s v="N2"/>
    <s v="Ralentissement du train"/>
    <s v="* Etat H.O :  HO complet entre 223 et 224_x000a_* qualité /niveau de signal : dl rx-qual=1, dl rx level = -71 dbm_x000a_*Requête de déconnexion a été envoyée par le RBC"/>
    <m/>
    <x v="3"/>
    <s v="En attente de pousser les analyses côté RBC"/>
    <s v=" HO complet entre 223 et 224"/>
    <s v="dl Rxqual=1"/>
    <s v="dl rx level= -71"/>
    <s v="OK"/>
    <s v="OK"/>
    <s v="Mauvais"/>
    <s v=" Pas de Retransmission des trames HDLC"/>
    <m/>
    <s v="Noura MOUSSAOUI"/>
    <m/>
    <m/>
    <m/>
    <m/>
    <m/>
    <m/>
    <m/>
  </r>
  <r>
    <n v="785"/>
    <b v="0"/>
    <x v="263"/>
    <d v="1899-12-30T15:04:51"/>
    <n v="2037"/>
    <x v="4"/>
    <x v="0"/>
    <n v="7208"/>
    <m/>
    <s v="Tanger/Casa"/>
    <n v="6.13"/>
    <x v="2"/>
    <s v="N2"/>
    <s v="Ralentissement du train"/>
    <s v="* Etat H.O :  HO non finalisé entre 302 et 303_x000a_* qualité /niveau de signal : dl rx-qual=7, dl rx level = -55 dbm_x000a_*Requête de déconnexion a été envoyée par le RBC"/>
    <m/>
    <x v="0"/>
    <s v="En attente de mise en place des tiroires filtrés "/>
    <s v=" HO non finalisé entre 302 et 303"/>
    <s v="dl Rxqual=7"/>
    <s v="dl rx level= -55"/>
    <s v="NOK"/>
    <s v="OK"/>
    <s v="Mauvais"/>
    <s v=" Retransmission des trames HDLC*5"/>
    <m/>
    <s v="Noura MOUSSAOUI"/>
    <m/>
    <m/>
    <m/>
    <m/>
    <m/>
    <m/>
    <m/>
  </r>
  <r>
    <n v="786"/>
    <b v="0"/>
    <x v="263"/>
    <d v="1899-12-30T16:27:35"/>
    <n v="2041"/>
    <x v="11"/>
    <x v="0"/>
    <n v="1048"/>
    <m/>
    <s v="Tanger/Casa"/>
    <n v="109.495"/>
    <x v="1"/>
    <s v="N2"/>
    <s v="Ralentissement du train"/>
    <s v="* Etat H.O :  HO non finalisé entre 219 et 220_x000a_* qualité /niveau de signal : dl rx-qual=6, dl rx level = -58 dbm_x000a_*Requête de déconnexion a été envoyée par le RBC"/>
    <m/>
    <x v="2"/>
    <s v="zone sous surveillance par équipe NOC GSMR"/>
    <s v=" HO non finalisé entre 219 et 220"/>
    <s v="dl Rxqual=6"/>
    <s v="dl rx level= -58"/>
    <s v="OK"/>
    <s v="OK"/>
    <s v="Mauvais"/>
    <s v=" Retransmission des trames HDLC*5"/>
    <m/>
    <s v="Fahd OUSSALH"/>
    <m/>
    <m/>
    <m/>
    <m/>
    <m/>
    <m/>
    <m/>
  </r>
  <r>
    <n v="787"/>
    <b v="0"/>
    <x v="263"/>
    <d v="1899-12-30T16:26:26"/>
    <n v="1034"/>
    <x v="2"/>
    <x v="1"/>
    <n v="1034"/>
    <m/>
    <s v="Casa/Tanger"/>
    <n v="7.3209999999999997"/>
    <x v="2"/>
    <s v="N2"/>
    <s v="Ralentissement du train"/>
    <s v="* Etat H.O :  HO non finalisé entre 303 et 202_x000a_* qualité /niveau de signal : dl rx-qual=5  dl rx level = -53 dbm_x000a_*Requête de déconnexion a été envoyée par le RBC"/>
    <m/>
    <x v="0"/>
    <s v="En attente de mise en place des tiroires filtrés "/>
    <s v=" HO non finalisé entre 303 et 202"/>
    <s v="dl Rxqual=5"/>
    <s v="dl rx level= -53"/>
    <s v="NOK"/>
    <s v="OK"/>
    <s v="Mauvais"/>
    <s v=" Retransmission des trames HDLC*5"/>
    <m/>
    <s v="Fahd OUSSALH"/>
    <m/>
    <m/>
    <m/>
    <m/>
    <m/>
    <m/>
    <m/>
  </r>
  <r>
    <n v="788"/>
    <b v="0"/>
    <x v="263"/>
    <d v="1899-12-30T21:05:49"/>
    <n v="2061"/>
    <x v="4"/>
    <x v="0"/>
    <n v="7208"/>
    <m/>
    <s v="Tanger/Casa"/>
    <n v="6.13"/>
    <x v="2"/>
    <s v="N2"/>
    <s v="Ralentissement du train"/>
    <s v="*Etat H.O : HO non finalisé entre 202 et 203 _x000a_* qualité /niveau de signal : dl rx-qual=7, dl rx level = -51dbm_x000a_*Requête de déconnexion a été envoyée par le RBC"/>
    <m/>
    <x v="0"/>
    <s v="En attente de mise en place des tiroires filtrés "/>
    <s v="HO non finalisé entre 202 et 203 "/>
    <s v="dl Rxqual=7"/>
    <s v="dl rx level= -51"/>
    <s v="NOK"/>
    <s v="OK"/>
    <s v="Mauvais"/>
    <s v=" Retransmission des trames HDLC*5"/>
    <m/>
    <s v="Saad Elhabib"/>
    <m/>
    <m/>
    <m/>
    <m/>
    <m/>
    <m/>
    <m/>
  </r>
  <r>
    <n v="789"/>
    <b v="0"/>
    <x v="264"/>
    <d v="1899-12-30T16:46:49"/>
    <n v="1038"/>
    <x v="2"/>
    <x v="1"/>
    <n v="1035"/>
    <m/>
    <s v="Casa/Tanger"/>
    <n v="94.953999999999994"/>
    <x v="8"/>
    <s v="N2"/>
    <s v="Ralentissement du train"/>
    <s v="*Etat H.O : HO finalisé entre 318 et 317 _x000a_* qualité /niveau de signal : dl rx-qual=0, dl rx level = -51 dbm_x000a_*Requête de déconnexion a été envoyée par le RBC"/>
    <m/>
    <x v="0"/>
    <s v="En attente de mise en place des tiroires filtrés "/>
    <s v="HO finalisé entre 318 et 317 "/>
    <s v="dl Rxqual=0"/>
    <s v="dl rx level= -51"/>
    <s v="NOK"/>
    <s v="OK"/>
    <s v="Mauvais"/>
    <s v=" Retransmission des trames HDLC*5"/>
    <m/>
    <s v="Fahd OUSSALH"/>
    <m/>
    <m/>
    <m/>
    <m/>
    <m/>
    <m/>
    <m/>
  </r>
  <r>
    <n v="790"/>
    <b v="0"/>
    <x v="265"/>
    <s v="10:12:30 "/>
    <n v="2017"/>
    <x v="7"/>
    <x v="0"/>
    <n v="1055"/>
    <m/>
    <s v="Tanger/Casa"/>
    <n v="33.960999999999999"/>
    <x v="25"/>
    <s v="N2"/>
    <s v="Ralentissement du train"/>
    <s v="*Etat H.O :HO complet entre 206 et 207_x000a_* qualité /niveau de signal : dl rx-qual=0, dl rx level = -48 dbm_x000a_*Requête de déconnexion a été envoyée par le RBC"/>
    <m/>
    <x v="0"/>
    <s v="En attente de mise en place des tiroires filtrés "/>
    <s v="HO complet entre 206 et 207"/>
    <s v="dl Rxqual=0"/>
    <s v="dl rx level= -48"/>
    <s v="OK"/>
    <s v="OK"/>
    <s v="Mauvais"/>
    <s v=" Retransmission des trames HDLC*5"/>
    <m/>
    <s v="Noura MOUSSAOUI"/>
    <m/>
    <m/>
    <m/>
    <m/>
    <m/>
    <m/>
    <m/>
  </r>
  <r>
    <n v="791"/>
    <b v="0"/>
    <x v="265"/>
    <s v="10:38:52 "/>
    <n v="2017"/>
    <x v="7"/>
    <x v="0"/>
    <n v="1054"/>
    <m/>
    <s v="Tanger/Casa"/>
    <n v="161.72200000000001"/>
    <x v="9"/>
    <s v="N2"/>
    <s v="Arrêt du train"/>
    <s v="*Etat H.O :HO complet entre 327 et 228_x000a_* qualité /niveau de signal : dl rx-qual=0, dl rx level = -48 dbm_x000a_*Requête de déconnexion a été envoyée par le RBC"/>
    <m/>
    <x v="0"/>
    <s v="En attente de mise en place des tiroires filtrés "/>
    <s v="HO complet entre 327 et 228"/>
    <s v="dl Rxqual=0"/>
    <s v="dl rx level= -48"/>
    <s v="OK"/>
    <s v="OK"/>
    <s v="Mauvais"/>
    <s v=" Retransmission des trames HDLC*5"/>
    <m/>
    <s v="Noura MOUSSAOUI"/>
    <m/>
    <m/>
    <m/>
    <m/>
    <m/>
    <m/>
    <m/>
  </r>
  <r>
    <n v="792"/>
    <b v="0"/>
    <x v="265"/>
    <d v="1899-12-30T10:44:39"/>
    <n v="1012"/>
    <x v="8"/>
    <x v="1"/>
    <n v="1055"/>
    <m/>
    <s v="Casa/Tanger"/>
    <s v=" 118,562"/>
    <x v="17"/>
    <s v="N2"/>
    <s v="Ralentissement du train"/>
    <s v="*Etat H.O :HO non finalisé entre 321 et 320_x000a_* qualité /niveau de signal : dl rx-qual=0, dl rx level = -69 dbm_x000a_*Requête de déconnexion a été envoyée par le RBC"/>
    <m/>
    <x v="0"/>
    <s v="En attente de mise en place des tiroires filtrés "/>
    <s v=" HO non finalisé entre 321 et 320"/>
    <s v="dl Rxqual=0"/>
    <s v="dl rx level= -69"/>
    <s v="NOK"/>
    <s v="OK"/>
    <s v="Mauvais"/>
    <s v=" Retransmission des trames HDLC*5"/>
    <m/>
    <s v="Noura MOUSSAOUI"/>
    <m/>
    <m/>
    <m/>
    <m/>
    <m/>
    <m/>
    <m/>
  </r>
  <r>
    <n v="793"/>
    <b v="0"/>
    <x v="265"/>
    <s v="15:05:05 "/>
    <n v="2037"/>
    <x v="13"/>
    <x v="0"/>
    <n v="1029"/>
    <m/>
    <s v="Tanger/Casa"/>
    <n v="6.13"/>
    <x v="2"/>
    <s v="N2"/>
    <s v="Ralentissement du train"/>
    <s v="*Etat H.O :non finalisé entre 202 et 303_x000a_* qualité /niveau de signal : dl rx-qual=0, dl rx level = -73 dbm_x000a_*Requête de déconnexion a été envoyée par le RBC"/>
    <m/>
    <x v="0"/>
    <s v="En attente de mise en place des tiroires filtrés "/>
    <s v="HO non finalisé entre 202 et 303"/>
    <s v="dl Rxqual=2"/>
    <s v="dl rx level= -73"/>
    <s v="NOK"/>
    <s v="OK"/>
    <s v="Mauvais"/>
    <s v=" Retransmission des trames HDLC*5"/>
    <m/>
    <s v="Fahd OUSSALH"/>
    <m/>
    <m/>
    <m/>
    <m/>
    <m/>
    <m/>
    <m/>
  </r>
  <r>
    <n v="794"/>
    <b v="0"/>
    <x v="265"/>
    <d v="1899-12-30T17:04:59"/>
    <n v="2045"/>
    <x v="5"/>
    <x v="0"/>
    <n v="1025"/>
    <m/>
    <s v="Tanger/Casa"/>
    <n v="6.13"/>
    <x v="2"/>
    <s v="N2"/>
    <s v="Ralentissement du train"/>
    <s v="*Etat H.O :non finalisé entre 202 et 203_x000a_* qualité /niveau de signal : dl rx-qual=0, dl rx level = -65 dbm_x000a_*Requête de déconnexion a été envoyée par le RBC"/>
    <m/>
    <x v="0"/>
    <s v="En attente de mise en place des tiroires filtrés "/>
    <s v="HO finalisé entre 202 et 303"/>
    <s v="dl Rxqual=2"/>
    <s v="dl rx level= -65"/>
    <s v="NOK"/>
    <s v="OK"/>
    <s v="Mauvais"/>
    <s v=" Retransmission des trames HDLC*5"/>
    <m/>
    <s v="Fahd OUSSALH"/>
    <m/>
    <m/>
    <m/>
    <m/>
    <m/>
    <m/>
    <m/>
  </r>
  <r>
    <n v="795"/>
    <b v="0"/>
    <x v="266"/>
    <d v="1899-12-30T13:04:42"/>
    <n v="1021"/>
    <x v="11"/>
    <x v="1"/>
    <n v="1072"/>
    <m/>
    <s v="Casa/Tanger"/>
    <n v="7.3209999999999997"/>
    <x v="2"/>
    <s v="N2"/>
    <s v="Ralentissement du train"/>
    <s v="*Etat H.O :finalisé entre 303 et 302_x000a_* qualité /niveau de signal : dl rx-qual=5, dl rx level = -55 dbm_x000a_*Requête de déconnexion a été envoyée par le RBC"/>
    <m/>
    <x v="0"/>
    <s v="En attente de mise en place des tiroires filtrés "/>
    <s v="HO finalisé entre 303 et 302"/>
    <s v="dl Rxqual=5"/>
    <s v="dl rx level= -55"/>
    <s v="NOK"/>
    <s v="OK"/>
    <s v="Mauvais"/>
    <s v=" Retransmission des trames HDLC*5"/>
    <m/>
    <s v="ELGUEZZAR Anas"/>
    <m/>
    <m/>
    <m/>
    <m/>
    <m/>
    <m/>
    <m/>
  </r>
  <r>
    <n v="796"/>
    <b v="0"/>
    <x v="266"/>
    <d v="1899-12-30T18:26:18"/>
    <n v="1046"/>
    <x v="11"/>
    <x v="1"/>
    <n v="1072"/>
    <m/>
    <s v="Casa/Tanger"/>
    <n v="188.05600000000001"/>
    <x v="5"/>
    <s v="N2"/>
    <s v="Ralentissement du train"/>
    <s v="*Etat H.O :finalisé entre 234 et 233_x000a_* qualité /niveau de signal : dl rx-qual=2, dl rx level = -55 dbm_x000a_*Requête de déconnexion a été envoyée par le RBC"/>
    <m/>
    <x v="0"/>
    <s v="En attente de mise en place des tiroires filtrés "/>
    <s v="HO finalisé entre 234 et 233"/>
    <s v="dl Rxqual=2"/>
    <s v="dl rx level= -55"/>
    <s v="OK"/>
    <s v="OK"/>
    <s v="Mauvais"/>
    <s v=" Retransmission des trames HDLC*5"/>
    <m/>
    <s v="HARIRI Bahaeddine"/>
    <m/>
    <m/>
    <m/>
    <m/>
    <m/>
    <m/>
    <m/>
  </r>
  <r>
    <n v="797"/>
    <b v="0"/>
    <x v="266"/>
    <d v="1899-12-30T21:05:36"/>
    <n v="2061"/>
    <x v="6"/>
    <x v="0"/>
    <n v="1056"/>
    <m/>
    <s v="Tanger/Casa"/>
    <n v="6.13"/>
    <x v="2"/>
    <s v="N2"/>
    <s v="Arrêt du train"/>
    <s v="*HO non finalisé entre 202 et 303_x000a_* qualité /niveau de signal : dl rx-qual=7, dl rx level = -85dbm_x000a_*Requête de déconnexion a été envoyée par le BORD"/>
    <m/>
    <x v="0"/>
    <s v="En attente de mise en place des tiroires filtrés "/>
    <s v="HO non finalisé entre 202 et 303"/>
    <s v="dl Rxqual=7"/>
    <s v="dl rx level= -85"/>
    <s v="NOK"/>
    <s v="OK"/>
    <s v="Mauvais"/>
    <s v=" Retransmission des trames HDLC*5"/>
    <m/>
    <s v="Saad Elhabib"/>
    <m/>
    <m/>
    <m/>
    <m/>
    <m/>
    <m/>
    <m/>
  </r>
  <r>
    <n v="798"/>
    <b v="0"/>
    <x v="266"/>
    <d v="1899-12-30T22:45:48"/>
    <n v="1062"/>
    <x v="8"/>
    <x v="1"/>
    <n v="1031"/>
    <m/>
    <s v="Casa/Tanger"/>
    <n v="94.953999999999994"/>
    <x v="8"/>
    <s v="N2"/>
    <s v="Ralentissement du train"/>
    <s v="*Etat H.O :  HO non finalisé entre 318 et 317_x000a_* qualité /niveau de signal : dl rx-qual=7, dl rx level = -83dbm_x000a_*Requête de déconnexion a été envoyée par le RBC"/>
    <m/>
    <x v="0"/>
    <s v="En attente de mise en place des tiroires filtrés "/>
    <s v="HO non finalisé entre 318 et 317"/>
    <s v="dl Rxqual=7"/>
    <s v="dl rx level= -83"/>
    <s v="OK"/>
    <s v="OK"/>
    <s v="Mauvais"/>
    <s v=" Retransmission des trames HDLC*5"/>
    <m/>
    <s v="Saad Elhabib"/>
    <m/>
    <m/>
    <m/>
    <m/>
    <m/>
    <m/>
    <m/>
  </r>
  <r>
    <n v="799"/>
    <b v="0"/>
    <x v="267"/>
    <s v=" 11:04:45 "/>
    <n v="1013"/>
    <x v="10"/>
    <x v="1"/>
    <n v="1061"/>
    <m/>
    <s v="Casa/Tanger"/>
    <s v=" 7,381"/>
    <x v="2"/>
    <s v="N2"/>
    <s v="Ralentissement du train"/>
    <s v="*Etat H.O : HO complet entre 303 et 202_x000a_* qualité /niveau de signal : dl rx-qual=2, dl rx level = -56dbm_x000a_*Requête de déconnexion a été envoyée par le RBC"/>
    <m/>
    <x v="0"/>
    <s v="En attente de mise en place des tiroires filtrés "/>
    <s v="HO complet entre 303 et 202"/>
    <s v="dl Rxqual=2"/>
    <s v="dl rx level= -56"/>
    <s v="OK"/>
    <s v="OK"/>
    <s v="Mauvais"/>
    <s v=" Retransmission des trames HDLC*5"/>
    <m/>
    <s v="Noura MOUSSAOUI"/>
    <m/>
    <m/>
    <m/>
    <m/>
    <m/>
    <m/>
    <m/>
  </r>
  <r>
    <n v="800"/>
    <b v="0"/>
    <x v="267"/>
    <s v=" 20:13:14 "/>
    <n v="2057"/>
    <x v="0"/>
    <x v="0"/>
    <n v="1036"/>
    <m/>
    <s v="Tanger/Casa"/>
    <n v="33.960999999999999"/>
    <x v="25"/>
    <s v="N2"/>
    <s v="Ralentissement du train"/>
    <s v="*Etat H.O : HO complet entre 206 et 207_x000a_* qualité /niveau de signal : dl rx-qual=0, dl rx level = -48dbm_x000a_*Requête de déconnexion a été envoyée par le RBC"/>
    <m/>
    <x v="0"/>
    <s v="En attente de mise en place des tiroires filtrés "/>
    <s v="HO complet entre 206 et 207"/>
    <s v="dl Rxqual=0"/>
    <s v="dl rx level= -48"/>
    <s v="OK"/>
    <s v="OK"/>
    <s v="Mauvais"/>
    <s v=" Retransmission des trames HDLC*5"/>
    <m/>
    <s v="HARIRI Bahaeddine"/>
    <m/>
    <m/>
    <m/>
    <m/>
    <m/>
    <m/>
    <m/>
  </r>
  <r>
    <n v="801"/>
    <b v="0"/>
    <x v="267"/>
    <d v="1899-12-30T23:13:40"/>
    <n v="1061"/>
    <x v="10"/>
    <x v="1"/>
    <n v="1060"/>
    <m/>
    <s v="Tanger/Casa"/>
    <n v="5.73"/>
    <x v="2"/>
    <s v="N2"/>
    <s v="Ralentissement du train"/>
    <s v="* Etat H.O : HO Non finalisé entre 202 et 203_x000a_* qualité /niveau de signal : dl rx-qual=6, dl rx level = -51 dbm_x000a_*Requête de déconnexion a été envoyée par le RBC"/>
    <m/>
    <x v="0"/>
    <s v="En attente de mise en place des tiroires filtrés "/>
    <s v="HO Non finalisé entre 202 et 203"/>
    <s v="dl Rxqual=6"/>
    <s v="dl rx level= -51"/>
    <s v="NOK"/>
    <s v="NOK"/>
    <s v="Mauvais"/>
    <s v=" Retransmission des trames HDLC*5"/>
    <m/>
    <s v="Saad Elhabib"/>
    <m/>
    <m/>
    <m/>
    <m/>
    <m/>
    <m/>
    <m/>
  </r>
  <r>
    <n v="802"/>
    <b v="0"/>
    <x v="268"/>
    <d v="1899-12-30T09:05:28"/>
    <n v="2013"/>
    <x v="8"/>
    <x v="0"/>
    <n v="1042"/>
    <m/>
    <s v="Tanger/Casa"/>
    <n v="6.13"/>
    <x v="2"/>
    <s v="N2"/>
    <s v="Ralentissement du train"/>
    <s v="* Etat H.O : HO Non finalisé entre 201 et 302_x000a_* qualité /niveau de signal : dl rx-qual=7, dl rx level = -55 dbm_x000a_*Requête de déconnexion a été envoyée par le RBC"/>
    <m/>
    <x v="0"/>
    <s v="En attente de mise en place des tiroires filtrés "/>
    <s v="HO Non finalisé entre 201 et 302"/>
    <s v="dl Rxqual=7"/>
    <s v="dl rx level= -55"/>
    <s v="NOK"/>
    <s v="OK"/>
    <s v="Mauvais"/>
    <s v=" Retransmission des trames HDLC*5"/>
    <m/>
    <s v="Fahd OUSSALH"/>
    <m/>
    <m/>
    <m/>
    <m/>
    <m/>
    <m/>
    <m/>
  </r>
  <r>
    <n v="803"/>
    <b v="0"/>
    <x v="268"/>
    <d v="1899-12-30T10:13:28"/>
    <n v="2013"/>
    <x v="4"/>
    <x v="1"/>
    <n v="1032"/>
    <m/>
    <s v="Casa/Tanger"/>
    <n v="76.968000000000004"/>
    <x v="11"/>
    <s v="N2"/>
    <s v="Ralentissement du train"/>
    <s v="* Etat H.O : HO  finalisé entre 315 et 314_x000a_* qualité /niveau de signal : dl rx-qual=0, dl rx level = -48 dbm_x000a_*Requête de déconnexion a été envoyée par le RBC"/>
    <m/>
    <x v="0"/>
    <s v="En attente de mise en place des tiroires filtrés "/>
    <s v="HO finalisé entre 315 et 314"/>
    <s v="dl Rxqual=0"/>
    <s v="dl rx level= -48"/>
    <s v="OK"/>
    <s v="OK"/>
    <s v="Mauvais"/>
    <s v=" Retransmission des trames HDLC*5"/>
    <m/>
    <s v="Fahd OUSSALH"/>
    <m/>
    <m/>
    <m/>
    <m/>
    <m/>
    <m/>
    <m/>
  </r>
  <r>
    <n v="804"/>
    <b v="0"/>
    <x v="268"/>
    <d v="1899-12-30T18:04:54"/>
    <n v="2049"/>
    <x v="5"/>
    <x v="0"/>
    <n v="1025"/>
    <m/>
    <s v="Tanger/Casa"/>
    <n v="6.13"/>
    <x v="2"/>
    <s v="N2"/>
    <s v="Ralentissement du train"/>
    <s v="* Etat H.O : HO complète entre 303 et 202 avec downlink quality_x000a_* qualité /niveau de signal : dl rx-qual=7, dl rx level = -64 dbm_x000a_*Requête de déconnexion a été envoyée par le RBC"/>
    <m/>
    <x v="0"/>
    <s v="En attente de mise en place des tiroires filtrés "/>
    <s v="HO finalisé entre 303 et 302"/>
    <s v="dl Rxqual=7"/>
    <s v="dl rx level= -64"/>
    <s v="OK"/>
    <s v="OK"/>
    <s v="Mauvais"/>
    <s v=" Retransmission des trames HDLC*5"/>
    <m/>
    <s v="HARIRI Bahaeddine"/>
    <m/>
    <m/>
    <m/>
    <m/>
    <m/>
    <m/>
    <m/>
  </r>
  <r>
    <n v="805"/>
    <b v="0"/>
    <x v="268"/>
    <d v="1899-12-30T19:05:11"/>
    <n v="1046"/>
    <x v="10"/>
    <x v="1"/>
    <n v="1025"/>
    <m/>
    <s v="Casa/Tanger"/>
    <n v="5.73"/>
    <x v="2"/>
    <s v="N2"/>
    <s v="Ralentissement du train"/>
    <s v="* Etat H.O : HO non finalisé entre 303 et 202 _x000a_* qualité /niveau de signal : dl rx-qual=7, dl rx level = -51 dbm_x000a_*Requête de déconnexion a été envoyée par le RBC"/>
    <m/>
    <x v="0"/>
    <s v="En attente de mise en place des tiroires filtrés "/>
    <s v="HO Non finalisé entre 303 et 202"/>
    <s v="dl Rxqual=7"/>
    <s v="dl rx level= -51"/>
    <s v="OK"/>
    <s v="OK"/>
    <s v="Mauvais"/>
    <s v=" Retransmission des trames HDLC*5"/>
    <m/>
    <s v="HARIRI Bahaeddine"/>
    <m/>
    <m/>
    <m/>
    <m/>
    <m/>
    <m/>
    <m/>
  </r>
  <r>
    <n v="806"/>
    <b v="0"/>
    <x v="268"/>
    <d v="1899-12-30T20:24:43"/>
    <n v="1053"/>
    <x v="3"/>
    <x v="1"/>
    <n v="1008"/>
    <m/>
    <s v="Casa/Tanger"/>
    <n v="198.98400000000001"/>
    <x v="5"/>
    <s v="N2"/>
    <s v="Arrêt du train"/>
    <s v="_x000a_* qualité /niveau de signal : dl rx-qual=0, dl rx level = -54 dbm_x000a_*Requête de déconnexion a été envoyée par le bord"/>
    <m/>
    <x v="3"/>
    <s v="En attente de pousser les analyses côté RBC"/>
    <m/>
    <s v="dl Rxqual=0"/>
    <s v="dl rx level= -54"/>
    <s v="OK"/>
    <s v="OK"/>
    <s v="Mauvais"/>
    <s v=" Pas de Retransmission des trames HDLC"/>
    <m/>
    <s v="ELHAJOUIA Achraf"/>
    <m/>
    <m/>
    <m/>
    <m/>
    <m/>
    <m/>
    <m/>
  </r>
  <r>
    <n v="807"/>
    <b v="0"/>
    <x v="269"/>
    <d v="1899-12-30T13:50:40"/>
    <n v="1025"/>
    <x v="6"/>
    <x v="1"/>
    <n v="1023"/>
    <m/>
    <s v="Casa/Tanger"/>
    <n v="75.84"/>
    <x v="13"/>
    <s v="N2"/>
    <s v="Ralentissement du train"/>
    <s v="&quot;* Etat H.O : HO complet entre 315 et 314_x000a_* qualité /niveau de signal : dl rx-qual=3, dl rx level = -67 dbm_x000a_*Requête de déconnexion a été envoyée par le RBC&quot;"/>
    <m/>
    <x v="0"/>
    <s v="En attente de mise en place des tiroires filtrés "/>
    <s v="HO complet entre 315 et 314"/>
    <s v="dl Rxqual=3"/>
    <s v="dl rx level= -67"/>
    <s v="OK"/>
    <s v="OK"/>
    <s v="Mauvais"/>
    <s v=" Retransmission des trames HDLC*5"/>
    <m/>
    <s v="Noura MOUSSAOUI"/>
    <m/>
    <m/>
    <m/>
    <m/>
    <m/>
    <m/>
    <m/>
  </r>
  <r>
    <n v="808"/>
    <b v="0"/>
    <x v="269"/>
    <d v="1899-12-30T16:11:33"/>
    <n v="2041"/>
    <x v="5"/>
    <x v="0"/>
    <n v="1025"/>
    <m/>
    <s v="Casa/Tanger"/>
    <n v="25.91"/>
    <x v="7"/>
    <s v="N2"/>
    <s v="Ralentissement du train"/>
    <s v="&quot;* Etat H.O : HO non finalisé entre 304 et 205_x000a_* qualité /niveau de signal : dl rx-qual=1, dl rx level = -73 dbm_x000a_*Requête de déconnexion a été envoyée par le RBC&quot;"/>
    <m/>
    <x v="0"/>
    <s v="En attente de mise en place des tiroires filtrés "/>
    <s v="HO Non finalisé entre 304 et 205"/>
    <s v="dl Rxqual=1"/>
    <s v="dl rx level= -73"/>
    <s v="OK"/>
    <s v="OK"/>
    <s v="Mauvais"/>
    <s v=" Retransmission des trames HDLC*5"/>
    <m/>
    <s v="Fahd OUSSALH"/>
    <m/>
    <m/>
    <m/>
    <m/>
    <m/>
    <m/>
    <m/>
  </r>
  <r>
    <n v="809"/>
    <b v="0"/>
    <x v="269"/>
    <d v="1899-12-30T18:35:30"/>
    <n v="2049"/>
    <x v="0"/>
    <x v="0"/>
    <n v="1037"/>
    <m/>
    <s v="Tanger/Casa"/>
    <n v="145.6"/>
    <x v="3"/>
    <s v="N2"/>
    <s v="Ralentissement du train"/>
    <s v="&quot;* Etat H.O : HO finalisé entre 224 et 225_x000a_* qualité /niveau de signal : dl rx-qual=3, dl rx level = -75 dbm_x000a_*Requête de déconnexion a été envoyée par le RBC&quot;"/>
    <m/>
    <x v="0"/>
    <s v="En attente de mise en place des tiroires filtrés "/>
    <s v="HO finalisé entre 224 et 225"/>
    <s v="dl Rxqual=3"/>
    <s v="dl rx level= -75"/>
    <s v="OK"/>
    <s v="OK"/>
    <s v="Mauvais"/>
    <s v=" Retransmission des trames HDLC*5"/>
    <m/>
    <s v="Fahd OUSSALH"/>
    <m/>
    <m/>
    <m/>
    <m/>
    <m/>
    <m/>
    <m/>
  </r>
  <r>
    <n v="810"/>
    <b v="0"/>
    <x v="269"/>
    <d v="1899-12-30T18:44:15"/>
    <n v="1046"/>
    <x v="4"/>
    <x v="0"/>
    <n v="1033"/>
    <m/>
    <s v="Casa/Tanger"/>
    <n v="131.78899999999999"/>
    <x v="10"/>
    <s v="N2"/>
    <s v="Ralentissement du train"/>
    <s v="&quot;* Etat H.O : HO finalisé entre 324 et 323_x000a_* qualité /niveau de signal : dl rx-qual=2, dl rx level = -48 dbm_x000a_*Requête de déconnexion a été envoyée par le RBC&quot;"/>
    <m/>
    <x v="0"/>
    <s v="En attente de mise en place des tiroires filtrés "/>
    <s v="HO finalisé entre 324 et 323"/>
    <s v="dl Rxqual=2"/>
    <s v="dl rx level= -48"/>
    <s v="OK"/>
    <s v="OK"/>
    <s v="Mauvais"/>
    <s v=" Retransmission des trames HDLC*5"/>
    <m/>
    <s v="Fahd OUSSALH"/>
    <m/>
    <m/>
    <m/>
    <m/>
    <m/>
    <m/>
    <m/>
  </r>
  <r>
    <n v="811"/>
    <b v="0"/>
    <x v="270"/>
    <d v="1899-12-30T06:19:12"/>
    <n v="2001"/>
    <x v="0"/>
    <x v="0"/>
    <n v="1037"/>
    <m/>
    <s v="Tanger/Casa"/>
    <n v="65.513999999999996"/>
    <x v="21"/>
    <s v="N2"/>
    <s v="Ralentissement du train"/>
    <s v="&quot;* Etat H.O : HO complet entre 211 et 212_x000a_* qualité /niveau de signal : dl rx-qual=0, dl rx level = -48 dbm_x000a_*Requête de déconnexion a été envoyée par le RBC&quot;"/>
    <m/>
    <x v="0"/>
    <s v="En attente de mise en place des tiroires filtrés "/>
    <s v="HO complet entre 211 et 212"/>
    <s v="dl Rxqual=0"/>
    <s v="dl rx level= -48"/>
    <s v="OK"/>
    <s v="OK"/>
    <s v="Mauvais"/>
    <s v=" Retransmission des trames HDLC*5"/>
    <m/>
    <s v="ELHAJOUIA Achraf"/>
    <m/>
    <m/>
    <m/>
    <m/>
    <m/>
    <m/>
    <m/>
  </r>
  <r>
    <n v="812"/>
    <b v="0"/>
    <x v="270"/>
    <d v="1899-12-30T14:31:35"/>
    <n v="2033"/>
    <x v="3"/>
    <x v="0"/>
    <n v="1047"/>
    <m/>
    <s v="Tanger/Casa"/>
    <n v="123.901"/>
    <x v="30"/>
    <s v="N2"/>
    <s v="Ralentissement du train"/>
    <s v="&quot;* Etat H.O : HO complet entre 221 et 222_x000a_* qualité /niveau de signal : dl rx-qual=1, dl rx level = -48 dbm_x000a_*Requête de déconnexion a été envoyée par le RBC"/>
    <m/>
    <x v="0"/>
    <s v="En attente de mise en place des tiroires filtrés "/>
    <s v="HO complet entre 221 et 222"/>
    <s v="dl Rxqual=1"/>
    <s v="dl rx level= -48"/>
    <s v="OK"/>
    <s v="OK"/>
    <s v="Mauvais"/>
    <s v=" Retransmission des trames HDLC*5"/>
    <m/>
    <s v="ELGUEZZAR Anas"/>
    <m/>
    <m/>
    <m/>
    <m/>
    <m/>
    <m/>
    <m/>
  </r>
  <r>
    <n v="813"/>
    <b v="0"/>
    <x v="270"/>
    <d v="1899-12-30T17:05:36"/>
    <n v="1037"/>
    <x v="0"/>
    <x v="1"/>
    <n v="1044"/>
    <m/>
    <s v="Casa/Tanger"/>
    <n v="7.3209999999999997"/>
    <x v="2"/>
    <s v="N2"/>
    <s v="Ralentissement du train"/>
    <s v="* Etat H.O : HO non finalisé entre 202 et 303_x000a_* qualité /niveau de signal : dl rx-qual=7, dl rx level = -56 dbm_x000a_*Requête de déconnexion a été envoyée par le RBC"/>
    <m/>
    <x v="0"/>
    <s v="En attente de mise en place des tiroires filtrés "/>
    <s v="HO non finalisé entre 202 et 303"/>
    <s v="dl Rxqual=7"/>
    <s v="dl rx level= -56"/>
    <s v="NOK"/>
    <s v="OK"/>
    <s v="Mauvais"/>
    <s v=" Retransmission des trames HDLC*5"/>
    <m/>
    <s v="Saad Elhabib"/>
    <m/>
    <m/>
    <m/>
    <m/>
    <m/>
    <m/>
    <m/>
  </r>
  <r>
    <n v="814"/>
    <b v="0"/>
    <x v="270"/>
    <d v="1899-12-30T17:35:43"/>
    <n v="2045"/>
    <x v="6"/>
    <x v="0"/>
    <n v="1057"/>
    <m/>
    <s v="Tanger/Casa"/>
    <n v="140.65899999999999"/>
    <x v="26"/>
    <s v="N2"/>
    <s v="Arrêt du train"/>
    <s v="* Etat H.O : HO  finalisé entre 224 et 225_x000a_* qualité /niveau de signal : dl rx-qual=0, dl rx level = -61 dbm_x000a_*Requête de déconnexion a été envoyée par le RBC"/>
    <m/>
    <x v="3"/>
    <s v="En attente de pousser les analyses côté RBC"/>
    <s v="HO  finalisé entre 224 et 225"/>
    <s v="dl Rxqual=0"/>
    <s v="dl rx level= -61"/>
    <s v="OK"/>
    <s v="OK"/>
    <s v="Mauvais"/>
    <s v=" Pas de Retransmission des trames HDLC"/>
    <m/>
    <s v="Saad Elhabib"/>
    <m/>
    <m/>
    <m/>
    <m/>
    <m/>
    <m/>
    <m/>
  </r>
  <r>
    <n v="815"/>
    <b v="0"/>
    <x v="271"/>
    <d v="1899-12-30T06:08:57"/>
    <n v="1081"/>
    <x v="1"/>
    <x v="1"/>
    <n v="3063"/>
    <m/>
    <s v="Casa/Tanger"/>
    <n v="154.82400000000001"/>
    <x v="18"/>
    <s v="N2"/>
    <s v="Ralentissement du train"/>
    <s v="&quot;* Etat H.O : HO complet entre 328 et 327_x000a_* qualité /niveau de signal : dl rx-qual=0, dl rx level = -60 dbm_x000a_*Requête de déconnexion a été envoyée par le RBC&quot;"/>
    <m/>
    <x v="0"/>
    <s v="En attente de mise en place des tiroires filtrés "/>
    <s v="HO complet entre 328 et 327"/>
    <s v="dl Rxqual=0"/>
    <s v="dl rx level= -60"/>
    <s v="OK"/>
    <s v="OK"/>
    <s v="Mauvais"/>
    <s v=" Retransmission des trames HDLC*5"/>
    <m/>
    <s v="ELHAJOUIA Achraf"/>
    <m/>
    <m/>
    <m/>
    <m/>
    <m/>
    <m/>
    <m/>
  </r>
  <r>
    <n v="816"/>
    <b v="0"/>
    <x v="271"/>
    <d v="1899-12-30T14:05:27"/>
    <n v="2033"/>
    <x v="1"/>
    <x v="0"/>
    <n v="3064"/>
    <m/>
    <s v="Tanger/Casa"/>
    <n v="6.13"/>
    <x v="2"/>
    <s v="N2"/>
    <s v="Ralentissement du train"/>
    <s v="&quot;* Etat H.O :HO complet entre 202 et 303_x000a_* qualité /niveau de signal : dl rx-qual=3, dl rx level = -71dbm_x000a_*Requête de déconnexion a été envoyée par le RBC&quot;"/>
    <m/>
    <x v="0"/>
    <s v="En attente de mise en place des tiroires filtrés "/>
    <s v="HO complet entre 202 et 303"/>
    <s v="dl Rxqual=3"/>
    <s v="dl rx level= -71"/>
    <s v="OK"/>
    <s v="OK"/>
    <s v="Mauvais"/>
    <s v=" Retransmission des trames HDLC*5"/>
    <m/>
    <s v="Noura MOUSSAOUI"/>
    <m/>
    <m/>
    <m/>
    <m/>
    <m/>
    <m/>
    <m/>
  </r>
  <r>
    <n v="817"/>
    <b v="0"/>
    <x v="272"/>
    <s v=" 11:35:19"/>
    <n v="2021"/>
    <x v="10"/>
    <x v="0"/>
    <n v="7198"/>
    <m/>
    <s v="Tanger/Casa"/>
    <n v="144.32599999999999"/>
    <x v="3"/>
    <s v="N2"/>
    <s v="Ralentissement du train"/>
    <s v="&quot;* Etat H.O :HO complet entre 224 et 225_x000a_* qualité /niveau de signal : dl rx-qual=0, dl rx level = -60dbm_x000a_*Requête de déconnexion a été envoyée par le RBC&quot;"/>
    <m/>
    <x v="3"/>
    <s v="En attente de pousser les analyses côté RBC"/>
    <s v="HO complet entre 224 et 225"/>
    <s v="dl Rxqual=0"/>
    <s v="dl rx level= -60"/>
    <s v="OK"/>
    <s v="OK"/>
    <s v="Mauvais"/>
    <s v=" Pas de Retransmission des trames HDLC"/>
    <m/>
    <s v="Noura MOUSSAOUI"/>
    <m/>
    <m/>
    <m/>
    <m/>
    <m/>
    <m/>
    <m/>
  </r>
  <r>
    <n v="818"/>
    <b v="0"/>
    <x v="272"/>
    <d v="1899-12-30T16:05:22"/>
    <n v="2041"/>
    <x v="6"/>
    <x v="0"/>
    <n v="1057"/>
    <m/>
    <s v="Tanger/Casa"/>
    <n v="6.13"/>
    <x v="2"/>
    <s v="N2"/>
    <s v="Ralentissement du train"/>
    <s v="* Etat H.O : HO complet entre 202 et 303 (Avec Downlink quality )_x000a_* qualité /niveau de signal : dl rx-qual=6, dl rx level = -65dbm_x000a_*Requête de déconnexion a été envoyée par le RBC&quot;"/>
    <m/>
    <x v="0"/>
    <s v="En attente de mise en place des tiroires filtrés "/>
    <s v="HO complet entre 202 et 303"/>
    <s v="dl Rxqual=6"/>
    <s v="dl rx level= -65"/>
    <s v="OK"/>
    <s v="OK"/>
    <s v="Mauvais"/>
    <s v=" Retransmission des trames HDLC*5"/>
    <m/>
    <s v="Saad Elhabib"/>
    <m/>
    <m/>
    <m/>
    <m/>
    <m/>
    <m/>
    <m/>
  </r>
  <r>
    <n v="819"/>
    <b v="0"/>
    <x v="272"/>
    <d v="1899-12-30T18:57:39"/>
    <n v="1045"/>
    <x v="11"/>
    <x v="1"/>
    <n v="1020"/>
    <m/>
    <s v="Casa/Tanger"/>
    <n v="35.259"/>
    <x v="32"/>
    <s v="N2"/>
    <s v="Ralentissement du train"/>
    <s v="* Etat H.O : HO complet entre 308 et 307 _x000a_* qualité /niveau de signal : dl rx-qual=0, dl rx level = -48dbm_x000a_*Requête de déconnexion a été envoyée par le RBC&quot;"/>
    <m/>
    <x v="0"/>
    <s v="En attente de mise en place des tiroires filtrés "/>
    <s v="HO complet entre 308 et 307 "/>
    <s v="dl Rxqual=0"/>
    <s v="dl rx level= -48"/>
    <s v="OK"/>
    <s v="OK"/>
    <s v="Mauvais"/>
    <s v=" Retransmission des trames HDLC*5"/>
    <m/>
    <s v="Saad Elhabib"/>
    <m/>
    <m/>
    <m/>
    <m/>
    <m/>
    <m/>
    <m/>
  </r>
  <r>
    <n v="820"/>
    <b v="0"/>
    <x v="272"/>
    <d v="1899-12-30T21:35:14"/>
    <n v="2061"/>
    <x v="8"/>
    <x v="0"/>
    <n v="1043"/>
    <m/>
    <s v="Tanger/Casa"/>
    <n v="144.32599999999999"/>
    <x v="3"/>
    <s v="N2"/>
    <s v="Arrêt du train"/>
    <s v="* Etat H.O : HO complet entre 224 et 225_x000a_* qualité /niveau de signal : dl rx-qual=0, dl rx level = -70dbm_x000a_*Requête de déconnexion a été envoyée par le RBC&quot;"/>
    <m/>
    <x v="1"/>
    <s v="En attente de pousser les analyses côté RBC"/>
    <s v="HO complet entre 224 et 225 "/>
    <s v="dl Rxqual=0"/>
    <s v="dl rx level= -70"/>
    <s v="OK"/>
    <s v="OK"/>
    <s v="Mauvais"/>
    <s v=" Pas Retransmission des trames HDLC*5"/>
    <m/>
    <s v="Fahd OUSSALH"/>
    <m/>
    <m/>
    <m/>
    <m/>
    <m/>
    <m/>
    <m/>
  </r>
  <r>
    <n v="821"/>
    <b v="0"/>
    <x v="272"/>
    <d v="1899-12-30T21:48:17"/>
    <n v="2061"/>
    <x v="8"/>
    <x v="0"/>
    <n v="1042"/>
    <m/>
    <s v="Tanger/Casa"/>
    <n v="152.548"/>
    <x v="18"/>
    <s v="N2"/>
    <s v="Ralentissement du train"/>
    <s v="* Etat H.O : HO complet entre 226 et 327_x000a_* qualité /niveau de signal : dl rx-qual=7, dl rx level = -67dbm_x000a_*Requête de déconnexion a été envoyée par le RBC&quot;"/>
    <m/>
    <x v="2"/>
    <s v="zone sous surveillance par équipe NOC GSMR"/>
    <s v="HO complet entre 226 et 327 "/>
    <s v="dl Rxqual=7"/>
    <s v="dl rx level= -67"/>
    <s v="OK"/>
    <s v="OK"/>
    <s v="Mauvais"/>
    <s v="retransmission des trames HDLC*5"/>
    <m/>
    <s v="Fahd OUSSALH"/>
    <m/>
    <m/>
    <m/>
    <m/>
    <m/>
    <m/>
    <m/>
  </r>
  <r>
    <n v="822"/>
    <b v="0"/>
    <x v="273"/>
    <d v="1899-12-30T14:19:29"/>
    <n v="2033"/>
    <x v="7"/>
    <x v="0"/>
    <n v="1043"/>
    <m/>
    <s v="Tanger/Casa"/>
    <n v="60.945"/>
    <x v="21"/>
    <s v="N2"/>
    <s v="Ralentissement du train"/>
    <s v="* Etat H.O : HO complet entre 210 et 211_x000a_* qualité /niveau de signal : dl rx-qual=0, dl rx level = -56dbm_x000a_*Requête de déconnexion a été envoyée par le RBC&quot;"/>
    <m/>
    <x v="0"/>
    <s v="En attente de mise en place des tiroires filtrés "/>
    <s v=" HO complet entre 210 et 211"/>
    <s v="dl Rxqual=0"/>
    <s v="dl rx level= -56"/>
    <s v="OK"/>
    <s v="OK"/>
    <s v="Mauvais"/>
    <s v="retransmission des trames HDLC*5"/>
    <m/>
    <s v="Noura MOUSSAOUI"/>
    <m/>
    <m/>
    <m/>
    <m/>
    <m/>
    <m/>
    <m/>
  </r>
  <r>
    <n v="823"/>
    <b v="0"/>
    <x v="273"/>
    <d v="1899-12-30T18:46:34"/>
    <n v="1045"/>
    <x v="4"/>
    <x v="1"/>
    <n v="1032"/>
    <m/>
    <s v="Casa/Tanger"/>
    <n v="94.953999999999994"/>
    <x v="8"/>
    <s v="N2"/>
    <s v="Ralentissement du train"/>
    <s v="* Etat H.O : HO Non Finalisé entre 318 et 217_x000a_* qualité /niveau de signal : dl rx-qual=7, dl rx level = -76 dbm_x000a_*Requête de déconnexion a été envoyée par le BORD&quot;"/>
    <m/>
    <x v="0"/>
    <s v="En attente de pouser les analyses coté bord "/>
    <s v="HO Non Finalisé entre 318 et 217"/>
    <s v="dl Rxqual=7"/>
    <s v="dl rx level= -76"/>
    <s v="OK"/>
    <s v="OK"/>
    <s v="Mauvais"/>
    <s v="retransmission des trames HDLC*5"/>
    <m/>
    <s v="Saad Elhabib"/>
    <m/>
    <m/>
    <m/>
    <m/>
    <m/>
    <m/>
    <m/>
  </r>
  <r>
    <n v="824"/>
    <b v="0"/>
    <x v="274"/>
    <d v="1899-12-30T10:05:14"/>
    <n v="2017"/>
    <x v="3"/>
    <x v="0"/>
    <n v="1033"/>
    <m/>
    <s v="Tanger/Casa"/>
    <n v="6.13"/>
    <x v="2"/>
    <s v="N2"/>
    <s v="Ralentissement du train"/>
    <s v="* Etat H.O :  HO non finalisé entre 302 et 203_x000a_* qualité /niveau de signal : dl rx-qual=6, dl rx level = -52 dbm_x000a_*Requête de déconnexion a été envoyée par le RBC"/>
    <m/>
    <x v="0"/>
    <s v="En attente de mise en place des tiroires filtrés "/>
    <s v=" HO non finalisé entre 302 et 203"/>
    <s v="dl Rxqual=6"/>
    <s v="dl rx level= -52"/>
    <s v="OK"/>
    <s v="OK"/>
    <s v="Mauvais"/>
    <s v="retransmission des trames HDLC*5"/>
    <m/>
    <s v="Noura MOUSSAOUI"/>
    <m/>
    <m/>
    <m/>
    <m/>
    <m/>
    <m/>
    <m/>
  </r>
  <r>
    <n v="825"/>
    <b v="0"/>
    <x v="274"/>
    <d v="1899-12-30T12:52:26"/>
    <n v="1022"/>
    <x v="6"/>
    <x v="0"/>
    <n v="1023"/>
    <m/>
    <s v="Tanger/Casa"/>
    <n v="65.513999999999996"/>
    <x v="21"/>
    <s v="N2"/>
    <s v="Ralentissement du train"/>
    <s v="* Etat H.O : HO complet entre 313 et 312_x000a_* qualité /niveau de signal : dl rx-qual=0, dl rx level = -78dbm_x000a_*Requête de déconnexion a été envoyée par le RBC&quot;"/>
    <m/>
    <x v="2"/>
    <s v="En attente de pouser les analyses coté bord et GSMR"/>
    <s v=" HO complet entre 313 et 312"/>
    <s v="dl Rxqual=0"/>
    <s v="dl rx level= -78"/>
    <s v="OK"/>
    <s v="OK"/>
    <s v="Mauvais"/>
    <s v="retransmission des trames HDLC*5"/>
    <m/>
    <s v="Fahd OUSSALH"/>
    <m/>
    <m/>
    <m/>
    <m/>
    <m/>
    <m/>
    <m/>
  </r>
  <r>
    <n v="826"/>
    <b v="0"/>
    <x v="275"/>
    <d v="1899-12-30T21:12:13"/>
    <n v="1054"/>
    <x v="8"/>
    <x v="1"/>
    <n v="1031"/>
    <m/>
    <s v="Casa/Tanger"/>
    <n v="7.3209999999999997"/>
    <x v="2"/>
    <s v="N2"/>
    <s v="Ralentissement du train"/>
    <s v="* Etat H.O : HO complet entre 202 et 303_x000a_* qualité /niveau de signal : dl rx-qual=4, dl rx level = -56dbm_x000a_*Requête de déconnexion a été envoyée par le RBC&quot;"/>
    <m/>
    <x v="0"/>
    <s v="En attente de mise en place des tiroires filtrés "/>
    <s v=" HO complet entre 202 et 303"/>
    <s v="dl Rxqual=4"/>
    <s v="dl rx level= -56"/>
    <s v="NOK"/>
    <s v="OK"/>
    <s v="Mauvais"/>
    <s v="Pas Retransmission des trames HDLC*5"/>
    <m/>
    <s v="Fahd OUSSALH"/>
    <m/>
    <m/>
    <m/>
    <m/>
    <m/>
    <m/>
    <m/>
  </r>
  <r>
    <n v="827"/>
    <b v="0"/>
    <x v="276"/>
    <d v="1899-12-30T07:09:10"/>
    <n v="2005"/>
    <x v="10"/>
    <x v="1"/>
    <n v="7198"/>
    <m/>
    <s v="Casa/Tanger"/>
    <n v="14.997999999999999"/>
    <x v="22"/>
    <s v="N2"/>
    <s v="Ralentissement du train"/>
    <s v="* Etat H.O : HO complet entre 203 et 204_x000a_* qualité /niveau de signal : dl rx-qual=0, dl rx level = -48dbm_x000a_*Requête de déconnexion a été envoyée par le RBC&quot;"/>
    <m/>
    <x v="0"/>
    <s v="En attente de mise en place des tiroires filtrés "/>
    <s v=" HO complet entre 203 et 204"/>
    <s v="dl Rxqual=0"/>
    <s v="dl rx level= -48"/>
    <s v="OK"/>
    <s v="OK"/>
    <s v="Mauvais"/>
    <s v="Pas Retransmission des trames HDLC*5"/>
    <m/>
    <s v="Fahd OUSSALH"/>
    <m/>
    <m/>
    <m/>
    <m/>
    <m/>
    <m/>
    <m/>
  </r>
  <r>
    <n v="828"/>
    <b v="0"/>
    <x v="276"/>
    <d v="1899-12-30T11:04:38"/>
    <n v="2021"/>
    <x v="1"/>
    <x v="0"/>
    <n v="1028"/>
    <m/>
    <s v="Tanger/Casa"/>
    <n v="6.13"/>
    <x v="2"/>
    <s v="N2"/>
    <s v="Arrêt du train"/>
    <s v="* Etat H.O : HO non finalisé entre 202 et 303_x000a_* qualité /niveau de signal : dl rx-qual=7, dl rx level = -54 dbm_x000a_*Requête de déconnexion a été envoyée par le RBC&quot;"/>
    <m/>
    <x v="0"/>
    <s v="En attente de mise en place des tiroires filtrés "/>
    <s v="HO non finalisé entre 202 et 303"/>
    <s v="dl Rxqual=7"/>
    <s v="dl rx level= -54"/>
    <s v="NOK"/>
    <s v="OK"/>
    <s v="Mauvais"/>
    <s v="retransmission des trames HDLC*5"/>
    <m/>
    <s v="Saad Elhabib"/>
    <m/>
    <m/>
    <m/>
    <m/>
    <m/>
    <m/>
    <m/>
  </r>
  <r>
    <n v="829"/>
    <b v="0"/>
    <x v="277"/>
    <d v="1899-12-30T10:35:37"/>
    <n v="1013"/>
    <x v="3"/>
    <x v="1"/>
    <n v="1008"/>
    <m/>
    <s v="Casa/Tanger"/>
    <n v="167.761"/>
    <x v="28"/>
    <s v="N2"/>
    <s v="Arrêt du train"/>
    <s v="* Etat H.O : HO finalisé entre 330 et 329_x000a_* qualité /niveau de signal : dl rx-qual=0, dl rx level = -52 dbm_x000a_*Requête de déconnexion a été envoyée par le RBC&quot;"/>
    <m/>
    <x v="1"/>
    <s v="zone sous surveillance par équipe NOC GSMR"/>
    <s v="HO finalisé entre 330 et 329"/>
    <s v="dl Rxqual=0"/>
    <s v="dl rx level= -50"/>
    <s v="OK"/>
    <s v="OK"/>
    <s v="Mauvais"/>
    <s v="retransmission des trames HDLC*5"/>
    <m/>
    <s v="Saad Elhabib"/>
    <m/>
    <m/>
    <m/>
    <m/>
    <m/>
    <m/>
    <m/>
  </r>
  <r>
    <n v="830"/>
    <b v="0"/>
    <x v="277"/>
    <d v="1899-12-30T15:05:11"/>
    <n v="2037"/>
    <x v="6"/>
    <x v="0"/>
    <n v="1057"/>
    <m/>
    <s v="Tanger/Casa"/>
    <n v="6.13"/>
    <x v="2"/>
    <s v="N2"/>
    <s v="Ralentissement du train"/>
    <s v="* Etat H.O : HO Non finalisé entre 202 et 301_x000a_* qualité /niveau de signal : dl rx-qual=5, dl rx level = -53 dbm_x000a_*Requête de déconnexion a été envoyée par le bord"/>
    <m/>
    <x v="0"/>
    <s v="En attente de mise en place des tiroires filtrés "/>
    <s v="HO Non finalisé entre 202 et 301"/>
    <s v="dl Rxqual=5"/>
    <s v="dl rx level= -53"/>
    <s v="OK"/>
    <s v="OK"/>
    <s v="Mauvais"/>
    <s v="retransmission des trames HDLC*5"/>
    <m/>
    <s v="ELHAJOUIA Achraf"/>
    <m/>
    <m/>
    <m/>
    <m/>
    <m/>
    <m/>
    <m/>
  </r>
  <r>
    <n v="831"/>
    <b v="0"/>
    <x v="277"/>
    <d v="1899-12-30T20:32:18"/>
    <n v="2054"/>
    <x v="0"/>
    <x v="1"/>
    <n v="1044"/>
    <m/>
    <s v="Casa/Tanger"/>
    <n v="177.85"/>
    <x v="4"/>
    <s v="N2"/>
    <s v="Ralentissement du train"/>
    <s v="* Etat H.O : HO complet  entre 231 et 229 avec downlink quality_x000a_* qualité /niveau de signal : dl rx-qual=7, dl rx level = -71 dbm_x000a_*Requête de déconnexion a été envoyée par le RBC&quot;"/>
    <m/>
    <x v="2"/>
    <s v="En attente de mise en place des tiroires filtrés /zone sous surveillance par équipe NOC GSMR"/>
    <s v=" HO complet  entre 231 et 229 avec downlink quality"/>
    <s v="dl Rxqual=7"/>
    <s v="dl rx level= -72"/>
    <s v="OK"/>
    <s v="OK"/>
    <s v="Mauvais"/>
    <s v="pas de Retransmission des trames HDLC*5"/>
    <m/>
    <s v="HARIRI Bahaeddine"/>
    <m/>
    <m/>
    <m/>
    <m/>
    <m/>
    <m/>
    <m/>
  </r>
  <r>
    <n v="832"/>
    <b v="0"/>
    <x v="278"/>
    <d v="1899-12-30T12:46:27"/>
    <n v="1021"/>
    <x v="4"/>
    <x v="1"/>
    <n v="1032"/>
    <m/>
    <s v="Casa/Tanger"/>
    <n v="94.953999999999994"/>
    <x v="8"/>
    <s v="N2"/>
    <s v="Ralentissement du train"/>
    <s v="* Etat H.O : HO complet  entre 318 et 317 _x000a_* qualité /niveau de signal : dl rx-qual=1, dl rx level = -48 dbm_x000a_*Requête de déconnexion a été envoyée par le RBC&quot;"/>
    <m/>
    <x v="0"/>
    <s v="En attente de mise en place des tiroires filtrés "/>
    <s v="HO complet  entre 318 et 317 "/>
    <s v="dl Rxqual=1"/>
    <s v="dl rx level= -48"/>
    <s v="OK"/>
    <s v="OK"/>
    <s v="Mauvais"/>
    <s v="retransmission des trames HDLC*5"/>
    <m/>
    <s v="Saad Elhabib"/>
    <m/>
    <m/>
    <m/>
    <m/>
    <m/>
    <m/>
    <m/>
  </r>
  <r>
    <n v="833"/>
    <b v="0"/>
    <x v="278"/>
    <d v="1899-12-30T19:35:10"/>
    <n v="2053"/>
    <x v="3"/>
    <x v="0"/>
    <n v="1047"/>
    <m/>
    <s v="Tanger/Casa"/>
    <n v="143.11199999999999"/>
    <x v="26"/>
    <s v="N2"/>
    <s v="Ralentissement du train"/>
    <s v="* Etat H.O : HO complet  entre 224 et 225 _x000a_* qualité /niveau de signal : dl rx-qual=0, dl rx level = -58 dbm_x000a_*Requête de déconnexion a été envoyée par le RBC&quot;"/>
    <m/>
    <x v="0"/>
    <s v="En attente de mise en place des tiroires filtrés "/>
    <s v="HO complete  entre 224 et 225 "/>
    <s v="dl Rxqual=0"/>
    <s v="dl rx level= -58"/>
    <s v="OK"/>
    <s v="OK"/>
    <s v="Mauvais"/>
    <s v="retransmission des trames HDLC*5"/>
    <m/>
    <s v="ELHAJOUIA Achraf"/>
    <m/>
    <m/>
    <m/>
    <m/>
    <m/>
    <m/>
    <m/>
  </r>
  <r>
    <n v="834"/>
    <b v="0"/>
    <x v="279"/>
    <d v="1899-12-30T08:49:11"/>
    <n v="1005"/>
    <x v="6"/>
    <x v="1"/>
    <n v="1023"/>
    <m/>
    <s v="Casa/Tanger"/>
    <n v="76.968000000000004"/>
    <x v="11"/>
    <s v="N2"/>
    <s v="Ralentissement du train"/>
    <s v="* Etat H.O : HO complet  entre 315 et 314 _x000a_* qualité /niveau de signal : dl rx-qual=4, dl rx level = -48 dbm_x000a_*Requête de déconnexion a été envoyée par le RBC&quot;"/>
    <m/>
    <x v="0"/>
    <s v="En attente de mise en place des tiroires filtrés "/>
    <s v="HO complete  entre 315 et 314"/>
    <s v="dl Rxqual=4"/>
    <s v="dl rx level= -48"/>
    <s v="OK"/>
    <s v="OK"/>
    <s v="Mauvais"/>
    <s v="retransmission des trames HDLC*5"/>
    <m/>
    <s v="ELHAJOUIA Achraf"/>
    <m/>
    <m/>
    <m/>
    <m/>
    <m/>
    <m/>
    <m/>
  </r>
  <r>
    <n v="835"/>
    <b v="0"/>
    <x v="279"/>
    <d v="1899-12-30T10:05:38"/>
    <n v="2017"/>
    <x v="6"/>
    <x v="0"/>
    <n v="1056"/>
    <m/>
    <s v="Tanger/Casa"/>
    <n v="6.13"/>
    <x v="2"/>
    <s v="N2"/>
    <s v="Arrêt du train"/>
    <s v="* Etat H.O : HO Non finalisé  entre 302 et 203 _x000a_* qualité /niveau de signal : dl rx-qual=7, dl rx level = -50 dbm_x000a_*Requête de déconnexion a été envoyée par le bord"/>
    <m/>
    <x v="0"/>
    <s v="En attente de mise en place des tiroires filtrés "/>
    <s v="HO Non finalisé entre 302 et 203"/>
    <s v="dl Rxqual=7"/>
    <s v="dl rx level= -50"/>
    <s v="OK"/>
    <s v="OK"/>
    <s v="Mauvais"/>
    <s v="retransmission des trames HDLC*5"/>
    <m/>
    <s v="ELHAJOUIA Achraf"/>
    <m/>
    <m/>
    <m/>
    <m/>
    <m/>
    <m/>
    <m/>
  </r>
  <r>
    <n v="836"/>
    <b v="0"/>
    <x v="279"/>
    <d v="1899-12-30T11:36:19"/>
    <n v="2021"/>
    <x v="3"/>
    <x v="0"/>
    <n v="1047"/>
    <m/>
    <s v="Tanger/Casa"/>
    <n v="145.6"/>
    <x v="3"/>
    <s v="N2"/>
    <s v="Ralentissement du train"/>
    <s v="* Etat H.O : HO complete  entre 224 et 225 _x000a_* qualité /niveau de signal : dl rx-qual=3, dl rx level = -68 dbm_x000a_*Requête de déconnexion a été envoyée par le RBC"/>
    <m/>
    <x v="0"/>
    <s v="En attente de mise en place des tiroires filtrés "/>
    <s v="HO Complete entre 224 et 225"/>
    <s v="dl Rxqual=3"/>
    <s v="dl rx level= -68"/>
    <s v="OK"/>
    <s v="OK"/>
    <s v="Mauvais"/>
    <s v="retransmission des trames HDLC*5"/>
    <m/>
    <s v="ELHAJOUIA Achraf"/>
    <m/>
    <m/>
    <m/>
    <m/>
    <m/>
    <m/>
    <m/>
  </r>
  <r>
    <n v="837"/>
    <b v="0"/>
    <x v="279"/>
    <d v="1899-12-30T17:04:41"/>
    <n v="1038"/>
    <x v="8"/>
    <x v="1"/>
    <n v="1060"/>
    <m/>
    <s v="Casa/Tanger"/>
    <n v="7.3209999999999997"/>
    <x v="2"/>
    <s v="N2"/>
    <s v="Ralentissement du train"/>
    <s v="* Etat H.O : HO non finalisé entre 202 et 303 _x000a_* qualité /niveau de signal : dl rx-qual=7, dl rx level = -54 dbm_x000a_*Requête de déconnexion a été envoyée par le RBC"/>
    <m/>
    <x v="0"/>
    <s v="En attente de mise en place des tiroires filtrés "/>
    <s v="HO non finalisé entre 202 et 303 "/>
    <s v="dl Rxqual=7"/>
    <s v="dl rx level= -54"/>
    <s v="NOK"/>
    <s v="OK"/>
    <s v="Mauvais"/>
    <s v="retransmission des trames HDLC*5"/>
    <m/>
    <s v="Saad Elhabib"/>
    <m/>
    <m/>
    <m/>
    <m/>
    <m/>
    <m/>
    <m/>
  </r>
  <r>
    <n v="838"/>
    <b v="0"/>
    <x v="280"/>
    <d v="1899-12-30T17:04:07"/>
    <n v="1038"/>
    <x v="4"/>
    <x v="1"/>
    <n v="1033"/>
    <m/>
    <s v="Casa/Tanger"/>
    <n v="10.125"/>
    <x v="22"/>
    <s v="N2"/>
    <s v="Ralentissement du train"/>
    <s v="* Etat H.O : HO complete  entre 304 et 303 _x000a_* qualité /niveau de signal : dl rx-qual=0, dl rx level = -49 dbm_x000a_*Requête de déconnexion a été envoyée par le RBC"/>
    <m/>
    <x v="3"/>
    <s v="En attente de pousser les analyses coté RBC"/>
    <s v="HO Complete entre 304 et 303"/>
    <s v="dl Rxqual=0"/>
    <s v="dl rx level= -49"/>
    <s v="NOK"/>
    <s v="OK"/>
    <s v="Mauvais"/>
    <s v="Pas Retransmission des trames HDLC*5"/>
    <m/>
    <s v="Fahd OUSSALH"/>
    <m/>
    <m/>
    <m/>
    <m/>
    <m/>
    <m/>
    <m/>
  </r>
  <r>
    <n v="839"/>
    <b v="0"/>
    <x v="280"/>
    <d v="1899-12-30T18:33:50"/>
    <n v="1046"/>
    <x v="5"/>
    <x v="1"/>
    <n v="1026"/>
    <m/>
    <s v="Casa/Tanger"/>
    <n v="177.85"/>
    <x v="4"/>
    <s v="N2"/>
    <s v="Ralentissement du train"/>
    <s v="* Etat H.O : HO complete  entre 231 et 229 _x000a_* qualité /niveau de signal : dl rx-qual=0, dl rx level = -110 dbm_x000a_*Requête de déconnexion a été envoyée par le RBC"/>
    <m/>
    <x v="2"/>
    <s v="En attente de mise en place des tiroires filtrés / zone sous surveillence par le NOC"/>
    <s v="HO Complete entre 231 et 229"/>
    <s v="dl Rxqual=0"/>
    <s v="dl rx level= -110"/>
    <s v="OK"/>
    <s v="OK"/>
    <s v="Mauvais"/>
    <s v=" Retransmission des trames HDLC*5"/>
    <m/>
    <s v="Fahd OUSSALH"/>
    <m/>
    <m/>
    <m/>
    <m/>
    <m/>
    <m/>
    <m/>
  </r>
  <r>
    <n v="840"/>
    <b v="0"/>
    <x v="281"/>
    <d v="1899-12-30T16:05:00"/>
    <n v="2041"/>
    <x v="3"/>
    <x v="0"/>
    <n v="1046"/>
    <m/>
    <s v="Tanger/Casa"/>
    <n v="6.13"/>
    <x v="2"/>
    <s v="N2"/>
    <s v="Arrêt du train"/>
    <s v="* Etat H.O : HO non finalisé entre 202 et 303 _x000a_* qualité /niveau de signal : dl rx-qual=7, dl rx level = -56 dbm_x000a_*Requête de déconnexion a été envoyée par le Bord"/>
    <m/>
    <x v="0"/>
    <s v="En attente de mise en place des tiroires filtrés "/>
    <s v="HO non finalisé entre 202 et 303 "/>
    <s v="dl Rxqual=7"/>
    <s v="dl rx level= -56"/>
    <s v="NOK"/>
    <s v="OK"/>
    <s v="Mauvais"/>
    <s v=" Retransmission des trames HDLC*5"/>
    <m/>
    <s v="Fahd OUSSALH"/>
    <m/>
    <m/>
    <m/>
    <m/>
    <m/>
    <m/>
    <m/>
  </r>
  <r>
    <n v="841"/>
    <b v="0"/>
    <x v="281"/>
    <d v="1899-12-30T17:05:27"/>
    <n v="2045"/>
    <x v="11"/>
    <x v="0"/>
    <n v="1048"/>
    <m/>
    <s v="Tanger/Casa"/>
    <n v="6.13"/>
    <x v="2"/>
    <s v="N2"/>
    <s v="Arrêt du train"/>
    <s v="* Etat H.O : HO non finalisé entre 202 et 301_x000a_* qualité /niveau de signal : dl rx-qual=7, dl rx level = -51 dbm_x000a_*Requête de déconnexion a été envoyée par le RBC"/>
    <m/>
    <x v="0"/>
    <s v="En attente de mise en place des tiroires filtrés "/>
    <s v="HO non finalisé entre 202 et 301"/>
    <s v="dl Rxqual=7"/>
    <s v="dl rx level= -51"/>
    <s v="NOK"/>
    <s v="OK"/>
    <s v="Mauvais"/>
    <s v=" Retransmission des trames HDLC*5"/>
    <m/>
    <s v="Fahd OUSSALH"/>
    <m/>
    <m/>
    <m/>
    <m/>
    <m/>
    <m/>
    <m/>
  </r>
  <r>
    <n v="842"/>
    <b v="0"/>
    <x v="281"/>
    <d v="1899-12-30T14:05:51"/>
    <n v="2033"/>
    <x v="6"/>
    <x v="0"/>
    <n v="1056"/>
    <m/>
    <s v="Tanger/Casa"/>
    <n v="6.13"/>
    <x v="2"/>
    <s v="N2"/>
    <s v="Arrêt du train"/>
    <s v="* Etat H.O : HO non finalisé entre 202 et 303_x000a_* qualité /niveau de signal : dl rx-qual=7, dl rx level = -55dbm_x000a_*Requête de déconnexion a été envoyée par le RBC"/>
    <m/>
    <x v="0"/>
    <s v="En attente de mise en place des tiroires filtrés "/>
    <s v="HO non finalisé entre 202 et 303"/>
    <s v="dl Rxqual=7"/>
    <s v="dl rx level= -55"/>
    <s v="NOK"/>
    <s v="OK"/>
    <s v="Mauvais"/>
    <s v=" Retransmission des trames HDLC*5"/>
    <m/>
    <s v="Fahd OUSSALH"/>
    <m/>
    <m/>
    <m/>
    <m/>
    <m/>
    <m/>
    <m/>
  </r>
  <r>
    <n v="843"/>
    <b v="0"/>
    <x v="281"/>
    <d v="1899-12-30T14:09:52"/>
    <n v="2033"/>
    <x v="6"/>
    <x v="0"/>
    <n v="1057"/>
    <m/>
    <s v="Tanger/Casa"/>
    <n v="19.03"/>
    <x v="20"/>
    <s v="N2"/>
    <s v="Arrêt du train"/>
    <s v="* Etat H.O : le train s'est déconnecté et reconnecté a la cellule 203_x000a_*Requête de déconnexion a été envoyée par le RBC"/>
    <m/>
    <x v="0"/>
    <s v="En attente de mise en place des tiroires filtrés "/>
    <m/>
    <m/>
    <m/>
    <s v="NOK"/>
    <s v="OK"/>
    <s v="Mauvais"/>
    <s v=" Retransmission des trames HDLC*5"/>
    <m/>
    <s v="Fahd OUSSALH"/>
    <m/>
    <m/>
    <m/>
    <m/>
    <m/>
    <m/>
    <m/>
  </r>
  <r>
    <n v="844"/>
    <b v="0"/>
    <x v="281"/>
    <d v="1899-12-30T20:06:17"/>
    <n v="1050"/>
    <x v="10"/>
    <x v="1"/>
    <n v="1060"/>
    <m/>
    <s v="Casa/Tanger"/>
    <n v="7.3209999999999997"/>
    <x v="2"/>
    <s v="N2"/>
    <s v="Ralentissement du train"/>
    <s v="* Etat H.O : HO complet entre 303 et 202_x000a_* qualité /niveau de signal : dl rx-qual=7, dl rx level = -53 dbm_x000a_*Requête de déconnexion a été envoyée par le RBC"/>
    <m/>
    <x v="0"/>
    <s v="En attente de mise en place des tiroires filtrés "/>
    <s v="HO Complete entre 303 et 202"/>
    <s v="dl Rxqual=7"/>
    <s v="dl rx level= -53"/>
    <s v="OK"/>
    <s v="OK"/>
    <s v="Mauvais"/>
    <s v=" Retransmission des trames HDLC*5"/>
    <m/>
    <s v="HARIRI Bahaeddine"/>
    <m/>
    <m/>
    <m/>
    <m/>
    <m/>
    <m/>
    <m/>
  </r>
  <r>
    <n v="845"/>
    <b v="0"/>
    <x v="282"/>
    <d v="1899-12-30T12:52:50"/>
    <n v="1021"/>
    <x v="5"/>
    <x v="1"/>
    <n v="1027"/>
    <m/>
    <s v="Casa/Tanger"/>
    <n v="58.71"/>
    <x v="23"/>
    <s v="N2"/>
    <s v="Ralentissement du train"/>
    <s v="* Etat H.O : HO complet entre 311 et 310_x000a_* qualité /niveau de signal : dl rx-qual=0, dl rx level = -54 dbm_x000a_*Requête de déconnexion a été envoyée par le RBC"/>
    <m/>
    <x v="0"/>
    <s v="En attente de mise en place des tiroires filtrés "/>
    <s v="HO Complete entre 311 et 310"/>
    <s v="dl Rxqual=0"/>
    <s v="dl rx level= -54"/>
    <s v="OK"/>
    <s v="OK"/>
    <s v="Mauvais"/>
    <s v=" Retransmission des trames HDLC*5"/>
    <m/>
    <s v="ELHAJOUIA Achraf"/>
    <m/>
    <m/>
    <m/>
    <m/>
    <m/>
    <m/>
    <m/>
  </r>
  <r>
    <n v="846"/>
    <b v="0"/>
    <x v="282"/>
    <d v="1899-12-30T19:36:38"/>
    <n v="2053"/>
    <x v="0"/>
    <x v="0"/>
    <n v="1037"/>
    <m/>
    <s v="Casa/Tanger"/>
    <n v="153.68600000000001"/>
    <x v="18"/>
    <s v="N2"/>
    <s v="Ralentissement du train"/>
    <s v="* Etat H.O : HO non finalisé entre 225 et 226_x000a_* qualité /niveau de signal : dl rx-qual=1, dl rx level = -73 dbm_x000a_*Requête de déconnexion a été envoyée par le RBC"/>
    <m/>
    <x v="2"/>
    <s v="En attente de mise en place des tiroires filtrés / zone sous surveillence par le NOC"/>
    <s v="HO non finalisé entre 225 et 226"/>
    <s v="dl Rxqual=1"/>
    <s v="dl rx level= -73"/>
    <s v="OK"/>
    <s v="OK"/>
    <s v="Mauvais"/>
    <s v=" Retransmission des trames HDLC*5"/>
    <m/>
    <s v="Fahd OUSSALH"/>
    <m/>
    <m/>
    <m/>
    <m/>
    <m/>
    <m/>
    <m/>
  </r>
  <r>
    <n v="847"/>
    <b v="0"/>
    <x v="282"/>
    <d v="1899-12-30T20:54:21"/>
    <n v="1054"/>
    <x v="5"/>
    <x v="1"/>
    <n v="1027"/>
    <m/>
    <s v="Casa/Tanger"/>
    <n v="147.876"/>
    <x v="3"/>
    <s v="N2"/>
    <s v="Ralentissement du train"/>
    <s v="* Etat H.O : HO finalisé entre 327 et 326_x000a_* qualité /niveau de signal : dl rx-qual=0, dl rx level = -64 dbm_x000a_*Requête de déconnexion a été envoyée par le RBC"/>
    <m/>
    <x v="0"/>
    <s v="En attente de mise en place des tiroires filtrés "/>
    <s v="HO finalisé entre 327 et 326"/>
    <s v="dl Rxqual=0"/>
    <s v="dl rx level= -64"/>
    <s v="OK"/>
    <s v="OK"/>
    <s v="Mauvais"/>
    <s v=" Retransmission des trames HDLC*5"/>
    <m/>
    <s v="Saad Elhabib"/>
    <m/>
    <m/>
    <m/>
    <m/>
    <m/>
    <m/>
    <m/>
  </r>
  <r>
    <n v="848"/>
    <b v="0"/>
    <x v="282"/>
    <d v="1899-12-30T21:24:42"/>
    <n v="1054"/>
    <x v="5"/>
    <x v="1"/>
    <n v="1026"/>
    <m/>
    <s v="Casa/Tanger"/>
    <n v="7.3209999999999997"/>
    <x v="2"/>
    <s v="N2"/>
    <s v="Arrêt du train"/>
    <s v="* Etat H.O : HO non finalisé entre 202 et 203_x000a_* qualité /niveau de signal : dl rx-qual=7, dl rx level = -54 dbm_x000a_*Requête de déconnexion a été envoyée par le RBC"/>
    <m/>
    <x v="0"/>
    <s v="En attente de mise en place des tiroires filtrés "/>
    <s v="HO non finalisé entre 202 et 203"/>
    <s v="dl Rxqual=7"/>
    <s v="dl rx level= -54"/>
    <s v="OK"/>
    <s v="OK"/>
    <s v="Mauvais"/>
    <s v=" Retransmission des trames HDLC*5"/>
    <m/>
    <s v="Saad Elhabib"/>
    <m/>
    <m/>
    <m/>
    <m/>
    <m/>
    <m/>
    <m/>
  </r>
  <r>
    <n v="849"/>
    <b v="0"/>
    <x v="283"/>
    <d v="1899-12-30T06:05:43"/>
    <n v="1081"/>
    <x v="9"/>
    <x v="1"/>
    <n v="1035"/>
    <m/>
    <s v="Casa/Tanger"/>
    <n v="162.83500000000001"/>
    <x v="9"/>
    <s v="N2"/>
    <s v="Ralentissement du train"/>
    <s v="* Etat H.O : HO finalisé entre 329 et 328_x000a_* qualité /niveau de signal : dl rx-qual=0, dl rx level = -48 dbm_x000a_*Requête de déconnexion a été envoyée par le RBC"/>
    <m/>
    <x v="0"/>
    <s v="En attente de mise en place des tiroires filtrés "/>
    <s v="HO finalisé entre 329 et 328"/>
    <s v="dl Rxqual=0"/>
    <s v="dl rx level= -48"/>
    <s v="OK"/>
    <s v="OK"/>
    <s v="Mauvais"/>
    <s v=" Retransmission des trames HDLC*5"/>
    <m/>
    <s v="Saad Elhabib"/>
    <m/>
    <m/>
    <m/>
    <m/>
    <m/>
    <m/>
    <m/>
  </r>
  <r>
    <n v="850"/>
    <b v="0"/>
    <x v="283"/>
    <d v="1899-12-30T06:05:21"/>
    <n v="2001"/>
    <x v="11"/>
    <x v="0"/>
    <n v="1048"/>
    <m/>
    <s v="Tanger/Casa"/>
    <n v="6.13"/>
    <x v="2"/>
    <s v="N2"/>
    <s v="Arrêt du train"/>
    <s v="* Etat H.O : HO non finalisé entre 202 et 203_x000a_* qualité /niveau de signal : dl rx-qual=7, dl rx level = -53 dbm_x000a_*Requête de déconnexion a été envoyée par le RBC"/>
    <m/>
    <x v="0"/>
    <s v="En attente de mise en place des tiroires filtrés "/>
    <s v="HO non finalisé entre 202 et 203"/>
    <s v="dl Rxqual=7"/>
    <s v="dl rx level= -53"/>
    <s v="NOK"/>
    <s v="OK"/>
    <s v="Mauvais"/>
    <s v=" Retransmission des trames HDLC*5"/>
    <m/>
    <s v="Saad Elhabib"/>
    <m/>
    <m/>
    <m/>
    <m/>
    <m/>
    <m/>
    <m/>
  </r>
  <r>
    <n v="851"/>
    <b v="0"/>
    <x v="283"/>
    <d v="1899-12-30T08:47:51"/>
    <n v="1005"/>
    <x v="0"/>
    <x v="1"/>
    <n v="1045"/>
    <m/>
    <s v="Casa/Tanger"/>
    <n v="94.953999999999994"/>
    <x v="8"/>
    <s v="N2"/>
    <s v="Ralentissement du train"/>
    <s v="* Etat H.O : HO non finalisé entre 318 et 317_x000a_* qualité /niveau de signal : dl rx-qual=7, dl rx level = -56 dbm_x000a_*Requête de déconnexion a été envoyée par le RBC"/>
    <m/>
    <x v="0"/>
    <s v="En attente de mise en place des tiroires filtrés "/>
    <s v="HO non finalisé entre 318 et 317"/>
    <s v="dl Rxqual=7"/>
    <s v="dl rx level= -56"/>
    <s v="OK"/>
    <s v="OK"/>
    <s v="Mauvais"/>
    <s v=" Retransmission des trames HDLC*5"/>
    <m/>
    <s v="SGHAYER Achraf"/>
    <m/>
    <m/>
    <m/>
    <m/>
    <m/>
    <m/>
    <m/>
  </r>
  <r>
    <n v="852"/>
    <b v="0"/>
    <x v="283"/>
    <d v="1899-12-30T10:05:27"/>
    <n v="2017"/>
    <x v="0"/>
    <x v="0"/>
    <n v="1037"/>
    <m/>
    <s v="Tanger/Casa"/>
    <n v="6.13"/>
    <x v="2"/>
    <s v="N2"/>
    <s v="Ralentissement du train"/>
    <s v="* Etat H.O : HO complet entre 202 et 303_x000a_* qualité /niveau de signal : dl rx-qual=3, dl rx level = -67 dbm_x000a_*Requête de déconnexion a été envoyée par le RBC"/>
    <m/>
    <x v="0"/>
    <s v="En attente de mise en place des tiroires filtrés "/>
    <s v="HO Complete entre 202 et 303"/>
    <s v="dl Rxqual=3"/>
    <s v="dl rx level= -67"/>
    <s v="OK"/>
    <s v="OK"/>
    <s v="Mauvais"/>
    <s v=" Retransmission des trames HDLC*5"/>
    <m/>
    <s v="ELHAJOUIA Achraf"/>
    <m/>
    <m/>
    <m/>
    <m/>
    <m/>
    <m/>
    <m/>
  </r>
  <r>
    <n v="853"/>
    <b v="0"/>
    <x v="283"/>
    <d v="1899-12-30T18:04:42"/>
    <n v="2048"/>
    <x v="11"/>
    <x v="0"/>
    <n v="1048"/>
    <m/>
    <s v="Tanger/Casa"/>
    <n v="6.13"/>
    <x v="2"/>
    <s v="N2"/>
    <s v="Arrêt du train"/>
    <s v="* Etat H.O : HO non finalisé entre 202 et 203_x000a_* qualité /niveau de signal : dl rx-qual=7, dl rx level = -54 dbm_x000a_*Requête de déconnexion a été envoyée par le RBC"/>
    <m/>
    <x v="0"/>
    <s v="zone sous surveillence par le NOC"/>
    <s v="HO non finalisé entre 202 et 203"/>
    <s v="dl Rxqual=7"/>
    <s v="dl rx level= -54"/>
    <s v="NOK"/>
    <s v="OK"/>
    <s v="Mauvais"/>
    <s v=" Retransmission des trames HDLC*5"/>
    <m/>
    <s v="ELHAJOUIA Achraf"/>
    <m/>
    <m/>
    <m/>
    <m/>
    <m/>
    <m/>
    <m/>
  </r>
  <r>
    <n v="854"/>
    <b v="0"/>
    <x v="284"/>
    <d v="1899-12-30T06:11:46"/>
    <n v="2001"/>
    <x v="6"/>
    <x v="0"/>
    <n v="1057"/>
    <m/>
    <s v="Tanger/Casa"/>
    <n v="25.91"/>
    <x v="7"/>
    <s v="N2"/>
    <s v="Ralentissement du train"/>
    <s v="* Etat H.O : HO finalisé entre 205 et 206_x000a_* qualité /niveau de signal : dl rx-qual=0, dl rx level = -56 dbm_x000a_*Requête de déconnexion a été envoyée par le RBC"/>
    <m/>
    <x v="0"/>
    <s v="En attente de mise en place des tiroires filtrés "/>
    <s v="HO finalisé entre 205 et 206"/>
    <s v="dl Rxqual=0"/>
    <s v="dl rx level= -50"/>
    <s v="OK"/>
    <s v="OK"/>
    <s v="Mauvais"/>
    <s v=" Retransmission des trames HDLC*5"/>
    <m/>
    <s v="Saad Elhabib"/>
    <m/>
    <m/>
    <m/>
    <m/>
    <m/>
    <m/>
    <m/>
  </r>
  <r>
    <n v="855"/>
    <b v="0"/>
    <x v="284"/>
    <d v="1899-12-30T16:39:15"/>
    <n v="1038"/>
    <x v="6"/>
    <x v="1"/>
    <n v="1022"/>
    <m/>
    <s v="Tanger/Casa"/>
    <n v="134.30000000000001"/>
    <x v="10"/>
    <s v="N2"/>
    <s v="Ralentissement du train"/>
    <s v="* Etat H.O : HO finalisé entre 325 et 324_x000a_* qualité /niveau de signal : dl rx-qual=7, dl rx level = -65 dbm_x000a_*Requête de déconnexion a été envoyée par le RBC"/>
    <m/>
    <x v="1"/>
    <s v="zone sous surveillence par le NOC"/>
    <s v="HO non finalisé entre 325 et 324"/>
    <s v="dl Rxqual=7"/>
    <s v="dl rx level= -65"/>
    <s v="OK"/>
    <s v="OK"/>
    <s v="Mauvais"/>
    <s v=" Retransmission des trames HDLC*5"/>
    <m/>
    <s v="Fahd OUSSALH"/>
    <m/>
    <m/>
    <m/>
    <m/>
    <m/>
    <m/>
    <m/>
  </r>
  <r>
    <n v="856"/>
    <b v="0"/>
    <x v="285"/>
    <d v="1899-12-30T04:29:37"/>
    <n v="2081"/>
    <x v="4"/>
    <x v="0"/>
    <n v="1058"/>
    <m/>
    <s v="Tanger/Casa"/>
    <n v="67.828999999999994"/>
    <x v="0"/>
    <s v="N2"/>
    <s v="Ralentissement du train"/>
    <s v="* Etat H.O : HO finalisé entre 211 et 212_x000a_* qualité /niveau de signal : dl rx-qual=0, dl rx level = -56 dbm_x000a_*Requête de déconnexion a été envoyée par le RBC"/>
    <m/>
    <x v="0"/>
    <s v="En attente de mise en place des tiroires filtrés "/>
    <s v=" HO finalisé entre 211 et 212"/>
    <s v="dl Rxqual=0"/>
    <s v="dl rx level= -56"/>
    <s v="OK"/>
    <s v="OK"/>
    <s v="Mauvais"/>
    <s v=" Retransmission des trames HDLC*5"/>
    <m/>
    <s v="Saad Elhabib"/>
    <m/>
    <m/>
    <m/>
    <m/>
    <m/>
    <m/>
    <m/>
  </r>
  <r>
    <n v="857"/>
    <b v="0"/>
    <x v="285"/>
    <d v="1899-12-30T06:24:45"/>
    <n v="2001"/>
    <x v="6"/>
    <x v="0"/>
    <n v="1057"/>
    <m/>
    <s v="Tanger/Casa"/>
    <n v="86.238"/>
    <x v="12"/>
    <s v="N2"/>
    <s v="Ralentissement du train"/>
    <s v="* Etat H.O : HO finalisé entre 215 et 216_x000a_* qualité /niveau de signal : dl rx-qual=4, dl rx level = -55 dbm_x000a_*Requête de déconnexion a été envoyée par le RBC"/>
    <m/>
    <x v="0"/>
    <s v="En attente de mise en place des tiroires filtrés "/>
    <s v="HO finalisé entre 215 et 216"/>
    <s v="dl Rxqual=4"/>
    <s v="dl rx level= -55"/>
    <s v="OK"/>
    <s v="OK"/>
    <s v="Mauvais"/>
    <s v=" Retransmission des trames HDLC*5"/>
    <m/>
    <s v="Saad Elhabib"/>
    <m/>
    <m/>
    <m/>
    <m/>
    <m/>
    <m/>
    <m/>
  </r>
  <r>
    <n v="858"/>
    <b v="0"/>
    <x v="285"/>
    <d v="1899-12-30T10:49:58"/>
    <n v="1013"/>
    <x v="6"/>
    <x v="1"/>
    <n v="1023"/>
    <m/>
    <s v="Casa/Tanger"/>
    <n v="94.953999999999994"/>
    <x v="8"/>
    <s v="N2"/>
    <s v="Ralentissement du train"/>
    <s v="* Etat H.O : HO complet entre 318 et 317_x000a_* qualité /niveau de signal : dl rx-qual=4, dl rx level = -48dbm_x000a_*Requête de déconnexion a été envoyée par le RBC"/>
    <m/>
    <x v="0"/>
    <s v="En attente de mise en place des tiroires filtrés "/>
    <s v="HO Complete entre 318 et 317"/>
    <s v="dl Rxqual=4"/>
    <s v="dl rx level= -48"/>
    <s v="OK"/>
    <s v="OK"/>
    <s v="Mauvais"/>
    <s v=" Retransmission des trames HDLC*5"/>
    <m/>
    <s v="ELHAJOUIA Achraf"/>
    <m/>
    <m/>
    <m/>
    <m/>
    <m/>
    <m/>
    <m/>
  </r>
  <r>
    <n v="859"/>
    <b v="0"/>
    <x v="285"/>
    <d v="1899-12-30T12:35:58"/>
    <n v="2025"/>
    <x v="6"/>
    <x v="0"/>
    <n v="1057"/>
    <m/>
    <s v="Tanger/Casa"/>
    <n v="140.65899999999999"/>
    <x v="26"/>
    <s v="N2"/>
    <s v="Ralentissement du train"/>
    <s v="* Etat H.O : HO complet entre 223 et 224_x000a_* qualité /niveau de signal : dl rx-qual=0 dl rx level = -72dbm_x000a_*Requête de déconnexion a été envoyée par le RBC"/>
    <m/>
    <x v="0"/>
    <s v="En attente de mise en place des tiroires filtrés "/>
    <s v="HO Complete entre 223 et 224"/>
    <s v="dl Rxqual=0"/>
    <s v="dl rx level= -72"/>
    <s v="OK"/>
    <s v="OK"/>
    <s v="Mauvais"/>
    <s v=" Retransmission des trames HDLC*5"/>
    <m/>
    <s v="ELHAJOUIA Achraf"/>
    <m/>
    <m/>
    <m/>
    <m/>
    <m/>
    <m/>
    <m/>
  </r>
  <r>
    <n v="860"/>
    <b v="0"/>
    <x v="285"/>
    <d v="1899-12-30T18:35:56"/>
    <n v="2049"/>
    <x v="6"/>
    <x v="0"/>
    <n v="1057"/>
    <m/>
    <s v="Tanger/Casa"/>
    <n v="138.30199999999999"/>
    <x v="26"/>
    <s v="N2"/>
    <s v="Ralentissement du train"/>
    <s v="* Etat H.O : HO complet entre 223 et 224_x000a_* qualité /niveau de signal : dl rx-qual=0 dl rx level = -72dbm_x000a_*Requête de déconnexion a été envoyée par le RBC"/>
    <m/>
    <x v="3"/>
    <s v="En attente de pousser les analyses coté RBC"/>
    <s v="HO Complete entre 223 et 224"/>
    <s v="dl Rxqual=0"/>
    <s v="dl rx level= -72"/>
    <s v="OK"/>
    <s v="OK"/>
    <s v="Mauvais"/>
    <s v=" Pas de Retransmission des trames HDLC*5"/>
    <m/>
    <s v="HARIRI Bahaeddine"/>
    <m/>
    <m/>
    <m/>
    <m/>
    <m/>
    <m/>
    <m/>
  </r>
  <r>
    <n v="861"/>
    <b v="0"/>
    <x v="286"/>
    <d v="1899-12-30T12:23:36"/>
    <n v="1022"/>
    <x v="6"/>
    <x v="1"/>
    <n v="1023"/>
    <m/>
    <s v="Casa/Tanger"/>
    <n v="198.98400000000001"/>
    <x v="5"/>
    <s v="N2"/>
    <s v="Arrêt du train"/>
    <s v="* Etat H.O : HO non finalisé entre 99 et 333_x000a_* qualité /niveau de signal : dl rx-qual=7, dl rx level = -63 dbm_x000a_*Requête de déconnexion a été envoyée par le RBC"/>
    <m/>
    <x v="1"/>
    <s v="zone sous surveillence par le NOC"/>
    <s v="HO non finalisé entre 99 et 333"/>
    <s v="dl Rxqual=7"/>
    <s v="dl rx level= -63"/>
    <s v="OK"/>
    <s v="OK"/>
    <s v="Mauvais"/>
    <s v=" Retransmission des trames HDLC*5"/>
    <m/>
    <s v="HARIRI Bahaeddine"/>
    <m/>
    <m/>
    <m/>
    <m/>
    <m/>
    <m/>
    <m/>
  </r>
  <r>
    <n v="862"/>
    <b v="0"/>
    <x v="286"/>
    <d v="1899-12-30T19:04:08"/>
    <n v="1046"/>
    <x v="6"/>
    <x v="1"/>
    <n v="1022"/>
    <m/>
    <s v="Casa/Tanger"/>
    <n v="7.3209999999999997"/>
    <x v="2"/>
    <s v="N2"/>
    <s v="Ralentissement du train"/>
    <s v="* Etat H.O : HO non finalisé entre 303 et 202_x000a_* qualité /niveau de signal : dl rx-qual=7, dl rx level = -70 dbm_x000a_*Requête de déconnexion a été envoyée par le RBC"/>
    <m/>
    <x v="0"/>
    <s v="En attente de mise en place des tiroires filtrés "/>
    <s v=" HO non finalisé entre 303 et 202"/>
    <s v="dl Rxqual=7"/>
    <s v="dl rx level= -70"/>
    <s v="OK"/>
    <s v="OK"/>
    <s v="Mauvais"/>
    <s v=" Retransmission des trames HDLC*5"/>
    <m/>
    <s v="HARIRI Bahaeddine"/>
    <m/>
    <m/>
    <m/>
    <m/>
    <m/>
    <m/>
    <m/>
  </r>
  <r>
    <n v="863"/>
    <b v="0"/>
    <x v="286"/>
    <d v="1899-12-30T21:06:18"/>
    <n v="1054"/>
    <x v="11"/>
    <x v="1"/>
    <n v="1020"/>
    <m/>
    <s v="Casa/Tanger"/>
    <n v="7.3209999999999997"/>
    <x v="2"/>
    <s v="N2"/>
    <s v="Arrêt du train"/>
    <s v="* Etat H.O : HO non finalisé entre 202 et 203_x000a_* qualité /niveau de signal : dl rx-qual=6, dl rx level = -54 dbm_x000a_*Requête de déconnexion a été envoyée par le RBC"/>
    <m/>
    <x v="0"/>
    <s v="En attente de mise en place des tiroires filtrés "/>
    <s v=" HO non finalisé entre 303 et 202"/>
    <s v="dl Rxqual=6"/>
    <s v="dl rx level= -54"/>
    <s v="NOK"/>
    <s v="OK"/>
    <s v="Mauvais"/>
    <s v=" Retransmission des trames HDLC*5"/>
    <m/>
    <s v="Saad Elhabib"/>
    <m/>
    <m/>
    <m/>
    <m/>
    <m/>
    <m/>
    <m/>
  </r>
  <r>
    <n v="864"/>
    <b v="0"/>
    <x v="287"/>
    <d v="1899-12-30T14:06:02"/>
    <n v="2033"/>
    <x v="1"/>
    <x v="0"/>
    <n v="1029"/>
    <m/>
    <s v="Tanger/Casa"/>
    <n v="6.13"/>
    <x v="2"/>
    <s v="N2"/>
    <s v="Arrêt du train"/>
    <s v="* Etat H.O : HO complet entre 202 et 303_x000a_* qualité /niveau de signal : dl rx-qual=7, dl rx level = -66 dbm_x000a_*Requête de déconnexion a été envoyée par le RBC"/>
    <m/>
    <x v="0"/>
    <s v="En attente de mise en place des tiroires filtrés "/>
    <s v=" HO complet entre 202 et 303"/>
    <s v="dl Rxqual=7"/>
    <s v="dl rx level= -66"/>
    <s v="NOK"/>
    <s v="OK"/>
    <s v="Mauvais"/>
    <s v=" Retransmission des trames HDLC*5"/>
    <m/>
    <s v="Noura MOUSSAOUI"/>
    <m/>
    <m/>
    <m/>
    <m/>
    <m/>
    <m/>
    <m/>
  </r>
  <r>
    <n v="865"/>
    <b v="0"/>
    <x v="287"/>
    <d v="1899-12-30T15:04:58"/>
    <n v="2037"/>
    <x v="5"/>
    <x v="0"/>
    <n v="1024"/>
    <m/>
    <s v="Tanger/Casa"/>
    <n v="6.13"/>
    <x v="2"/>
    <s v="N2"/>
    <s v="Ralentissement du train"/>
    <s v="* Etat H.O : HO Non finalisé entre 202 et 303_x000a_* qualité /niveau de signal : dl rx-qual=7, dl rx level = -56 dbm_x000a_*Requête de déconnexion a été envoyée par le RBC"/>
    <m/>
    <x v="0"/>
    <s v="En attente de mise en place des tiroires filtrés "/>
    <s v=" HO non finalisé entre 202 et 303"/>
    <s v="dl Rxqual=7"/>
    <s v="dl rx level= -56"/>
    <s v="NOK"/>
    <s v="OK"/>
    <s v="Mauvais"/>
    <s v=" Retransmission des trames HDLC*5"/>
    <m/>
    <s v="HARIRI Bahaeddine"/>
    <m/>
    <m/>
    <m/>
    <m/>
    <m/>
    <m/>
    <m/>
  </r>
  <r>
    <n v="866"/>
    <b v="0"/>
    <x v="287"/>
    <d v="1899-12-30T17:05:14"/>
    <n v="2045"/>
    <x v="0"/>
    <x v="0"/>
    <n v="1036"/>
    <m/>
    <s v="Tanger/Casa"/>
    <n v="6.13"/>
    <x v="2"/>
    <s v="N2"/>
    <s v="Arrêt du train"/>
    <s v="* Etat H.O : HO Non finalisé entre 301 et 202_x000a_* qualité /niveau de signal : dl rx-qual=7, dl rx level = -56 dbm_x000a_*Requête de déconnexion a été envoyée par le bord"/>
    <m/>
    <x v="0"/>
    <s v="En attente de mise en place des tiroires filtrés "/>
    <s v=" HO non finalisé entre 301 et 202"/>
    <s v="dl Rxqual=7"/>
    <s v="dl rx level= -56"/>
    <s v="OK"/>
    <s v="OK"/>
    <s v="Mauvais"/>
    <s v=" Retransmission des trames HDLC*5"/>
    <m/>
    <s v="HARIRI Bahaeddine"/>
    <m/>
    <m/>
    <m/>
    <m/>
    <m/>
    <m/>
    <m/>
  </r>
  <r>
    <n v="867"/>
    <b v="0"/>
    <x v="288"/>
    <d v="1899-12-30T15:05:48"/>
    <n v="2037"/>
    <x v="8"/>
    <x v="0"/>
    <n v="1042"/>
    <m/>
    <s v="Tanger/Casa"/>
    <n v="6.13"/>
    <x v="2"/>
    <s v="N2"/>
    <s v="Ralentissement du train"/>
    <s v="* Etat H.O : HO non finalisé entre 202 et 203_x000a_* qualité /niveau de signal : dl rx-qual=7, dl rx level = -58 dbm_x000a_* Requête de déconnexion a été envoyé par le RBC _x000a_"/>
    <m/>
    <x v="0"/>
    <s v="En attente de mise en place des tiroires filtrés "/>
    <s v=" HO non finalisé entre 202 et 203"/>
    <s v="dl Rxqual=7"/>
    <s v="dl rx level= -58"/>
    <s v="NOK"/>
    <s v="OK"/>
    <s v="Mauvais"/>
    <s v=" Retransmission des trames HDLC*5"/>
    <m/>
    <s v="HARIRI Bahaeddine"/>
    <m/>
    <m/>
    <m/>
    <m/>
    <m/>
    <m/>
    <m/>
  </r>
  <r>
    <n v="868"/>
    <b v="0"/>
    <x v="288"/>
    <d v="1899-12-30T16:07:46"/>
    <n v="2041"/>
    <x v="9"/>
    <x v="0"/>
    <n v="1053"/>
    <m/>
    <s v="Tanger/Casa"/>
    <n v="11.28"/>
    <x v="22"/>
    <s v="N2"/>
    <s v="Arrêt du train"/>
    <s v="* Etat H.O : HO complet entre 202 et 203_x000a_* qualité /niveau de signal : dl rx-qual=0, dl rx level = -60 dbm_x000a_* Requête de déconnexion a été envoyé par le bord_x000a_"/>
    <m/>
    <x v="0"/>
    <s v="En attente de mise en place des tiroires filtrés "/>
    <s v=" HO complet entre 202 et 303"/>
    <s v="dl Rxqual=0"/>
    <s v="dl rx level= -60"/>
    <s v="OK"/>
    <s v="OK"/>
    <s v="Mauvais"/>
    <s v=" Retransmission des trames HDLC*5"/>
    <m/>
    <s v="HARIRI Bahaeddine"/>
    <m/>
    <m/>
    <m/>
    <m/>
    <m/>
    <m/>
    <m/>
  </r>
  <r>
    <n v="869"/>
    <b v="0"/>
    <x v="288"/>
    <d v="1899-12-30T17:05:33"/>
    <n v="2045"/>
    <x v="11"/>
    <x v="0"/>
    <n v="1048"/>
    <m/>
    <s v="Tanger/Casa"/>
    <n v="6.13"/>
    <x v="2"/>
    <s v="N2"/>
    <s v="Ralentissement du train"/>
    <s v="* Etat H.O : HO non finalisé entre 202 et 203_x000a_* qualité /niveau de signal : dl rx-qual=7, dl rx level = -53 dbm_x000a_* Requête de déconnexion a été envoyé par le Bord _x000a_"/>
    <m/>
    <x v="0"/>
    <s v="En attente de mise en place des tiroires filtrés "/>
    <s v=" HO non finalisé entre 202 et 203"/>
    <s v="dl Rxqual=7"/>
    <s v="dl rx level= -53"/>
    <s v="OK"/>
    <s v="OK"/>
    <s v="Mauvais"/>
    <s v=" Retransmission des trames HDLC*5"/>
    <m/>
    <s v="HARIRI Bahaeddine"/>
    <m/>
    <m/>
    <m/>
    <m/>
    <m/>
    <m/>
    <m/>
  </r>
  <r>
    <n v="870"/>
    <b v="0"/>
    <x v="288"/>
    <d v="1899-12-30T20:28:48"/>
    <n v="1053"/>
    <x v="9"/>
    <x v="1"/>
    <n v="1034"/>
    <m/>
    <s v="Casa/Tanger"/>
    <n v="177.85"/>
    <x v="4"/>
    <s v="N2"/>
    <s v="Ralentissement du train"/>
    <s v="* Etat H.O : HO non finalisé entre 330 et 229_x000a_* qualité /niveau de signal : dl rx-qual=7, dl rx level = -53 dbm_x000a_* Requête de déconnexion a été envoyé par le Bord _x000a_"/>
    <m/>
    <x v="2"/>
    <s v="En attente de mise en place des tiroires filtrés / zone sous surveillence par le NOC"/>
    <s v=" HO non finalisé entre 330 et 229"/>
    <s v="dl Rxqual=7"/>
    <s v="dl rx level= -53"/>
    <s v="OK"/>
    <s v="OK"/>
    <s v="Mauvais"/>
    <s v=" Retransmission des trames HDLC*5"/>
    <m/>
    <s v="HARIRI Bahaeddine"/>
    <m/>
    <m/>
    <m/>
    <m/>
    <m/>
    <m/>
    <m/>
  </r>
  <r>
    <n v="871"/>
    <b v="0"/>
    <x v="289"/>
    <d v="1899-12-30T06:53:57"/>
    <n v="10075"/>
    <x v="9"/>
    <x v="1"/>
    <n v="1034"/>
    <m/>
    <s v="Casa/Tanger"/>
    <n v="180.38800000000001"/>
    <x v="4"/>
    <s v="N2"/>
    <s v="Ralentissement du train"/>
    <s v="* Etat H.O : HO Complete  entre 331 et 330_x000a_* qualité /niveau de signal : dl rx-qual=0, dl rx level = -56 dbm_x000a_* Requête de déconnexion a été envoyé par le RBC_x000a_"/>
    <m/>
    <x v="0"/>
    <s v="En attente de mise en place des tiroires filtrés "/>
    <s v=" HO Complete entre 331et 330"/>
    <s v="dl Rxqual=0"/>
    <s v="dl rx level= -56"/>
    <s v="OK"/>
    <s v="OK"/>
    <s v="Mauvais"/>
    <s v=" Retransmission des trames HDLC*5"/>
    <m/>
    <s v="ELHAJOUIA Achraf"/>
    <m/>
    <m/>
    <m/>
    <m/>
    <m/>
    <m/>
    <m/>
  </r>
  <r>
    <n v="872"/>
    <b v="0"/>
    <x v="289"/>
    <d v="1899-12-30T14:04:45"/>
    <n v="1025"/>
    <x v="9"/>
    <x v="1"/>
    <n v="1034"/>
    <m/>
    <s v="Casa/Tanger"/>
    <n v="7.3209999999999997"/>
    <x v="2"/>
    <s v="N2"/>
    <s v="Arrêt du train"/>
    <s v="* Etat H.O : HO Complete  entre 202 et 303_x000a_* qualité /niveau de signal : dl rx-qual=5, dl rx level = -82 dbm_x000a_* Requête de déconnexion a été envoyé par le RBC_x000a_"/>
    <m/>
    <x v="0"/>
    <s v="En attente de mise en place des tiroires filtrés "/>
    <s v=" HO Complete entre 202 et 303"/>
    <s v="dl Rxqual=5"/>
    <s v="dl rx level= -82"/>
    <s v="NOK"/>
    <s v="OK"/>
    <s v="Mauvais"/>
    <s v="Pss Retransmission des trames HDLC*5"/>
    <m/>
    <s v="Fahd OUSSALH"/>
    <m/>
    <m/>
    <m/>
    <m/>
    <m/>
    <m/>
    <m/>
  </r>
  <r>
    <n v="873"/>
    <b v="0"/>
    <x v="289"/>
    <d v="1899-12-30T15:35:04"/>
    <n v="2037"/>
    <x v="9"/>
    <x v="1"/>
    <n v="1053"/>
    <m/>
    <s v="Casa/Tanger"/>
    <n v="144.32599999999999"/>
    <x v="3"/>
    <s v="N2"/>
    <s v="Ralentissement du train"/>
    <s v="* Etat H.O : HO Complete  entre 224 et 225_x000a_* qualité /niveau de signal : dl rx-qual=0, dl rx level = -66 dbm_x000a_* Requête de déconnexion a été envoyé par le RBC_x000a_"/>
    <m/>
    <x v="3"/>
    <s v="En attente de pousser les analyses coté RBC"/>
    <s v=" HO Complete entre 224 et 225"/>
    <s v="dl Rxqual=0"/>
    <s v="dl rx level= -66"/>
    <s v="OK"/>
    <s v="OK"/>
    <s v="Mauvais"/>
    <s v="Pss Retransmission des trames HDLC*5"/>
    <m/>
    <s v="Fahd OUSSALH"/>
    <m/>
    <m/>
    <m/>
    <m/>
    <m/>
    <m/>
    <m/>
  </r>
  <r>
    <n v="874"/>
    <b v="0"/>
    <x v="289"/>
    <d v="1899-12-30T18:45:20"/>
    <n v="1046"/>
    <x v="4"/>
    <x v="1"/>
    <n v="1033"/>
    <m/>
    <s v="Casa/Tanger"/>
    <n v="97.619"/>
    <x v="8"/>
    <s v="N2"/>
    <s v="Ralentissement du train"/>
    <s v="* Etat H.O : HO non finalisé entre 219 et 318_x000a_* qualité /niveau de signal : dl rx-qual=0, dl rx level = -48 dbm_x000a_* Requête de déconnexion a été envoyé par le RBC _x000a_"/>
    <m/>
    <x v="0"/>
    <s v="En attente de mise en place des tiroires filtrés "/>
    <s v=" HO non finalisé entre 219 et 318"/>
    <s v="dl Rxqual=0"/>
    <s v="dl rx level= -48"/>
    <s v="NOK"/>
    <s v="OK"/>
    <s v="Mauvais"/>
    <s v="Pss Retransmission des trames HDLC*5"/>
    <m/>
    <s v="Fahd OUSSALH"/>
    <m/>
    <m/>
    <m/>
    <m/>
    <m/>
    <m/>
    <m/>
  </r>
  <r>
    <n v="875"/>
    <b v="0"/>
    <x v="289"/>
    <d v="1899-12-30T20:05:09"/>
    <n v="2057"/>
    <x v="4"/>
    <x v="0"/>
    <n v="1033"/>
    <m/>
    <s v="Tanger/Casa"/>
    <n v="6.13"/>
    <x v="2"/>
    <s v="N2"/>
    <s v="Ralentissement du train"/>
    <s v="* Etat H.O : HO Complete  entre 301 et 202_x000a_* qualité /niveau de signal : dl rx-qual=0, dl rx level = -54dbm_x000a_* Requête de déconnexion a été envoyé par le RBC_x000a_"/>
    <m/>
    <x v="0"/>
    <s v="En attente de mise en place des tiroires filtrés "/>
    <s v=" HO Complete entre 301 et 202"/>
    <s v="dl Rxqual=0"/>
    <s v="dl rx level= -54"/>
    <s v="NOK"/>
    <s v="OK"/>
    <s v="Mauvais"/>
    <s v="Pss Retransmission des trames HDLC*5"/>
    <m/>
    <s v="Fahd OUSSALH"/>
    <m/>
    <m/>
    <m/>
    <m/>
    <m/>
    <m/>
    <m/>
  </r>
  <r>
    <n v="876"/>
    <b v="0"/>
    <x v="289"/>
    <d v="1899-12-30T21:32:40"/>
    <n v="2061"/>
    <x v="9"/>
    <x v="0"/>
    <n v="1053"/>
    <m/>
    <s v="Tanger/Casa"/>
    <n v="133.07400000000001"/>
    <x v="10"/>
    <s v="N2"/>
    <s v="Ralentissement du train"/>
    <s v="* Etat H.O : HO Complete  entre 222 et 323_x000a_* qualité /niveau de signal : dl rx-qual=4, dl rx level = -72dbm_x000a_* Requête de déconnexion a été envoyé par le RBC_x000a_"/>
    <m/>
    <x v="3"/>
    <s v="En attente de pousser les analyses coté RBC"/>
    <s v=" HO Complete entre 222 et 323"/>
    <s v="dl Rxqual=4"/>
    <s v="dl rx level= -72"/>
    <s v="OK"/>
    <s v="OK"/>
    <s v="Mauvais"/>
    <s v=" Retransmission des trames HDLC*5"/>
    <m/>
    <s v="ELHAJOUIA Achraf"/>
    <m/>
    <m/>
    <m/>
    <m/>
    <m/>
    <m/>
    <m/>
  </r>
  <r>
    <n v="877"/>
    <b v="0"/>
    <x v="290"/>
    <d v="1899-12-30T11:04:45"/>
    <n v="1014"/>
    <x v="5"/>
    <x v="1"/>
    <n v="1027"/>
    <m/>
    <s v="Casa/Tanger"/>
    <n v="7.3209999999999997"/>
    <x v="2"/>
    <s v="N2"/>
    <s v="Ralentissement du train"/>
    <s v="* Etat H.O : HO Complete  entre 202 et 303_x000a_* qualité /niveau de signal : dl rx-qual=6, dl rx level = -74dbm_x000a_* Requête de déconnexion a été envoyé par le RBC_x000a_"/>
    <m/>
    <x v="0"/>
    <s v="En attente de mise en place des tiroires filtrés "/>
    <s v=" HO Complete entre 202 et 303"/>
    <s v="dl Rxqual=6"/>
    <s v="dl rx level= -74"/>
    <s v="OK"/>
    <s v="OK"/>
    <s v="Mauvais"/>
    <s v="retransmission des trames HDLC*5"/>
    <m/>
    <s v="Fahd OUSSALH"/>
    <m/>
    <m/>
    <m/>
    <m/>
    <m/>
    <m/>
    <m/>
  </r>
  <r>
    <n v="878"/>
    <b v="0"/>
    <x v="290"/>
    <d v="1899-12-30T16:50:23"/>
    <n v="1038"/>
    <x v="9"/>
    <x v="1"/>
    <n v="1035"/>
    <m/>
    <s v="Casa/Tanger"/>
    <n v="75.84"/>
    <x v="13"/>
    <s v="N2"/>
    <s v="Ralentissement du train"/>
    <s v="* Etat H.O : HO complet entre 315 et 314_x000a_* qualité /niveau de signal : dl rx-qual=3, dl rx level = -63dbm_x000a_* Requête de déconnexion a été envoyé par le RBC_x000a_"/>
    <m/>
    <x v="0"/>
    <s v="En attente de mise en place des tiroires filtrés "/>
    <s v=" HO complet entre 315 et 314"/>
    <s v="dl Rxqual=3"/>
    <s v="dl rx level= -63"/>
    <s v="OK"/>
    <s v="OK"/>
    <s v="Mauvais"/>
    <s v="retransmission des trames HDLC*5"/>
    <m/>
    <s v="Saad Elhabib"/>
    <m/>
    <m/>
    <m/>
    <m/>
    <m/>
    <m/>
    <m/>
  </r>
  <r>
    <n v="879"/>
    <b v="0"/>
    <x v="290"/>
    <d v="1899-12-30T18:58:45"/>
    <n v="1045"/>
    <x v="11"/>
    <x v="1"/>
    <n v="1020"/>
    <m/>
    <s v="Casa/Tanger"/>
    <n v="28.396999999999998"/>
    <x v="7"/>
    <s v="N2"/>
    <s v="Ralentissement du train"/>
    <s v="* Etat H.O : HO complet entre 307 et 306_x000a_* qualité /niveau de signal : dl rx-qual=0, dl rx level = -60dbm_x000a_* Requête de déconnexion a été envoyé par le RBC_x000a_"/>
    <m/>
    <x v="0"/>
    <s v="En attente de mise en place des tiroires filtrés "/>
    <s v="HO complet entre 307 et 306"/>
    <s v="dl Rxqual=0"/>
    <s v="dl rx level= -60"/>
    <s v="OK"/>
    <s v="OK"/>
    <s v="Mauvais"/>
    <s v="retransmission des trames HDLC*5"/>
    <m/>
    <s v="Saad Elhabib"/>
    <m/>
    <m/>
    <m/>
    <m/>
    <m/>
    <m/>
    <m/>
  </r>
  <r>
    <n v="880"/>
    <b v="0"/>
    <x v="290"/>
    <d v="1899-12-30T19:04:57"/>
    <n v="1046"/>
    <x v="11"/>
    <x v="1"/>
    <n v="1020"/>
    <m/>
    <s v="Casa/Tanger"/>
    <n v="7.3209999999999997"/>
    <x v="2"/>
    <s v="N2"/>
    <s v="Arrêt du train"/>
    <s v="* Etat H.O : HO non Finalisé entre 302 et 203_x000a_* qualité /niveau de signal : dl rx-qual=6, dl rx level = -53 dbm_x000a_* Requête de déconnexion a été envoyé par le BORD_x000a_"/>
    <m/>
    <x v="0"/>
    <s v="En attente de mise en place des tiroires filtrés "/>
    <s v="HO non Finalisé entre 302 et 203"/>
    <s v="dl Rxqual=6"/>
    <s v="dl rx level= -53"/>
    <s v="OK"/>
    <s v="OK"/>
    <s v="Mauvais"/>
    <s v="retransmission des trames HDLC*5"/>
    <m/>
    <s v="Saad Elhabib"/>
    <m/>
    <m/>
    <m/>
    <m/>
    <m/>
    <m/>
    <m/>
  </r>
  <r>
    <n v="881"/>
    <b v="0"/>
    <x v="291"/>
    <d v="1899-12-30T12:05:25"/>
    <n v="2025"/>
    <x v="6"/>
    <x v="0"/>
    <n v="1056"/>
    <m/>
    <s v="Tanger/Casa"/>
    <n v="6.13"/>
    <x v="2"/>
    <s v="N2"/>
    <s v="Ralentissement du train"/>
    <s v="* Etat H.O : HO non finalisé entre 302 et 203_x000a_* qualité /niveau de signal : dl rx-qual=7, dl rx level = -52dbm_x000a_* Requête de déconnexion a été envoyé par le BORD_x000a_"/>
    <m/>
    <x v="0"/>
    <s v="En attente de mise en place des tiroires filtrés "/>
    <s v="HO non Finalisé entre 302 et 203"/>
    <s v="dl Rxqual=7"/>
    <s v="dl rx level= -52"/>
    <s v="OK"/>
    <s v="OK"/>
    <s v="Mauvais"/>
    <s v="retransmission des trames HDLC*5"/>
    <m/>
    <s v="HARIRI Bahaeddine"/>
    <m/>
    <m/>
    <m/>
    <m/>
    <m/>
    <m/>
    <m/>
  </r>
  <r>
    <n v="882"/>
    <b v="0"/>
    <x v="291"/>
    <d v="1899-12-30T14:02:20"/>
    <n v="1025"/>
    <x v="9"/>
    <x v="1"/>
    <n v="1035"/>
    <m/>
    <s v="Casa/Tanger"/>
    <n v="12.496"/>
    <x v="22"/>
    <s v="N2"/>
    <s v="Ralentissement du train"/>
    <s v="* Etat H.O : HO non finalisé entre 204 et 303_x000a_* qualité /niveau de signal : dl rx-qual=0, dl rx level = -69dbm_x000a_* Requête de déconnexion a été envoyé par le BORD_x000a_"/>
    <m/>
    <x v="2"/>
    <s v="zone sous surveillence par le NOC/En attente de mise en place des tiroires filtrés "/>
    <s v="HO non finalisé entre 204 et 303"/>
    <s v="dl Rxqual=0"/>
    <s v="dl rx level= -69"/>
    <s v="NOK"/>
    <s v="OK"/>
    <s v="Mauvais"/>
    <s v="retransmission des trames HDLC*5"/>
    <m/>
    <s v="Saad Elhabib"/>
    <m/>
    <m/>
    <m/>
    <m/>
    <m/>
    <m/>
    <m/>
  </r>
  <r>
    <n v="883"/>
    <b v="0"/>
    <x v="291"/>
    <d v="1899-12-30T15:05:44"/>
    <n v="2037"/>
    <x v="9"/>
    <x v="0"/>
    <n v="1052"/>
    <m/>
    <s v="Tanger/Casa"/>
    <n v="6.13"/>
    <x v="2"/>
    <s v="N2"/>
    <s v="Ralentissement du train"/>
    <s v="* Etat H.O : HO non finalisé entre 202 et 303_x000a_* qualité /niveau de signal : dl rx-qual=7, dl rx level = -110dbm_x000a_* Requête de déconnexion a été envoyé par le BORD_x000a_"/>
    <m/>
    <x v="0"/>
    <s v="En attente de mise en place des tiroires filtrés "/>
    <s v="HO non finalisé entre 202 et 303"/>
    <s v="dl Rxqual=7"/>
    <s v="dl rx level= -110"/>
    <s v="NOK"/>
    <s v="NOK"/>
    <s v="Mauvais"/>
    <s v="retransmission des trames HDLC*5"/>
    <m/>
    <s v="Saad Elhabib"/>
    <m/>
    <m/>
    <m/>
    <m/>
    <m/>
    <m/>
    <m/>
  </r>
  <r>
    <n v="884"/>
    <b v="0"/>
    <x v="291"/>
    <d v="1899-12-30T18:05:23"/>
    <n v="2049"/>
    <x v="6"/>
    <x v="0"/>
    <n v="1052"/>
    <m/>
    <s v="Tanger/Casa"/>
    <n v="6.13"/>
    <x v="2"/>
    <s v="N2"/>
    <s v="Ralentissement du train"/>
    <s v="* Etat H.O : HO non finalisé entre 202 et 303_x000a_* qualité /niveau de signal : dl rx-qual=5, dl rx level = -52dbm_x000a_* Requête de déconnexion a été envoyé par le RBC_x000a_"/>
    <m/>
    <x v="0"/>
    <s v="En attente de mise en place des tiroires filtrés "/>
    <s v="HO non finalisé entre 202 et 303_x000a_"/>
    <s v="dl Rxqual=5"/>
    <s v="dl rx level= -52"/>
    <s v="NOK"/>
    <s v="OK"/>
    <s v="Mauvais"/>
    <s v="retransmission des trames HDLC*5"/>
    <m/>
    <s v="Saad Elhabib"/>
    <m/>
    <m/>
    <m/>
    <m/>
    <m/>
    <m/>
    <m/>
  </r>
  <r>
    <n v="885"/>
    <b v="0"/>
    <x v="292"/>
    <d v="1899-12-30T08:05:30"/>
    <n v="2009"/>
    <x v="3"/>
    <x v="0"/>
    <n v="1046"/>
    <m/>
    <s v="Tanger/Casa"/>
    <n v="6.13"/>
    <x v="2"/>
    <s v="N2"/>
    <s v="Arrêt du train"/>
    <s v="* Etat H.O : HO non finalisé entre 202 et 303_x000a_* qualité /niveau de signal : dl rx-qual=7, dl rx level = -57dbm_x000a_* Requête de déconnexion a été envoyé par le BORD_x000a_"/>
    <m/>
    <x v="0"/>
    <s v="En attente de mise en place des tiroires filtrés "/>
    <s v="HO non finalisé entre 202 et 303_x000a_"/>
    <s v="dl Rxqual=7"/>
    <s v="dl rx level= -57"/>
    <s v="OK"/>
    <s v="OK"/>
    <s v="Mauvais"/>
    <s v="Pss Retransmission des trames HDLC*5"/>
    <m/>
    <s v="HARIRI Bahaeddine"/>
    <m/>
    <m/>
    <m/>
    <m/>
    <m/>
    <m/>
    <m/>
  </r>
  <r>
    <n v="886"/>
    <b v="0"/>
    <x v="292"/>
    <d v="1899-12-30T09:01:56"/>
    <n v="1041"/>
    <x v="7"/>
    <x v="1"/>
    <n v="1041"/>
    <m/>
    <s v="Casa/Tanger"/>
    <n v="21.55"/>
    <x v="20"/>
    <s v="N2"/>
    <s v="Ralentissement du train"/>
    <s v="* Etat H.O : HO complet  entre 306 et 305_x000a_* qualité /niveau de signal : dl rx-qual=0, dl rx level = -71dbm_x000a_* Requête de déconnexion a été envoyé par le RBC_x000a_"/>
    <m/>
    <x v="0"/>
    <s v="En attente de mise en place des tiroires filtrés "/>
    <s v="HO complet entre 306 et 305"/>
    <s v="dl Rxqual=0"/>
    <s v="dl rx level= -71"/>
    <s v="OK"/>
    <s v="OK"/>
    <s v="Mauvais"/>
    <s v="retransmission des trames HDLC*5"/>
    <m/>
    <s v="HARIRI Bahaeddine"/>
    <m/>
    <m/>
    <m/>
    <m/>
    <m/>
    <m/>
    <m/>
  </r>
  <r>
    <n v="887"/>
    <b v="0"/>
    <x v="292"/>
    <d v="1899-12-30T15:33:41"/>
    <n v="2037"/>
    <x v="5"/>
    <x v="0"/>
    <n v="1024"/>
    <m/>
    <s v="Tanger/Casa"/>
    <n v="135.52500000000001"/>
    <x v="10"/>
    <s v="N2"/>
    <s v="Ralentissement du train"/>
    <s v="* Etat H.O : HO complet  entre 323 et 324_x000a_* qualité /niveau de signal : dl rx-qual=3 , dl rx level = -48dbm_x000a_* Requête de déconnexion a été envoyé par le RBC_x000a_"/>
    <m/>
    <x v="0"/>
    <s v="En attente de mise en place des tiroires filtrés "/>
    <s v="HO complet  entre 323 et 324"/>
    <s v="dl Rxqual=3"/>
    <s v="dl rx level= -48"/>
    <s v="OK"/>
    <s v="OK"/>
    <s v="Mauvais"/>
    <s v="retransmission des trames HDLC*5"/>
    <m/>
    <s v="Saad Elhabib"/>
    <m/>
    <m/>
    <m/>
    <m/>
    <m/>
    <m/>
    <m/>
  </r>
  <r>
    <n v="888"/>
    <b v="0"/>
    <x v="293"/>
    <d v="1899-12-30T06:05:29"/>
    <n v="2001"/>
    <x v="6"/>
    <x v="0"/>
    <n v="1057"/>
    <m/>
    <s v="Tanger/Casa"/>
    <n v="6.13"/>
    <x v="2"/>
    <s v="N2"/>
    <s v="Arrêt du train"/>
    <s v="* Etat H.O : HO complet  entre 201 et 202_x000a_* qualité /niveau de signal : dl rx-qual=0 , dl rx level = -60dbm_x000a_* Requête de déconnexion a été envoyé par le RBC_x000a_"/>
    <m/>
    <x v="0"/>
    <s v="En attente de mise en place des tiroires filtrés "/>
    <s v="HO complet  entre 201 et 202"/>
    <s v="dl Rxqual=0"/>
    <s v="dl rx level= -60"/>
    <s v="NOK"/>
    <s v="OK"/>
    <s v="Mauvais"/>
    <s v="retransmission des trames HDLC*5"/>
    <m/>
    <s v="Fahd OUSSALH"/>
    <m/>
    <m/>
    <m/>
    <m/>
    <m/>
    <m/>
    <m/>
  </r>
  <r>
    <n v="889"/>
    <b v="0"/>
    <x v="293"/>
    <d v="1899-12-30T12:35:36"/>
    <n v="2025"/>
    <x v="6"/>
    <x v="0"/>
    <n v="1057"/>
    <m/>
    <s v="Tanger/Casa"/>
    <n v="141.898"/>
    <x v="26"/>
    <s v="N2"/>
    <s v="Ralentissement du train"/>
    <s v="* Etat H.O : HO complet  entre 224 et 225_x000a_* qualité /niveau de signal : dl rx-qual=0 , dl rx level = -48dbm_x000a_* Requête de déconnexion a été envoyé par le RBC_x000a_"/>
    <m/>
    <x v="3"/>
    <s v="En attente de pousser les analyses coté RBC"/>
    <s v="HO complet  entre 224 et 225"/>
    <s v="dl Rxqual=0"/>
    <s v="dl rx level= -48"/>
    <s v="OK"/>
    <s v="OK"/>
    <s v="Mauvais"/>
    <s v="Pss Retransmission des trames HDLC*5"/>
    <m/>
    <s v="HARIRI Bahaeddine"/>
    <m/>
    <m/>
    <m/>
    <m/>
    <m/>
    <m/>
    <m/>
  </r>
  <r>
    <n v="890"/>
    <b v="0"/>
    <x v="293"/>
    <d v="1899-12-30T16:35:06"/>
    <n v="2041"/>
    <x v="1"/>
    <x v="0"/>
    <n v="1029"/>
    <m/>
    <s v="Tanger/Casa"/>
    <n v="144.32599999999999"/>
    <x v="3"/>
    <s v="N2"/>
    <s v="Arrêt du train"/>
    <s v="* Etat H.O : HO complet  entre 224 et 225_x000a_* qualité /niveau de signal : dl rx-qual=0 , dl rx level = -65dbm_x000a_* Requête de déconnexion a été envoyé par le RBC_x000a_"/>
    <m/>
    <x v="3"/>
    <s v="En attente de pousser les analyses coté RBC"/>
    <s v="HO complet  entre 224 et 225"/>
    <s v="dl Rxqual=0"/>
    <s v="dl rx level= -65"/>
    <s v="OK"/>
    <s v="OK"/>
    <s v="Mauvais"/>
    <s v="Pss Retransmission des trames HDLC*5"/>
    <m/>
    <s v="Saad Elhabib"/>
    <m/>
    <m/>
    <m/>
    <m/>
    <m/>
    <m/>
    <m/>
  </r>
  <r>
    <n v="891"/>
    <b v="0"/>
    <x v="293"/>
    <d v="1899-12-30T17:31:05"/>
    <n v="1041"/>
    <x v="5"/>
    <x v="1"/>
    <n v="1027"/>
    <m/>
    <s v="Casa/Tanger"/>
    <n v="182.86500000000001"/>
    <x v="31"/>
    <s v="N2"/>
    <s v="Arrêt du train"/>
    <s v="* Etat H.O : HO complet  entre 332 et 331_x000a_* qualité /niveau de signal : dl rx-qual=0 , dl rx level = -50dbm_x000a_* Requête de déconnexion a été envoyé par le RBC_x000a_"/>
    <m/>
    <x v="0"/>
    <s v="En attente de mise en place des tiroires filtrés "/>
    <s v="HO complet  entre 332 et 331"/>
    <s v="dl Rxqual=0"/>
    <s v="dl rx level= -50"/>
    <s v="OK"/>
    <s v="OK"/>
    <s v="Mauvais"/>
    <s v="retransmission des trames HDLC*5"/>
    <m/>
    <s v="Saad Elhabib"/>
    <m/>
    <m/>
    <m/>
    <m/>
    <m/>
    <m/>
    <m/>
  </r>
  <r>
    <n v="892"/>
    <b v="0"/>
    <x v="293"/>
    <d v="1899-12-30T23:01:50"/>
    <n v="1062"/>
    <x v="6"/>
    <x v="1"/>
    <n v="1023"/>
    <m/>
    <s v="Casa/Tanger"/>
    <n v="16.29"/>
    <x v="22"/>
    <s v="N2"/>
    <s v="Ralentissement du train"/>
    <s v="* Etat H.O : HO complet  entre 305 et 204_x000a_* qualité /niveau de signal : dl rx-qual=0 , dl rx level = -52dbm_x000a_* Requête de déconnexion a été envoyé par le RBC_x000a_"/>
    <m/>
    <x v="0"/>
    <s v="En attente de mise en place des tiroires filtrés "/>
    <s v="HO complet  entre 305 et 204"/>
    <s v="dl Rxqual=0"/>
    <s v="dl rx level= -52"/>
    <s v="OK"/>
    <s v="OK"/>
    <s v="Mauvais"/>
    <s v=" Retransmission des trames HDLC*5"/>
    <m/>
    <s v="Fahd OUSSALH"/>
    <m/>
    <m/>
    <m/>
    <m/>
    <m/>
    <m/>
    <m/>
  </r>
  <r>
    <n v="893"/>
    <b v="0"/>
    <x v="294"/>
    <d v="1899-12-30T09:21:32"/>
    <n v="2013"/>
    <x v="4"/>
    <x v="0"/>
    <n v="1023"/>
    <m/>
    <s v="Tanger/Casa"/>
    <n v="77.028000000000006"/>
    <x v="11"/>
    <s v="N2"/>
    <s v="Ralentissement du train"/>
    <s v="* Etat H.O : HO complet  entre 213 et 214_x000a_* qualité /niveau de signal : dl rx-qual=0 , dl rx level = -55dbm_x000a_* Requête de déconnexion a été envoyé par le RBC_x000a_"/>
    <m/>
    <x v="0"/>
    <m/>
    <s v="HO complet  entre 213 et 214"/>
    <s v="dl Rxqual=0"/>
    <s v="dl rx level= -55"/>
    <s v="OK"/>
    <s v="OK"/>
    <s v="Mauvais"/>
    <s v=" Retransmission des trames HDLC*5"/>
    <m/>
    <s v="HARIRI Bahaeddine"/>
    <m/>
    <m/>
    <m/>
    <m/>
    <m/>
    <m/>
    <m/>
  </r>
  <r>
    <n v="894"/>
    <b v="0"/>
    <x v="294"/>
    <d v="1899-12-30T11:35:03"/>
    <n v="2021"/>
    <x v="7"/>
    <x v="0"/>
    <n v="1055"/>
    <m/>
    <s v="Tanger/Casa"/>
    <n v="145.6"/>
    <x v="3"/>
    <s v="N2"/>
    <s v="Ralentissement du train"/>
    <s v="* Etat H.O : HO complet  entre 225 et 226_x000a_* qualité /niveau de signal : dl rx-qual=0 , dl rx level = -60dbm_x000a_* Requête de déconnexion a été envoyé par le RBC_x000a_"/>
    <m/>
    <x v="0"/>
    <m/>
    <s v="HO complet  entre 225 et 226"/>
    <s v="dl Rxqual=0"/>
    <s v="dl rx level= -60"/>
    <s v="OK"/>
    <s v="OK"/>
    <s v="Mauvais"/>
    <s v=" Retransmission des trames HDLC*5"/>
    <m/>
    <s v="HARIRI Bahaeddine"/>
    <m/>
    <m/>
    <m/>
    <m/>
    <m/>
    <m/>
    <m/>
  </r>
  <r>
    <n v="895"/>
    <b v="0"/>
    <x v="294"/>
    <d v="1899-12-30T12:30:04"/>
    <n v="2025"/>
    <x v="3"/>
    <x v="0"/>
    <n v="1046"/>
    <m/>
    <s v="Tanger/Casa"/>
    <n v="119.92700000000001"/>
    <x v="30"/>
    <s v="N2"/>
    <s v="Ralentissement du train"/>
    <s v="* Etat H.O : HO complet  entre 220 et 221_x000a_* qualité /niveau de signal : dl rx-qual=0 , dl rx level = -48dbm_x000a_* Requête de déconnexion a été envoyé par le RBC_x000a_"/>
    <m/>
    <x v="0"/>
    <m/>
    <s v="HO complet  entre 220 et 221"/>
    <s v="dl Rxqual=0"/>
    <s v="dl rx level= -48"/>
    <s v="OK"/>
    <s v="OK"/>
    <s v="Mauvais"/>
    <s v=" Retransmission des trames HDLC*5"/>
    <m/>
    <s v="HARIRI Bahaeddine"/>
    <m/>
    <m/>
    <m/>
    <m/>
    <m/>
    <m/>
    <m/>
  </r>
  <r>
    <n v="896"/>
    <b v="0"/>
    <x v="295"/>
    <d v="1899-12-30T08:01:55"/>
    <n v="2076"/>
    <x v="6"/>
    <x v="1"/>
    <n v="1023"/>
    <m/>
    <s v="Casa/Tanger"/>
    <n v="7.3209999999999997"/>
    <x v="2"/>
    <s v="N2"/>
    <s v="Ralentissement du train"/>
    <s v="* Etat H.O : HO complet  entre 303 et 202_x000a_* qualité /niveau de signal : dl rx-qual=0 , dl rx level = -58dbm_x000a_* Requête de déconnexion a été envoyé par le RBC_x000a_"/>
    <m/>
    <x v="0"/>
    <m/>
    <s v="HO complet  entre 303 et 202"/>
    <s v="dl Rxqual=0"/>
    <s v="dl rx level= -58"/>
    <s v="OK"/>
    <s v="OK"/>
    <s v="Mauvais"/>
    <s v=" Retransmission des trames HDLC*5"/>
    <m/>
    <s v="HARIRI Bahaeddine"/>
    <m/>
    <m/>
    <m/>
    <m/>
    <m/>
    <m/>
    <m/>
  </r>
  <r>
    <n v="897"/>
    <b v="0"/>
    <x v="295"/>
    <d v="1899-12-30T10:45:30"/>
    <n v="1014"/>
    <x v="4"/>
    <x v="1"/>
    <n v="1032"/>
    <m/>
    <s v="Casa/Tanger"/>
    <n v="94.953999999999994"/>
    <x v="8"/>
    <s v="N2"/>
    <s v="Ralentissement du train"/>
    <s v="* Etat H.O : HO complet avec downlik quality entre 318 et 317_x000a_* qualité /niveau de signal : dl rx-qual=7 , dl rx level = -73dbm_x000a_* Requête de déconnexion a été envoyé par le RBC_x000a_"/>
    <m/>
    <x v="2"/>
    <m/>
    <s v="HO complet  entre 318 et 317"/>
    <s v="dl Rxqual=7"/>
    <s v="dl rx level= -73"/>
    <s v="OK"/>
    <s v="OK"/>
    <s v="Mauvais"/>
    <s v=" Retransmission des trames HDLC*5"/>
    <m/>
    <s v="HARIRI Bahaeddine"/>
    <m/>
    <m/>
    <m/>
    <m/>
    <m/>
    <m/>
    <m/>
  </r>
  <r>
    <n v="898"/>
    <b v="0"/>
    <x v="295"/>
    <d v="1899-12-30T14:35:16"/>
    <n v="2033"/>
    <x v="5"/>
    <x v="0"/>
    <n v="1025"/>
    <m/>
    <s v="Tanger/Casa"/>
    <n v="144.32599999999999"/>
    <x v="3"/>
    <s v="N2"/>
    <s v="Arrêt du train"/>
    <s v="* Etat H.O : HO complet  entre 224 et 225_x000a_* qualité /niveau de signal : dl rx-qual=0 , dl rx level = -68dbm_x000a_* Requête de déconnexion a été envoyé par le RBC_x000a_"/>
    <m/>
    <x v="3"/>
    <m/>
    <s v="HO complet  entre 224 et 225"/>
    <s v="dl Rxqual=0"/>
    <s v="dl rx level= -68"/>
    <s v="OK"/>
    <s v="OK"/>
    <s v="Mauvais"/>
    <s v=" Pas de Retransmission des trames HDLC"/>
    <m/>
    <s v="ELGUEZZAR Anas"/>
    <m/>
    <m/>
    <m/>
    <m/>
    <m/>
    <m/>
    <m/>
  </r>
  <r>
    <n v="899"/>
    <b v="0"/>
    <x v="296"/>
    <d v="1899-12-30T05:31:06"/>
    <n v="10071"/>
    <x v="9"/>
    <x v="0"/>
    <n v="1053"/>
    <m/>
    <s v="Tanger/Casa"/>
    <n v="80.47"/>
    <x v="11"/>
    <s v="N2"/>
    <s v="Ralentissement du train"/>
    <s v="* Etat H.O : HO complet  entre 214 et 215_x000a_* qualité /niveau de signal : dl rx-qual=0 , dl rx level = -48dbm_x000a_* Requête de déconnexion a été envoyé par le RBC_x000a_"/>
    <m/>
    <x v="3"/>
    <m/>
    <s v="HO complet  entre 214 et 215"/>
    <s v="dl Rxqual=0"/>
    <s v="dl rx level= -48"/>
    <s v="OK"/>
    <s v="OK"/>
    <s v="Mauvais"/>
    <s v=" Pas de Retransmission des trames HDLC"/>
    <m/>
    <s v="Fahd OUSSALH"/>
    <m/>
    <m/>
    <m/>
    <m/>
    <m/>
    <m/>
    <m/>
  </r>
  <r>
    <n v="900"/>
    <b v="0"/>
    <x v="296"/>
    <d v="1899-12-30T09:26:29"/>
    <n v="2013"/>
    <x v="9"/>
    <x v="0"/>
    <n v="1052"/>
    <m/>
    <s v="Tanger/Casa"/>
    <n v="102.95"/>
    <x v="24"/>
    <s v="N2"/>
    <s v="Ralentissement du train"/>
    <s v="* Etat H.O : HO non finalisé entre 218 et 219_x000a_* qualité /niveau de signal : dl rx-qual=0 , dl rx level = -52dbm_x000a_* Requête de déconnexion a été envoyé par le RBC_x000a_"/>
    <m/>
    <x v="2"/>
    <m/>
    <s v="HO non finalisé entre 218 et 219"/>
    <s v="dl Rxqual=0"/>
    <s v="dl rx level= -52"/>
    <s v="NOK"/>
    <s v="OK"/>
    <s v="Mauvais"/>
    <s v=" Retransmission des trames HDLC*5"/>
    <m/>
    <s v="Saad Elhabib"/>
    <m/>
    <m/>
    <m/>
    <m/>
    <m/>
    <m/>
    <m/>
  </r>
  <r>
    <n v="901"/>
    <b v="0"/>
    <x v="296"/>
    <d v="1899-12-30T15:34:48"/>
    <n v="2037"/>
    <x v="11"/>
    <x v="0"/>
    <n v="1049"/>
    <m/>
    <s v="Tanger/Casa"/>
    <n v="139.48099999999999"/>
    <x v="26"/>
    <s v="N2"/>
    <s v="Ralentissement du train"/>
    <s v="* Etat H.O : HO complet entre 223 et 224_x000a_* qualité /niveau de signal : dl rx-qual=0 , dl rx level = -75dbm_x000a_* Requête de déconnexion a été envoyé par le RBC_x000a_"/>
    <m/>
    <x v="0"/>
    <m/>
    <s v="HO non finalisé entre 223 et 224"/>
    <s v="dl Rxqual=0"/>
    <s v="dl rx level= -75"/>
    <s v="OK"/>
    <s v="OK"/>
    <s v="Mauvais"/>
    <s v=" Pas de Retransmission des trames HDLC"/>
    <m/>
    <s v="ELGUEZZAR Anas"/>
    <m/>
    <m/>
    <m/>
    <m/>
    <m/>
    <m/>
    <m/>
  </r>
  <r>
    <n v="902"/>
    <b v="0"/>
    <x v="297"/>
    <d v="1899-12-30T08:50:08"/>
    <n v="1005"/>
    <x v="5"/>
    <x v="1"/>
    <n v="1026"/>
    <m/>
    <s v="Casa/Tanger"/>
    <n v="68.956000000000003"/>
    <x v="0"/>
    <s v="N2"/>
    <s v="Ralentissement du train"/>
    <s v="* Etat H.O : HO non finalisé entre 213 et 312_x000a_* qualité /niveau de signal : dl rx-qual=3 , dl rx level = -64dbm_x000a_* Requête de déconnexion a été envoyé par le Bord_x000a_"/>
    <m/>
    <x v="0"/>
    <m/>
    <s v="HO non finalisé entre 213 et 312"/>
    <s v="dl Rxqual=3"/>
    <s v="dl rx level= -64"/>
    <s v="OK"/>
    <s v="OK"/>
    <s v="Mauvais"/>
    <s v=" Pas de Retransmission des trames HDLC"/>
    <m/>
    <s v="Noura MOUSSAOUI"/>
    <m/>
    <m/>
    <m/>
    <m/>
    <m/>
    <m/>
    <m/>
  </r>
  <r>
    <n v="903"/>
    <b v="0"/>
    <x v="297"/>
    <d v="1899-12-30T11:45:45"/>
    <n v="1017"/>
    <x v="0"/>
    <x v="1"/>
    <n v="1045"/>
    <m/>
    <s v="Casa/Tanger"/>
    <n v="94.953999999999994"/>
    <x v="8"/>
    <s v="N2"/>
    <s v="Ralentissement du train"/>
    <s v="* Etat H.O :  HO non finalisé entre 318 et 317_x000a_* qualité /niveau de signal : dl rx-qual=7, dl rx level = -84dbm_x000a_* Requête de déconnexion a été envoyé par le RBC_x000a_"/>
    <m/>
    <x v="2"/>
    <m/>
    <s v=" HO non finalisé entre 318 et 317"/>
    <s v="dl Rxqual=7"/>
    <s v="dl rx level= -84"/>
    <s v="OK"/>
    <s v="OK"/>
    <s v="Mauvais"/>
    <s v=" Retransmission des trames HDLC*5"/>
    <m/>
    <s v="Noura MOUSSAOUI"/>
    <m/>
    <m/>
    <m/>
    <m/>
    <m/>
    <m/>
    <m/>
  </r>
  <r>
    <n v="904"/>
    <b v="0"/>
    <x v="297"/>
    <d v="1899-12-30T13:25:05"/>
    <n v="1025"/>
    <x v="3"/>
    <x v="1"/>
    <n v="1008"/>
    <m/>
    <s v="Casa/Tanger"/>
    <n v="202.125"/>
    <x v="5"/>
    <s v="N2"/>
    <s v="Ralentissement du train"/>
    <s v="* Etat H.O :  HO complet avec downlink quality entre 99 et 233_x000a_* qualité /niveau de signal : dl rx-qual=0, dl rx level = -110dbm_x000a_* Requête de déconnexion a été envoyé par le RBC_x000a_"/>
    <m/>
    <x v="2"/>
    <m/>
    <s v="HO complet avec downlink quality entre 99 et 233"/>
    <s v="dl Rxqual=0"/>
    <s v="dl rx level= -110"/>
    <s v="OK"/>
    <s v="OK"/>
    <s v="Mauvais"/>
    <s v=" Retransmission des trames HDLC*5"/>
    <m/>
    <s v="Noura MOUSSAOUI"/>
    <m/>
    <m/>
    <m/>
    <m/>
    <m/>
    <m/>
    <m/>
  </r>
  <r>
    <n v="905"/>
    <b v="0"/>
    <x v="297"/>
    <d v="1899-12-30T16:35:25"/>
    <n v="2041"/>
    <x v="0"/>
    <x v="0"/>
    <n v="1037"/>
    <m/>
    <s v="Tanger/Casa"/>
    <n v="144.32599999999999"/>
    <x v="3"/>
    <s v="N2"/>
    <s v="Arrêt du train"/>
    <s v="* Etat H.O :  HO complet avec entre 224 et 225_x000a_* qualité /niveau de signal : dl rx-qual=1, dl rx level = -71dbm_x000a_* Requête de déconnexion a été envoyé par le RBC_x000a_"/>
    <m/>
    <x v="3"/>
    <m/>
    <s v="HO complet  entre 224 et 225"/>
    <s v="dl Rxqual=1"/>
    <s v="dl rx level= -71"/>
    <s v="OK"/>
    <s v="OK"/>
    <s v="Mauvais"/>
    <s v=" Pas de Retransmission des trames HDLC"/>
    <m/>
    <s v="ELGUEZZAR Anas"/>
    <m/>
    <m/>
    <m/>
    <m/>
    <m/>
    <m/>
    <m/>
  </r>
  <r>
    <n v="906"/>
    <b v="0"/>
    <x v="297"/>
    <d v="1899-12-30T18:04:01"/>
    <n v="1042"/>
    <x v="5"/>
    <x v="1"/>
    <n v="1027"/>
    <m/>
    <s v="Casa/Tanger"/>
    <n v="7.3209999999999997"/>
    <x v="2"/>
    <s v="N2"/>
    <s v="Arrêt du train"/>
    <s v="* Etat H.O :  HO complet avec entre 202 et 203_x000a_* qualité /niveau de signal : dl rx-qual=7, dl rx level = -70dbm_x000a_* Requête de déconnexion a été envoyé par le RBC_x000a_"/>
    <m/>
    <x v="0"/>
    <m/>
    <s v="HO complet  entre 202 et 203"/>
    <s v="dl Rxqual=7"/>
    <s v="dl rx level= -70"/>
    <s v="OK"/>
    <s v="OK"/>
    <s v="Mauvais"/>
    <s v=" Retransmission des trames HDLC*5"/>
    <m/>
    <s v="ELGUEZZAR Anas"/>
    <m/>
    <m/>
    <m/>
    <m/>
    <m/>
    <m/>
    <m/>
  </r>
  <r>
    <n v="907"/>
    <b v="0"/>
    <x v="297"/>
    <d v="1899-12-30T19:04:58"/>
    <n v="2053"/>
    <x v="11"/>
    <x v="0"/>
    <n v="1049"/>
    <m/>
    <s v="Tanger/Casa"/>
    <n v="6.13"/>
    <x v="2"/>
    <s v="N2"/>
    <s v="Ralentissement du train"/>
    <s v="* Etat H.O :  HO complet avec entre 202 et 303_x000a_* qualité /niveau de signal : dl rx-qual=7, dl rx level = -62dbm_x000a_* Requête de déconnexion a été envoyé par le RBC_x000a_"/>
    <m/>
    <x v="0"/>
    <m/>
    <s v="HO complet  entre 202 et 303"/>
    <s v="dl Rxqual=7"/>
    <s v="dl rx level= -62"/>
    <s v="NOK"/>
    <s v="OK"/>
    <s v="Mauvais"/>
    <s v=" Retransmission des trames HDLC*5"/>
    <m/>
    <s v="ELGUEZZAR Anas"/>
    <m/>
    <m/>
    <m/>
    <m/>
    <m/>
    <m/>
    <m/>
  </r>
  <r>
    <n v="908"/>
    <b v="0"/>
    <x v="297"/>
    <d v="1899-12-30T19:09:15"/>
    <n v="2053"/>
    <x v="11"/>
    <x v="0"/>
    <n v="1048"/>
    <m/>
    <s v="Tanger/Casa"/>
    <n v="11.28"/>
    <x v="22"/>
    <s v="N2"/>
    <s v="Ralentissement du train"/>
    <s v="* Etat H.O :  absence des traces radio_x000a_* qualité /niveau de signal : dl rx-qual=0, dl rx level = -75dbm_x000a_* Requête de déconnexion a été envoyé par le RBC_x000a_"/>
    <m/>
    <x v="0"/>
    <m/>
    <s v="absence des traces radio"/>
    <s v="dl Rxqual=0"/>
    <s v="dl rx level= -75"/>
    <s v="absence des traces radio"/>
    <s v="OK"/>
    <s v="Mauvais"/>
    <s v=" Retransmission des trames HDLC*5"/>
    <m/>
    <s v="ELGUEZZAR Anas"/>
    <m/>
    <m/>
    <m/>
    <m/>
    <m/>
    <m/>
    <m/>
  </r>
  <r>
    <n v="909"/>
    <b v="0"/>
    <x v="298"/>
    <s v="09:49:49 "/>
    <n v="1009"/>
    <x v="4"/>
    <x v="1"/>
    <n v="1032"/>
    <m/>
    <s v="Casa/Tanger"/>
    <n v="12.28"/>
    <x v="22"/>
    <s v="N2"/>
    <s v="Ralentissement du train"/>
    <s v="* Etat H.O : HO non finalisé entre 318 et 317_x000a_* qualité /niveau de signal : dl rx-qual=7, dl rx level = -80dbm_x000a_* Requête de déconnexion a été envoyé par le RBC_x000a_"/>
    <m/>
    <x v="0"/>
    <m/>
    <s v="HO non finalisé entre 318 et 317"/>
    <s v="dl Rxqual=7"/>
    <s v="dl rx level= -70"/>
    <s v="OK"/>
    <s v="OK"/>
    <s v="Mauvais"/>
    <s v=" Retransmission des trames HDLC*5"/>
    <m/>
    <s v="Noura MOUSSAOUI"/>
    <m/>
    <m/>
    <m/>
    <m/>
    <m/>
    <m/>
    <m/>
  </r>
  <r>
    <n v="910"/>
    <b v="0"/>
    <x v="298"/>
    <s v="12:27:15 "/>
    <n v="1021"/>
    <x v="1"/>
    <x v="1"/>
    <n v="3063"/>
    <m/>
    <s v="Casa/Tanger"/>
    <n v="182.86500000000001"/>
    <x v="31"/>
    <s v="N2"/>
    <s v="Ralentissement du train"/>
    <s v="* Etat H.O : HO complet entre 332 et 331_x000a_* qualité /niveau de signal : dl rx-qual=0, dl rx level = -60dbm_x000a_* Requête de déconnexion a été envoyé par le RBC_x000a_"/>
    <m/>
    <x v="0"/>
    <m/>
    <s v="HO complet entre 332 et 331"/>
    <s v="dl Rxqual=0"/>
    <s v="dl rx level= -60"/>
    <s v="OK"/>
    <s v="NOK"/>
    <s v="Mauvais"/>
    <s v=" Retransmission des trames HDLC*5"/>
    <m/>
    <s v="Noura MOUSSAOUI"/>
    <m/>
    <m/>
    <m/>
    <m/>
    <m/>
    <m/>
    <m/>
  </r>
  <r>
    <n v="911"/>
    <b v="0"/>
    <x v="298"/>
    <d v="1899-12-30T13:48:16"/>
    <n v="1025"/>
    <x v="8"/>
    <x v="1"/>
    <n v="1031"/>
    <m/>
    <s v="Casa/Tanger"/>
    <n v="94.953999999999994"/>
    <x v="8"/>
    <s v="N2"/>
    <s v="Ralentissement du train"/>
    <s v="* Etat H.O : HO non complet entre 318 et 317_x000a_* qualité /niveau de signal : dl rx-qual=7, dl rx level = -84dbm_x000a_* Requête de déconnexion a été envoyé par le RBC_x000a_"/>
    <m/>
    <x v="2"/>
    <m/>
    <s v="HO non complet entre 318 et 317"/>
    <s v="dl Rxqual=0"/>
    <s v="dl rx level= -84"/>
    <s v="OK"/>
    <s v="OK"/>
    <s v="Mauvais"/>
    <s v=" Retransmission des trames HDLC*5"/>
    <m/>
    <s v="ELGUEZZAR Anas"/>
    <m/>
    <m/>
    <m/>
    <m/>
    <m/>
    <m/>
    <m/>
  </r>
  <r>
    <n v="912"/>
    <b v="0"/>
    <x v="299"/>
    <d v="1899-12-30T06:30:46"/>
    <n v="1025"/>
    <x v="4"/>
    <x v="0"/>
    <n v="1058"/>
    <m/>
    <s v="Tanger/Casa"/>
    <n v="121.232"/>
    <x v="30"/>
    <s v="N2"/>
    <s v="Ralentissement du train"/>
    <s v="* Etat H.O : HO  complet entre 221 et 222_x000a_* qualité /niveau de signal : dl rx-qual=3, dl rx level = -79dbm_x000a_* Requête de déconnexion a été envoyé par le RBC_x000a_"/>
    <m/>
    <x v="0"/>
    <m/>
    <s v="HO non complet entre 221 et 222"/>
    <s v="dl Rxqual=3"/>
    <s v="dl rx level= -79"/>
    <s v="OK"/>
    <s v="OK"/>
    <s v="Mauvais"/>
    <s v=" Retransmission des trames HDLC*5"/>
    <m/>
    <s v="HARIRI Bahaeddine"/>
    <m/>
    <m/>
    <m/>
    <m/>
    <m/>
    <m/>
    <m/>
  </r>
  <r>
    <n v="913"/>
    <b v="0"/>
    <x v="299"/>
    <d v="1899-12-30T08:48:18"/>
    <n v="1005"/>
    <x v="11"/>
    <x v="1"/>
    <n v="1072"/>
    <m/>
    <s v="Casa/Tanger"/>
    <n v="94.953999999999994"/>
    <x v="8"/>
    <s v="N2"/>
    <s v="Ralentissement du train"/>
    <s v="* Etat H.O : HO non finalisé entre 318 et 317_x000a_* qualité /niveau de signal : dl rx-qual=7, dl rx level = -83dbm_x000a_* Requête de déconnexion a été envoyé par le RBC_x000a_"/>
    <m/>
    <x v="2"/>
    <m/>
    <s v="HO non finalisé entre 318 et 317"/>
    <s v="dl Rxqual=7"/>
    <s v="dl rx level= -83"/>
    <s v="OK"/>
    <s v="OK"/>
    <s v="Mauvais"/>
    <s v=" Retransmission des trames HDLC*5"/>
    <m/>
    <s v="Noura MOUSSAOUI"/>
    <m/>
    <m/>
    <m/>
    <m/>
    <m/>
    <m/>
    <m/>
  </r>
  <r>
    <n v="914"/>
    <b v="0"/>
    <x v="299"/>
    <d v="1899-12-30T10:16:06"/>
    <n v="2017"/>
    <x v="11"/>
    <x v="0"/>
    <n v="1073"/>
    <m/>
    <s v="Tanger/Casa"/>
    <n v="52.289000000000001"/>
    <x v="29"/>
    <s v="N2"/>
    <s v="Ralentissement du train"/>
    <s v="* Etat H.O : HO complet entre 208 et 209_x000a_* qualité /niveau de signal : dl rx-qual=1, dl rx level = -67dbm_x000a_* Requête de déconnexion a été envoyé par le RBC_x000a_"/>
    <m/>
    <x v="0"/>
    <m/>
    <s v="HO complet entre 208 et 209"/>
    <s v="dl Rxqual=1"/>
    <s v="dl rx level= -67"/>
    <s v="OK"/>
    <s v="OK"/>
    <s v="Mauvais"/>
    <s v=" Retransmission des trames HDLC*5"/>
    <m/>
    <s v="Noura MOUSSAOUI"/>
    <m/>
    <m/>
    <m/>
    <m/>
    <m/>
    <m/>
    <m/>
  </r>
  <r>
    <n v="915"/>
    <b v="0"/>
    <x v="299"/>
    <d v="1899-12-30T11:35:33"/>
    <n v="2021"/>
    <x v="5"/>
    <x v="0"/>
    <n v="1025"/>
    <m/>
    <s v="Tanger/Casa"/>
    <n v="53.289000000000001"/>
    <x v="29"/>
    <s v="N2"/>
    <s v="Ralentissement du train"/>
    <s v="* Etat H.O : HO complet entre 224 et 225_x000a_* qualité /niveau de signal : dl rx-qual=0, dl rx level = -61dbm_x000a_* Requête de déconnexion a été envoyé par le RBC_x000a_"/>
    <m/>
    <x v="0"/>
    <m/>
    <s v="HO complet entre 224 et 225"/>
    <s v="dl Rxqual=0"/>
    <s v="dl rx level= -61"/>
    <s v="OK"/>
    <s v="OK"/>
    <s v="Mauvais"/>
    <s v=" Retransmission des trames HDLC*5"/>
    <m/>
    <s v="Noura MOUSSAOUI"/>
    <m/>
    <m/>
    <m/>
    <m/>
    <m/>
    <m/>
    <m/>
  </r>
  <r>
    <n v="916"/>
    <b v="0"/>
    <x v="299"/>
    <d v="1899-12-30T15:44:50"/>
    <n v="2037"/>
    <x v="9"/>
    <x v="0"/>
    <n v="1023"/>
    <m/>
    <s v="Tanger/Casa"/>
    <n v="186.315"/>
    <x v="19"/>
    <s v="N2"/>
    <s v="Ralentissement du train"/>
    <s v="* Etat H.O : HO complet entre 231 et 232_x000a_* qualité /niveau de signal : dl rx-qual=1, dl rx level = -50dbm_x000a_* Requête de déconnexion a été envoyé par le RBC_x000a_"/>
    <m/>
    <x v="0"/>
    <m/>
    <s v="HO complet entre 231 et 232"/>
    <s v="dl Rxqual=1"/>
    <s v="dl rx level= -50"/>
    <s v="OK"/>
    <s v="OK"/>
    <s v="Mauvais"/>
    <s v=" Retransmission des trames HDLC*5"/>
    <m/>
    <s v="Saad Elhabib"/>
    <m/>
    <m/>
    <m/>
    <m/>
    <m/>
    <m/>
    <m/>
  </r>
  <r>
    <n v="917"/>
    <b v="0"/>
    <x v="299"/>
    <d v="1899-12-30T16:49:36"/>
    <n v="1038"/>
    <x v="4"/>
    <x v="1"/>
    <n v="1033"/>
    <m/>
    <s v="Casa/Tanger"/>
    <n v="74.712999999999994"/>
    <x v="13"/>
    <s v="N2"/>
    <s v="Ralentissement du train"/>
    <s v="* Etat H.O : HO non finalisé entre 314 et 213_x000a_* qualité /niveau de signal : dl rx-qual=0, dl rx level = -64dbm_x000a_* Requête de déconnexion a été envoyé par le Bord_x000a_"/>
    <m/>
    <x v="0"/>
    <m/>
    <s v="HO non finalisé entre 314 et 213"/>
    <s v="dl Rxqual=0"/>
    <s v="dl rx level= -64"/>
    <s v="NOK"/>
    <s v="OK"/>
    <s v="Mauvais"/>
    <s v=" Retransmission des trames HDLC*5"/>
    <m/>
    <s v="Saad Elhabib"/>
    <m/>
    <m/>
    <m/>
    <m/>
    <m/>
    <m/>
    <m/>
  </r>
  <r>
    <n v="918"/>
    <b v="0"/>
    <x v="299"/>
    <d v="1899-12-30T19:34:31"/>
    <n v="1049"/>
    <x v="9"/>
    <x v="1"/>
    <n v="1034"/>
    <m/>
    <s v="Casa/Tanger"/>
    <n v="152.488"/>
    <x v="18"/>
    <s v="N2"/>
    <s v="Ralentissement du train"/>
    <s v="* Etat H.O : HO non finalisé entre 227 et 326_x000a_* qualité /niveau de signal : dl rx-qual=2, dl rx level = -60dbm_x000a_* Requête de déconnexion a été envoyé par le Bord_x000a_"/>
    <m/>
    <x v="0"/>
    <m/>
    <s v="HO non finalisé entre 227 et 326"/>
    <s v="dl Rxqual=2"/>
    <s v="dl rx level= -60"/>
    <s v="NOK"/>
    <s v="OK"/>
    <s v="Mauvais"/>
    <s v=" Retransmission des trames HDLC*5"/>
    <m/>
    <s v="Saad Elhabib"/>
    <m/>
    <m/>
    <m/>
    <m/>
    <m/>
    <m/>
    <m/>
  </r>
  <r>
    <n v="919"/>
    <b v="0"/>
    <x v="300"/>
    <d v="1899-12-30T08:08:00"/>
    <n v="2009"/>
    <x v="2"/>
    <x v="0"/>
    <n v="7217"/>
    <m/>
    <s v="Tanger/Casa"/>
    <n v="13.712999999999999"/>
    <x v="22"/>
    <s v="N2"/>
    <s v="Ralentissement du train"/>
    <s v="* Etat H.O : HO finalisé entre 203 et 204_x000a_* qualité /niveau de signal : dl rx-qual=0, dl rx level = -54dbm_x000a_* Requête de déconnexion a été envoyé par le RBC_x000a_"/>
    <m/>
    <x v="0"/>
    <m/>
    <s v="HO finalisé entre 203 et 204"/>
    <s v="dl Rxqual=0"/>
    <s v="dl rx level= -54"/>
    <s v="OK"/>
    <s v="OK"/>
    <s v="Mauvais"/>
    <s v=" Retransmission des trames HDLC*5"/>
    <m/>
    <s v="Saad Elhabib"/>
    <m/>
    <m/>
    <m/>
    <m/>
    <m/>
    <m/>
    <m/>
  </r>
  <r>
    <n v="920"/>
    <b v="0"/>
    <x v="300"/>
    <d v="1899-12-30T08:38:12"/>
    <n v="1005"/>
    <x v="4"/>
    <x v="1"/>
    <n v="1033"/>
    <m/>
    <s v="Casa/Tanger"/>
    <n v="131.78899999999999"/>
    <x v="10"/>
    <s v="N2"/>
    <s v="Ralentissement du train"/>
    <s v="* Etat H.O : HO finalisé entre 324 et 323_x000a_* qualité /niveau de signal : dl rx-qual=2, dl rx level = -48dbm_x000a_* Requête de déconnexion a été envoyé par le RBC_x000a_"/>
    <m/>
    <x v="0"/>
    <m/>
    <s v=" HO finalisé entre 324 et 323"/>
    <s v="dl Rxqual=2"/>
    <s v="dl rx level= -48"/>
    <s v="OK"/>
    <s v="OK"/>
    <s v="Mauvais"/>
    <s v=" Retransmission des trames HDLC*5"/>
    <m/>
    <s v="Saad Elhabib"/>
    <m/>
    <m/>
    <m/>
    <m/>
    <m/>
    <m/>
    <m/>
  </r>
  <r>
    <n v="921"/>
    <b v="0"/>
    <x v="300"/>
    <d v="1899-12-30T19:35:03"/>
    <n v="2053"/>
    <x v="11"/>
    <x v="0"/>
    <n v="1033"/>
    <m/>
    <s v="Casa/Tanger"/>
    <n v="144.32599999999999"/>
    <x v="3"/>
    <s v="N2"/>
    <s v="Arrêt du train"/>
    <s v="* Etat H.O : HO complet entre 224 et 225_x000a_* qualité /niveau de signal : dl rx-qual=0, dl rx level = -69dbm_x000a_* Requête de déconnexion a été envoyé par le RBC_x000a_"/>
    <m/>
    <x v="3"/>
    <m/>
    <s v=" HO complete entre 224et 225"/>
    <s v="dl Rxqual=0"/>
    <s v="dl rx level= -69"/>
    <s v="OK"/>
    <s v="OK"/>
    <s v="Mauvais"/>
    <s v="pas de retransmission des trames HDLC"/>
    <m/>
    <s v="MAROUANI Otmane"/>
    <m/>
    <m/>
    <m/>
    <m/>
    <m/>
    <m/>
    <m/>
  </r>
  <r>
    <n v="922"/>
    <b v="0"/>
    <x v="300"/>
    <d v="1899-12-30T23:04:37"/>
    <n v="1062"/>
    <x v="11"/>
    <x v="0"/>
    <n v="1026"/>
    <m/>
    <s v="Tanger/Casa"/>
    <n v="7.3209999999999997"/>
    <x v="2"/>
    <s v="N2"/>
    <s v="Ralentissement du train"/>
    <s v="* Etat H.O : HO non finalisé entre 303 et 202_x000a_* qualité /niveau de signal : dl rx-qual=7, dl rx level = -59dbm_x000a_* Requête de déconnexion a été envoyé par le RBC_x000a_"/>
    <m/>
    <x v="0"/>
    <m/>
    <s v=" HO non finalisé entre 303 et 202"/>
    <s v="dl Rxqual=7"/>
    <s v="dl rx level= -59"/>
    <s v="OK"/>
    <s v="OK"/>
    <s v="Mauvais"/>
    <s v="pas de retransmission des trames HDLC"/>
    <m/>
    <s v="HARIRI Bahaeddine"/>
    <m/>
    <m/>
    <m/>
    <m/>
    <m/>
    <m/>
    <m/>
  </r>
  <r>
    <n v="923"/>
    <b v="0"/>
    <x v="301"/>
    <d v="1899-12-30T04:34:13"/>
    <n v="1062"/>
    <x v="11"/>
    <x v="0"/>
    <n v="7218"/>
    <m/>
    <s v="Tanger/Casa"/>
    <n v="75.84"/>
    <x v="13"/>
    <s v="N2"/>
    <s v="Ralentissement du train"/>
    <s v="* Etat H.O : HO complet entre 213 et 214_x000a_* qualité /niveau de signal : dl rx-qual=0, dl rx level = -63dbm_x000a_* Requête de déconnexion a été envoyé par le RBC_x000a_"/>
    <m/>
    <x v="3"/>
    <s v="En attente de pousser les analyses coté RBC"/>
    <s v=" HO finalisé entre 213 et 214"/>
    <s v="dl Rxqual=0"/>
    <s v="dl rx level= -63"/>
    <s v="OK"/>
    <s v="OK"/>
    <s v="Mauvais"/>
    <s v="pas de retransmission des trames HDLC"/>
    <m/>
    <s v="HARIRI Bahaeddine"/>
    <m/>
    <m/>
    <m/>
    <m/>
    <m/>
    <m/>
    <m/>
  </r>
  <r>
    <n v="924"/>
    <b v="0"/>
    <x v="301"/>
    <d v="1899-12-30T09:46:31"/>
    <n v="1009"/>
    <x v="0"/>
    <x v="1"/>
    <n v="1045"/>
    <m/>
    <s v="Casa/Tanger"/>
    <n v="90.108000000000004"/>
    <x v="12"/>
    <s v="N2"/>
    <s v="Ralentissement du train"/>
    <s v="* Etat H.O : HO complet entre 317 et 316_x000a_* qualité /niveau de signal : dl rx-qual=0, dl rx level = -56dbm_x000a_* Requête de déconnexion a été envoyé par le RBC_x000a_"/>
    <m/>
    <x v="0"/>
    <s v="En attente de mise en place des tiroires filtrés"/>
    <s v="HO complet entre 317 et 316"/>
    <s v="dl Rxqual=0"/>
    <s v="dl rx level= -56"/>
    <s v="OK"/>
    <s v="OK"/>
    <s v="Mauvais"/>
    <s v=" Retransmission des trames HDLC*5"/>
    <m/>
    <s v="Noura MOUSSAOUI"/>
    <m/>
    <m/>
    <m/>
    <m/>
    <m/>
    <m/>
    <m/>
  </r>
  <r>
    <n v="925"/>
    <b v="0"/>
    <x v="301"/>
    <d v="1899-12-30T10:30:29"/>
    <n v="1013"/>
    <x v="4"/>
    <x v="1"/>
    <n v="1032"/>
    <m/>
    <s v="Casa/Tanger"/>
    <n v="170.298"/>
    <x v="27"/>
    <s v="N2"/>
    <s v="Ralentissement du train"/>
    <s v="* Etat H.O :  HO complet entre 330 et 329_x000a_* qualité /niveau de signal : dl rx-qual=0, dl rx level = -48dbm_x000a_* Requête de déconnexion a été envoyé par le RBC_x000a_"/>
    <m/>
    <x v="0"/>
    <s v="En attente de mise en place des tiroires filtrés"/>
    <s v=": HO complet entre 330 et 329"/>
    <s v="dl Rxqual=0"/>
    <s v="dl rx level= -48"/>
    <s v="OK"/>
    <s v="OK"/>
    <s v="Mauvais"/>
    <s v=" Retransmission des trames HDLC*5"/>
    <m/>
    <s v="Noura MOUSSAOUI"/>
    <m/>
    <m/>
    <m/>
    <m/>
    <m/>
    <m/>
    <m/>
  </r>
  <r>
    <n v="926"/>
    <b v="0"/>
    <x v="301"/>
    <d v="1899-12-30T12:05:49"/>
    <n v="2025"/>
    <x v="4"/>
    <x v="0"/>
    <n v="7208"/>
    <m/>
    <s v="Tanger/Casa"/>
    <n v="6.13"/>
    <x v="2"/>
    <s v="N2"/>
    <s v="Arrêt du train"/>
    <s v="* Etat H.O :HO non finalisé entre 202 et 203_x000a_* qualité /niveau de signal : dl rx-qual=7, dl rx level = -53dbm_x000a_* Requête de déconnexion a été envoyé par le RBC_x000a_"/>
    <m/>
    <x v="0"/>
    <s v="En attente de mise en place des tiroires filtrés"/>
    <s v=": HO complet entre 330 et 329"/>
    <s v="dl Rxqual=7"/>
    <s v="dl rx level= -53"/>
    <s v="NOK"/>
    <s v="OK"/>
    <s v="Mauvais"/>
    <s v=" Retransmission des trames HDLC*5"/>
    <m/>
    <s v="Noura MOUSSAOUI"/>
    <m/>
    <m/>
    <m/>
    <m/>
    <m/>
    <m/>
    <m/>
  </r>
  <r>
    <n v="927"/>
    <b v="0"/>
    <x v="301"/>
    <d v="1899-12-30T12:47:28"/>
    <n v="1021"/>
    <x v="2"/>
    <x v="1"/>
    <n v="1061"/>
    <m/>
    <s v="Tanger/Casa"/>
    <n v="94.953999999999994"/>
    <x v="8"/>
    <s v="N2"/>
    <s v="Ralentissement du train"/>
    <s v="* Etat H.O :HO complet entre 318 et 317_x000a_* qualité /niveau de signal : dl rx-qual=0, dl rx level = -48dbm_x000a_* Requête de déconnexion a été envoyé par le RBC_x000a_"/>
    <m/>
    <x v="0"/>
    <s v="En attente de mise en place des tiroires filtrés"/>
    <s v="HO complet entre 318 et 317"/>
    <s v="dl Rxqual=0"/>
    <s v="dl rx level= -48"/>
    <s v="OK"/>
    <s v="OK"/>
    <s v="Mauvais"/>
    <s v=" Retransmission des trames HDLC*5"/>
    <m/>
    <s v="Noura MOUSSAOUI"/>
    <m/>
    <m/>
    <m/>
    <m/>
    <m/>
    <m/>
    <m/>
  </r>
  <r>
    <n v="928"/>
    <b v="0"/>
    <x v="301"/>
    <d v="1899-12-30T15:05:53"/>
    <n v="2045"/>
    <x v="0"/>
    <x v="0"/>
    <n v="1036"/>
    <m/>
    <s v="Tanger/Casa"/>
    <n v="6.13"/>
    <x v="2"/>
    <s v="N2"/>
    <s v="Arrêt du train"/>
    <s v="* Etat H.O :HO non complet entre 202 et 203_x000a_* qualité /niveau de signal : dl rx-qual=7, dl rx level = -53dbm_x000a_* Requête de déconnexion a été envoyé par le RBC_x000a_"/>
    <m/>
    <x v="0"/>
    <s v="En attente de mise en place des tiroires filtrés"/>
    <s v="HO non complet entre 202 et 203"/>
    <s v="dl Rxqual=7"/>
    <s v="dl rx level= -53"/>
    <s v="NOK"/>
    <s v="OK"/>
    <s v="Mauvais"/>
    <s v=" Retransmission des trames HDLC*5"/>
    <m/>
    <s v="ELGUEZZAR Anas"/>
    <m/>
    <m/>
    <m/>
    <m/>
    <m/>
    <m/>
    <m/>
  </r>
  <r>
    <n v="929"/>
    <b v="0"/>
    <x v="302"/>
    <d v="1899-12-30T08:03:30"/>
    <n v="10075"/>
    <x v="1"/>
    <x v="1"/>
    <n v="3062"/>
    <m/>
    <s v="Casa/Tanger"/>
    <n v="7.3209999999999997"/>
    <x v="2"/>
    <s v="N2"/>
    <s v="Ralentissement du train"/>
    <s v="* Etat H.O :HO non finalisé entre 203 et 202_x000a_* qualité /niveau de signal : dl rx-qual=7, dl rx level = -67dbm_x000a_* Requête de déconnexion a été envoyé par le RBC_x000a_"/>
    <m/>
    <x v="0"/>
    <s v="En attente de mise en place des tiroires filtrés"/>
    <s v=" HO non finalisé entre 203 et 202"/>
    <s v="dl Rxqual=7"/>
    <s v="dl rx level= -67"/>
    <s v="OK"/>
    <s v="OK"/>
    <s v="Mauvais"/>
    <s v=" Retransmission des trames HDLC*5"/>
    <m/>
    <s v="ELHAJOUIA Achraf"/>
    <m/>
    <m/>
    <m/>
    <m/>
    <m/>
    <m/>
    <m/>
  </r>
  <r>
    <n v="930"/>
    <b v="0"/>
    <x v="303"/>
    <d v="1899-12-30T11:35:24"/>
    <n v="2021"/>
    <x v="4"/>
    <x v="0"/>
    <n v="1058"/>
    <m/>
    <s v="Tanger/Casa"/>
    <n v="146.738"/>
    <x v="3"/>
    <s v="N2"/>
    <s v="Ralentissement du train"/>
    <s v="* Etat H.O :HO complet entre 225 et 226_x000a_* qualité /niveau de signal : dl rx-qual=3, dl rx level = -68dbm_x000a_* Requête de déconnexion a été envoyé par le RBC_x000a_"/>
    <m/>
    <x v="0"/>
    <s v="En attente de mise en place des tiroires filtrés"/>
    <s v=" HO Complete  entre 225 et 226"/>
    <s v="dl Rxqual=3"/>
    <s v="dl rx level= -68"/>
    <s v="OK"/>
    <s v="OK"/>
    <s v="Mauvais"/>
    <s v=" Retransmission des trames HDLC*5"/>
    <m/>
    <s v="ELHAJOUIA Achraf"/>
    <m/>
    <m/>
    <m/>
    <m/>
    <m/>
    <m/>
    <m/>
  </r>
  <r>
    <n v="931"/>
    <b v="0"/>
    <x v="303"/>
    <d v="1899-12-30T13:33:33"/>
    <n v="1025"/>
    <x v="2"/>
    <x v="1"/>
    <n v="1060"/>
    <m/>
    <s v="Casa/Tanger"/>
    <n v="152.488"/>
    <x v="18"/>
    <s v="N2"/>
    <s v="Ralentissement du train"/>
    <s v="* Etat H.O :HO non finalisé entre 227 et 326_x000a_* qualité /niveau de signal : dl rx-qual=3, dl rx level = -62dbm_x000a_* Requête de déconnexion a été envoyé par le bord_x000a_"/>
    <m/>
    <x v="2"/>
    <s v="zone sous surveillence par le NOC/En attente de mise en place des tiroires filtrés "/>
    <s v=" HO non finalisé entre 227 et 326"/>
    <s v="dl Rxqual=3"/>
    <s v="dl rx level= -62"/>
    <s v="OK"/>
    <s v="OK"/>
    <s v="Mauvais"/>
    <s v=" Retransmission des trames HDLC*5"/>
    <m/>
    <s v="ELHAJOUIA Achraf"/>
    <m/>
    <m/>
    <m/>
    <m/>
    <m/>
    <m/>
    <m/>
  </r>
  <r>
    <n v="932"/>
    <b v="0"/>
    <x v="303"/>
    <d v="1899-12-30T18:47:33"/>
    <n v="2049"/>
    <x v="6"/>
    <x v="0"/>
    <n v="7206"/>
    <m/>
    <s v="Tanger/Casa"/>
    <n v="185.82499999999999"/>
    <x v="19"/>
    <s v="N2"/>
    <s v="Ralentissement du train"/>
    <s v="* Etat H.O :HO non finalisé entre 230 et 231_x000a_* qualité /niveau de signal : dl rx-qual=0, dl rx level = -55dbm_x000a_* Requête de déconnexion a été envoyé par le RBC_x000a_"/>
    <m/>
    <x v="2"/>
    <s v="zone sous surveillence par le NOC/En attente de mise en place des tiroires filtrés "/>
    <s v=" HO non finalisé entre 230 et 231"/>
    <s v="dl Rxqual=0"/>
    <s v="dl rx level= -55"/>
    <s v="OK"/>
    <s v="OK"/>
    <s v="Mauvais"/>
    <s v=" Retransmission des trames HDLC*5"/>
    <m/>
    <s v="Fahd OUSSALH"/>
    <m/>
    <m/>
    <m/>
    <m/>
    <m/>
    <m/>
    <m/>
  </r>
  <r>
    <n v="933"/>
    <b v="0"/>
    <x v="303"/>
    <d v="1899-12-30T21:07:24"/>
    <n v="1053"/>
    <x v="7"/>
    <x v="1"/>
    <n v="1040"/>
    <m/>
    <s v="Casa/Tanger"/>
    <n v="7.3209999999999997"/>
    <x v="2"/>
    <s v="N2"/>
    <s v="Ralentissement du train"/>
    <s v="* Etat H.O : HO Non finalisé entre 203 et 302_x000a_* qualité /niveau de signal : dl rx-qual=7, dl rx level = -56dbm_x000a_* Requête de déconnexion a été envoyé par le BORD_x000a_"/>
    <m/>
    <x v="0"/>
    <s v=" En attente de mise en place des tiroires filtrés "/>
    <s v="HO Non finalisé entre 203 et 302"/>
    <s v="dl Rxqual=7"/>
    <s v="dl rx level= -56"/>
    <s v="OK"/>
    <s v="OK"/>
    <s v="Mauvais"/>
    <s v=" Retransmission des trames HDLC*5"/>
    <m/>
    <s v="Saad Elhabib"/>
    <m/>
    <m/>
    <m/>
    <m/>
    <m/>
    <m/>
    <m/>
  </r>
  <r>
    <n v="934"/>
    <b v="0"/>
    <x v="304"/>
    <d v="1899-12-30T08:46:03"/>
    <n v="1005"/>
    <x v="2"/>
    <x v="1"/>
    <n v="1061"/>
    <m/>
    <s v="Casa/Tanger"/>
    <n v="94.953999999999994"/>
    <x v="8"/>
    <s v="N2"/>
    <s v="Ralentissement du train"/>
    <s v="* Etat H.O : HO non finalisé entre 318 et 317_x000a_* qualité /niveau de signal : dl rx-qual=7, dl rx level = -81 dbm_x000a_* Requête de déconnexion a été envoyé par le RBC_x000a_"/>
    <m/>
    <x v="1"/>
    <s v="zone sous surveillence par le NOC"/>
    <s v=" HO non finalisé entre 318 et 317"/>
    <s v="dl Rxqual=7"/>
    <s v="dl rx level= -81"/>
    <s v="OK"/>
    <s v="OK"/>
    <s v="Mauvais"/>
    <s v=" Retransmission des trames HDLC*5"/>
    <m/>
    <s v="Noura MOUSSAOUI"/>
    <m/>
    <m/>
    <m/>
    <m/>
    <m/>
    <m/>
    <m/>
  </r>
  <r>
    <n v="935"/>
    <b v="0"/>
    <x v="304"/>
    <d v="1899-12-30T14:35:23"/>
    <n v="2033"/>
    <x v="0"/>
    <x v="0"/>
    <n v="1037"/>
    <m/>
    <s v="Tanger/Casa"/>
    <n v="144.32599999999999"/>
    <x v="3"/>
    <s v="N2"/>
    <s v="Arrêt du train"/>
    <s v="* Etat H.O : HO complet entre 224 et 225_x000a_* qualité /niveau de signal : dl rx-qual=1, dl rx level = -73 dbm_x000a_* Requête de déconnexion a été envoyé par le RBC_x000a_"/>
    <m/>
    <x v="3"/>
    <s v="En attente de pousser les analyses coté RBC"/>
    <s v="HO complet entre 224 et 225"/>
    <s v="dl Rxqual=1"/>
    <s v="dl rx level= -73"/>
    <s v="OK"/>
    <s v="OK"/>
    <s v="Mauvais"/>
    <s v="pas de retransmission des trames HDLC"/>
    <m/>
    <s v="Noura MOUSSAOUI"/>
    <m/>
    <m/>
    <m/>
    <m/>
    <m/>
    <m/>
    <m/>
  </r>
  <r>
    <n v="936"/>
    <b v="0"/>
    <x v="304"/>
    <d v="1899-12-30T14:45:33"/>
    <n v="2033"/>
    <x v="0"/>
    <x v="0"/>
    <n v="1036"/>
    <m/>
    <s v="Tanger/Casa"/>
    <n v="152.548"/>
    <x v="18"/>
    <s v="N2"/>
    <s v="Arrêt du train"/>
    <s v="* Etat H.O : HO non finalisé entre 226 et 327_x000a_* qualité /niveau de signal : dl rx-qual=7, dl rx level = -57 dbm_x000a_* Requête de déconnexion a été envoyé par le RBC_x000a_"/>
    <m/>
    <x v="3"/>
    <s v="En attente de pousser les analyses coté RBC"/>
    <s v="HO non finalisé entre 226 et 327"/>
    <s v="dl Rxqual=7"/>
    <s v="dl rx level= -57"/>
    <s v="OK"/>
    <s v="OK"/>
    <s v="Mauvais"/>
    <s v="pas de retransmission des trames HDLC"/>
    <m/>
    <s v="Noura MOUSSAOUI"/>
    <m/>
    <m/>
    <m/>
    <m/>
    <m/>
    <m/>
    <m/>
  </r>
  <r>
    <n v="937"/>
    <b v="0"/>
    <x v="304"/>
    <d v="1899-12-30T16:12:46"/>
    <n v="2041"/>
    <x v="6"/>
    <x v="0"/>
    <n v="7198"/>
    <m/>
    <s v="Tanger/Casa"/>
    <n v="30.076000000000001"/>
    <x v="25"/>
    <s v="N2"/>
    <s v="Ralentissement du train"/>
    <s v="* Etat H.O : HO complet entre 205 et 206_x000a_* qualité /niveau de signal : dl rx-qual=0, dl rx level = -50 dbm_x000a_* Requête de déconnexion a été envoyé par le RBC_x000a_"/>
    <m/>
    <x v="3"/>
    <s v="En attente de pousser les analyses coté RBC"/>
    <s v="HO complet entre 205 et 206"/>
    <s v="dl Rxqual=0"/>
    <s v="dl rx level= -50"/>
    <s v="OK"/>
    <s v="OK"/>
    <s v="Mauvais"/>
    <s v=" Pas Retransmission des trames HDLC"/>
    <m/>
    <s v="Fahd OUSSALH"/>
    <m/>
    <m/>
    <m/>
    <m/>
    <m/>
    <m/>
    <m/>
  </r>
  <r>
    <n v="938"/>
    <b v="0"/>
    <x v="304"/>
    <d v="1899-12-30T18:45:58"/>
    <n v="1046"/>
    <x v="0"/>
    <x v="1"/>
    <n v="1045"/>
    <m/>
    <s v="Casa/Tanger"/>
    <n v="94.953999999999994"/>
    <x v="8"/>
    <s v="N2"/>
    <s v="Ralentissement du train"/>
    <s v="* Etat H.O : HO non finalisé entre 318 et 317_x000a_* qualité /niveau de signal : dl rx-qual=7, dl rx level = -52 dbm_x000a_* Requête de déconnexion a été envoyé par le RBC_x000a_"/>
    <m/>
    <x v="1"/>
    <s v="zone sous surveillence par le NOC"/>
    <s v="HO non finalisé entre 318 et 317"/>
    <s v="dl Rxqual=7"/>
    <s v="dl rx level= -82"/>
    <s v="OK"/>
    <s v="OK"/>
    <s v="Mauvais"/>
    <s v="  Retransmission des trames HDLC*5"/>
    <m/>
    <s v="Fahd OUSSALH"/>
    <m/>
    <m/>
    <m/>
    <m/>
    <m/>
    <m/>
    <m/>
  </r>
  <r>
    <n v="939"/>
    <b v="0"/>
    <x v="304"/>
    <d v="1899-12-30T19:48:01"/>
    <n v="1032"/>
    <x v="4"/>
    <x v="1"/>
    <n v="1050"/>
    <m/>
    <s v="Casa/Tanger"/>
    <n v="94.953999999999994"/>
    <x v="8"/>
    <s v="N2"/>
    <s v="Ralentissement du train"/>
    <s v="* Etat H.O : HO non finalisé entre 318 et 219_x000a_* qualité /niveau de signal : dl rx-qual=5, dl rx level = -60 dbm_x000a_* Requête de déconnexion a été envoyé par le RBC_x000a_"/>
    <m/>
    <x v="1"/>
    <s v="zone sous surveillence par le NOC"/>
    <s v="HO non finalisé entre 318 et 219"/>
    <s v="dl Rxqual=5"/>
    <s v="dl rx level= -60"/>
    <s v="OK"/>
    <s v="OK"/>
    <s v="Mauvais"/>
    <s v="  Retransmission des trames HDLC*5"/>
    <m/>
    <s v="Fahd OUSSALH"/>
    <m/>
    <m/>
    <m/>
    <m/>
    <m/>
    <m/>
    <m/>
  </r>
  <r>
    <n v="940"/>
    <b v="0"/>
    <x v="304"/>
    <d v="1899-12-30T21:28:08"/>
    <n v="2061"/>
    <x v="4"/>
    <x v="0"/>
    <n v="7208"/>
    <m/>
    <s v="Tanger/Casa"/>
    <n v="108.206"/>
    <x v="1"/>
    <s v="N2"/>
    <s v="Ralentissement du train"/>
    <s v="* Etat H.O : HO non finalisé  entre 219 et 320_x000a_* qualité /niveau de signal : dl rx-qual=7, dl rx level = -70dbm_x000a_* Requête de déconnexion a été envoyé par le BORD_x000a_"/>
    <m/>
    <x v="0"/>
    <s v="En attente de mise en place des tiroires filtrés "/>
    <s v="HO non finalisé  entre 219 et 320"/>
    <s v="dl Rxqual=7"/>
    <s v="dl rx level= -70"/>
    <s v="OK"/>
    <s v="OK"/>
    <s v="Mauvais"/>
    <s v="  Retransmission des trames HDLC*5"/>
    <m/>
    <s v="Saad Elhabib"/>
    <m/>
    <m/>
    <m/>
    <m/>
    <m/>
    <m/>
    <m/>
  </r>
  <r>
    <n v="941"/>
    <b v="0"/>
    <x v="304"/>
    <d v="1899-12-30T22:28:57"/>
    <n v="1061"/>
    <x v="5"/>
    <x v="1"/>
    <n v="1026"/>
    <m/>
    <s v="Casa/Tanger"/>
    <n v="177.85"/>
    <x v="4"/>
    <s v="N2"/>
    <s v="Ralentissement du train"/>
    <s v="* Etat H.O : HO finalisé  entre 231 et 229 avec downlink quality_x000a_* qualité /niveau de signal : dl rx-qual=7, dl rx level = -66dbm_x000a_* Requête de déconnexion a été envoyé par le RBC_x000a_"/>
    <m/>
    <x v="2"/>
    <s v="zone sous surveillence par le NOC/En attente de mise en place des tiroires filtrés "/>
    <s v="HO finalisé  entre 231 et 229 avec downlink quality"/>
    <s v="dl Rxqual=7"/>
    <s v="dl rx level= -66"/>
    <s v="OK"/>
    <s v="OK"/>
    <s v="Mauvais"/>
    <s v="  Retransmission des trames HDLC*5"/>
    <m/>
    <s v="Saad Elhabib"/>
    <m/>
    <m/>
    <m/>
    <m/>
    <m/>
    <m/>
    <m/>
  </r>
  <r>
    <n v="942"/>
    <b v="0"/>
    <x v="305"/>
    <d v="1899-12-30T06:25:46"/>
    <n v="2001"/>
    <x v="9"/>
    <x v="0"/>
    <n v="1052"/>
    <m/>
    <s v="Tanger/Casa"/>
    <n v="93.757999999999996"/>
    <x v="8"/>
    <s v="N2"/>
    <s v="Ralentissement du train"/>
    <s v="* Etat H.O : HO Non finalisé  entre 217 et 318                                                                                               * qualité /niveau de signal : dl rx-qual=7, dl rx level = -66dbm_x000a_* Requête de déconnexion a été envoyé par le RBC_x000a_"/>
    <m/>
    <x v="2"/>
    <s v="zone sous surveillence par le NOC/En attente de mise en place des tiroires filtrés "/>
    <s v="HO Non finalisé  entre 217 et 318 "/>
    <s v="dl Rxqual=2"/>
    <s v="dl rx level= -75"/>
    <s v="NOK"/>
    <s v="OK"/>
    <s v="Mauvais"/>
    <s v="  Retransmission des trames HDLC*5"/>
    <m/>
    <s v="Saad Elhabib"/>
    <m/>
    <m/>
    <m/>
    <m/>
    <m/>
    <m/>
    <m/>
  </r>
  <r>
    <n v="943"/>
    <b v="0"/>
    <x v="305"/>
    <d v="1899-12-30T07:38:22"/>
    <n v="1001"/>
    <x v="8"/>
    <x v="1"/>
    <n v="1031"/>
    <m/>
    <s v="Casa/Tanger"/>
    <n v="131.78899999999999"/>
    <x v="10"/>
    <s v="N2"/>
    <s v="Ralentissement du train"/>
    <s v="* Etat H.O : HO Complet entre 324 et 323                                                                                               * qualité /niveau de signal : dl rx-qual=0, dl rx level = -61dbm_x000a_* Requête de déconnexion a été envoyé par le RBC_x000a_"/>
    <m/>
    <x v="0"/>
    <s v="En attente de mise en place des tiroires filtrés "/>
    <s v="HO Complete   entre 324 et 323"/>
    <s v="dl Rxqual=0"/>
    <s v="dl rx level= -61"/>
    <s v="OK"/>
    <s v="OK"/>
    <s v="Mauvais"/>
    <s v="  Retransmission des trames HDLC*5"/>
    <m/>
    <s v="ELHAJOUIA Achraf"/>
    <m/>
    <m/>
    <m/>
    <m/>
    <m/>
    <m/>
    <m/>
  </r>
  <r>
    <n v="944"/>
    <b v="0"/>
    <x v="305"/>
    <d v="1899-12-30T09:06:04"/>
    <n v="1005"/>
    <x v="2"/>
    <x v="1"/>
    <n v="1060"/>
    <m/>
    <s v="Casa/Tanger"/>
    <n v="7.3209999999999997"/>
    <x v="2"/>
    <s v="N2"/>
    <s v="Ralentissement du train"/>
    <s v="* Etat H.O : HO non finalisé entre 303 et 302                                                                                              * qualité /niveau de signal : dl rx-qual=7, dl rx level = -67dbm_x000a_* Requête de déconnexion a été envoyé par le RBC_x000a_"/>
    <m/>
    <x v="0"/>
    <s v="En attente de mise en place des tiroires filtrés "/>
    <s v="HO non finalisé entre 303 et 302"/>
    <s v="dl Rxqual=7"/>
    <s v="dl rx level= -67"/>
    <s v="OK"/>
    <s v="OK"/>
    <s v="Mauvais"/>
    <s v="  Retransmission des trames HDLC*5"/>
    <m/>
    <s v="Noura MOUSSAOUI"/>
    <m/>
    <m/>
    <m/>
    <m/>
    <m/>
    <m/>
    <m/>
  </r>
  <r>
    <n v="945"/>
    <b v="0"/>
    <x v="305"/>
    <d v="1899-12-30T14:06:26"/>
    <n v="1025"/>
    <x v="5"/>
    <x v="1"/>
    <n v="1027"/>
    <m/>
    <s v="Casa/Tanger"/>
    <n v="7.3209999999999997"/>
    <x v="2"/>
    <s v="N2"/>
    <s v="Arrêt du train"/>
    <s v="* Etat H.O : HO finalisé entre 303 et 302                                                                                              * qualité /niveau de signal : dl rx-qual=7, dl rx level = -71dbm_x000a_* Requête de déconnexion a été envoyé par le RBC_x000a_"/>
    <m/>
    <x v="0"/>
    <s v="En attente de mise en place des tiroires filtrés "/>
    <s v="HO  finalisé entre 303 et 302"/>
    <s v="dl Rxqual=7"/>
    <s v="dl rx level= -71"/>
    <s v="OK"/>
    <s v="OK"/>
    <s v="Mauvais"/>
    <s v="  Retransmission des trames HDLC*5"/>
    <m/>
    <s v="Noura MOUSSAOUI"/>
    <m/>
    <m/>
    <m/>
    <m/>
    <m/>
    <m/>
    <m/>
  </r>
  <r>
    <n v="946"/>
    <b v="0"/>
    <x v="305"/>
    <d v="1899-12-30T16:35:16"/>
    <n v="2041"/>
    <x v="0"/>
    <x v="0"/>
    <n v="1037"/>
    <m/>
    <s v="Tanger/Casa"/>
    <n v="143.11199999999999"/>
    <x v="26"/>
    <s v="N2"/>
    <s v="Ralentissement du train"/>
    <s v="* Etat H.O : HO Complete entre 224 et 225                                                                                              * qualité /niveau de signal : dl rx-qual=0, dl rx level = -61dbm_x000a_* Requête de déconnexion a été envoyé par le RBC_x000a_"/>
    <m/>
    <x v="3"/>
    <s v="En attente de pousser les analyses coté RBC"/>
    <s v="HO  Complete entre 224 et 225"/>
    <s v="dl Rxqual=0"/>
    <s v="dl rx level= -61"/>
    <s v="OK"/>
    <s v="OK"/>
    <s v="Mauvais"/>
    <s v="  Pas de Retransmission des trames HDLC"/>
    <m/>
    <s v="MAROUANI Otmane"/>
    <m/>
    <m/>
    <m/>
    <m/>
    <m/>
    <m/>
    <m/>
  </r>
  <r>
    <n v="947"/>
    <b v="0"/>
    <x v="305"/>
    <d v="1899-12-30T17:37:44"/>
    <n v="1041"/>
    <x v="2"/>
    <x v="1"/>
    <n v="1061"/>
    <m/>
    <s v="Casa/Tanger"/>
    <n v="140.65899999999999"/>
    <x v="26"/>
    <s v="N2"/>
    <s v="Ralentissement du train"/>
    <s v="* Etat H.O : HO non finalisé entre 325 et 324                                                                                              * qualité /niveau de signal : dl rx-qual=4, dl rx level = -81dbm_x000a_* Requête de déconnexion a été envoyé par le RBC_x000a_"/>
    <m/>
    <x v="2"/>
    <s v="zone sous surveillence par le NOC/En attente de mise en place des tiroires filtrés "/>
    <s v="HO  non finalisé entre 325 et 324  "/>
    <s v="dl Rxqual=4"/>
    <s v="dl rx level= -81"/>
    <s v="OK"/>
    <s v="OK"/>
    <s v="Mauvais"/>
    <s v="  Retransmission des trames HDLC*5"/>
    <m/>
    <s v="MAROUANI Otmane"/>
    <m/>
    <m/>
    <m/>
    <m/>
    <m/>
    <m/>
    <m/>
  </r>
  <r>
    <n v="948"/>
    <b v="0"/>
    <x v="306"/>
    <s v="09:05:47 "/>
    <n v="1037"/>
    <x v="0"/>
    <x v="0"/>
    <n v="1062"/>
    <m/>
    <s v="Tanger/Casa"/>
    <n v="6.13"/>
    <x v="2"/>
    <s v="N2"/>
    <s v="Ralentissement du train"/>
    <s v="* Etat H.O : HO complet entre 202 et 303                                                                                              * qualité /niveau de signal : dl rx-qual=2, dl rx level = -68dbm_x000a_* Requête de déconnexion a été envoyé par le RBC_x000a_"/>
    <m/>
    <x v="0"/>
    <s v="En attente de mise en place des tiroires filtrés "/>
    <s v="HO complet entre 202 et 303"/>
    <s v="dl Rxqual=2"/>
    <s v="dl rx level= -68"/>
    <s v="OK"/>
    <s v="OK"/>
    <s v="Mauvais"/>
    <s v="  Retransmission des trames HDLC*5"/>
    <m/>
    <s v="Noura MOUSSAOUI"/>
    <m/>
    <m/>
    <m/>
    <m/>
    <m/>
    <m/>
    <m/>
  </r>
  <r>
    <n v="949"/>
    <b v="0"/>
    <x v="306"/>
    <s v="14:36:17 "/>
    <n v="2033"/>
    <x v="7"/>
    <x v="0"/>
    <n v="1055"/>
    <m/>
    <s v="Tanger/Casa"/>
    <n v="144.32599999999999"/>
    <x v="3"/>
    <s v="N2"/>
    <s v="Arrêt du train"/>
    <s v="* Etat H.O : HO complet entre 224 et 225                                                                                             * qualité /niveau de signal : dl rx-qual=0, dl rx level = -67 dbm_x000a_* Requête de déconnexion a été envoyé par le RBC_x000a_"/>
    <m/>
    <x v="0"/>
    <s v="En attente de mise en place des tiroires filtrés "/>
    <s v="HO complet entre 224 et 225"/>
    <s v="dl Rxqual=0"/>
    <s v="dl rx level= -67"/>
    <s v="OK"/>
    <s v="OK"/>
    <s v="Mauvais"/>
    <s v="  Retransmission des trames HDLC*5"/>
    <m/>
    <s v="Noura MOUSSAOUI"/>
    <m/>
    <m/>
    <m/>
    <m/>
    <m/>
    <m/>
    <m/>
  </r>
  <r>
    <n v="950"/>
    <b v="0"/>
    <x v="306"/>
    <d v="1899-12-30T15:45:39"/>
    <n v="1033"/>
    <x v="11"/>
    <x v="1"/>
    <n v="1056"/>
    <m/>
    <s v="Casa/Tanger"/>
    <n v="94.953999999999994"/>
    <x v="8"/>
    <s v="N2"/>
    <s v="Ralentissement du train"/>
    <s v="* Etat H.O : HO non finalisé entre 318 et 317                                                                                          * qualité /niveau de signal : dl rx-qual=7, dl rx level = -84 dbm_x000a_* Requête de déconnexion a été envoyé par le RBC_x000a_"/>
    <m/>
    <x v="1"/>
    <s v="zone sous surveillence par le NOC"/>
    <s v="HO non finalisé entre 318 et 317"/>
    <s v="dl Rxqual=7"/>
    <s v="dl rx level= -84"/>
    <s v="OK"/>
    <s v="OK"/>
    <s v="Mauvais"/>
    <s v="  Retransmission des trames HDLC*5"/>
    <m/>
    <s v="Noura MOUSSAOUI"/>
    <m/>
    <m/>
    <m/>
    <m/>
    <m/>
    <m/>
    <m/>
  </r>
  <r>
    <n v="951"/>
    <b v="0"/>
    <x v="307"/>
    <d v="1899-12-30T17:05:26"/>
    <n v="2045"/>
    <x v="6"/>
    <x v="0"/>
    <n v="7206"/>
    <m/>
    <s v="Tanger/Casa"/>
    <n v="6.13"/>
    <x v="2"/>
    <s v="N2"/>
    <s v="Arrêt du train"/>
    <s v="* Etat H.O : HO complet entre 202 et 301_x000a_* qualité /niveau de signal : dl rx-qual=7, dl rx level = -53 dbm_x000a_* Requête de déconnexion a été envoyé par le Bord_x000a_"/>
    <m/>
    <x v="0"/>
    <s v="En attente de mise en place des tiroires filtrés "/>
    <s v="HO non finalisé entre 202 et 301"/>
    <s v="dl Rxqual=7"/>
    <s v="dl rx level= -53"/>
    <s v="NOK"/>
    <s v="OK"/>
    <s v="Mauvais"/>
    <s v="  Retransmission des trames HDLC*5"/>
    <m/>
    <s v="Oussama ZEHOUANI"/>
    <m/>
    <m/>
    <m/>
    <m/>
    <m/>
    <m/>
    <m/>
  </r>
  <r>
    <n v="952"/>
    <b v="0"/>
    <x v="307"/>
    <d v="1899-12-30T21:05:17"/>
    <n v="2061"/>
    <x v="11"/>
    <x v="0"/>
    <n v="1048"/>
    <m/>
    <s v="Tanger/Casa"/>
    <n v="6.13"/>
    <x v="2"/>
    <s v="N2"/>
    <s v="Arrêt du train"/>
    <s v="* Etat H.O : HO Non finalisé entre 202 et 303_x000a_* qualité /niveau de signal : dl rx-qual=7, dl rx level = -53 dbm_x000a_* Requête de déconnexion a été envoyé par le Bord_x000a_"/>
    <m/>
    <x v="0"/>
    <s v="En attente de mise en place des tiroires filtrés "/>
    <s v="HO non finalisé entre 202 et 303"/>
    <s v="dl Rxqual=7"/>
    <s v="dl rx level= -53"/>
    <s v="OK"/>
    <s v="OK"/>
    <s v="Mauvais"/>
    <s v="  Retransmission des trames HDLC*5"/>
    <m/>
    <s v="ELHAJOUIA Achraf"/>
    <m/>
    <m/>
    <m/>
    <m/>
    <m/>
    <m/>
    <m/>
  </r>
  <r>
    <n v="953"/>
    <b v="0"/>
    <x v="308"/>
    <d v="1899-12-30T17:05:22"/>
    <n v="2045"/>
    <x v="11"/>
    <x v="0"/>
    <n v="1033"/>
    <m/>
    <s v="Tanger/Casa"/>
    <n v="6.13"/>
    <x v="2"/>
    <s v="N2"/>
    <s v="Arrêt du train"/>
    <s v="* Etat H.O : HO Non finalisé entre 202 et 303_x000a_* qualité /niveau de signal : dl rx-qual=7, dl rx level = -53 dbm_x000a_* Requête de déconnexion a été envoyé par le Bord_x000a_"/>
    <m/>
    <x v="0"/>
    <s v="En attente de mise en place des tiroires filtrés "/>
    <s v="HO complet entre 202 et 303"/>
    <s v="dl Rxqual=7"/>
    <s v="dl rx level= -64"/>
    <s v="OK"/>
    <s v="OK"/>
    <s v="Mauvais"/>
    <s v="  Retransmission des trames HDLC*5"/>
    <m/>
    <s v="Oussama ZEHOUANI"/>
    <m/>
    <m/>
    <m/>
    <m/>
    <m/>
    <m/>
    <m/>
  </r>
  <r>
    <n v="954"/>
    <b v="0"/>
    <x v="308"/>
    <d v="1899-12-30T19:00:19"/>
    <n v="1045"/>
    <x v="2"/>
    <x v="1"/>
    <n v="1061"/>
    <m/>
    <s v="Casa/Tanger"/>
    <n v="25.91"/>
    <x v="7"/>
    <s v="N2"/>
    <s v="Ralentissement du train"/>
    <s v="* Etat H.O : HO complet entre 207 et 308_x000a_* qualité /niveau de signal : dl rx-qual=7, dl rx level = -83 dbm_x000a_* Requête de déconnexion a été envoyé par le Bord_x000a_"/>
    <m/>
    <x v="0"/>
    <s v="En attente de mise en place des tiroires filtrés "/>
    <s v="HO complet entre 207 et 308"/>
    <s v="dl Rxqual=7"/>
    <s v="dl rx level= -83"/>
    <s v="OK"/>
    <s v="OK"/>
    <s v="Mauvais"/>
    <s v="  Retransmission des trames HDLC*5"/>
    <m/>
    <s v="Oussama ZEHOUANI"/>
    <m/>
    <m/>
    <m/>
    <m/>
    <m/>
    <m/>
    <m/>
  </r>
  <r>
    <n v="955"/>
    <b v="0"/>
    <x v="309"/>
    <d v="1899-12-30T12:34:42"/>
    <n v="1037"/>
    <x v="0"/>
    <x v="0"/>
    <n v="1037"/>
    <m/>
    <s v="Tanger/Casa"/>
    <n v="145.6"/>
    <x v="3"/>
    <s v="N2"/>
    <s v="Ralentissement du train"/>
    <s v="* Etat H.O : HO complet entre 225 et 226_x000a_* qualité /niveau de signal : dl rx-qual=0, dl rx level = -61 dbm_x000a_* Requête de déconnexion a été envoyé par le RBC_x000a_"/>
    <m/>
    <x v="3"/>
    <s v="En attente de pousser les analyses coté RBC"/>
    <s v="HO complet entre 225 et 226"/>
    <s v="dl Rxqual=0"/>
    <s v="dl rx level= -61"/>
    <s v="OK"/>
    <s v="OK"/>
    <s v="Mauvais"/>
    <s v="Pas  Retransmission des trames HDLC*5"/>
    <m/>
    <s v="Fahd OUSSALH"/>
    <m/>
    <m/>
    <m/>
    <m/>
    <m/>
    <m/>
    <m/>
  </r>
  <r>
    <n v="956"/>
    <b v="0"/>
    <x v="309"/>
    <d v="1899-12-30T12:46:42"/>
    <n v="1022"/>
    <x v="6"/>
    <x v="1"/>
    <n v="1023"/>
    <m/>
    <s v="Casa/Tanger"/>
    <n v="94.953999999999994"/>
    <x v="8"/>
    <s v="N2"/>
    <s v="Ralentissement du train"/>
    <s v="* Etat H.O : HO Non finalisé entre 319 et 318_x000a_* qualité /niveau de signal : dl rx-qual=7, dl rx level = -64 dbm_x000a_* Requête de déconnexion a été envoyé par le RBC_x000a_"/>
    <m/>
    <x v="2"/>
    <s v="zone sous surveillence par le NOC / attente de mise en place des tiroires filtrés"/>
    <s v="HO non finalisé entre 319 et 318"/>
    <s v="dl Rxqual=7"/>
    <s v="dl rx level= -64"/>
    <s v="OK"/>
    <s v="OK"/>
    <s v="Mauvais"/>
    <s v="  Retransmission des trames HDLC*5"/>
    <m/>
    <s v="Fahd OUSSALH"/>
    <m/>
    <m/>
    <m/>
    <m/>
    <m/>
    <m/>
    <m/>
  </r>
  <r>
    <n v="957"/>
    <b v="0"/>
    <x v="309"/>
    <d v="1899-12-30T19:05:12"/>
    <n v="2053"/>
    <x v="11"/>
    <x v="0"/>
    <n v="1048"/>
    <m/>
    <s v="Tanger/Casa"/>
    <n v="6.13"/>
    <x v="2"/>
    <s v="N2"/>
    <s v="Ralentissement du train"/>
    <s v="* Etat H.O : HO Non finalisé entre 202 et 303_x000a_* qualité /niveau de signal : dl rx-qual=7, dl rx level = -53 dbm_x000a_* Requête de déconnexion a été envoyé par le bord_x000a_"/>
    <m/>
    <x v="0"/>
    <s v="En attente de mise en place des tiroires filtrés "/>
    <s v="HO non finalisé entre 202 et 303"/>
    <s v="dl Rxqual=7"/>
    <s v="dl rx level= -53"/>
    <s v="OK"/>
    <s v="OK"/>
    <s v="Mauvais"/>
    <s v="  Retransmission des trames HDLC*5"/>
    <m/>
    <s v="LAGDEM Elmehdi"/>
    <m/>
    <m/>
    <m/>
    <m/>
    <m/>
    <m/>
    <m/>
  </r>
  <r>
    <n v="958"/>
    <b v="0"/>
    <x v="310"/>
    <d v="1899-12-30T14:37:47"/>
    <n v="2033"/>
    <x v="6"/>
    <x v="0"/>
    <n v="7198"/>
    <m/>
    <s v="Tanger/Casa"/>
    <n v="144.32599999999999"/>
    <x v="3"/>
    <s v="N2"/>
    <s v="Ralentissement du train"/>
    <s v="* Etat H.O : HO  finalisé entre 224 et 225_x000a_* qualité /niveau de signal : dl rx-qual=0, dl rx level = -64 dbm_x000a_* Requête de déconnexion a été envoyé par le RBC_x000a_"/>
    <m/>
    <x v="0"/>
    <s v="En attente de mise en place des tiroires filtrés "/>
    <s v="HO  finalisé entre 224 et 225"/>
    <s v="dl Rxqual=0"/>
    <s v="dl rx level= -64"/>
    <s v="OK"/>
    <s v="OK"/>
    <s v="Mauvais"/>
    <s v="  Retransmission des trames HDLC*5"/>
    <m/>
    <s v="Saad Elhabib"/>
    <m/>
    <m/>
    <m/>
    <m/>
    <m/>
    <m/>
    <m/>
  </r>
  <r>
    <n v="959"/>
    <b v="0"/>
    <x v="311"/>
    <d v="1899-12-30T10:36:06"/>
    <n v="2017"/>
    <x v="0"/>
    <x v="0"/>
    <n v="1037"/>
    <m/>
    <s v="Tanger/Casa"/>
    <n v="143.11199999999999"/>
    <x v="26"/>
    <s v="N2"/>
    <s v="Ralentissement du train"/>
    <s v="* Etat H.O : HO complet entre 224 et 225_x000a_* qualité /niveau de signal : dl rx-qual=0, dl rx level = -60dbm_x000a_* Requête de déconnexion a été envoyé par le RBC_x000a_"/>
    <m/>
    <x v="0"/>
    <s v="En attente de mise en place des tiroires filtrés "/>
    <s v="HO complet entre 224 et 225"/>
    <s v="dl Rxqual=0"/>
    <s v="dl rx level= -60"/>
    <s v="OK"/>
    <s v="OK"/>
    <s v="Mauvais"/>
    <s v="  Retransmission des trames HDLC*5"/>
    <m/>
    <s v="Noura MOUSSAOUI"/>
    <m/>
    <m/>
    <m/>
    <m/>
    <m/>
    <m/>
    <m/>
  </r>
  <r>
    <n v="960"/>
    <b v="0"/>
    <x v="311"/>
    <d v="1899-12-30T12:46:19"/>
    <n v="1021"/>
    <x v="2"/>
    <x v="1"/>
    <n v="1038"/>
    <m/>
    <s v="Casa/Tanger"/>
    <n v="94.953999999999994"/>
    <x v="8"/>
    <s v="N2"/>
    <s v="Ralentissement du train"/>
    <s v="* Etat H.O : HO Non finalisé entre 318 et 217_x000a_* qualité /niveau de signal : dl rx-qual=7, dl rx level = -82dbm_x000a_* Requête de déconnexion a été envoyé par le Bord_x000a_"/>
    <m/>
    <x v="2"/>
    <s v="zone sous surveillence par le NOC / attente de mise en place des tiroires filtrés"/>
    <s v="HO non finalisé entre 318 et 217"/>
    <s v="dl Rxqual=7"/>
    <s v="dl rx level= -82"/>
    <s v="OK"/>
    <s v="OK"/>
    <s v="Mauvais"/>
    <s v="  Retransmission des trames HDLC*5"/>
    <m/>
    <s v="Noura MOUSSAOUI"/>
    <m/>
    <m/>
    <m/>
    <m/>
    <m/>
    <m/>
    <m/>
  </r>
  <r>
    <n v="961"/>
    <b v="0"/>
    <x v="312"/>
    <d v="1899-12-30T09:10:55"/>
    <n v="2013"/>
    <x v="0"/>
    <x v="0"/>
    <n v="1037"/>
    <m/>
    <s v="Tanger/Casa"/>
    <n v="21.564"/>
    <x v="20"/>
    <s v="N2"/>
    <s v="Ralentissement du train"/>
    <s v="* Etat H.O : HO non finalisé entre 204 et 205_x000a_* qualité /niveau de signal : dl rx-qual=7, dl rx level = -102 dbm_x000a_* Requête de déconnexion a été envoyé par le RBC_x000a_"/>
    <m/>
    <x v="2"/>
    <s v="zone sous surveillence par le NOC / attente de mise en place des tiroires filtrés"/>
    <s v="HO non finalisé entre 204 et 205"/>
    <s v="dl Rxqual=7"/>
    <s v="dl rx level= -102"/>
    <s v="OK"/>
    <s v="OK"/>
    <s v="Mauvais"/>
    <s v="  Retransmission des trames HDLC*5"/>
    <m/>
    <s v="HARIRI Bahaeddine"/>
    <m/>
    <m/>
    <m/>
    <m/>
    <m/>
    <m/>
    <m/>
  </r>
  <r>
    <n v="962"/>
    <b v="0"/>
    <x v="312"/>
    <d v="1899-12-30T13:47:26"/>
    <n v="1025"/>
    <x v="0"/>
    <x v="1"/>
    <n v="1045"/>
    <m/>
    <s v="Casa/Tanger"/>
    <n v="94.953999999999994"/>
    <x v="8"/>
    <s v="N2"/>
    <s v="Ralentissement du train"/>
    <s v="* Etat H.O : HO non finalisé entre 318et 317_x000a_* qualité /niveau de signal : dl rx-qual=7, dl rx level = -83 dbm_x000a_* Requête de déconnexion a été envoyé par le RBC_x000a_"/>
    <m/>
    <x v="2"/>
    <s v="zone sous surveillence par le NOC / attente de mise en place des tiroires filtrés"/>
    <s v="HO non finalisé entre 318 et 317"/>
    <s v="dl Rxqual=7"/>
    <s v="dl rx level=-83"/>
    <s v="OK"/>
    <s v="OK"/>
    <s v="Mauvais"/>
    <s v="  Retransmission des trames HDLC*5"/>
    <m/>
    <s v="Noura MOUSSAOUI"/>
    <m/>
    <m/>
    <m/>
    <m/>
    <m/>
    <m/>
    <m/>
  </r>
  <r>
    <n v="963"/>
    <b v="0"/>
    <x v="312"/>
    <d v="1899-12-30T19:50:40"/>
    <n v="1049"/>
    <x v="0"/>
    <x v="1"/>
    <n v="1045"/>
    <m/>
    <s v="Casa/Tanger"/>
    <n v="94.953999999999994"/>
    <x v="8"/>
    <s v="N2"/>
    <s v="Ralentissement du train"/>
    <s v="* Etat H.O : HO finalisé entre 319 et 318_x000a_* qualité /niveau de signal : dl rx-qual=7, dl rx level = -81dbm_x000a_* Requête de déconnexion a été envoyé par le RBC_x000a_"/>
    <m/>
    <x v="2"/>
    <s v="zone sous surveillence par le NOC / attente de mise en place des tiroires filtrés"/>
    <s v="HO finalisé entre 319 et 318"/>
    <s v="dl Rxqual=7"/>
    <s v="dl rx level= -81"/>
    <s v="OK"/>
    <s v="OK"/>
    <s v="Mauvais"/>
    <s v="  Retransmission des trames HDLC*5"/>
    <m/>
    <s v="Saad Elhabib"/>
    <m/>
    <m/>
    <m/>
    <m/>
    <m/>
    <m/>
    <m/>
  </r>
  <r>
    <n v="964"/>
    <b v="0"/>
    <x v="312"/>
    <d v="1899-12-30T21:06:09"/>
    <n v="1054"/>
    <x v="6"/>
    <x v="1"/>
    <n v="1022"/>
    <m/>
    <s v="Casa/Tanger"/>
    <n v="7.3209999999999997"/>
    <x v="2"/>
    <s v="N2"/>
    <s v="Ralentissement du train"/>
    <s v="* Etat H.O : HO non finalisé entre 303 et 202_x000a_* qualité /niveau de signal : dl rx-qual=6, dl rx level = -52dbm_x000a_* Requête de déconnexion a été envoyé par le RBC_x000a_"/>
    <m/>
    <x v="0"/>
    <s v="En attente de mise en place des tiroires filtrés "/>
    <s v="HO non  finalisé entre 303 et 202"/>
    <s v="dl Rxqual=6"/>
    <s v="dl rx level= -52"/>
    <s v="NOK"/>
    <s v="OK"/>
    <s v="Mauvais"/>
    <s v="  Retransmission des trames HDLC*5"/>
    <m/>
    <s v="Fahd OUSSALH"/>
    <m/>
    <m/>
    <m/>
    <m/>
    <m/>
    <m/>
    <m/>
  </r>
  <r>
    <n v="965"/>
    <b v="0"/>
    <x v="312"/>
    <d v="1899-12-30T22:27:45"/>
    <n v="1062"/>
    <x v="5"/>
    <x v="1"/>
    <n v="1027"/>
    <m/>
    <s v="Casa/Tanger"/>
    <n v="180.38800000000001"/>
    <x v="4"/>
    <s v="N2"/>
    <s v="Ralentissement du train"/>
    <s v="* Etat H.O : HO non finalisé entre 332 et 331_x000a_* qualité /niveau de signal : dl rx-qual=3, dl rx level = -71dbm_x000a_* Requête de déconnexion a été envoyé par le RBC_x000a_"/>
    <m/>
    <x v="2"/>
    <s v="zone sous surveillence par le NOC / attente de mise en place des tiroires filtrés"/>
    <s v="HO non  finalisé entre 332 et 331"/>
    <s v="dl Rxqual=3"/>
    <s v="dl rx level= -71"/>
    <s v="OK"/>
    <s v="OK"/>
    <s v="Mauvais"/>
    <s v="  Retransmission des trames HDLC*5"/>
    <m/>
    <s v="Fahd OUSSALH"/>
    <m/>
    <m/>
    <m/>
    <m/>
    <m/>
    <m/>
    <m/>
  </r>
  <r>
    <n v="966"/>
    <b v="0"/>
    <x v="313"/>
    <d v="1899-12-30T12:59:47"/>
    <n v="1021"/>
    <x v="9"/>
    <x v="1"/>
    <n v="1034"/>
    <m/>
    <s v="Casa/Tanger"/>
    <n v="31.350999999999999"/>
    <x v="25"/>
    <s v="N2"/>
    <s v="Ralentissement du train"/>
    <s v="* Etat H.O : HO Complet entre 307 et 306_x000a_* qualité /niveau de signal : dl rx-qual=0, dl rx level = -48 dbm_x000a_* Requête de déconnexion a été envoyé par le RBC_x000a_"/>
    <m/>
    <x v="0"/>
    <s v="En attente de mise en place des tiroires filtrés "/>
    <s v="HO Complet entre 307 et 306"/>
    <s v="dl Rxqual=0"/>
    <s v="dl rx level= -48"/>
    <s v="OK"/>
    <s v="OK"/>
    <s v="Mauvais"/>
    <s v="  Retransmission des trames HDLC*5"/>
    <m/>
    <s v="Saad Elhabib"/>
    <m/>
    <m/>
    <m/>
    <m/>
    <m/>
    <m/>
    <m/>
  </r>
  <r>
    <n v="967"/>
    <b v="0"/>
    <x v="314"/>
    <d v="1899-12-30T12:35:26"/>
    <n v="2025"/>
    <x v="6"/>
    <x v="0"/>
    <n v="7198"/>
    <m/>
    <s v="Tanger/Casa"/>
    <n v="144.32599999999999"/>
    <x v="3"/>
    <s v="N2"/>
    <s v="Arrêt du train"/>
    <s v="* Etat H.O : HO Complet entre 224 et 225_x000a_* qualité /niveau de signal : dl rx-qual=1, dl rx level = -68 dbm_x000a_* Requête de déconnexion a été envoyé par le RBC_x000a_"/>
    <m/>
    <x v="3"/>
    <s v="En attente de pousser les analyses coté RBC"/>
    <s v="HO Complet entre 224 et 225"/>
    <s v="dl Rxqual=1"/>
    <s v="dl rx level= -68"/>
    <s v="OK"/>
    <s v="OK"/>
    <s v="Mauvais"/>
    <s v="  Pas de Retransmission des trames HDLC"/>
    <m/>
    <s v="HAMZAOUI Youssef"/>
    <m/>
    <m/>
    <m/>
    <m/>
    <m/>
    <m/>
    <m/>
  </r>
  <r>
    <n v="968"/>
    <b v="0"/>
    <x v="314"/>
    <d v="1899-12-30T15:49:16"/>
    <n v="1033"/>
    <x v="2"/>
    <x v="1"/>
    <n v="1061"/>
    <m/>
    <s v="Casa/Tanger"/>
    <n v="94.953999999999994"/>
    <x v="8"/>
    <s v="N2"/>
    <s v="Ralentissement du train"/>
    <s v="* Etat H.O : HO non finalisé entre 318 et 317_x000a_* qualité /niveau de signal : dl rx-qual=7, dl rx level = -81dbm_x000a_* Requête de déconnexion a été envoyé par le RBC_x000a_"/>
    <m/>
    <x v="1"/>
    <s v="Qualité de signal dégradée 18-&gt;17 / Attente Chantier Optimisation"/>
    <s v="HO Non finalisé entre 318 et 317"/>
    <s v="dl Rxqual=7"/>
    <s v="dl rx level= -81"/>
    <s v="OK"/>
    <s v="OK"/>
    <s v="Mauvais"/>
    <s v="  Retransmission des trames HDLC*5"/>
    <m/>
    <s v="ELHAJOUIA Achraf"/>
    <m/>
    <m/>
    <m/>
    <m/>
    <m/>
    <m/>
    <m/>
  </r>
  <r>
    <n v="969"/>
    <b v="0"/>
    <x v="314"/>
    <d v="1899-12-30T22:46:33"/>
    <n v="1062"/>
    <x v="6"/>
    <x v="1"/>
    <n v="1062"/>
    <m/>
    <s v="Casa/Tanger"/>
    <n v="94.953999999999994"/>
    <x v="8"/>
    <s v="N2"/>
    <s v="Ralentissement du train"/>
    <s v="* Etat H.O : HO non finalisé entre 318 et 317_x000a_* qualité /niveau de signal : dl rx-qual=2, dl rx level = -78dbm_x000a_* Requête de déconnexion a été envoyé par le RBC_x000a_"/>
    <m/>
    <x v="1"/>
    <s v="Qualité de signal dégradée 18-&gt;17/ Attente Chantier Optimisation"/>
    <s v="HO Non finalisé entre 318 et 317"/>
    <s v="dl Rxqual=2"/>
    <s v="dl rx level= -78"/>
    <s v="OK"/>
    <s v="OK"/>
    <s v="Mauvais"/>
    <s v="  Retransmission des trames HDLC*5"/>
    <m/>
    <s v="Fahd OUSSALH"/>
    <m/>
    <m/>
    <m/>
    <m/>
    <m/>
    <m/>
    <m/>
  </r>
  <r>
    <n v="970"/>
    <b v="0"/>
    <x v="315"/>
    <d v="1899-12-30T16:05:06"/>
    <n v="2041"/>
    <x v="10"/>
    <x v="0"/>
    <n v="1056"/>
    <m/>
    <s v="Tanger/Casa"/>
    <n v="6.13"/>
    <x v="2"/>
    <s v="N2"/>
    <s v="Ralentissement du train"/>
    <s v="* Etat H.O : HO non finalisé entre 202 et 303_x000a_* qualité /niveau de signal : dl rx-qual=7 dl rx level = -54dbm_x000a_* Requête de déconnexion a été envoyé par le bord_x000a_"/>
    <m/>
    <x v="0"/>
    <s v="En attente de mise en place des tiroires filtrés "/>
    <s v="HO Non finalisé entre 202 et 303"/>
    <s v="dl Rxqual=7"/>
    <s v="dl rx level= -54"/>
    <s v="OK"/>
    <s v="OK"/>
    <s v="Mauvais"/>
    <s v="  Retransmission des trames HDLC*5"/>
    <m/>
    <s v="ELHAJOUIA Achraf"/>
    <m/>
    <m/>
    <m/>
    <m/>
    <m/>
    <m/>
    <m/>
  </r>
  <r>
    <n v="971"/>
    <b v="0"/>
    <x v="315"/>
    <d v="1899-12-30T18:04:44"/>
    <n v="2049"/>
    <x v="4"/>
    <x v="0"/>
    <n v="7208"/>
    <m/>
    <s v="Tanger/Casa"/>
    <n v="6.13"/>
    <x v="2"/>
    <s v="N2"/>
    <s v="Arrêt du train"/>
    <s v="* Etat H.O : HO non finalisé entre 202 et 203_x000a_* qualité /niveau de signal : dl rx-qual=7 dl rx level = -51dbm_x000a_* Requête de déconnexion a été envoyé par le RBC_x000a_"/>
    <m/>
    <x v="0"/>
    <s v="En attente de mise en place des tiroires filtrés "/>
    <s v="HO Non finalisé entre 202 et 203"/>
    <s v="dl Rxqual=7"/>
    <s v="dl rx level= -51"/>
    <s v="NOK"/>
    <s v="OK"/>
    <s v="Mauvais"/>
    <s v="  Retransmission des trames HDLC*5"/>
    <m/>
    <s v="MAROUANI Otmane"/>
    <m/>
    <m/>
    <m/>
    <m/>
    <m/>
    <m/>
    <m/>
  </r>
  <r>
    <n v="972"/>
    <b v="0"/>
    <x v="315"/>
    <d v="1899-12-30T20:38:25"/>
    <n v="1053"/>
    <x v="10"/>
    <x v="1"/>
    <n v="1028"/>
    <m/>
    <s v="Casa/Tanger"/>
    <n v="180.38800000000001"/>
    <x v="4"/>
    <s v="N2"/>
    <s v="Ralentissement du train"/>
    <s v="* Etat H.O : HO non finalisé entre 331 et 330_x000a_* qualité /niveau de signal : dl rx-qual=7 dl rx level = -63dbm_x000a_* Requête de déconnexion a été envoyé par le RBC_x000a_"/>
    <m/>
    <x v="2"/>
    <s v="En attente de mise en place des tiroires filtrés /zone sous surveillence par le NOC"/>
    <s v="HO Non finalisé entre 331 et 330"/>
    <s v="dl Rxqual=7"/>
    <s v="dl rx level= -63"/>
    <s v="NOK"/>
    <s v="OK"/>
    <s v="Mauvais"/>
    <s v="  Retransmission des trames HDLC*5"/>
    <m/>
    <s v="ELHAJOUIA Achraf"/>
    <m/>
    <m/>
    <m/>
    <m/>
    <m/>
    <m/>
    <m/>
  </r>
  <r>
    <n v="973"/>
    <b v="0"/>
    <x v="316"/>
    <d v="1899-12-30T13:46:59"/>
    <n v="1025"/>
    <x v="0"/>
    <x v="1"/>
    <n v="1045"/>
    <m/>
    <s v="Casa/Tanger"/>
    <n v="94.953999999999994"/>
    <x v="8"/>
    <s v="N2"/>
    <s v="Ralentissement du train"/>
    <s v="* Etat H.O : HO complete  entre 318 et 317_x000a_* qualité /niveau de signal : dl rx-qual=0 dl rx level = -48dbm_x000a_* Requête de déconnexion a été envoyé par le RBC_x000a_"/>
    <m/>
    <x v="0"/>
    <s v="En attente de mise en place des tiroires filtrés "/>
    <s v="HO complete  entre 318 et 317"/>
    <s v="dl Rxqual=0"/>
    <s v="dl rx level= -48"/>
    <s v="OK"/>
    <s v="OK"/>
    <s v="Mauvais"/>
    <s v="  Retransmission des trames HDLC*5"/>
    <m/>
    <s v="ELHAJOUIA Achraf"/>
    <m/>
    <m/>
    <m/>
    <m/>
    <m/>
    <m/>
    <m/>
  </r>
  <r>
    <n v="974"/>
    <b v="0"/>
    <x v="316"/>
    <d v="1899-12-30T19:35:15"/>
    <n v="2053"/>
    <x v="5"/>
    <x v="0"/>
    <n v="1025"/>
    <m/>
    <s v="Tanger/Casa"/>
    <n v="144.32599999999999"/>
    <x v="3"/>
    <s v="N2"/>
    <s v="Ralentissement du train"/>
    <s v="* Etat H.O : HO complete  entre 224 et 225_x000a_* qualité /niveau de signal : dl rx-qual=3 dl rx level = -64dbm_x000a_* Requête de déconnexion a été envoyé par le RBC_x000a_"/>
    <m/>
    <x v="3"/>
    <s v="En attente de pousser les analyses coté RBC"/>
    <s v="HO complete  entre 224 et 225"/>
    <s v="dl Rxqual=3"/>
    <s v="dl rx level= -64"/>
    <s v="OK"/>
    <s v="OK"/>
    <s v="Mauvais"/>
    <s v="  Pas de Retransmission des trames HDLC"/>
    <m/>
    <s v="ELHAJOUIA Achraf"/>
    <m/>
    <m/>
    <m/>
    <m/>
    <m/>
    <m/>
    <m/>
  </r>
  <r>
    <n v="975"/>
    <b v="0"/>
    <x v="317"/>
    <d v="1899-12-30T18:28:04"/>
    <n v="2049"/>
    <x v="10"/>
    <x v="0"/>
    <n v="1057"/>
    <m/>
    <s v="Tanger/Casa"/>
    <n v="108.206"/>
    <x v="1"/>
    <s v="N2"/>
    <s v="Ralentissement du train"/>
    <s v="* Etat H.O : HO Non finalisé  entre 219 et 320_x000a_* qualité /niveau de signal : dl rx-qual=7 dl rx level = -81dbm_x000a_* Requête de déconnexion a été envoyé par le bord_x000a_"/>
    <m/>
    <x v="2"/>
    <s v="En attente de mise en place des tiroires filtrés / zone sous surveillence par le NOC"/>
    <s v="HO Non finalisé  entre 219 et 320"/>
    <s v="dl Rxqual=7"/>
    <s v="dl rx level= -81"/>
    <s v="OK"/>
    <s v="OK"/>
    <s v="Mauvais"/>
    <s v="  Pas de Retransmission des trames HDLC"/>
    <m/>
    <s v="ELHAJOUIA Achraf"/>
    <m/>
    <m/>
    <m/>
    <m/>
    <m/>
    <m/>
    <m/>
  </r>
  <r>
    <n v="976"/>
    <b v="0"/>
    <x v="318"/>
    <d v="1899-12-30T15:05:47"/>
    <n v="2037"/>
    <x v="6"/>
    <x v="0"/>
    <n v="1057"/>
    <m/>
    <s v="Tanger/Casa"/>
    <n v="6.13"/>
    <x v="2"/>
    <s v="N2"/>
    <s v="Ralentissement du train"/>
    <s v="* Etat H.O : HO Non finalisé entre 202 et 303  _x000a_* qualité /niveau de signal : dl rx-qual=7, dl rx level = -52 dbm_x000a_* Requête de déconnexion a été envoyé par le RBC_x000a_"/>
    <m/>
    <x v="0"/>
    <s v="En attente de mise en place des tiroires filtrés "/>
    <s v="HO Non finalisé entre 202 et 303  "/>
    <s v="dl Rxqual=7"/>
    <s v="dl rx level= -52"/>
    <s v="NOK"/>
    <s v="OK"/>
    <s v="Mauvais"/>
    <s v="  Retransmission des trames HDLC*5"/>
    <m/>
    <s v="Saad Elhabib"/>
    <m/>
    <m/>
    <m/>
    <m/>
    <m/>
    <m/>
    <m/>
  </r>
  <r>
    <n v="977"/>
    <b v="0"/>
    <x v="318"/>
    <d v="1899-12-30T19:04:40"/>
    <n v="2053"/>
    <x v="8"/>
    <x v="0"/>
    <n v="1043"/>
    <m/>
    <s v="Tanger/Casa"/>
    <n v="6.13"/>
    <x v="2"/>
    <s v="N2"/>
    <s v="Ralentissement du train"/>
    <s v="* Etat H.O : HO finalisé entre 202 et 303  (avec downlink quality)_x000a_* qualité /niveau de signal : dl rx-qual=6, dl rx level = -60 dbm_x000a_* Requête de déconnexion a été envoyé par le RBC_x000a_"/>
    <m/>
    <x v="0"/>
    <s v="En attente de mise en place des tiroires filtrés "/>
    <s v="HO finalisé entre 202 et 303"/>
    <s v="dl Rxqual=6"/>
    <s v="dl rx level= -60"/>
    <s v="NOK"/>
    <s v="OK"/>
    <s v="Mauvais"/>
    <s v="  Retransmission des trames HDLC*5"/>
    <m/>
    <s v="Saad Elhabib"/>
    <m/>
    <m/>
    <m/>
    <m/>
    <m/>
    <m/>
    <m/>
  </r>
  <r>
    <n v="978"/>
    <b v="0"/>
    <x v="319"/>
    <d v="1899-12-30T07:46:50"/>
    <n v="1001"/>
    <x v="6"/>
    <x v="1"/>
    <n v="1023"/>
    <m/>
    <s v="Casa/Tanger"/>
    <n v="94.953999999999994"/>
    <x v="8"/>
    <s v="N2"/>
    <s v="Ralentissement du train"/>
    <s v="* Etat H.O : HO non finalisé entre 318 et 317_x000a_* qualité /niveau de signal : Dégradé_x000a_* Requête de déconnexion a été envoyé par le RBC_x000a_"/>
    <m/>
    <x v="1"/>
    <s v="Qualité de signal dégradée 18-&gt;17/ Attente Chantier Optimisation"/>
    <s v="HO Non finalisé entre 318 et 317 "/>
    <s v="dl Rxqual=7"/>
    <s v="dl rx level= -52"/>
    <s v="OK"/>
    <s v="OK"/>
    <s v="Mauvais"/>
    <s v="  Retransmission des trames HDLC*5"/>
    <m/>
    <s v="Noura MOUSSAOUI"/>
    <m/>
    <m/>
    <m/>
    <m/>
    <m/>
    <m/>
    <m/>
  </r>
  <r>
    <n v="979"/>
    <b v="0"/>
    <x v="319"/>
    <s v="09:45:56 "/>
    <n v="1011"/>
    <x v="2"/>
    <x v="1"/>
    <n v="1061"/>
    <m/>
    <s v="Casa/Tanger"/>
    <n v="94.953999999999994"/>
    <x v="8"/>
    <s v="N2"/>
    <s v="Ralentissement du train"/>
    <s v="* Etat H.O : HO finalisé entre 318 et 217_x000a_* qualité /niveau de signal : Dégradé_x000a_* Requête de déconnexion a été envoyé par le RBC_x000a_"/>
    <m/>
    <x v="1"/>
    <s v="Qualité de signal dégradée 18-&gt;17/ Attente Chantier Optimisation"/>
    <s v="HO finalisé entre 318 et 317 "/>
    <s v="dl Rxqual=6"/>
    <s v="dl rx level= -60"/>
    <s v="NOK"/>
    <s v="OK"/>
    <s v="Mauvais"/>
    <s v="  Retransmission des trames HDLC*5"/>
    <m/>
    <s v="Noura MOUSSAOUI"/>
    <m/>
    <m/>
    <m/>
    <m/>
    <m/>
    <m/>
    <m/>
  </r>
  <r>
    <n v="980"/>
    <b v="0"/>
    <x v="320"/>
    <d v="1899-12-30T10:16:54"/>
    <n v="1009"/>
    <x v="0"/>
    <x v="1"/>
    <n v="1044"/>
    <m/>
    <s v="Casa/Tanger"/>
    <n v="7.3209999999999997"/>
    <x v="2"/>
    <s v="N2"/>
    <s v="Ralentissement du train"/>
    <s v="* Etat H.O : HO complet entre 303 et 302(downlink quality)_x000a_* qualité /niveau de signal : dl rx-qual=7, dl rx level = -74 dbm_x000a_* Requête de déconnexion a été envoyé par le RBC_x000a_"/>
    <m/>
    <x v="0"/>
    <s v="En attente de mise en place des tiroires filtrés "/>
    <s v="HO finalisé entre 303 et 302"/>
    <s v="dl Rxqual=7"/>
    <s v="dl rx level= -74"/>
    <s v="OK"/>
    <s v="OK"/>
    <s v="Mauvais"/>
    <s v="  Retransmission des trames HDLC*5"/>
    <m/>
    <s v="Noura MOUSSAOUI"/>
    <m/>
    <m/>
    <m/>
    <m/>
    <m/>
    <m/>
    <m/>
  </r>
  <r>
    <n v="981"/>
    <b v="0"/>
    <x v="320"/>
    <d v="1899-12-30T20:04:41"/>
    <n v="2057"/>
    <x v="7"/>
    <x v="0"/>
    <n v="1054"/>
    <m/>
    <s v="Tanger/Casa"/>
    <n v="6.13"/>
    <x v="2"/>
    <s v="N2"/>
    <s v="Arrêt du train"/>
    <s v="* Etat H.O : HO Non finalisé entre 202 et 203_x000a_* qualité /niveau de signal : dl rx-qual=7, dl rx level = -51 dbm_x000a_* Requête de déconnexion a été envoyé par le RBC_x000a_"/>
    <m/>
    <x v="0"/>
    <s v="En attente de mise en place des tiroires filtrés "/>
    <s v="HO non finalisé entre 202 et 203"/>
    <s v="dl Rxqual=7"/>
    <s v="dl rx level= -51"/>
    <s v="OK"/>
    <s v="OK"/>
    <s v="Mauvais"/>
    <s v="  Retransmission des trames HDLC*5"/>
    <m/>
    <s v="MAROUANI Otmane"/>
    <m/>
    <m/>
    <m/>
    <m/>
    <m/>
    <m/>
    <m/>
  </r>
  <r>
    <n v="982"/>
    <b v="0"/>
    <x v="320"/>
    <d v="1899-12-30T21:06:49"/>
    <n v="1053"/>
    <x v="10"/>
    <x v="1"/>
    <n v="1028"/>
    <m/>
    <s v="Casa/Tanger"/>
    <n v="7.3209999999999997"/>
    <x v="2"/>
    <s v="N2"/>
    <s v="Ralentissement du train"/>
    <s v="* Etat H.O : HO complet entre 202 et 303 (downlink quality)_x000a_* qualité /niveau de signal : dl rx-qual=7, dl rx level = -68 dbm_x000a_* Requête de déconnexion a été envoyé par le RBC_x000a_"/>
    <m/>
    <x v="0"/>
    <s v="En attente de mise en place des tiroires filtrés "/>
    <s v="HO complet entre 202 et 303"/>
    <s v="dl Rxqual=7"/>
    <s v="dl rx level= -68"/>
    <s v="OK"/>
    <s v="OK"/>
    <s v="Mauvais"/>
    <s v="  Retransmission des trames HDLC*5"/>
    <m/>
    <s v="Saad Elhabib"/>
    <m/>
    <m/>
    <m/>
    <m/>
    <m/>
    <m/>
    <m/>
  </r>
  <r>
    <n v="983"/>
    <b v="0"/>
    <x v="321"/>
    <d v="1899-12-30T06:12:24"/>
    <n v="10075"/>
    <x v="0"/>
    <x v="0"/>
    <n v="1036"/>
    <m/>
    <s v="Tanger/Casa"/>
    <n v="186.315"/>
    <x v="19"/>
    <s v="N2"/>
    <s v="Ralentissement du train"/>
    <s v="* Etat H.O : HO complet entre 232 et 233 _x000a_* qualité /niveau de signal : dl rx-qual=0, dl rx level = -48 dbm_x000a_* Requête de déconnexion a été envoyé par le RBC_x000a_"/>
    <m/>
    <x v="0"/>
    <s v="En attente de mise en place des tiroires filtrés "/>
    <s v="HO complet entre 232 et 233 "/>
    <s v="dl Rxqual=0"/>
    <s v="dl rx level= -48"/>
    <s v="OK"/>
    <s v="OK"/>
    <s v="Mauvais"/>
    <s v="  Retransmission des trames HDLC*5"/>
    <m/>
    <s v="Saad Elhabib"/>
    <m/>
    <m/>
    <m/>
    <m/>
    <m/>
    <m/>
    <m/>
  </r>
  <r>
    <n v="984"/>
    <b v="0"/>
    <x v="321"/>
    <d v="1899-12-30T09:05:04"/>
    <n v="1005"/>
    <x v="5"/>
    <x v="1"/>
    <n v="1027"/>
    <m/>
    <s v="Casa/Tanger"/>
    <n v="7.3209999999999997"/>
    <x v="2"/>
    <s v="N2"/>
    <s v="Ralentissement du train"/>
    <s v="* Etat H.O : HO complet entre 303 et 302_x000a_* qualité /niveau de signal : dl rx-qual=7 dl rx level = -74 dbm_x000a_* Requête de déconnexion a été envoyé par le RBC_x000a_"/>
    <m/>
    <x v="0"/>
    <s v="En attente de mise en place des tiroires filtrés "/>
    <s v="HO complet entre 303 et 302"/>
    <s v="dl Rxqual=7"/>
    <s v="dl rx level= -74"/>
    <s v="OK"/>
    <s v="OK"/>
    <s v="Mauvais"/>
    <s v="  Retransmission des trames HDLC*5"/>
    <m/>
    <m/>
    <m/>
    <m/>
    <m/>
    <m/>
    <m/>
    <m/>
    <m/>
  </r>
  <r>
    <n v="985"/>
    <b v="0"/>
    <x v="321"/>
    <d v="1899-12-30T10:35:16"/>
    <n v="2017"/>
    <x v="10"/>
    <x v="0"/>
    <n v="1041"/>
    <m/>
    <s v="Tanger/Casa"/>
    <n v="148.02199999999999"/>
    <x v="3"/>
    <s v="N2"/>
    <s v="Arrêt du train"/>
    <s v="* Etat H.O : HO complet entre 224 et 225_x000a_* qualité /niveau de signal : absence mesure_x000a_* Requête de déconnexion a été envoyé par le RBC_x000a_"/>
    <m/>
    <x v="3"/>
    <s v="En attente de pousser les analyses coté RBC"/>
    <s v="HO complet entre 224 et 225"/>
    <s v="dl Rxqual="/>
    <s v="dl rx level= "/>
    <m/>
    <s v="OK"/>
    <s v="Mauvais"/>
    <s v="Pas de retransmission"/>
    <m/>
    <s v="ISMALI ALAOUI Hamza"/>
    <m/>
    <m/>
    <m/>
    <m/>
    <m/>
    <m/>
    <m/>
  </r>
  <r>
    <n v="986"/>
    <b v="0"/>
    <x v="321"/>
    <d v="1899-12-30T16:05:12"/>
    <n v="2041"/>
    <x v="11"/>
    <x v="0"/>
    <n v="1049"/>
    <m/>
    <s v="Tanger/Casa"/>
    <n v="6.13"/>
    <x v="2"/>
    <s v="N2"/>
    <s v="Arrêt du train"/>
    <s v="* Etat H.O : HO complet entre 202 et 203_x000a_* qualité /niveau de signal : dl rx-qual=7 dl rx level = -65 dbm_x000a_* Requête de déconnexion a été envoyé par le RBC_x000a_"/>
    <m/>
    <x v="0"/>
    <s v="En attente de mise en place des tiroires filtrés "/>
    <s v="HO complet entre 202 et 303"/>
    <s v="dl Rxqual=7"/>
    <s v="dl rx level= -65"/>
    <s v="OK"/>
    <s v="OK"/>
    <s v="Mauvais"/>
    <s v="  Retransmission des trames HDLC*5"/>
    <m/>
    <s v="MAROUANI Otmane"/>
    <m/>
    <m/>
    <m/>
    <m/>
    <m/>
    <m/>
    <m/>
  </r>
  <r>
    <n v="987"/>
    <b v="0"/>
    <x v="321"/>
    <d v="1899-12-30T18:34:59"/>
    <n v="2049"/>
    <x v="2"/>
    <x v="0"/>
    <n v="7218"/>
    <m/>
    <s v="Tanger/Casa"/>
    <n v="144.32599999999999"/>
    <x v="3"/>
    <s v="N2"/>
    <s v="Arrêt du train"/>
    <s v="* Etat H.O : HO complet entre 224 et 225_x000a_* qualité /niveau de signal : dl rx-qual=2 dl rx level = -71 dbm_x000a_* Requête de déconnexion a été envoyé par le RBC_x000a_"/>
    <m/>
    <x v="0"/>
    <s v="En attente de mise en place des tiroires filtrés "/>
    <s v="HO complet entre 224 et 225"/>
    <s v="dl Rxqual=2"/>
    <s v="dl rx level= -71"/>
    <s v="OK"/>
    <s v="OK"/>
    <s v="Mauvais"/>
    <s v="  Retransmission des trames HDLC*5"/>
    <m/>
    <s v="MAROUANI Otmane"/>
    <m/>
    <m/>
    <m/>
    <m/>
    <m/>
    <m/>
    <m/>
  </r>
  <r>
    <n v="988"/>
    <b v="0"/>
    <x v="322"/>
    <d v="1899-12-30T09:45:11"/>
    <n v="1010"/>
    <x v="0"/>
    <x v="1"/>
    <n v="1045"/>
    <m/>
    <s v="Casa/Tanger"/>
    <n v="94.953999999999994"/>
    <x v="8"/>
    <s v="N2"/>
    <s v="Ralentissement du train"/>
    <s v="* Etat H.O : HO non finalisé entre 318 et 317_x000a_* qualité /niveau de signal : dl rx-qual=7, dl rx level =-83dbm_x000a_* Requête de déconnexion a été envoyé par le RBC_x000a_"/>
    <m/>
    <x v="1"/>
    <s v="Qualité de signal dégradée 18-&gt;17/ Attente Chantier Optimisation"/>
    <s v="HO Non finalisé entre 318 et 317 "/>
    <s v="dl Rxqual=7"/>
    <s v="dl rx level= -83"/>
    <s v="OK"/>
    <s v="OK"/>
    <s v="Mauvais"/>
    <s v="  Retransmission des trames HDLC*5"/>
    <m/>
    <s v="LAGDEM Elmehdi"/>
    <m/>
    <m/>
    <m/>
    <m/>
    <m/>
    <m/>
    <m/>
  </r>
  <r>
    <n v="989"/>
    <b v="0"/>
    <x v="323"/>
    <d v="1899-12-30T16:35:51"/>
    <n v="2041"/>
    <x v="4"/>
    <x v="0"/>
    <n v="1058"/>
    <m/>
    <s v="Tanger/Casa"/>
    <n v="146.738"/>
    <x v="3"/>
    <s v="N2"/>
    <s v="Ralentissement du train"/>
    <s v="* Etat H.O : HO  finalisé entre 225 et 226_x000a_* qualité /niveau de signal : dl rx-qual=1, dl rx level =-68dbm_x000a_* Requête de déconnexion a été envoyé par le RBC_x000a_"/>
    <m/>
    <x v="3"/>
    <s v="En attente de pousser les analyses coté RBC"/>
    <s v="HO  finalisé entre 225 et 226 "/>
    <s v="dl Rxqual=1"/>
    <s v="dl rx level= -68"/>
    <s v="OK"/>
    <s v="OK"/>
    <s v="Mauvais"/>
    <s v="  Pas de Retransmission des trames HDLC"/>
    <m/>
    <s v="ELGUEZZAR Anas"/>
    <m/>
    <m/>
    <m/>
    <m/>
    <m/>
    <m/>
    <m/>
  </r>
  <r>
    <n v="990"/>
    <b v="0"/>
    <x v="323"/>
    <d v="1899-12-30T14:05:39"/>
    <n v="2033"/>
    <x v="11"/>
    <x v="0"/>
    <n v="1049"/>
    <m/>
    <s v="Tanger/Casa"/>
    <n v="6.13"/>
    <x v="2"/>
    <s v="N2"/>
    <s v="Arrêt du train"/>
    <s v="* Etat H.O : HO complet entre 202 et 303 avec downlink quality_x000a_* qualité /niveau de signal : dl rx-qual=7, dl rx level =-65dbm_x000a_* Requête de déconnexion a été envoyé par le RBC_x000a_"/>
    <m/>
    <x v="0"/>
    <s v="En attente de mise en place des tiroires filtrés "/>
    <s v="HO complet entre 202 et 303 avec downlink quality"/>
    <s v="dl Rxqual=7"/>
    <s v="dl rx level= -65"/>
    <s v="OK"/>
    <s v="OK"/>
    <s v="Mauvais"/>
    <s v="  Retransmission des trames HDLC*5"/>
    <m/>
    <s v="Noura MOUSSAOUI"/>
    <m/>
    <m/>
    <m/>
    <m/>
    <m/>
    <m/>
    <m/>
  </r>
  <r>
    <n v="991"/>
    <b v="0"/>
    <x v="323"/>
    <d v="1899-12-30T14:09:17"/>
    <n v="2033"/>
    <x v="11"/>
    <x v="0"/>
    <n v="1049"/>
    <m/>
    <s v="Tanger/Casa"/>
    <n v="7.3810000000000002"/>
    <x v="2"/>
    <s v="N2"/>
    <s v="Arrêt du train"/>
    <s v="* Etat H.O : Ho recul non finalisé 303 et 202_x000a_* qualité /niveau de signal : Dégradé_x000a_* Requête de déconnexion a été envoyé par le BORD_x000a_"/>
    <m/>
    <x v="0"/>
    <s v="En attente de mise en place des tiroires filtrés "/>
    <s v="Ho recul non finalisé 303 et 202"/>
    <m/>
    <m/>
    <s v="NOK"/>
    <s v="OK"/>
    <m/>
    <s v="  Retransmission des trames HDLC*5"/>
    <m/>
    <s v="Noura MOUSSAOUI"/>
    <m/>
    <m/>
    <m/>
    <m/>
    <m/>
    <m/>
    <m/>
  </r>
  <r>
    <n v="992"/>
    <b v="0"/>
    <x v="323"/>
    <d v="1899-12-30T19:19:00"/>
    <n v="1045"/>
    <x v="11"/>
    <x v="1"/>
    <n v="1072"/>
    <m/>
    <s v="Casa/Tanger"/>
    <n v="7.3810000000000002"/>
    <x v="2"/>
    <s v="N2"/>
    <s v="Arrêt du train"/>
    <s v="* HO non finalisé  entre 302 et 203 avec downlink quality_x000a_* qualité /niveau de signal : dl rx-qual=7, dl rx level = -55dbm_x000a_* Requête de déconnexion a été envoyé par le RBC_x000a__x000a_"/>
    <m/>
    <x v="0"/>
    <s v="En attente de mise en place des tiroires filtrés "/>
    <s v="HO non finalisé  entre 302 et 203"/>
    <s v="dl Rxqual=7"/>
    <s v="dl rx level= -55"/>
    <s v="NOK"/>
    <s v="OK"/>
    <m/>
    <s v="  Retransmission des trames HDLC*5"/>
    <m/>
    <s v="Nassim NAJIM"/>
    <m/>
    <m/>
    <m/>
    <m/>
    <m/>
    <m/>
    <m/>
  </r>
  <r>
    <n v="993"/>
    <b v="0"/>
    <x v="323"/>
    <d v="1899-12-30T21:03:50"/>
    <n v="1053"/>
    <x v="2"/>
    <x v="1"/>
    <n v="1060"/>
    <m/>
    <s v="Casa/Tanger"/>
    <n v="7.3209999999999997"/>
    <x v="2"/>
    <s v="N2"/>
    <s v="Arrêt du train"/>
    <s v="* Etat H.O : HO non finalisé entre 302 et 203_x000a_* qualité /niveau de signal : dl rx-qual=7, dl rx level =-57dbm_x000a_* Requête de déconnexion a été envoyé par le Bord_x000a_"/>
    <m/>
    <x v="0"/>
    <s v="En attente de mise en place des tiroires filtrés "/>
    <s v="HO Non finalisé entre 302 et 203 "/>
    <s v="dl Rxqual=7"/>
    <s v="dl rx level= -57"/>
    <s v="OK"/>
    <s v="OK"/>
    <s v="Mauvais"/>
    <s v="  Retransmission des trames HDLC*5"/>
    <m/>
    <s v="HAMZAOUI Youssef"/>
    <m/>
    <m/>
    <m/>
    <m/>
    <m/>
    <m/>
    <m/>
  </r>
  <r>
    <n v="994"/>
    <b v="0"/>
    <x v="324"/>
    <d v="1899-12-30T11:46:46"/>
    <n v="2017"/>
    <x v="2"/>
    <x v="1"/>
    <n v="1061"/>
    <m/>
    <s v="Casa/Tanger"/>
    <n v="94.953999999999994"/>
    <x v="8"/>
    <s v="N2"/>
    <s v="Ralentissement du train"/>
    <s v="* Etat H.O : HO non finalisé entre 318 et 317_x000a_* qualité /niveau de signal : dl rx-qual=7, dl rx level = -81dbm_x000a_* Requête de déconnexion a été envoyé par le RBC_x000a_"/>
    <m/>
    <x v="1"/>
    <s v="Qualité de signal dégradée 18-&gt;17/ Attente Chantier Optimisation"/>
    <s v="HO non finalisé entre 318 et 317"/>
    <s v="dl Rxqual=7"/>
    <s v="dl rx level= -81"/>
    <s v="OK"/>
    <s v="OK"/>
    <s v="Mauvais"/>
    <s v="  Retransmission des trames HDLC*5"/>
    <m/>
    <s v="Noura MOUSSAOUI"/>
    <m/>
    <m/>
    <m/>
    <m/>
    <m/>
    <m/>
    <m/>
  </r>
  <r>
    <n v="995"/>
    <b v="0"/>
    <x v="324"/>
    <d v="1899-12-30T12:45:18"/>
    <n v="2021"/>
    <x v="3"/>
    <x v="1"/>
    <n v="1008"/>
    <m/>
    <s v="Casa/Tanger"/>
    <n v="94.953999999999994"/>
    <x v="8"/>
    <s v="N2"/>
    <s v="Ralentissement du train"/>
    <s v="* Etat H.O : HO non finalisé entre 318 et 317_x000a_* qualité /niveau de signal : dl rx-qual=7, dl rx level = -85dbm_x000a_* Requête de déconnexion a été envoyé par le RBC_x000a_"/>
    <m/>
    <x v="1"/>
    <s v="Qualité de signal dégradée 18-&gt;17/ Attente Chantier Optimisation"/>
    <s v="HO non finalisé entre 318 et 318"/>
    <s v="dl Rxqual=7"/>
    <s v="dl rx level= -85"/>
    <s v="OK"/>
    <s v="OK"/>
    <s v="Mauvais"/>
    <s v="  Retransmission des trames HDLC*5"/>
    <m/>
    <s v="Noura MOUSSAOUI"/>
    <m/>
    <m/>
    <m/>
    <m/>
    <m/>
    <m/>
    <m/>
  </r>
  <r>
    <n v="996"/>
    <b v="0"/>
    <x v="324"/>
    <d v="1899-12-30T18:05:25"/>
    <n v="2049"/>
    <x v="4"/>
    <x v="0"/>
    <n v="1058"/>
    <m/>
    <s v="Tanger/Casa"/>
    <n v="6.13"/>
    <x v="2"/>
    <s v="N2"/>
    <s v="Arrêt du train"/>
    <s v="finalisé  entre 202 et 303 avec downlink quality_x000a_* qualité /niveau de signal : dl rx-qual=7, dl rx level = -67dbm_x000a_* Requête de déconnexion a été envoyé par le RBC_x000a__x000a_"/>
    <m/>
    <x v="0"/>
    <s v="En attente de mise en place des tiroires filtrés "/>
    <s v="HO  finalisé entre 202 et 303"/>
    <s v="dl Rxqual=7"/>
    <s v="dl rx level= -67"/>
    <s v="OK"/>
    <s v="OK"/>
    <s v="Mauvais"/>
    <s v="  Retransmission des trames HDLC*5"/>
    <m/>
    <s v="Nassim NAJIM"/>
    <m/>
    <m/>
    <m/>
    <m/>
    <m/>
    <m/>
    <m/>
  </r>
  <r>
    <n v="997"/>
    <b v="0"/>
    <x v="325"/>
    <d v="1899-12-30T11:35:05"/>
    <n v="2021"/>
    <x v="4"/>
    <x v="0"/>
    <n v="1058"/>
    <m/>
    <s v="Tanger/Casa"/>
    <n v="144.32599999999999"/>
    <x v="3"/>
    <s v="N2"/>
    <s v="Ralentissement du train"/>
    <s v="* Etat H.O : HO complet entre 224 et 225_x000a_* qualité /niveau de signal : dl rx-qual=0, dl rx level = -62dbm_x000a_* Requête de déconnexion a été envoyé par le RBC_x000a__x000a_"/>
    <m/>
    <x v="3"/>
    <s v="En attente de pousser les analyses coté RBC"/>
    <s v="HO complet entre 224 et 225"/>
    <s v="dl Rxqual=0"/>
    <s v="dl rx level= -62"/>
    <s v="OK"/>
    <s v="OK"/>
    <s v="Mauvais"/>
    <s v="  Pas de Retransmission des trames HDLC"/>
    <m/>
    <s v="Noura MOUSSAOUI"/>
    <m/>
    <m/>
    <m/>
    <m/>
    <m/>
    <m/>
    <m/>
  </r>
  <r>
    <n v="998"/>
    <b v="0"/>
    <x v="325"/>
    <d v="1899-12-30T22:38:28"/>
    <n v="1061"/>
    <x v="3"/>
    <x v="1"/>
    <n v="1007"/>
    <m/>
    <s v="Casa/Tanger"/>
    <n v="127.815"/>
    <x v="6"/>
    <s v="N2"/>
    <s v="Ralentissement du train"/>
    <s v="* Etat H.O : HO Non finalisé entre 223 et 322_x000a_* qualité /niveau de signal : dl rx-qual=6, dl rx level = -76dbm_x000a_* Requête de déconnexion a été envoyé par le bord"/>
    <m/>
    <x v="2"/>
    <s v="Zone sous surveillence par le NOC/En attente de mise en place des tiroires filtrés "/>
    <s v="HO Non finalisé entre 223 et 322"/>
    <s v="dl Rxqual=6"/>
    <s v="dl rx level= -76"/>
    <s v="OK"/>
    <s v="OK"/>
    <s v="Mauvais"/>
    <s v="  Retransmission des trames HDLC*5"/>
    <m/>
    <s v="ELHAJOUIA Achraf"/>
    <m/>
    <m/>
    <m/>
    <m/>
    <m/>
    <m/>
    <m/>
  </r>
  <r>
    <n v="999"/>
    <b v="0"/>
    <x v="326"/>
    <d v="1899-12-30T15:05:03"/>
    <n v="2037"/>
    <x v="11"/>
    <x v="0"/>
    <n v="1049"/>
    <m/>
    <s v="Tanger/Casa"/>
    <n v="6.13"/>
    <x v="2"/>
    <s v="N2"/>
    <s v="Ralentissement du train"/>
    <s v="* Etat H.O : HO complet entre 202 et 303 avec downlink quality_x000a_* qualité /niveau de signal : dl rx-qual=7, dl rx level = -67dbm_x000a_* Requête de déconnexion a été envoyé par le RBC"/>
    <m/>
    <x v="0"/>
    <s v="En attente de mise en place des tiroires filtrés "/>
    <s v="HO complet entre 202 et 303 avec downlink quality"/>
    <s v="dl Rxqual=7"/>
    <s v="dl rx level= -67"/>
    <s v="OK"/>
    <s v="OK"/>
    <s v="Mauvais"/>
    <s v="  Retransmission des trames HDLC*5"/>
    <m/>
    <s v="Noura MOUSSAOUI"/>
    <m/>
    <m/>
    <m/>
    <m/>
    <m/>
    <m/>
    <m/>
  </r>
  <r>
    <n v="1000"/>
    <b v="0"/>
    <x v="326"/>
    <d v="1899-12-30T19:56:49"/>
    <n v="1050"/>
    <x v="11"/>
    <x v="1"/>
    <n v="1020"/>
    <m/>
    <s v="Casa/Tanger"/>
    <n v="39.215000000000003"/>
    <x v="14"/>
    <s v="N2"/>
    <s v="Ralentissement du train"/>
    <s v="* Etat H.O : Ho non finalisé entre 308 et 307_x000a_* qualité /niveau de signal :dl rx-qual=0, dl rx level = -67dbm_x000a_* Requête de déconnexion a été envoyé par le Bord_x000a__x000a_"/>
    <m/>
    <x v="2"/>
    <s v="Zone sous surveillence par le NOC/En attente de mise en place des tiroires filtrés "/>
    <s v="HO Non finalisé entre 308 et 307 "/>
    <s v="dl Rxqual=0"/>
    <s v="dl rx level= -67"/>
    <s v="NOK"/>
    <s v="OK"/>
    <s v="Mauvais"/>
    <s v="  Retransmission des trames HDLC*5"/>
    <m/>
    <s v="HARIRI Bahaeddine"/>
    <m/>
    <m/>
    <m/>
    <m/>
    <m/>
    <m/>
    <m/>
  </r>
  <r>
    <n v="1001"/>
    <b v="0"/>
    <x v="327"/>
    <d v="1899-12-30T07:24:29"/>
    <n v="2005"/>
    <x v="10"/>
    <x v="0"/>
    <n v="1057"/>
    <m/>
    <s v="Tanger/Casa"/>
    <n v="88.911000000000001"/>
    <x v="12"/>
    <s v="N2"/>
    <s v="Ralentissement du train"/>
    <s v="* Etat H.O : Ho non finalisé entre 216 et 217_x000a_* qualité /niveau de signal :dl rx-qual=0, dl rx level = -67dbm_x000a_* Requête de déconnexion a été envoyé par le RBC _x000a_"/>
    <m/>
    <x v="2"/>
    <s v="Zone sous surveillence par le NOC/En attente de mise en place des tiroires filtrés "/>
    <s v="HO Non finalisé entre 216 et 217"/>
    <s v="dl Rxqual=0"/>
    <s v="dl rx level= -67"/>
    <s v="NOK"/>
    <s v="OK"/>
    <s v="Mauvais"/>
    <s v="  Retransmission des trames HDLC*5"/>
    <m/>
    <s v="ELHAJOUIA Achraf"/>
    <m/>
    <m/>
    <m/>
    <m/>
    <m/>
    <m/>
    <m/>
  </r>
  <r>
    <n v="1002"/>
    <b v="0"/>
    <x v="327"/>
    <d v="1899-12-30T11:05:03"/>
    <n v="2021"/>
    <x v="11"/>
    <x v="0"/>
    <n v="1048"/>
    <m/>
    <s v="Tanger/Casa"/>
    <n v="6.13"/>
    <x v="2"/>
    <s v="N2"/>
    <s v="Ralentissement du train"/>
    <s v="* Etat H.O : Ho Complet entre 302 et 303_x000a_* qualité /niveau de signal :dl rx-qual=5, dl rx level = -68dbm_x000a_* Requête de déconnexion a été envoyé par le RBC _x000a_"/>
    <m/>
    <x v="0"/>
    <s v="En attente de mise en place des tiroires filtrés "/>
    <s v="HO complet entre 302 et 303"/>
    <s v="dl Rxqual=5"/>
    <s v="dl rx level= -68"/>
    <s v="NOK"/>
    <s v="OK"/>
    <s v="Mauvais"/>
    <s v="  Pas de Retransmission des trames HDLC"/>
    <m/>
    <s v="Fahd OUSSALH"/>
    <m/>
    <m/>
    <m/>
    <m/>
    <m/>
    <m/>
    <m/>
  </r>
  <r>
    <n v="1003"/>
    <b v="0"/>
    <x v="327"/>
    <d v="1899-12-30T16:37:02"/>
    <n v="1037"/>
    <x v="9"/>
    <x v="1"/>
    <n v="1035"/>
    <m/>
    <s v="Casa/Tanger"/>
    <n v="189.29900000000001"/>
    <x v="5"/>
    <s v="N2"/>
    <s v="Arrêt du train"/>
    <s v="* Etat H.O : Ho non finalisé entre 233 et 234_x000a_* qualité /niveau de signal :dl rx-qual=0, dl rx level = -54dbm_x000a_* Requête de déconnexion a été envoyé par le Bord"/>
    <m/>
    <x v="2"/>
    <s v="Zone sous surveillence par le NOC/En attente de mise en place des tiroires filtrés "/>
    <s v="HO complet entre 233 et 234"/>
    <s v="dl Rxqual=0"/>
    <s v="dl rx level= -54"/>
    <s v="OK"/>
    <s v="NOK"/>
    <s v="Mauvais"/>
    <s v="  Pas de Retransmission des trames HDLC"/>
    <m/>
    <s v="HAMZAOUI Youssef"/>
    <m/>
    <m/>
    <m/>
    <m/>
    <m/>
    <m/>
    <m/>
  </r>
  <r>
    <n v="1004"/>
    <b v="0"/>
    <x v="328"/>
    <d v="1899-12-30T12:05:19"/>
    <n v="2025"/>
    <x v="7"/>
    <x v="0"/>
    <n v="1039"/>
    <m/>
    <s v="Tanger/Casa"/>
    <n v="6.13"/>
    <x v="2"/>
    <s v="N2"/>
    <s v="Arrêt du train"/>
    <s v="* Etat H.O : Ho compet  entre 202  et 303_x000a_* qualité /niveau de signal :dl rx-qual=6, dl rx level = -67dbm_x000a_* Requête de déconnexion a été envoyé par le RBC _x000a_"/>
    <m/>
    <x v="0"/>
    <s v="En attente de mise en place des tiroires filtrés "/>
    <s v="HO complet entre 202 et 303"/>
    <s v="dl Rxqual=6"/>
    <s v="dl rx level= -67"/>
    <s v="OK"/>
    <s v="OK"/>
    <s v="Mauvais"/>
    <s v="  Retransmission des trames HDLC*5"/>
    <m/>
    <s v="Nassim NAJIM"/>
    <m/>
    <m/>
    <m/>
    <m/>
    <m/>
    <m/>
    <m/>
  </r>
  <r>
    <n v="1005"/>
    <b v="0"/>
    <x v="328"/>
    <d v="1899-12-30T14:03:41"/>
    <n v="1025"/>
    <x v="10"/>
    <x v="1"/>
    <n v="1028"/>
    <m/>
    <s v="Casa/Tanger"/>
    <n v="7.13"/>
    <x v="2"/>
    <s v="N2"/>
    <s v="Arrêt du train"/>
    <s v="* Etat H.O : Ho non compet  entre 202 et 303_x000a_* qualité /niveau de signal :dl rx-qual=5, dl rx level = -62dbm_x000a_* Requête de déconnexion a été envoyé par le Bord_x000a_"/>
    <m/>
    <x v="0"/>
    <s v="En attente de mise en place des tiroires filtrés "/>
    <s v="HO Non finalisé entre 202 et 303"/>
    <s v="dl Rxqual=5"/>
    <s v="dl rx level= -62"/>
    <s v="OK"/>
    <s v="OK"/>
    <s v="Mauvais"/>
    <s v="  Pas de Retransmission des trames HDLC"/>
    <m/>
    <s v="HAMZAOUI Youssef"/>
    <m/>
    <m/>
    <m/>
    <m/>
    <m/>
    <m/>
    <m/>
  </r>
  <r>
    <n v="1006"/>
    <b v="0"/>
    <x v="328"/>
    <d v="1899-12-30T15:43:03"/>
    <n v="2037"/>
    <x v="5"/>
    <x v="0"/>
    <n v="1024"/>
    <m/>
    <s v="Tanger/Casa"/>
    <n v="172.863"/>
    <x v="27"/>
    <s v="N2"/>
    <s v="Ralentissement du train"/>
    <s v="* Etat H.O : Ho non finalisé entre 229 et 230_x000a_* qualité /niveau de signal :dl rx-qual=0, dl rx level = -60dbm_x000a_* Requête de déconnexion a été envoyé par le Bord"/>
    <m/>
    <x v="2"/>
    <s v="Zone sous surveillence par le NOC/En attente de mise en place des tiroires filtrés "/>
    <s v="HO Non finalisé entre 229 et 230"/>
    <s v="dl Rxqual=0"/>
    <s v="dl rx level= -60"/>
    <s v="OK"/>
    <s v="OK"/>
    <s v="Mauvais"/>
    <s v="  Retransmission des trames HDLC*5"/>
    <m/>
    <s v="LAGDEM Elmehdi"/>
    <m/>
    <m/>
    <m/>
    <m/>
    <m/>
    <m/>
    <m/>
  </r>
  <r>
    <n v="1007"/>
    <b v="0"/>
    <x v="328"/>
    <d v="1899-12-30T17:45:38"/>
    <n v="1041"/>
    <x v="2"/>
    <x v="1"/>
    <n v="1061"/>
    <m/>
    <s v="Casa/Tanger"/>
    <n v="94.653999999999996"/>
    <x v="8"/>
    <s v="N2"/>
    <s v="Ralentissement du train"/>
    <s v="* Etat H.O : Ho non finalisé entre 318 et 317_x000a_* qualité /niveau de signal :dl rx-qual=7, dl rx level = -82dbm_x000a_* Requête de déconnexion a été envoyé par le RBC"/>
    <m/>
    <x v="1"/>
    <s v="Zone sous surveillence par le NOC"/>
    <s v="HO Non finalisé entre 318 et 317 "/>
    <s v="dl Rxqual=7"/>
    <s v="dl rx level= -82"/>
    <s v="OK"/>
    <s v="OK"/>
    <s v="Mauvais"/>
    <s v="  Retransmission des trames HDLC*5"/>
    <m/>
    <s v="LAGDEM Elmehdi"/>
    <m/>
    <m/>
    <m/>
    <m/>
    <m/>
    <m/>
    <m/>
  </r>
  <r>
    <n v="1008"/>
    <b v="0"/>
    <x v="328"/>
    <d v="1899-12-30T20:04:45"/>
    <n v="2057"/>
    <x v="4"/>
    <x v="0"/>
    <n v="1058"/>
    <m/>
    <s v="Tanger/Casa"/>
    <n v="6.13"/>
    <x v="2"/>
    <s v="N2"/>
    <s v="Ralentissement du train"/>
    <s v="* Etat H.O : Ho complet  entre 202 et 303_x000a_* qualité /niveau de signal :dl rx-qual=7, dl rx level = -64dbm_x000a_* Requête de déconnexion a été envoyé par le RBC_x000a_"/>
    <m/>
    <x v="0"/>
    <s v="En attente de mise en place des tiroires filtrés "/>
    <s v="HO complet entre 202 et 303"/>
    <s v="dl Rxqual=7"/>
    <s v="dl rx level= -64"/>
    <s v="OK"/>
    <s v="OK"/>
    <s v="Mauvais"/>
    <s v="  Retransmission des trames HDLC*5"/>
    <m/>
    <s v="LAGDEM Elmehdi"/>
    <m/>
    <m/>
    <m/>
    <m/>
    <m/>
    <m/>
    <m/>
  </r>
  <r>
    <n v="1009"/>
    <b v="0"/>
    <x v="329"/>
    <s v="11:43:14 "/>
    <n v="2017"/>
    <x v="5"/>
    <x v="1"/>
    <n v="1027"/>
    <m/>
    <s v="Casa/Tanger"/>
    <n v="108.206"/>
    <x v="1"/>
    <s v="N2"/>
    <s v="Ralentissement du train"/>
    <s v="* Etat H.O : Ho non finalisé  entre 220 et 319_x000a_* qualité /niveau de signal :dl rx-qual=0, dl rx level = -77dbm_x000a_* Requête de déconnexion a été envoyé par le RBC_x000a_"/>
    <m/>
    <x v="2"/>
    <s v="Zone sous surveillence par le NOC/En attente de mise en place des tiroires filtrés "/>
    <s v="HO Non finalisé entre 320 et 319"/>
    <s v="dl Rxqual=0"/>
    <s v="dl rx level= -77"/>
    <s v="NOK"/>
    <s v="OK"/>
    <s v="Mauvais"/>
    <s v="  Retransmission des trames HDLC*5"/>
    <m/>
    <s v="Noura MOUSSAOUI"/>
    <m/>
    <m/>
    <m/>
    <m/>
    <m/>
    <m/>
    <m/>
  </r>
  <r>
    <n v="1010"/>
    <b v="0"/>
    <x v="329"/>
    <s v=" 12:06:17"/>
    <n v="2017"/>
    <x v="5"/>
    <x v="1"/>
    <n v="1026"/>
    <m/>
    <s v="Casa/Tanger"/>
    <n v="7.3209999999999997"/>
    <x v="2"/>
    <s v="N2"/>
    <s v="Ralentissement du train"/>
    <s v="* Etat H.O : Ho non finalisé  entre 202 et 303_x000a_* qualité /niveau de signal :dl rx-qual=4, dl rx level = -50dbm_x000a_* Requête de déconnexion a été envoyé par le RBC_x000a_"/>
    <m/>
    <x v="0"/>
    <s v="En attente de mise en place des tiroires filtrés "/>
    <s v="Ho non finalisé entre 202 et 303"/>
    <s v="dl Rxqual=4"/>
    <s v="dl rx level= -50"/>
    <s v="NOK"/>
    <s v="OK"/>
    <s v="Mauvais"/>
    <s v="  Retransmission des trames HDLC*5"/>
    <m/>
    <s v="Noura MOUSSAOUI"/>
    <m/>
    <m/>
    <m/>
    <m/>
    <m/>
    <m/>
    <m/>
  </r>
  <r>
    <n v="1011"/>
    <b v="0"/>
    <x v="329"/>
    <s v=" 17:05:16"/>
    <n v="2045"/>
    <x v="11"/>
    <x v="0"/>
    <n v="1048"/>
    <m/>
    <s v="Tanger/Casa"/>
    <n v="6.13"/>
    <x v="2"/>
    <s v="N2"/>
    <s v="Arrêt du train"/>
    <s v="* Etat H.O : Ho non finalisé  entre 202 et 201_x000a_* qualité /niveau de signal :dl rx-qual=7, dl rx level = -51dbm_x000a_* Requête de déconnexion a été envoyé par le Bord_x000a_"/>
    <m/>
    <x v="0"/>
    <s v="En attente de mise en place des tiroires filtrés "/>
    <s v="Ho non finalisé entre 202 et 201"/>
    <s v="dl Rxqual=7"/>
    <s v="dl rx level= -51"/>
    <s v="OK"/>
    <s v="OK"/>
    <s v="Mauvais"/>
    <s v="  Pas de Retransmission des trames HDLC"/>
    <m/>
    <s v="HAMZAOUI Youssef"/>
    <m/>
    <m/>
    <m/>
    <m/>
    <m/>
    <m/>
    <m/>
  </r>
  <r>
    <n v="1012"/>
    <b v="0"/>
    <x v="329"/>
    <d v="1899-12-30T18:43:12"/>
    <n v="1045"/>
    <x v="9"/>
    <x v="1"/>
    <n v="1035"/>
    <m/>
    <s v="Casa/Tanger"/>
    <n v="108.206"/>
    <x v="1"/>
    <s v="N2"/>
    <s v="Ralentissement du train"/>
    <s v="* Etat H.O : Ho non finalisé entre 320 et 319_x000a_* qualité /niveau de signal :dl rx-qual=2, dl rx level = -77dbm_x000a_* Requête de déconnexion a été envoyé par le RBC_x000a_"/>
    <m/>
    <x v="2"/>
    <s v="Zone sous surveillence par le NOC/En attente de mise en place des tiroires filtrés "/>
    <s v="Ho non finalisé entre 320 et 319"/>
    <s v="dl Rxqual=2"/>
    <s v="dl rx level= -77"/>
    <s v="OK"/>
    <s v="OK"/>
    <s v="Mauvais"/>
    <s v="  Retransmission des trames HDLC*5"/>
    <m/>
    <s v="LAGDEM Elmehdi"/>
    <m/>
    <m/>
    <m/>
    <m/>
    <m/>
    <m/>
    <m/>
  </r>
  <r>
    <n v="1013"/>
    <b v="0"/>
    <x v="330"/>
    <d v="1899-12-30T15:05:16"/>
    <n v="2037"/>
    <x v="5"/>
    <x v="0"/>
    <n v="1025"/>
    <m/>
    <s v="Tanger/Casa"/>
    <n v="6.13"/>
    <x v="2"/>
    <s v="N2"/>
    <s v="Ralentissement du train"/>
    <s v="* Etat H.O : HO complet entre 202 et 303_x000a_* qualité /niveau de signal :dl rx-qual=2, dl rx level = -66dbm_x000a_* Requête de déconnexion a été envoyé par le RBC_x000a_"/>
    <m/>
    <x v="0"/>
    <s v="En attente de mise en place des tiroires filtrés "/>
    <s v="HO complet entre 202 et 303"/>
    <s v="dl Rxqual=2"/>
    <s v="dl rx level= -66"/>
    <s v="OK"/>
    <s v="OK"/>
    <s v="Mauvais"/>
    <s v="  Retransmission des trames HDLC*5"/>
    <m/>
    <s v="Noura MOUSSAOUI"/>
    <m/>
    <m/>
    <m/>
    <m/>
    <m/>
    <m/>
    <m/>
  </r>
  <r>
    <n v="1014"/>
    <b v="0"/>
    <x v="330"/>
    <d v="1899-12-30T18:27:39"/>
    <n v="1045"/>
    <x v="2"/>
    <x v="1"/>
    <n v="1060"/>
    <m/>
    <s v="Casa/Tanger"/>
    <n v="189.98400000000001"/>
    <x v="5"/>
    <s v="N2"/>
    <s v="Arrêt du train"/>
    <s v="* Etat H.O : HO non finalisé entre 99 et 233_x000a_* qualité /niveau de signal :dl rx-qual=7, dl rx level = -71dbm_x000a_* Requête de déconnexion a été envoyé par le Bord"/>
    <m/>
    <x v="2"/>
    <s v="Zone sous surveillence par le NOC/En attente de mise en place des tiroires filtrés "/>
    <s v="Ho non finalisé entre 99 et 233"/>
    <s v="dl Rxqual=7"/>
    <s v="dl rx level= -71"/>
    <s v="OK"/>
    <s v="NOK"/>
    <s v="Mauvais"/>
    <s v="  Pas de Retransmission des trames HDLC"/>
    <m/>
    <s v="HAMZAOUI Youssef"/>
    <m/>
    <m/>
    <m/>
    <m/>
    <m/>
    <m/>
    <m/>
  </r>
  <r>
    <n v="1015"/>
    <b v="0"/>
    <x v="330"/>
    <d v="1899-12-30T21:35:34"/>
    <n v="2062"/>
    <x v="5"/>
    <x v="0"/>
    <n v="1025"/>
    <m/>
    <s v="Tanger/Casa"/>
    <n v="145.6"/>
    <x v="3"/>
    <s v="N2"/>
    <s v="Ralentissement du train"/>
    <s v="* Etat H.O : HO complet entre 225 et 226_x000a_* qualité /niveau de signal :dl rx-qual=0, dl rx level = -58dbm_x000a_* Requête de déconnexion a été envoyé par le RBC_x000a_"/>
    <m/>
    <x v="3"/>
    <s v="En attente de pousser les analyses coté RBC"/>
    <s v="HO complet entre 225 et 226"/>
    <s v="dl Rxqual=0"/>
    <s v="dl rx level= -58"/>
    <s v="OK"/>
    <s v="OK"/>
    <s v="Mauvais"/>
    <s v="  Pas de Retransmission des trames HDLC"/>
    <m/>
    <s v="Fahd OUSSALH"/>
    <m/>
    <m/>
    <m/>
    <m/>
    <m/>
    <m/>
    <m/>
  </r>
  <r>
    <n v="1016"/>
    <b v="0"/>
    <x v="331"/>
    <d v="1899-12-30T10:05:18"/>
    <n v="2017"/>
    <x v="9"/>
    <x v="0"/>
    <n v="1053"/>
    <n v="35214500043740"/>
    <s v="Tanger/Casa"/>
    <n v="6.13"/>
    <x v="2"/>
    <s v="N2"/>
    <s v="Ralentissement du train"/>
    <s v="* Etat H.O : HO non finalisé entre 202 et 203_x000a_* qualité /niveau de signal :dl rx-qual=7, dl rx level = -56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6"/>
    <s v="OK"/>
    <s v="OK"/>
    <s v="Mauvais"/>
    <s v="  Retransmission des trames HDLC*5"/>
    <m/>
    <s v="HARIRI Bahaeddine"/>
    <m/>
    <m/>
    <m/>
    <m/>
    <m/>
    <m/>
    <m/>
  </r>
  <r>
    <n v="1017"/>
    <b v="0"/>
    <x v="331"/>
    <d v="1899-12-30T23:05:25"/>
    <n v="1062"/>
    <x v="5"/>
    <x v="1"/>
    <n v="1027"/>
    <n v="35214500045329"/>
    <s v="Casa/Tanger"/>
    <n v="7.3209999999999997"/>
    <x v="2"/>
    <s v="N2"/>
    <s v="Ralentissement du train"/>
    <s v="* Etat H.O : Ho complet entre 202 et 303_x000a_* qualité /niveau de signal :dl rx-qual=7, dl rx level = -75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complet entre 202 et 303 "/>
    <s v="dl Rxqual=7"/>
    <s v="dl rx level= -75"/>
    <s v="NOK"/>
    <s v="OK"/>
    <s v="Mauvais"/>
    <s v="  Pas de Retransmission des trames HDLC"/>
    <m/>
    <s v="Fahd OUSSALH"/>
    <m/>
    <m/>
    <m/>
    <m/>
    <m/>
    <m/>
    <m/>
  </r>
  <r>
    <n v="1018"/>
    <b v="0"/>
    <x v="332"/>
    <s v="12:46:04 "/>
    <n v="1021"/>
    <x v="0"/>
    <x v="1"/>
    <n v="1045"/>
    <n v="35214500045098"/>
    <s v="Casa/Tanger"/>
    <n v="94.953999999999994"/>
    <x v="8"/>
    <s v="N2"/>
    <s v="Ralentissement du train"/>
    <s v="* Etat H.O : HO non finalisé entre 318 et 317_x000a_* qualité /niveau de signal :dl rx-qual=7, dl rx level = -85dbm_x000a_* Requête de déconnexion a été envoyé par le RBC_x000a_"/>
    <s v="Les derniers résultats de la vérification chaine antennaire conformes et mauvaise qualité de signale_x000a_Présence d'interférences externes  au niveau du GSMR_17/18_x000a_Zone sous surveillence par le NOC"/>
    <x v="1"/>
    <s v="Zone sous surveillence par le NOC"/>
    <s v="HO non finalisé entre 318 et 317"/>
    <s v="dl Rxqual=7"/>
    <s v="dl rx level= -85"/>
    <s v="OK"/>
    <s v="OK"/>
    <s v="Mauvais"/>
    <s v="  Retransmission des trames HDLC*5"/>
    <m/>
    <s v="Noura MOUSSAOUI"/>
    <m/>
    <m/>
    <m/>
    <m/>
    <m/>
    <m/>
    <m/>
  </r>
  <r>
    <n v="1019"/>
    <b v="0"/>
    <x v="333"/>
    <d v="1899-12-30T10:05:34"/>
    <n v="2017"/>
    <x v="6"/>
    <x v="0"/>
    <n v="7206"/>
    <n v="35214500040520"/>
    <s v="Tanger/Casa"/>
    <n v="6.13"/>
    <x v="2"/>
    <s v="N2"/>
    <s v="Arrêt du train"/>
    <s v="* Etat H.O : HO non finalisé entre 302 et 203_x000a_* qualité /niveau de signal :dl rx-qual=7, dl rx level = -54dbm_x000a_* Requête de déconnexion a été envoyé par le Bord_x000a_"/>
    <s v="Les derniers résultats de la vérification chaine antennaire conformes _x000a_Présence d'interférences externes  au niveau du GSMR_02/03_x000a_Probléme GSMR_x000a_"/>
    <x v="0"/>
    <s v="En attente de mise en place des tiroires filtrés "/>
    <s v="HO non finalisé entre 302 et 203"/>
    <s v="dl Rxqual=7"/>
    <s v="dl rx level= -54"/>
    <s v="OK"/>
    <s v="OK"/>
    <s v="Mauvais"/>
    <s v="  Retransmission des trames HDLC*5"/>
    <m/>
    <s v="Noura MOUSSAOUI"/>
    <m/>
    <m/>
    <m/>
    <m/>
    <m/>
    <m/>
    <m/>
  </r>
  <r>
    <n v="1020"/>
    <b v="0"/>
    <x v="333"/>
    <d v="1899-12-30T17:05:22"/>
    <n v="2045"/>
    <x v="5"/>
    <x v="0"/>
    <n v="1024"/>
    <n v="35214500045122"/>
    <s v="Tanger/Casa"/>
    <n v="6.13"/>
    <x v="2"/>
    <s v="N2"/>
    <s v="Arrêt du train"/>
    <s v="* Etat H.O : HO non finalisé entre 202 et 303_x000a_* qualité /niveau de signal :dl rx-qual=7, dl rx level = -53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non finalisé entre 302 et 203"/>
    <s v="dl Rxqual=7"/>
    <s v="dl rx level= -53"/>
    <s v="OK"/>
    <s v="OK"/>
    <s v="Mauvais"/>
    <s v="  Retransmission des trames HDLC*5"/>
    <m/>
    <s v="ISMALI ALAOUI Hamza"/>
    <m/>
    <m/>
    <m/>
    <m/>
    <m/>
    <m/>
    <m/>
  </r>
  <r>
    <n v="1021"/>
    <b v="0"/>
    <x v="333"/>
    <d v="1899-12-30T19:05:42"/>
    <n v="1045"/>
    <x v="9"/>
    <x v="1"/>
    <n v="1034"/>
    <n v="35214500046011"/>
    <s v="Casa/Tanger"/>
    <n v="7.3209999999999997"/>
    <x v="2"/>
    <s v="N2"/>
    <s v="Ralentissement du train"/>
    <s v="* Etat H.O : HO non finalisé entre 303 et 202_x000a_* qualité /niveau de signal :dl rx-qual=5, dl rx level = -59dbm_x000a_* Requête de déconnexion a été envoyé par le bord_x000a_"/>
    <s v="Les derniers résultats de la vérification chaine antennaire conformes _x000a_Présence d'interférences externes  au niveau du GSMR_02/03_x000a_Probléme GSMR_x000a_"/>
    <x v="0"/>
    <s v="En attente de mise en place des tiroires filtrés "/>
    <s v="HO non finalisé entre 303 et 202"/>
    <s v="dl Rxqual=5"/>
    <s v="dl rx level= -59"/>
    <s v="OK"/>
    <s v="OK"/>
    <s v="Mauvais"/>
    <s v="  Retransmission des trames HDLC*5"/>
    <m/>
    <s v="ELHAJOUIA Achraf"/>
    <m/>
    <m/>
    <m/>
    <m/>
    <m/>
    <m/>
    <m/>
  </r>
  <r>
    <n v="1022"/>
    <b v="0"/>
    <x v="333"/>
    <d v="1899-12-30T19:46:11"/>
    <n v="1049"/>
    <x v="11"/>
    <x v="1"/>
    <n v="1072"/>
    <n v="35214500045494"/>
    <s v="Casa/Tanger"/>
    <n v="94.953999999999994"/>
    <x v="8"/>
    <s v="N2"/>
    <s v="Ralentissement du train"/>
    <s v="* Etat H.O : HO non finalisé entre 318 et 317_x000a_* qualité /niveau de signal :dl rx-qual=7, dl rx level = -82dbm_x000a_* Requête de déconnexion a été envoyé par le RBC_x000a_"/>
    <s v="Les derniers résultats de la vérification chaine antennaire conformes et mauvaise qualité de signale_x000a_Présence d'interférences externes  au niveau du GSMR_17/18_x000a_Zone sous surveillence par le NOC"/>
    <x v="1"/>
    <s v="Zone sous surveillence par le NOC"/>
    <s v="HO non finalisé entre 318 et 317"/>
    <s v="dl Rxqual=7"/>
    <s v="dl rx level= -82"/>
    <s v="OK"/>
    <s v="OK"/>
    <s v="Mauvais"/>
    <s v="  Retransmission des trames HDLC*5"/>
    <m/>
    <s v="ELHAJOUIA Achraf"/>
    <m/>
    <m/>
    <m/>
    <m/>
    <m/>
    <m/>
    <m/>
  </r>
  <r>
    <n v="1023"/>
    <b v="0"/>
    <x v="334"/>
    <d v="1899-12-30T12:45:48"/>
    <n v="1021"/>
    <x v="0"/>
    <x v="1"/>
    <n v="1045"/>
    <n v="35214500045098"/>
    <s v="Casa/Tanger"/>
    <n v="93.757999999999996"/>
    <x v="8"/>
    <s v="N2"/>
    <s v="Ralentissement du train"/>
    <s v="* Etat H.O : Ho finalisé entre 318 et 317 _x000a_* qualité /niveau de signal :dl rx-qual=0, dl rx level = -48dbm_x000a_* Requête de déconnexion a été envoyé par le RBC_x000a_"/>
    <s v="Les derniers résultats de la vérification chaine antennaire conformes et Bon qualité de signale_x000a_Présence d'interférences externes  au niveau du GSMR_17/18_x000a_Zone sous surveillence par le NOC"/>
    <x v="0"/>
    <s v="En attente de mise en place des tiroires filtrés "/>
    <s v="HO finalisé entre 318 et 317"/>
    <s v="dl Rxqual=0"/>
    <s v="dl rx level= -48"/>
    <s v="OK"/>
    <s v="OK"/>
    <s v="Mauvais"/>
    <s v="  Retransmission des trames HDLC*5"/>
    <m/>
    <s v="Saad Elhabib"/>
    <m/>
    <m/>
    <m/>
    <m/>
    <m/>
    <m/>
    <m/>
  </r>
  <r>
    <n v="1024"/>
    <b v="0"/>
    <x v="334"/>
    <d v="1899-12-30T21:04:32"/>
    <n v="1045"/>
    <x v="0"/>
    <x v="1"/>
    <n v="1033"/>
    <n v="35214500045098"/>
    <s v="Casa/Tanger"/>
    <n v="7.3209999999999997"/>
    <x v="2"/>
    <s v="N2"/>
    <s v="Ralentissement du train"/>
    <s v="* Etat H.O : Ho finalisé entre 303 et 202_x000a_* qualité /niveau de signal :dl rx-qual=7, dl rx level = -49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finalisé entre 303 et 202"/>
    <s v="dl Rxqual=7"/>
    <s v="dl rx level= -49"/>
    <s v="OK"/>
    <s v="OK"/>
    <s v="Mauvais"/>
    <s v="  Retransmission des trames HDLC*5"/>
    <m/>
    <s v="HARIRI Bahaeddine"/>
    <m/>
    <m/>
    <m/>
    <m/>
    <m/>
    <m/>
    <m/>
  </r>
  <r>
    <n v="1025"/>
    <b v="0"/>
    <x v="335"/>
    <d v="1899-12-30T16:21:45"/>
    <n v="2041"/>
    <x v="0"/>
    <x v="0"/>
    <n v="1037"/>
    <n v="35214500045488"/>
    <s v="Tanger/Casa"/>
    <n v="78.155000000000001"/>
    <x v="11"/>
    <s v="N2"/>
    <s v="Ralentissement du train"/>
    <s v="* Etat H.O : Ho Non finalisé entre 214 et 215_x000a_* qualité /niveau de signal :dl rx-qual=2, dl rx level = -65dbm_x000a_* Requête de déconnexion a été envoyé par le RBC_x000a_"/>
    <s v="Les derniers résultats de la vérification chaine antennaire conformes et Bon qualité de signale_x000a_Zone sous surveillence par le NOC"/>
    <x v="2"/>
    <s v="Zone sous surveillence par le NOC/En attente de mise en place des tiroires filtrés "/>
    <s v="HO non finalisé entre 214 et 215"/>
    <s v="dl Rxqual=2"/>
    <s v="dl rx level= -65"/>
    <s v="NOK"/>
    <s v="OK"/>
    <s v="Mauvais"/>
    <s v="  Retransmission des trames HDLC*5"/>
    <m/>
    <s v="ELHAJOUIA Achraf"/>
    <m/>
    <m/>
    <m/>
    <m/>
    <m/>
    <m/>
    <m/>
  </r>
  <r>
    <n v="1026"/>
    <b v="0"/>
    <x v="335"/>
    <d v="1899-12-30T20:05:20"/>
    <n v="2057"/>
    <x v="9"/>
    <x v="0"/>
    <n v="1036"/>
    <n v="35214500044497"/>
    <s v="Tanger/Casa"/>
    <n v="6.13"/>
    <x v="2"/>
    <s v="N2"/>
    <s v="Arrêt du train"/>
    <s v="* Etat H.O : Ho Non finalisé entre 202 et 303_x000a_* qualité /niveau de signal :dl rx-qual=7, dl rx level = -51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1"/>
    <s v="OK"/>
    <s v="OK"/>
    <s v="Mauvais"/>
    <s v="  Retransmission des trames HDLC*5"/>
    <m/>
    <s v="ISMALI ALAOUI Hamza"/>
    <m/>
    <m/>
    <m/>
    <m/>
    <m/>
    <m/>
    <m/>
  </r>
  <r>
    <n v="1027"/>
    <b v="0"/>
    <x v="336"/>
    <d v="1899-12-30T09:22:42"/>
    <n v="2013"/>
    <x v="8"/>
    <x v="0"/>
    <n v="1042"/>
    <n v="35214500045498"/>
    <s v="Tanger/Casa"/>
    <n v="83.084000000000003"/>
    <x v="15"/>
    <s v="N2"/>
    <s v="Ralentissement du train"/>
    <s v="* Etat H.O : HO non finalisé entre 215 et 216_x000a_* qualité /niveau de signal :dl rx-qual=0, dl rx level = -58dbm_x000a_* Requête de déconnexion a été envoyé par le RBC_x000a_"/>
    <s v="Les derniers résultats de la vérification chaine antennaire conformes et Bon qualité de signale_x000a_Zone sous surveillence par le NOC"/>
    <x v="2"/>
    <s v="Zone sous surveillence par le NOC/En attente de mise en place des tiroires filtrés "/>
    <s v="HO non finalisé entre 215 et 216"/>
    <s v="dl Rxqual=0"/>
    <s v="dl rx level= -58"/>
    <s v="NOK"/>
    <s v="OK"/>
    <s v="Mauvais"/>
    <s v="  Retransmission des trames HDLC*5"/>
    <m/>
    <s v="Noura MOUSSAOUI"/>
    <m/>
    <m/>
    <m/>
    <m/>
    <m/>
    <m/>
    <m/>
  </r>
  <r>
    <n v="1028"/>
    <b v="0"/>
    <x v="336"/>
    <d v="1899-12-30T10:29:38"/>
    <n v="1014"/>
    <x v="11"/>
    <x v="1"/>
    <n v="1072"/>
    <n v="35214500045424"/>
    <s v="Tanger/Casa"/>
    <n v="185.47"/>
    <x v="19"/>
    <s v="N2"/>
    <s v="Arrêt du train"/>
    <s v="* Etat H.O : Ho non finalisé entre 233 et 332_x000a_* qualité /niveau de signal :dl rx-qual=0, dl rx level = -73dbm_x000a_* Requête de déconnexion a été envoyé par le Bord_x000a_"/>
    <s v="Les derniers résultats de la vérification chaine antennaire conformes et Bon qualité de signale_x000a_Zone sous surveillence par le NOC"/>
    <x v="2"/>
    <s v="Zone sous surveillence par le NOC/En attente de mise en place des tiroires filtrés "/>
    <s v=" Ho non finalisé entre 233 et 332"/>
    <s v="dl Rxqual=0"/>
    <s v="dl rx level= -73"/>
    <s v="OK"/>
    <s v="OK"/>
    <s v="Mauvais"/>
    <s v="  Pas de Retransmission des trames HDLC"/>
    <m/>
    <s v="Noura MOUSSAOUI"/>
    <m/>
    <m/>
    <m/>
    <m/>
    <m/>
    <m/>
    <m/>
  </r>
  <r>
    <n v="1029"/>
    <b v="0"/>
    <x v="336"/>
    <d v="1899-12-30T17:06:28"/>
    <n v="2045"/>
    <x v="6"/>
    <x v="0"/>
    <n v="7206"/>
    <n v="35214500040520"/>
    <s v="Tanger/Casa"/>
    <n v="6.13"/>
    <x v="2"/>
    <s v="N2"/>
    <s v="Arrêt du train"/>
    <s v="* Etat H.O : Ho non finalisé entre 202 et 203_x000a_* qualité /niveau de signal :dl rx-qual=7, dl rx level = -51dbm_x000a_* Requête de déconnexion a été envoyé par le RBC"/>
    <s v="Les derniers résultats de la vérification chaine antennaire conformes _x000a_Présence d'interférences externes  au niveau du GSMR_02/03_x000a_Probléme GSMR_x000a_"/>
    <x v="0"/>
    <s v="En attente de mise en place des tiroires filtrés "/>
    <s v=" Ho non finalisé entre 203 et 203"/>
    <s v="dl Rxqual=7"/>
    <s v="dl rx level= -51"/>
    <s v="NOK"/>
    <s v="OK"/>
    <s v="Mauvais"/>
    <s v="  Retransmission des trames HDLC*5"/>
    <m/>
    <s v="ISMALI ALAOUI Hamza"/>
    <m/>
    <m/>
    <m/>
    <m/>
    <m/>
    <m/>
    <m/>
  </r>
  <r>
    <n v="1030"/>
    <b v="0"/>
    <x v="337"/>
    <d v="1899-12-30T16:05:33"/>
    <n v="2041"/>
    <x v="10"/>
    <x v="0"/>
    <n v="1056"/>
    <n v="35214500045217"/>
    <s v="Tanger/Casa"/>
    <n v="6.13"/>
    <x v="2"/>
    <s v="N2"/>
    <s v="Arrêt du train"/>
    <s v="* Etat H.O : HO non finalisé entre 202 et 203_x000a_* qualité /niveau de signal :dl rx-qual=7, dl rx level = -56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 Ho non finalisé entre 203 et 203"/>
    <s v="dl Rxqual=7"/>
    <s v="dl rx level= -56"/>
    <s v="NOK"/>
    <s v="OK"/>
    <s v="Mauvais"/>
    <s v="  Retransmission des trames HDLC*5"/>
    <m/>
    <s v="Oussama ZEHOUANI"/>
    <m/>
    <m/>
    <m/>
    <m/>
    <m/>
    <m/>
    <m/>
  </r>
  <r>
    <n v="1031"/>
    <b v="0"/>
    <x v="337"/>
    <d v="1899-12-30T19:05:05"/>
    <n v="2053"/>
    <x v="8"/>
    <x v="0"/>
    <n v="1042"/>
    <n v="35214500045200"/>
    <s v="Tanger/Casa"/>
    <n v="6.13"/>
    <x v="2"/>
    <s v="N2"/>
    <s v="Ralentissement du train"/>
    <s v="* Etat H.O : HO non finalisé entre 202 et 203_x000a_* qualité /niveau de signal :dl rx-qual=7, dl rx level = -55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 Ho non finalisé entre 203 et 203"/>
    <s v="dl Rxqual=7"/>
    <s v="dl rx level= -55"/>
    <s v="NOK"/>
    <s v="OK"/>
    <s v="Mauvais"/>
    <s v="  Retransmission des trames HDLC*5"/>
    <m/>
    <s v="Fahd OUSSALH"/>
    <m/>
    <m/>
    <m/>
    <m/>
    <m/>
    <m/>
    <m/>
  </r>
  <r>
    <n v="1032"/>
    <b v="0"/>
    <x v="337"/>
    <d v="1899-12-30T18:35:27"/>
    <n v="2049"/>
    <x v="11"/>
    <x v="0"/>
    <n v="1049"/>
    <n v="35214500046076"/>
    <s v="Tanger/Casa"/>
    <n v="144.32599999999999"/>
    <x v="3"/>
    <s v="N2"/>
    <s v="Arrêt du train"/>
    <s v="* Etat H.O : Ho non finalisé entre 224 et 225_x000a_* Qualité /niveau de signal :dl rx-qual=2, dl rx level = -67dbm_x000a_* Requête de déconnexion a été envoyé par le RBC_x000a_"/>
    <s v="La commission de déconnexion confirme lors de la réunion la présence de problèmes RBC au niveau de la zonne GSMR 25/26"/>
    <x v="2"/>
    <s v="Zone sous surveillence par le NOC/En attente de mise en place des tiroires filtrés "/>
    <s v=" Ho non finalisé entre 224 et 225"/>
    <s v="dl Rxqual=2"/>
    <s v="dl rx level= -67"/>
    <s v="OK"/>
    <s v="OK"/>
    <s v="Mauvais"/>
    <s v="  Retransmission des trames HDLC*5"/>
    <m/>
    <s v="Oussama ZEHOUANI"/>
    <m/>
    <m/>
    <m/>
    <m/>
    <m/>
    <m/>
    <m/>
  </r>
  <r>
    <n v="1033"/>
    <b v="0"/>
    <x v="338"/>
    <d v="1899-12-30T08:05:44"/>
    <n v="2009"/>
    <x v="2"/>
    <x v="0"/>
    <n v="7218"/>
    <n v="35214500044557"/>
    <s v="Tanger/Casa"/>
    <n v="6.13"/>
    <x v="2"/>
    <s v="N2"/>
    <s v="Arrêt du train"/>
    <s v="* Etat H.O : Ho complet entre 202 et 203(avec downlink quality)_x000a_* Qualité /niveau de signal :dl rx-qual=5, dl rx level = -67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complet entre 202 et 203"/>
    <s v="dl Rxqual=5"/>
    <s v="dl rx level= -67"/>
    <s v="OK"/>
    <s v="OK"/>
    <s v="Mauvais"/>
    <s v="  Retransmission des trames HDLC*5"/>
    <m/>
    <s v="Noura MOUSSAOUI"/>
    <m/>
    <m/>
    <m/>
    <m/>
    <m/>
    <m/>
    <m/>
  </r>
  <r>
    <n v="1034"/>
    <b v="0"/>
    <x v="338"/>
    <s v=" 09:05:12 "/>
    <n v="2013"/>
    <x v="11"/>
    <x v="0"/>
    <n v="1049"/>
    <n v="35214500046076"/>
    <s v="Tanger/Casa"/>
    <n v="6.13"/>
    <x v="2"/>
    <s v="N2"/>
    <s v="Arrêt du train"/>
    <s v="* Etat H.O : Ho complet entre 303 et 302_x000a_* Qualité /niveau de signal :dl rx-qual=0, dl rx level = -59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complet entre 303 et 302"/>
    <s v="dl Rxqual=0"/>
    <s v="dl rx level= -59"/>
    <s v="OK"/>
    <s v="OK"/>
    <s v="Mauvais"/>
    <s v="  Retransmission des trames HDLC*5"/>
    <m/>
    <s v="Noura MOUSSAOUI"/>
    <m/>
    <m/>
    <m/>
    <m/>
    <m/>
    <m/>
    <m/>
  </r>
  <r>
    <n v="1035"/>
    <b v="0"/>
    <x v="338"/>
    <s v=" 15:05:12"/>
    <n v="2037"/>
    <x v="11"/>
    <x v="0"/>
    <n v="1049"/>
    <n v="35214500046076"/>
    <s v="Tanger/Casa"/>
    <n v="6.13"/>
    <x v="2"/>
    <s v="N2"/>
    <s v="Ralentissement du train"/>
    <s v="* Etat H.O : Ho complet entre 202 et 303_x000a_* Qualité /niveau de signal :dl rx-qual=6, dl rx level = -63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complet entre 202 et 303 "/>
    <s v="dl Rxqual=6"/>
    <s v="dl rx level= -63"/>
    <s v="OK"/>
    <s v="OK"/>
    <s v="Mauvais"/>
    <s v="  Retransmission des trames HDLC*5"/>
    <m/>
    <s v="Noura MOUSSAOUI"/>
    <m/>
    <m/>
    <m/>
    <m/>
    <m/>
    <m/>
    <m/>
  </r>
  <r>
    <n v="1036"/>
    <b v="0"/>
    <x v="338"/>
    <d v="1899-12-30T17:03:47"/>
    <n v="1038"/>
    <x v="10"/>
    <x v="1"/>
    <n v="1028"/>
    <n v="35214500045449"/>
    <s v="Casa/Tanger"/>
    <n v="7.3209999999999997"/>
    <x v="2"/>
    <s v="N2"/>
    <s v="Ralentissement du train"/>
    <s v="* Etat H.O : Ho finalisé entre 303 et 202_x000a_* qualité /niveau de signal :dl rx-qual=0, dl rx level = -65dbm_x000a_* Requête de déconnexion a été envoyé par le Bord_x000a_"/>
    <s v="Les derniers résultats de la vérification chaine antennaire conformes _x000a_Présence d'interférences externes  au niveau du GSMR_02/03_x000a_Probléme GSMR_x000a_"/>
    <x v="0"/>
    <s v="En attente de mise en place des tiroires filtrés "/>
    <s v="HO finalisé entre 303 et 202"/>
    <s v="dl Rxqual=0"/>
    <s v="dl rx level= -65"/>
    <s v="NOK"/>
    <s v="OK"/>
    <s v="Mauvais"/>
    <s v="  Retransmission des trames HDLC*5"/>
    <m/>
    <s v="Fahd OUSSALH"/>
    <m/>
    <m/>
    <m/>
    <m/>
    <m/>
    <m/>
    <m/>
  </r>
  <r>
    <n v="1037"/>
    <b v="0"/>
    <x v="338"/>
    <d v="1899-12-30T19:35:21"/>
    <n v="2053"/>
    <x v="5"/>
    <x v="0"/>
    <n v="1025"/>
    <n v="35214500045122"/>
    <s v="Tanger/Casa"/>
    <n v="144.32599999999999"/>
    <x v="3"/>
    <s v="N2"/>
    <s v="Ralentissement du train"/>
    <s v="* Etat H.O : Ho complet entre 224 et 225_x000a_* Qualité /niveau de signal :dl rx-qual=0 dl rx level = -65dbm_x000a_* Requête de déconnexion a été envoyé par le RBC_x000a_"/>
    <s v="La commission de déconnexion confirme lors de la réunion la présence de problèmes RBC au niveau de la zonne GSMR 25/26"/>
    <x v="0"/>
    <s v="En attente de mise en place des tiroires filtrés "/>
    <s v=" Ho finalisé entre 224 et 225"/>
    <s v="dl Rxqual=0"/>
    <s v="dl rx level= -65"/>
    <s v="NOK"/>
    <s v="OK"/>
    <s v="Mauvais"/>
    <s v="  Retransmission des trames HDLC*5"/>
    <m/>
    <s v="Fahd OUSSALH"/>
    <m/>
    <m/>
    <m/>
    <m/>
    <m/>
    <m/>
    <m/>
  </r>
  <r>
    <n v="1038"/>
    <b v="0"/>
    <x v="338"/>
    <d v="1899-12-30T23:05:15"/>
    <n v="1062"/>
    <x v="10"/>
    <x v="1"/>
    <n v="1028"/>
    <n v="35214500045449"/>
    <s v="Casa/Tanger"/>
    <n v="7.3209999999999997"/>
    <x v="2"/>
    <s v="N2"/>
    <s v="Ralentissement du train"/>
    <s v="* Etat H.O : Ho finalisé entre 303 et 202_x000a_* qualité /niveau de signal :dl rx-qual=7, dl rx level = -67dbm_x000a_* Requête de déconnexion a été envoyé par le RBC"/>
    <s v="Les derniers résultats de la vérification chaine antennaire conformes _x000a_Présence d'interférences externes  au niveau du GSMR_02/03_x000a_Probléme GSMR_x000a_"/>
    <x v="0"/>
    <s v="En attente de mise en place des tiroires filtrés "/>
    <s v="HO finalisé entre 303 et 202"/>
    <s v="dl Rxqual=7"/>
    <s v="dl rx level= -67"/>
    <s v="OK"/>
    <s v="OK"/>
    <s v="Mauvais"/>
    <s v="  Retransmission des trames HDLC*5"/>
    <m/>
    <s v="HARIRI Bahaeddine"/>
    <m/>
    <m/>
    <m/>
    <m/>
    <m/>
    <m/>
    <m/>
  </r>
  <r>
    <n v="1039"/>
    <b v="0"/>
    <x v="339"/>
    <s v="14:35:24 "/>
    <n v="2033"/>
    <x v="9"/>
    <x v="0"/>
    <n v="1029"/>
    <n v="35214500044497"/>
    <s v="Tanger/Casa"/>
    <n v="141.898"/>
    <x v="26"/>
    <s v="N2"/>
    <s v="Ralentissement du train"/>
    <s v="* Etat H.O : Ho complet entre 224 et 225_x000a_* qualité /niveau de signal :dl rx-qual=0, dl rx level = -48dbm_x000a_* Requête de déconnexion a été envoyé par le RBC"/>
    <s v="Les derniers résultats de la vérification chaine antennaire conformes et Bon qualité de signale"/>
    <x v="0"/>
    <s v="En attente de mise en place des tiroires filtrés "/>
    <s v="Ho complet entre 224 et 225"/>
    <s v="dl Rxqual=0"/>
    <s v="dl rx level= -48"/>
    <s v="OK"/>
    <s v="OK"/>
    <s v="Mauvais"/>
    <s v="  Retransmission des trames HDLC*5"/>
    <m/>
    <s v="Noura MOUSSAOUI"/>
    <m/>
    <m/>
    <m/>
    <m/>
    <m/>
    <m/>
    <m/>
  </r>
  <r>
    <n v="1040"/>
    <b v="0"/>
    <x v="340"/>
    <d v="1899-12-30T10:35:34"/>
    <n v="2017"/>
    <x v="5"/>
    <x v="0"/>
    <n v="1025"/>
    <n v="35214500045073"/>
    <s v="Tanger/Casa"/>
    <n v="145.6"/>
    <x v="3"/>
    <s v="N2"/>
    <s v="Ralentissement du train"/>
    <s v="* Etat H.O : Ho complet entre 225 et 226_x000a_* qualité /niveau de signal :dl rx-qual=0, dl rx level = -62dbm_x000a_* Requête de déconnexion a été envoyé par le RBC"/>
    <s v="La commission de déconnexion confirme lors de la réunion la présence de problèmes RBC au niveau de la zonne GSMR 25/26"/>
    <x v="2"/>
    <s v="En attente de mise en place des tiroires filtrés "/>
    <s v="Ho complet entre 225 et 226"/>
    <s v="dl Rxqual=0"/>
    <s v="dl rx level= -62"/>
    <s v="OK"/>
    <s v="OK"/>
    <s v="Mauvais"/>
    <s v="  Retransmission des trames HDLC*5"/>
    <m/>
    <s v="Noura MOUSSAOUI"/>
    <m/>
    <m/>
    <m/>
    <m/>
    <m/>
    <m/>
    <m/>
  </r>
  <r>
    <n v="1041"/>
    <b v="0"/>
    <x v="340"/>
    <d v="1899-12-30T21:23:54"/>
    <n v="1057"/>
    <x v="5"/>
    <x v="1"/>
    <n v="1026"/>
    <n v="35214500045329"/>
    <s v="Casa/Tanger"/>
    <n v="198.98400000000001"/>
    <x v="5"/>
    <s v="N2"/>
    <s v="Arrêt du train"/>
    <s v="* Etat H.O : Ho finalisé entre 99 et 333_x000a_* qualité /niveau de signal :dl rx-qual=7, dl rx level = -70dbm_x000a_* Requête de déconnexion a été envoyé par le Bord_x000a_"/>
    <m/>
    <x v="2"/>
    <s v="Zone sous surveillence par le NOC/En attente de mise en place des tiroires filtrés "/>
    <s v="HO finalisé entre 99 et 333"/>
    <s v="dl Rxqual=7"/>
    <s v="dl rx level= -70"/>
    <s v="OK"/>
    <s v="OK"/>
    <s v="Mauvais"/>
    <s v="  Pas de Retransmission des trames HDLC"/>
    <m/>
    <s v="HAMZAOUI Youssef"/>
    <m/>
    <m/>
    <m/>
    <m/>
    <m/>
    <m/>
    <m/>
  </r>
  <r>
    <n v="1042"/>
    <b v="0"/>
    <x v="341"/>
    <d v="1899-12-30T16:04:59"/>
    <n v="2041"/>
    <x v="2"/>
    <x v="0"/>
    <n v="7217"/>
    <n v="35214500044557"/>
    <s v="Tanger/Casa"/>
    <n v="6.13"/>
    <x v="2"/>
    <s v="N2"/>
    <s v="Arrêt du train"/>
    <s v="* Etat H.O : Ho complet entre 202 et 303_x000a_* qualité /niveau de signal :dl rx-qual=0, dl rx level = -110 dbm_x000a_* Requête de déconnexion a été envoyé par le Bord_x000a_"/>
    <s v="Les derniers résultats de la vérification chaine antennaire conformes _x000a_Présence d'interférences externes  au niveau du GSMR_02/03_x000a_Probléme GSMR_x000a_"/>
    <x v="0"/>
    <s v="En attente de mise en place des tiroires filtrés "/>
    <s v="Ho complet entre 202 et 303"/>
    <s v="dl Rxqual=0"/>
    <s v="dl rx level= -110"/>
    <s v="NOK"/>
    <s v="OK"/>
    <s v="Mauvais"/>
    <s v="  Retransmission des trames HDLC*5"/>
    <m/>
    <s v="Oussama ZEHOUANI"/>
    <m/>
    <m/>
    <m/>
    <m/>
    <m/>
    <m/>
    <m/>
  </r>
  <r>
    <n v="1043"/>
    <b v="0"/>
    <x v="341"/>
    <d v="1899-12-30T21:05:09"/>
    <n v="2061"/>
    <x v="7"/>
    <x v="0"/>
    <n v="1054"/>
    <n v="35214500036582"/>
    <s v="Tanger/Casa"/>
    <n v="6.13"/>
    <x v="2"/>
    <s v="N2"/>
    <s v="Ralentissement du train"/>
    <s v="Etat H.O : HO non finalisé  entre 302 et 201_x000a_* qualité /niveau de signal :dl rx-qual=7, dl rx level = -52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non finalisé  entre 302 et 201"/>
    <s v="dl Rxqual=7"/>
    <s v="dl rx level= -52"/>
    <s v="NOK"/>
    <s v="OK"/>
    <s v="Mauvais"/>
    <s v="  Retransmission des trames HDLC*5"/>
    <m/>
    <s v="Saad Elhabib"/>
    <m/>
    <m/>
    <m/>
    <m/>
    <m/>
    <m/>
    <m/>
  </r>
  <r>
    <n v="1044"/>
    <b v="0"/>
    <x v="342"/>
    <d v="1899-12-30T14:05:07"/>
    <n v="2033"/>
    <x v="10"/>
    <x v="0"/>
    <n v="1057"/>
    <n v="35214500045187"/>
    <s v="Tanger/Casa"/>
    <n v="6.13"/>
    <x v="2"/>
    <s v="N2"/>
    <s v="Arrêt du train"/>
    <s v="Etat H.O : HO Complet entre 202 et 303_x000a_* qualité /niveau de signal :dl rx-qual=6, dl rx level = -66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complet entre 202 et 303"/>
    <s v="dl Rxqual=6"/>
    <s v="dl rx level= -66"/>
    <s v="NOK"/>
    <s v="OK"/>
    <s v="Mauvais"/>
    <s v="  Pas de Retransmission des trames HDLC"/>
    <m/>
    <s v="LAGDEM Elmehdi"/>
    <m/>
    <m/>
    <m/>
    <m/>
    <m/>
    <m/>
    <m/>
  </r>
  <r>
    <n v="1045"/>
    <b v="0"/>
    <x v="342"/>
    <d v="1899-12-30T19:25:05"/>
    <n v="1049"/>
    <x v="7"/>
    <x v="1"/>
    <n v="1041"/>
    <n v="35214500045480"/>
    <s v="Tanger/Casa"/>
    <n v="198.25399999999999"/>
    <x v="5"/>
    <s v="N2"/>
    <s v="Arrêt du train"/>
    <s v="Etat H.O : HO Complet entre 234 et 233 ( Ho recul Vers 99 echoué )_x000a_* absence des mesures radio _x000a_* Requête de déconnexion a été envoyé par le Bord_x000a_"/>
    <m/>
    <x v="2"/>
    <s v="Zone sous surveillence par le NOC/En attente de mise en place des tiroires filtrés "/>
    <s v="Ho complet entre 234 et 233"/>
    <s v="-"/>
    <s v="-"/>
    <s v="-"/>
    <s v="-"/>
    <s v="Mauvais"/>
    <s v="-"/>
    <m/>
    <s v="HAMZAOUI Youssef"/>
    <m/>
    <m/>
    <m/>
    <m/>
    <m/>
    <m/>
    <m/>
  </r>
  <r>
    <n v="1046"/>
    <b v="0"/>
    <x v="343"/>
    <d v="1899-12-30T12:46:04"/>
    <n v="1022"/>
    <x v="9"/>
    <x v="1"/>
    <n v="1035"/>
    <n v="35214500046011"/>
    <s v="Tanger/Casa"/>
    <n v="96.316999999999993"/>
    <x v="8"/>
    <s v="N2"/>
    <s v="Ralentissement du train"/>
    <s v="Etat H.O : HO Complet entre 319 et 318_x000a_* qualité /niveau de signal :dl rx-qual=0, dl rx level = -69dbm_x000a_* Requête de déconnexion a été envoyé par le bord _x000a_"/>
    <s v="Les derniers résultats de la vérification chaine antennaire conformes et Bon qualité de signale_x000a_Présence d'interférences externes  au niveau du GSMR_17/18_x000a_Zone sous surveillence par le NOC"/>
    <x v="2"/>
    <s v="Zone sous surveillence par le NOC/En attente de mise en place des tiroires filtrés "/>
    <s v="Ho complet entre 319 et 318"/>
    <s v="dl Rxqual=0"/>
    <s v="dl rx level= -69"/>
    <s v="OK"/>
    <s v="OK"/>
    <s v="Mauvais"/>
    <s v="  Pas de Retransmission des trames HDLC"/>
    <m/>
    <s v="Fahd OUSSALH"/>
    <m/>
    <m/>
    <m/>
    <m/>
    <m/>
    <m/>
    <m/>
  </r>
  <r>
    <n v="1047"/>
    <b v="0"/>
    <x v="343"/>
    <d v="1899-12-30T14:05:15"/>
    <n v="2033"/>
    <x v="9"/>
    <x v="0"/>
    <n v="1053"/>
    <n v="35214500044497"/>
    <s v="Tanger/Casa"/>
    <n v="6.13"/>
    <x v="2"/>
    <s v="N2"/>
    <s v="Arrêt du train"/>
    <s v=" Selon notre analyse, nous avons constaté que le HO est  non finalisé  entre 202 et 303 , Cependant, les conditions radio étaient mauvaises avant la déconnexion. La requete de deconnexion a ete envoyé par le RBC sans au retransmission des trames HDLC et l'ecart de la rame est mauvais, nous pensons que le sous systéme mis en cause est le Bord ,Justification d’arrêt :_x000a_une fois le train s'est déconnecté il a continué a se glisser sans accélération jusqu'à arrêt complet,_x000a__x000a_ _x000a_"/>
    <s v="Les derniers résultats de la vérification chaine antennaire conformes _x000a_Présence d'interférences externes  au niveau du GSMR_02/03_x000a_Probléme GSMR_x000a_"/>
    <x v="0"/>
    <s v="En attente de mise en place des tiroires filtrés "/>
    <s v="HO non finalisé  entre 202 et 303"/>
    <s v="dl Rxqual=6"/>
    <s v="dl rx level= -56"/>
    <s v="OK"/>
    <s v="OK"/>
    <s v="Mauvais"/>
    <s v="  Pas de Retransmission des trames HDLC"/>
    <m/>
    <s v="LAGDEM Elmehdi"/>
    <m/>
    <m/>
    <m/>
    <m/>
    <m/>
    <m/>
    <m/>
  </r>
  <r>
    <n v="1048"/>
    <b v="0"/>
    <x v="343"/>
    <d v="1899-12-30T17:05:38"/>
    <n v="1038"/>
    <x v="5"/>
    <x v="1"/>
    <n v="1027"/>
    <n v="35214500045083"/>
    <s v="Casa/Tanger"/>
    <n v="7.3209999999999997"/>
    <x v="2"/>
    <s v="N2"/>
    <s v="Arrêt du train"/>
    <s v=" Selon notre analyse, nous avons constaté que le HO est complet entre 202 et 303 , Cependant, les conditions radio étaient mauvaises avant la déconnexion. La requete de deconnexion a ete envoyé par le RBC sans au retransmission des trames HDLC et l'ecart de la rame est mauvais, nous pensons que le sous systéme mis en cause est le Bord ,Justification d’arrêt :_x000a_une fois le train s'est déconnecté il a continué a se glisser sans accélération jusqu'à arrêt complet,_x000a__x000a_ _x000a_"/>
    <s v="Les derniers résultats de la vérification chaine antennaire conformes _x000a_Présence d'interférences externes  au niveau du GSMR_02/03_x000a_Probléme GSMR_x000a_"/>
    <x v="0"/>
    <s v="En attente de mise en place des tiroires filtrés "/>
    <s v="HO complet entre 202 et 303 "/>
    <s v="dl Rxqual=7"/>
    <s v="dl rx level= -72"/>
    <s v="OK"/>
    <s v="OK"/>
    <s v="Mauvais"/>
    <s v="  Pas de Retransmission des trames HDLC"/>
    <m/>
    <s v="LAGDEM Elmehdi"/>
    <m/>
    <m/>
    <m/>
    <m/>
    <m/>
    <m/>
    <m/>
  </r>
  <r>
    <n v="1049"/>
    <b v="0"/>
    <x v="344"/>
    <d v="1899-12-30T21:05:12"/>
    <n v="2061"/>
    <x v="2"/>
    <x v="0"/>
    <n v="7217"/>
    <n v="35214500045735"/>
    <s v="Tanger/Casa"/>
    <n v="6.13"/>
    <x v="2"/>
    <s v="N2"/>
    <s v="Ralentissement du train"/>
    <s v="_x000a_ Selon notre analyse, nous avons constaté que le HO est non finalisé entre 202 et 303 , Cependant, les conditions radio étaient mauvaises avant la déconnexion. La requete de deconnexion a ete envoyé par le bord sans retransmission des trames HDLC et 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49"/>
    <s v="OK"/>
    <s v="OK"/>
    <s v="Mauvais"/>
    <s v="  Pas de Retransmission des trames HDLC"/>
    <m/>
    <s v="ELHAJOUIA Achraf"/>
    <m/>
    <m/>
    <m/>
    <m/>
    <m/>
    <m/>
    <m/>
  </r>
  <r>
    <n v="1050"/>
    <b v="0"/>
    <x v="345"/>
    <d v="1899-12-30T08:05:28"/>
    <n v="2009"/>
    <x v="0"/>
    <x v="0"/>
    <n v="1037"/>
    <n v="35214500045488"/>
    <s v="Tanger/Casa"/>
    <n v="6.13"/>
    <x v="2"/>
    <s v="N2"/>
    <s v="Ralentissement du train"/>
    <s v=" Selon notre analyse, nous avons constaté que le HO est Complet entre 202 et 201 , Cependant, les conditions radio étaient mauvaises avant la déconnexion. La requete de deconnexion a ete envoyé par le RBC suite au retransmission des trames HDLC et 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Complet entre 202 et 201"/>
    <s v="dl Rxqual=7"/>
    <s v="dl rx level= -88"/>
    <s v="NOK"/>
    <s v="OK"/>
    <s v="Mauvais"/>
    <s v="  Retransmission des trames HDLC*5"/>
    <m/>
    <s v="Noura MOUSSAOUI"/>
    <m/>
    <m/>
    <m/>
    <m/>
    <m/>
    <m/>
    <m/>
  </r>
  <r>
    <n v="1051"/>
    <b v="0"/>
    <x v="345"/>
    <d v="1899-12-30T09:07:00"/>
    <n v="1005"/>
    <x v="7"/>
    <x v="1"/>
    <n v="1040"/>
    <n v="35214500045477"/>
    <s v="Casa/Tanger"/>
    <n v="7.3209999999999997"/>
    <x v="2"/>
    <s v="N2"/>
    <s v="Ralentissement du train"/>
    <s v=" Selon notre analyse, nous avons constaté que le Ho est non finalisé entre 202 et 203 , Cependant, les conditions radio étaient mauvaises avant la déconnexion. La requete de deconnexion a ete envoyé par le RBC suite au retransmission des trames HDLC et 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non finalisé entre 202 et 203"/>
    <s v="dl Rxqual=6"/>
    <s v="dl rx level= -54"/>
    <s v="NOK"/>
    <s v="OK"/>
    <s v="Mauvais"/>
    <s v="  Retransmission des trames HDLC*5"/>
    <m/>
    <s v="Noura MOUSSAOUI"/>
    <m/>
    <m/>
    <m/>
    <m/>
    <m/>
    <m/>
    <m/>
  </r>
  <r>
    <n v="1052"/>
    <b v="0"/>
    <x v="345"/>
    <d v="1899-12-30T17:05:43"/>
    <n v="2045"/>
    <x v="9"/>
    <x v="0"/>
    <n v="1052"/>
    <n v="35214500043740"/>
    <s v="Tanger/Casa"/>
    <n v="6.13"/>
    <x v="2"/>
    <s v="N2"/>
    <s v="Ralentissement du train"/>
    <s v=" Selon notre analyse, nous avons constaté que le HO est non finalisé 202 et 203, Cependant, les conditions radio étaient mauvaises avant la déconnexion. La requete de deconnexion a ete envoyé par le RBC suite au retransmission des trames HDLC et 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non finalisé entre 202 et 203"/>
    <s v="dl Rxqual=7"/>
    <s v="dl rx level= -51"/>
    <s v="NOK"/>
    <s v="OK"/>
    <s v="Mauvais"/>
    <s v="  Retransmission des trames HDLC*5"/>
    <m/>
    <s v="Saad Elhabib"/>
    <m/>
    <m/>
    <m/>
    <m/>
    <m/>
    <m/>
    <m/>
  </r>
  <r>
    <n v="1053"/>
    <b v="0"/>
    <x v="345"/>
    <d v="1899-12-30T19:10:56"/>
    <n v="2053"/>
    <x v="7"/>
    <x v="0"/>
    <n v="1055"/>
    <n v="35214500022752"/>
    <s v="Tanger/Casa"/>
    <n v="25.91"/>
    <x v="7"/>
    <s v="N2"/>
    <s v="Ralentissement du train"/>
    <s v=" Selon notre analyse, nous avons constaté que le HO est non finalisé 205 et 206, Cependant, les conditions radio étaient bonnes avant la déconnexion. La requete de deconnexion a ete envoyé par le RBC suite au retransmission des trames HDLC et l'ecart de la rame est mauvais ,nous pensons que le sous systéme mis en cause est le GSMR/BORD"/>
    <s v="Les derniers résultats de la vérification chaine antennaire conformes et Bon qualité de signale_x000a_Zone sous surveillence par le NOC"/>
    <x v="2"/>
    <s v="Zone sous surveillence par le NOC/En attente de mise en place des tiroires filtrés "/>
    <s v="Ho non finalisé entre 205 et 206"/>
    <s v="dl Rxqual=3"/>
    <s v="dl rx level= -83"/>
    <s v="NOK"/>
    <s v="OK"/>
    <s v="Mauvais"/>
    <s v="  Retransmission des trames HDLC*5"/>
    <m/>
    <s v="Saad Elhabib"/>
    <m/>
    <m/>
    <m/>
    <m/>
    <m/>
    <m/>
    <m/>
  </r>
  <r>
    <n v="1054"/>
    <b v="0"/>
    <x v="346"/>
    <d v="1899-12-30T19:03:56"/>
    <n v="1045"/>
    <x v="8"/>
    <x v="1"/>
    <n v="1030"/>
    <n v="35214500045491"/>
    <s v="Casa/Tanger"/>
    <n v="7.3209999999999997"/>
    <x v="2"/>
    <s v="N2"/>
    <s v="Ralentissement du train"/>
    <s v=" 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non finalisé 303 et 202"/>
    <s v="dl Rxqual=6"/>
    <s v="dl rx level= -63"/>
    <s v="OK"/>
    <s v="NOK"/>
    <s v="Mauvais"/>
    <s v="  Retransmission des trames HDLC*5"/>
    <m/>
    <s v="Saad Elhabib"/>
    <m/>
    <m/>
    <m/>
    <m/>
    <m/>
    <m/>
    <m/>
  </r>
  <r>
    <n v="1055"/>
    <b v="0"/>
    <x v="346"/>
    <d v="1899-12-30T19:05:23"/>
    <n v="2053"/>
    <x v="0"/>
    <x v="0"/>
    <n v="1037"/>
    <n v="35214500045461"/>
    <s v="Tanger/Casa"/>
    <n v="6.13"/>
    <x v="2"/>
    <s v="N2"/>
    <s v="Ralentissement du train"/>
    <s v=" Selon notre analyse, nous avons constaté que le HO est complet entre 202 et 303 avec Downlink quality, Cependant, les conditions radio étaient mauvaises avant la déconnexion. La requete de deconnexion a ete envoyé par le RBC,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complet entre 202 et 303 "/>
    <s v="dl Rxqual=6"/>
    <s v="dl rx level= -65"/>
    <s v="OK"/>
    <s v="OK"/>
    <s v="Mauvais"/>
    <s v="  Retransmission des trames HDLC*5"/>
    <m/>
    <s v="Saad Elhabib"/>
    <m/>
    <m/>
    <m/>
    <m/>
    <m/>
    <m/>
    <m/>
  </r>
  <r>
    <n v="1056"/>
    <b v="0"/>
    <x v="346"/>
    <d v="1899-12-30T20:09:44"/>
    <n v="1049"/>
    <x v="2"/>
    <x v="1"/>
    <n v="1060"/>
    <n v="35214500042751"/>
    <s v="Casa/Tanger"/>
    <n v="7.3209999999999997"/>
    <x v="2"/>
    <s v="N2"/>
    <s v="Arrêt du train"/>
    <s v=" Selon notre analyse, nous avons constaté que le HO estHo non finalisé entre 202 et 303, Cependant, les conditions radio étaient mauvaises avant la déconnexion. La requete de deconnexion a ete envoyé par le RBC,l'ecart de la rame est mauvais, nous pensons que le sous systéme mis en cause est le Bord ,                            Justification d’arrêt :_x000a_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6"/>
    <s v="OK"/>
    <s v="OK"/>
    <s v="Mauvais"/>
    <s v="  Retransmission des trames HDLC*5"/>
    <m/>
    <s v="HAMZAOUI Youssef"/>
    <m/>
    <m/>
    <m/>
    <m/>
    <m/>
    <m/>
    <m/>
  </r>
  <r>
    <n v="1057"/>
    <b v="0"/>
    <x v="347"/>
    <d v="1899-12-30T11:05:12"/>
    <n v="2025"/>
    <x v="9"/>
    <x v="0"/>
    <n v="1053"/>
    <n v="35214500044497"/>
    <s v="Tanger/Casa"/>
    <n v="6.13"/>
    <x v="2"/>
    <s v="N2"/>
    <s v="Arrêt du train"/>
    <s v=" Selon notre analyse, nous avons constaté que le HO est complet entre 202 et 303 avec Downlink quality, Cependant, les conditions radio étaient mauvaises avant la déconnexion. La requete de deconnexion a ete envoyé par le RBC,l'ecart de la rame est mauvais, nous pensons que le sous systéme mis en cause est le Bord ,Justification d’arrêt :_x000a_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entre 202 et 303 "/>
    <s v="dl Rxqual=7"/>
    <s v="dl rx level= -66"/>
    <s v="OK"/>
    <s v="OK"/>
    <s v="Mauvais"/>
    <s v="  Retransmission des trames HDLC*5"/>
    <m/>
    <s v="MAROUANI Otmane"/>
    <m/>
    <m/>
    <m/>
    <m/>
    <m/>
    <m/>
    <m/>
  </r>
  <r>
    <n v="1058"/>
    <b v="0"/>
    <x v="347"/>
    <d v="1899-12-30T14:18:01"/>
    <n v="2033"/>
    <x v="4"/>
    <x v="0"/>
    <n v="7208"/>
    <n v="35214500004427"/>
    <s v="Tanger/Casa"/>
    <n v="58.71"/>
    <x v="23"/>
    <s v="N2"/>
    <s v="Ralentissement du train"/>
    <s v=" Selon notre analyse, nous avons constaté que le HO est non finalisé entre 210 et 211, Cependant, les conditions radio étaient bonnes avant la déconnexion. La requete de deconnexion a ete envoyé par le RBC,l'ecart de la rame est mauvais, nous pensons que le sous systéme mis en cause est le GSMR/BORD "/>
    <s v="Les derniers résultats de la vérification chaine antennaire conformes et Bon qualité de signale_x000a_Zone sous surveillence par le NOC"/>
    <x v="2"/>
    <s v="Zone sous surveillence par le NOC/En attente de mise en place des tiroires filtrés "/>
    <s v="HO non finalisé entre 210 et 211"/>
    <s v="dl Rxqual=0"/>
    <s v="dl rx level= -62"/>
    <s v="NOK"/>
    <s v="OK"/>
    <s v="Mauvais"/>
    <s v="  Retransmission des trames HDLC*5"/>
    <m/>
    <s v="Saad Elhabib"/>
    <m/>
    <m/>
    <m/>
    <m/>
    <m/>
    <m/>
    <m/>
  </r>
  <r>
    <n v="1059"/>
    <b v="0"/>
    <x v="347"/>
    <d v="1899-12-30T15:04:54"/>
    <n v="2037"/>
    <x v="10"/>
    <x v="0"/>
    <n v="1057"/>
    <n v="35214500045187"/>
    <s v="Tanger/Casa"/>
    <n v="6.13"/>
    <x v="2"/>
    <s v="N2"/>
    <s v="Arrêt du train"/>
    <s v=" Selon notre analyse, nous avons constaté que le HO est complet entre 202 et 303, Cependant, les conditions radio étaient bonnes avant la déconnexion. La requete de deconnexion a ete envoyé par le RBC,l'ecart de la rame est mauvais, nous pensons que le sous systéme mis en cause est le Bord ,                            Justification d’arrêt :_x000a_une fois le train s'est déconnecté il a continué a se glisser sans accélération jusqu'à arrêt complet,_x000a__x000a_ "/>
    <s v="Les derniers résultats de la vérification chaine antennaire conformes _x000a_Présence d'interférences externes  au niveau du GSMR_02/03_x000a_Probléme GSMR_x000a_"/>
    <x v="0"/>
    <s v="En attente de mise en place des tiroires filtrés "/>
    <s v="HO complet entre 202 et 303 "/>
    <s v="dl Rxqual=2"/>
    <s v="dl rx level= -71"/>
    <s v="OK"/>
    <s v="OK"/>
    <s v="Mauvais"/>
    <s v="  Retransmission des trames HDLC*5"/>
    <m/>
    <s v="HAMZAOUI Youssef"/>
    <m/>
    <m/>
    <m/>
    <m/>
    <m/>
    <m/>
    <m/>
  </r>
  <r>
    <n v="1060"/>
    <b v="0"/>
    <x v="348"/>
    <d v="1899-12-30T16:05:34"/>
    <n v="2041"/>
    <x v="14"/>
    <x v="0"/>
    <n v="1053"/>
    <n v="35214500044497"/>
    <s v="Tanger/Casa"/>
    <n v="6.13"/>
    <x v="2"/>
    <s v="N2"/>
    <s v="Arrêt du train"/>
    <s v=" Selon notre analyse, nous avons constaté que le HO est non finalisé entre 202 et 203, Cependant, les conditions radio étaient mauvaises avant la déconnexion. La requete de deconnexion a ete envoyé par le RBC,l'ecart de la rame est mauvais, nous pensons que le sous systéme mis en cause est le Bord ,                            Justification d’arrêt :_x000a_une fois le train s'est déconnecté il a continué a se glisser sans accélération jusqu'à arrêt complet,_x000a__x000a_ "/>
    <s v="Les derniers résultats de la vérification chaine antennaire conformes _x000a_Présence d'interférences externes  au niveau du GSMR_02/03_x000a_Probléme GSMR_x000a_"/>
    <x v="0"/>
    <s v="En attente de mise en place des tiroires filtrés "/>
    <s v=" HO non finalisé entre 202 et 203"/>
    <s v="dl Rxqual=7"/>
    <s v="dl rx level= -56"/>
    <s v="OK"/>
    <s v="OK"/>
    <s v="Mauvais"/>
    <s v="  Retransmission des trames HDLC*5"/>
    <m/>
    <s v="Noura MOUSSAOUI"/>
    <m/>
    <m/>
    <m/>
    <m/>
    <m/>
    <m/>
    <m/>
  </r>
  <r>
    <n v="1061"/>
    <b v="0"/>
    <x v="349"/>
    <d v="1899-12-30T20:24:33"/>
    <n v="1054"/>
    <x v="15"/>
    <x v="1"/>
    <n v="1029"/>
    <n v="35214500045449"/>
    <s v="Casa/Tanger"/>
    <n v="198.98400000000001"/>
    <x v="5"/>
    <s v="N2"/>
    <s v="Arrêt du train"/>
    <s v="le train s'est arrêté à cause d’une erreur de lecture de la balise 6625 due au mauvaises conditions radio, le train s’est reconnecté au niveau du pk 198,984.  "/>
    <m/>
    <x v="2"/>
    <s v="Zone sous surveillence par le NOC/En attente de mise en place des tiroires filtrés "/>
    <s v=" -"/>
    <s v=" -"/>
    <s v=" -"/>
    <s v=" -"/>
    <s v=" -"/>
    <s v="Mauvais"/>
    <m/>
    <m/>
    <s v="LAGDEM Elmehdi"/>
    <m/>
    <m/>
    <m/>
    <m/>
    <m/>
    <m/>
    <m/>
  </r>
  <r>
    <n v="1062"/>
    <b v="0"/>
    <x v="350"/>
    <d v="1899-12-30T21:03:50"/>
    <n v="1054"/>
    <x v="15"/>
    <x v="1"/>
    <n v="1028"/>
    <n v="35214500045268"/>
    <s v="Casa/Tanger"/>
    <n v="7.3209999999999997"/>
    <x v="2"/>
    <s v="N2"/>
    <s v="Arrêt du train"/>
    <s v="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                             Justification d’arrêt :_x000a_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303 et 202 avec Downlink quality"/>
    <s v="dl Rxqual=6"/>
    <s v="dl rx level= -62"/>
    <s v="OK"/>
    <s v="OK"/>
    <s v="Mauvais"/>
    <s v="  Retransmission des trames HDLC*5"/>
    <m/>
    <s v="LAGDEM Elmehdi"/>
    <m/>
    <m/>
    <m/>
    <m/>
    <m/>
    <m/>
    <m/>
  </r>
  <r>
    <n v="1063"/>
    <b v="0"/>
    <x v="351"/>
    <d v="1899-12-30T07:11:25"/>
    <n v="2005"/>
    <x v="3"/>
    <x v="0"/>
    <n v="1047"/>
    <n v="35214500038730"/>
    <s v="Tanger/Casa"/>
    <n v="25.91"/>
    <x v="7"/>
    <s v="N2"/>
    <s v="Ralentissement du train"/>
    <s v=" Selon notre analyse, nous avons constaté que le HO est non finalisé  entre 205 et 206, Cependant, les conditions radio étaient bonnees avant la déconnexion. La requete de deconnexion a ete envoyé par le RBC,l'ecart de la rame est mauvais_x000a_"/>
    <s v="Les derniers résultats de la vérification chaine antennaire conformes et Bon qualité de signale_x000a_Zone sous surveillence par le NOC"/>
    <x v="2"/>
    <s v="Zone sous surveillence par le NOC/En attente de mise en place des tiroires filtrés "/>
    <s v="HO non finalisé  entre 205 et 206"/>
    <s v="dl Rxqual=3"/>
    <s v="dl rx level= -80"/>
    <s v="NOK"/>
    <s v="OK"/>
    <s v="Mauvais"/>
    <s v="  Retransmission des trames HDLC*5"/>
    <m/>
    <s v="Saad Elhabib"/>
    <m/>
    <m/>
    <m/>
    <m/>
    <m/>
    <m/>
    <m/>
  </r>
  <r>
    <n v="1064"/>
    <b v="0"/>
    <x v="351"/>
    <d v="1899-12-30T09:05:18"/>
    <n v="2013"/>
    <x v="8"/>
    <x v="0"/>
    <n v="1042"/>
    <n v="35214500045498"/>
    <s v="Tanger/Casa"/>
    <n v="6.13"/>
    <x v="2"/>
    <s v="N2"/>
    <s v="Ralentissement du train"/>
    <s v="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Non finalisé entre 303 et 202"/>
    <s v="dl Rxqual=7"/>
    <s v="dl rx level= -54"/>
    <s v="NOK"/>
    <s v="OK"/>
    <s v="Mauvais"/>
    <s v="  Retransmission des trames HDLC*5"/>
    <m/>
    <s v="Saad Elhabib"/>
    <m/>
    <m/>
    <m/>
    <m/>
    <m/>
    <m/>
    <m/>
  </r>
  <r>
    <n v="1065"/>
    <b v="0"/>
    <x v="352"/>
    <d v="1899-12-30T12:44:54"/>
    <n v="2025"/>
    <x v="2"/>
    <x v="0"/>
    <n v="7218"/>
    <n v="35214500045735"/>
    <s v="Tanger/Casa"/>
    <n v="140.65899999999999"/>
    <x v="26"/>
    <s v="N2"/>
    <s v="Arrêt du train"/>
    <s v="Selon notre analyse, nous avons constaté que le HO est complet entre 224 et 225, Cependant, les conditions radio étaient bonnes avant la déconnexion. La requete de deconnexion a ete envoyé par le RBC sans retransmission des trames HDLC,l'ecart de la rame est mauvais,le train s'est arrêté due au dépassement du T_NVCONTACT,"/>
    <s v="Les derniers résultats de la vérification chaine antennaire conformes_x000a_En attente de pousser les analyses coté RBC"/>
    <x v="3"/>
    <s v="En attente de pousser les analyses coté RBC"/>
    <s v="HO complet entre 224 et 225"/>
    <s v="dl Rxqual=0"/>
    <s v="dl rx level= -59"/>
    <s v="OK"/>
    <s v="OK"/>
    <s v="Mauvais"/>
    <s v="  Pas Retransmission des trames HDLC"/>
    <m/>
    <s v="LAGDEM Elmehdi"/>
    <m/>
    <m/>
    <m/>
    <m/>
    <m/>
    <m/>
    <m/>
  </r>
  <r>
    <n v="1066"/>
    <b v="0"/>
    <x v="352"/>
    <d v="1899-12-30T20:04:58"/>
    <n v="1050"/>
    <x v="3"/>
    <x v="1"/>
    <n v="1046"/>
    <n v="35214500038727"/>
    <s v="Casa/Tanger"/>
    <n v="8.9700000000000006"/>
    <x v="2"/>
    <s v="N2"/>
    <s v="Ralentissement du train"/>
    <s v="Selon notre analyse, nous avons constaté que le HO est  complet entre 304 et 303, Cependant, les conditions radio étaient bonnes avant la déconnexion. La requete de deconnexion a ete envoyé par le RBC,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complet entre 304 et 303"/>
    <s v="dl Rxqual=2"/>
    <s v="dl rx level= -66"/>
    <s v="NOK"/>
    <s v="OK"/>
    <s v="Mauvais"/>
    <s v="  Pas Retransmission des trames HDLC"/>
    <m/>
    <s v="Fahd OUSSALH"/>
    <m/>
    <m/>
    <m/>
    <m/>
    <m/>
    <m/>
    <m/>
  </r>
  <r>
    <n v="1067"/>
    <b v="0"/>
    <x v="353"/>
    <d v="1899-12-30T10:59:22"/>
    <n v="2013"/>
    <x v="8"/>
    <x v="1"/>
    <n v="1031"/>
    <n v="35214500045348"/>
    <s v="Casa/Tanger"/>
    <n v="32.625999999999998"/>
    <x v="25"/>
    <s v="N2"/>
    <s v="Ralentissement du train"/>
    <s v="Selon notre analyse, nous avons constaté que le HO est non finalisé entre  307 et 306, Cependant, les conditions radio étaient bonnes avant la déconnexion. La requete de deconnexion a ete envoyé par le RB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307 et 306"/>
    <s v="dl Rxqual=1"/>
    <s v="dl rx level= -66"/>
    <s v="NOK"/>
    <s v="OK"/>
    <s v="Mauvais"/>
    <s v="  Retransmission des trames HDLC*5"/>
    <m/>
    <s v="Noura MOUSSAOUI"/>
    <m/>
    <m/>
    <m/>
    <m/>
    <m/>
    <m/>
    <m/>
  </r>
  <r>
    <n v="1068"/>
    <b v="0"/>
    <x v="354"/>
    <d v="1899-12-30T07:54:03"/>
    <n v="1001"/>
    <x v="5"/>
    <x v="1"/>
    <n v="1026"/>
    <n v="35214500045083"/>
    <s v="Casa/Tanger"/>
    <n v="58.71"/>
    <x v="23"/>
    <s v="N2"/>
    <s v="Ralentissement du train"/>
    <s v="Selon notre analyse, nous avons constaté que le HO est non finalisé entre 311 et 310, Cependant, les conditions radio étaient bonnes avant la déconnexion. La requete de deconnexion a ete envoyé par le RB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311 et 310"/>
    <s v="dl Rxqual=3"/>
    <s v="dl rx level= -74"/>
    <s v="NOK"/>
    <s v="OK"/>
    <s v="Mauvais"/>
    <s v="  Retransmission des trames HDLC*5"/>
    <m/>
    <s v="ELHAJOUIA Achraf"/>
    <m/>
    <m/>
    <m/>
    <m/>
    <m/>
    <m/>
    <m/>
  </r>
  <r>
    <n v="1069"/>
    <b v="0"/>
    <x v="354"/>
    <d v="1899-12-30T11:05:15"/>
    <n v="2021"/>
    <x v="1"/>
    <x v="0"/>
    <n v="7195"/>
    <n v="35214500045671"/>
    <s v="Tanger/Casa"/>
    <n v="6.13"/>
    <x v="2"/>
    <s v="N2"/>
    <s v="Arrêt du train"/>
    <s v="Selon notre analyse, nous avons constaté que le HO est complet entre 202 et 303,Cependant, les conditions radio étaient mauvaises avant la déconnexion. La requete de deconnexion a ete envoyé par le RBC,l'ecart de la rame est mauvais, Justification d’arrêt :_x000a_ Après la reconnexion le train a continué à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202 et 303"/>
    <s v="dl Rxqual=1"/>
    <s v="dl rx level= -71"/>
    <s v="OK"/>
    <s v="OK"/>
    <s v="Mauvais"/>
    <s v="  Retransmission des trames HDLC*5"/>
    <m/>
    <s v="Noura MOUSSAOUI"/>
    <m/>
    <m/>
    <m/>
    <m/>
    <m/>
    <m/>
    <m/>
  </r>
  <r>
    <n v="1070"/>
    <b v="0"/>
    <x v="354"/>
    <d v="1899-12-30T18:35:14"/>
    <n v="2049"/>
    <x v="2"/>
    <x v="0"/>
    <n v="7218"/>
    <n v="35214500045735"/>
    <s v="Tanger/Casa"/>
    <n v="144.32599999999999"/>
    <x v="3"/>
    <s v="N2"/>
    <s v="Arrêt du train"/>
    <s v="Selon notre analyse, nous avons constaté que le HO est complet entre 224 et 225, Cependant, les conditions radio étaient bonnes avant la déconnexion. La requete de deconnexion a ete envoyé par le RBC sans retransmission des trames HDLC,l'ecart de la rame est mauvais,le train s'est arrêté due au dépassement du T_NVCONTACT,"/>
    <s v="Les derniers résultats de la vérification chaine antennaire conformes_x000a_En attente de pousser les analyses coté RBC"/>
    <x v="3"/>
    <s v="En attente de pousser les analyses coté RBC"/>
    <s v="HO complet entre 224 et 225"/>
    <s v="dl Rxqual=0"/>
    <s v="dl rx level= -69"/>
    <s v="OK"/>
    <s v="OK"/>
    <s v="Mauvais"/>
    <s v="  Pas Retransmission des trames HDLC"/>
    <m/>
    <s v="MAROUANI Otmane"/>
    <m/>
    <m/>
    <m/>
    <m/>
    <m/>
    <m/>
    <m/>
  </r>
  <r>
    <n v="1071"/>
    <b v="0"/>
    <x v="355"/>
    <d v="1899-12-30T18:34:52"/>
    <n v="2049"/>
    <x v="4"/>
    <x v="0"/>
    <n v="1058"/>
    <n v="35214500044293"/>
    <s v="Casa/Tanger"/>
    <n v="145.6"/>
    <x v="3"/>
    <s v="N2"/>
    <s v="Ralentissement du train"/>
    <s v="Selon notre analyse, nous avons constaté que le HO est complet entre 224 et 225, Cependant, les conditions radio étaient bonnes avant la déconnexion. La requete de deconnexion a ete envoyé par le RBC sans retransmission des trames HDLC,l'ecart de la rame est mauvais"/>
    <s v="Les derniers résultats de la vérification chaine antennaire conformes_x000a_En attente de pousser les analyses coté RBC"/>
    <x v="3"/>
    <s v="En attente de pousser les analyses coté RBC"/>
    <s v="HO complet entre 224 et 225"/>
    <s v="dl Rxqual=0"/>
    <s v="dl rx level= -70"/>
    <s v="OK"/>
    <s v="OK"/>
    <s v="Mauvais"/>
    <s v="  Pas Retransmission des trames HDLC"/>
    <m/>
    <s v="Fahd OUSSALH"/>
    <m/>
    <m/>
    <m/>
    <m/>
    <m/>
    <m/>
    <m/>
  </r>
  <r>
    <n v="1072"/>
    <b v="0"/>
    <x v="356"/>
    <d v="1899-12-30T14:08:27"/>
    <n v="2049"/>
    <x v="5"/>
    <x v="1"/>
    <n v="1027"/>
    <n v="35214500045329"/>
    <s v="Casa/Tanger"/>
    <n v="7.3209999999999997"/>
    <x v="2"/>
    <s v="N2"/>
    <s v="Ralentissement du train"/>
    <s v="Selon notre analyse, nous avons constaté que le HO est complet entre 202 et 303, Cependant, les conditions radio étaient mauvaises avant la déconnexion. La requete de deconnexion a ete envoyé par le RBC suite au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s v="dl Rxqual=4"/>
    <s v="dl rx level= -80"/>
    <s v="OK"/>
    <s v="OK"/>
    <s v="Mauvais"/>
    <s v="  Retransmission des trames HDLC*5"/>
    <m/>
    <s v="Nassim NAJIM"/>
    <m/>
    <m/>
    <m/>
    <m/>
    <m/>
    <m/>
    <m/>
  </r>
  <r>
    <n v="1073"/>
    <b v="0"/>
    <x v="357"/>
    <d v="1899-12-30T05:30:33"/>
    <n v="10071"/>
    <x v="9"/>
    <x v="0"/>
    <n v="1052"/>
    <n v="35214500044497"/>
    <s v="Tanger/Casa"/>
    <n v="78.155000000000001"/>
    <x v="11"/>
    <s v="N2"/>
    <s v="Ralentissement du train"/>
    <s v="Selon notre analyse, nous avons constaté que le HO est complet entre 213 et 214, Cependant, les conditions radio étaient bonnes avant la déconnexion. La requete de deconnexion a ete envoyé par le RBC sans retransmission des trames HDLC,l'ecart de la rame est mauvais"/>
    <s v="Les derniers résultats de la vérification chaine antennaire conformes_x000a_En attente de pousser les analyses coté RBC"/>
    <x v="3"/>
    <s v="En attente de pousser les analyses coté RBC"/>
    <s v="HO complet entre 213 et 214"/>
    <s v="dl Rxqual=1"/>
    <s v="dl rx level= -54"/>
    <s v="OK"/>
    <s v="OK"/>
    <s v="Mauvais"/>
    <s v="  Pas de Retransmission des trames HDLC"/>
    <m/>
    <s v="HAMZAOUI Youssef"/>
    <m/>
    <m/>
    <m/>
    <m/>
    <m/>
    <m/>
    <m/>
  </r>
  <r>
    <n v="1074"/>
    <b v="0"/>
    <x v="357"/>
    <d v="1899-12-30T19:05:09"/>
    <n v="2053"/>
    <x v="0"/>
    <x v="0"/>
    <n v="1036"/>
    <n v="35214500045488"/>
    <s v="Tanger/Casa"/>
    <n v="6.13"/>
    <x v="2"/>
    <s v="N2"/>
    <s v="Ralentissement du train"/>
    <s v="Selon notre analyse, nous avons constaté que le HO est non finalisé 302 et 203, Cependant, les conditions radio étaient mauvaises avant la déconnexion. La requete de deconnexion a ete envoyé par le RBC suite au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302 et 203"/>
    <s v="dl Rxqual=7"/>
    <s v="dl rx level= -54"/>
    <s v="NOK"/>
    <s v="OK"/>
    <s v="Mauvais"/>
    <s v="  Retransmission des trames HDLC*5"/>
    <m/>
    <s v="Fahd OUSSALH"/>
    <m/>
    <m/>
    <m/>
    <m/>
    <m/>
    <m/>
    <m/>
  </r>
  <r>
    <n v="1075"/>
    <b v="0"/>
    <x v="357"/>
    <d v="1899-12-30T20:34:49"/>
    <n v="2057"/>
    <x v="7"/>
    <x v="0"/>
    <n v="1055"/>
    <n v="35214500036582"/>
    <s v="Tanger/Casa"/>
    <n v="130.48400000000001"/>
    <x v="10"/>
    <s v="N2"/>
    <s v="Arrêt du train"/>
    <s v="Selon notre analyse, nous avons constaté que le HO est complet 222 et 223, Cependant, les conditions radio étaient bonnes avant la déconnexion. La requete de deconnexion a ete envoyé par le RBC sans retransmission des trames HDLC,l'ecart de la rame est mauvais,le train s'est arrêté due au dépassement du T_NVCONTACT,"/>
    <s v="Les derniers résultats de la vérification chaine antennaire conformes_x000a_En attente de pousser les analyses coté RBC"/>
    <x v="3"/>
    <s v="En attente de pousser les analyses coté RBC"/>
    <s v="HO complet 222 et 223"/>
    <s v="dl Rxqual=1"/>
    <s v="dl rx level= -58"/>
    <s v="OK"/>
    <s v="OK"/>
    <s v="Mauvais"/>
    <s v="  Pas de Retransmission des trames HDLC"/>
    <m/>
    <s v="Saad Elhabib"/>
    <m/>
    <m/>
    <m/>
    <m/>
    <m/>
    <m/>
    <m/>
  </r>
  <r>
    <n v="1076"/>
    <b v="0"/>
    <x v="357"/>
    <d v="1899-12-30T20:51:03"/>
    <n v="2057"/>
    <x v="7"/>
    <x v="0"/>
    <n v="1054"/>
    <n v="35214500036582"/>
    <s v="Tanger/Casa"/>
    <n v="153.84200000000001"/>
    <x v="18"/>
    <s v="N2"/>
    <s v="Ralentissement du train"/>
    <s v="Selon notre analyse, nous avons constaté que le HO est non finalisé 326 et 227, Cependant, les conditions radio étaient bonnes avant la déconnexion. La requete de deconnexion a ete envoyé par le Bord sans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326 et 227"/>
    <s v="dl Rxqual=0"/>
    <s v="dl rx level= -67"/>
    <s v="OK"/>
    <s v="OK"/>
    <s v="Mauvais"/>
    <s v="  Pas de Retransmission des trames HDLC"/>
    <m/>
    <s v="HAMZAOUI Youssef"/>
    <m/>
    <m/>
    <m/>
    <m/>
    <m/>
    <m/>
    <m/>
  </r>
  <r>
    <n v="1077"/>
    <b v="0"/>
    <x v="358"/>
    <d v="1899-12-30T14:04:50"/>
    <n v="1026"/>
    <x v="9"/>
    <x v="1"/>
    <n v="1055"/>
    <n v="35214500046011"/>
    <s v="Casa/Tanger"/>
    <n v="7.3209999999999997"/>
    <x v="2"/>
    <s v="N2"/>
    <s v="Arrêt du train"/>
    <s v="Selon notre analyse, nous avons constaté que le HO recul est complet entre 202 et 303, Cependant, les conditions radio étaient mauvaise  avant la déconnexion. La requete de deconnexion a ete envoyé par le RBC  Avec retransmission des Justification d’arrêt :_x000a_ une fois le train s'est déconnecté il a continué à se glisser sans accélération jusqu'à arrêt complet "/>
    <s v="Les derniers résultats de la vérification chaine antennaire conformes _x000a_Présence d'interférences externes  au niveau du GSMR_02/03_x000a_Probléme GSMR_x000a_"/>
    <x v="0"/>
    <s v="En attente de mise en place des tiroires filtrés "/>
    <s v="HO Complet  202 et 303"/>
    <s v="dl Rxqual=7"/>
    <s v="dl rx level= -73"/>
    <s v="OK"/>
    <s v="OK"/>
    <s v="Mauvais"/>
    <s v="  Retransmission des trames HDLC*5"/>
    <m/>
    <s v="SGHAYER Achraf"/>
    <m/>
    <m/>
    <m/>
    <m/>
    <m/>
    <m/>
    <m/>
  </r>
  <r>
    <n v="1078"/>
    <b v="0"/>
    <x v="358"/>
    <d v="1899-12-30T21:04:39"/>
    <n v="1053"/>
    <x v="10"/>
    <x v="1"/>
    <n v="1028"/>
    <n v="35214500045449"/>
    <s v="Casa/Tanger"/>
    <n v="7.3209999999999997"/>
    <x v="2"/>
    <s v="N2"/>
    <s v="Arrêt du train"/>
    <s v="Selon notre analyse, nous avons constaté que le HO est Non finalisé entre 202 et 203, Cependant, les conditions radio étaient mauvaise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202 et 203"/>
    <s v="dl Rxqual=7"/>
    <s v="dl rx level= -54"/>
    <s v="OK"/>
    <s v="OK"/>
    <s v="Mauvais"/>
    <s v="  Retransmission des trames HDLC*5"/>
    <m/>
    <s v="ELHAJOUIA Achraf"/>
    <m/>
    <m/>
    <m/>
    <m/>
    <m/>
    <m/>
    <m/>
  </r>
  <r>
    <n v="1079"/>
    <b v="0"/>
    <x v="359"/>
    <d v="1899-12-30T13:24:25"/>
    <n v="1025"/>
    <x v="2"/>
    <x v="1"/>
    <n v="1061"/>
    <n v="35214500042751"/>
    <s v="Casa/Tanger"/>
    <n v="198.98400000000001"/>
    <x v="5"/>
    <s v="N2"/>
    <s v="Arrêt du train"/>
    <s v="Selon notre analyse, nous avons constaté que Le train s'est deconnecté deux fois, la requete de déconnexion a été envoyée par le bord pour les deux déconnexions, (pour la premiere déconnexion, les mesures radio ne sont pas diponibles) et pour la deuxieme les conditions radios était bonnes.                                         le train s'est arrêté due au dépassement du T_NVCONTACT,"/>
    <s v="Les derniers résultats de la vérification chaine antennaire conformes_x000a_En attente de pousser les analyses coté RBC"/>
    <x v="9"/>
    <s v="En attente de pousser les analyses coté RBC/En attente de mise en place des tiroires filtrés"/>
    <s v="Etat H.O : Pas de HO tenté (le train vient de se connecté en GSMR sur la LGV)."/>
    <s v="dl Rxqual=0"/>
    <s v="dl rx level= -51"/>
    <s v="OK"/>
    <s v="NOK"/>
    <s v="Mauvais"/>
    <s v="  Pas de Retransmission des trames HDLC"/>
    <m/>
    <s v="Noura MOUSSAOUI"/>
    <m/>
    <m/>
    <m/>
    <m/>
    <m/>
    <m/>
    <m/>
  </r>
  <r>
    <n v="1080"/>
    <b v="0"/>
    <x v="360"/>
    <d v="1899-12-30T17:04:35"/>
    <n v="2045"/>
    <x v="0"/>
    <x v="0"/>
    <n v="1036"/>
    <n v="35214500045488"/>
    <s v="Tanger/Casa"/>
    <n v="6.13"/>
    <x v="2"/>
    <s v="N2"/>
    <s v="Arrêt du train"/>
    <s v="Selon notre analyse, nous avons constaté que le HO est Non finalisé 202 et 301, Cependant, les conditions radio étaient mauvaise  avant la déconnexion. La requete de deconnexion a ete envoyé par le bord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202 et 301"/>
    <s v="dl Rxqual=7"/>
    <s v="dl rx level= -55"/>
    <s v="OK"/>
    <s v="NOK"/>
    <s v="Mauvais"/>
    <s v="  Retransmission des trames HDLC*5"/>
    <m/>
    <s v="MAROUANI Otmane"/>
    <m/>
    <m/>
    <m/>
    <m/>
    <m/>
    <m/>
    <m/>
  </r>
  <r>
    <n v="1081"/>
    <b v="0"/>
    <x v="360"/>
    <d v="1899-12-30T19:05:01"/>
    <n v="2053"/>
    <x v="4"/>
    <x v="0"/>
    <n v="1037"/>
    <n v="35214500044293"/>
    <s v="Tanger/Casa"/>
    <n v="6.13"/>
    <x v="2"/>
    <s v="N2"/>
    <s v="Ralentissement du train"/>
    <s v="Selon notre analyse, nous avons constaté que le HO est Complet 202 et 303, Cependant, les conditions radio étaient mauvaises avant la déconnexion. La requete de deconnexion a ete envoyé par le RBC avec retransmission des trames HDLC,l'ecart de la rame est mauvais,                                                       "/>
    <s v="Les derniers résultats de la vérification chaine antennaire conformes _x000a_Présence d'interférences externes  au niveau du GSMR_02/03_x000a_Probléme GSMR_x000a_"/>
    <x v="0"/>
    <s v="En attente de mise en place des tiroires filtrés "/>
    <s v="HO Complet  202 et 303"/>
    <s v="dl Rxqual=6"/>
    <s v="dl rx level= -65"/>
    <s v="OK"/>
    <s v="OK"/>
    <s v="Mauvais"/>
    <s v="  Retransmission des trames HDLC*5"/>
    <m/>
    <s v="LAGDEM Elmehdi"/>
    <m/>
    <m/>
    <m/>
    <m/>
    <m/>
    <m/>
    <m/>
  </r>
  <r>
    <n v="1082"/>
    <b v="0"/>
    <x v="361"/>
    <d v="1899-12-30T15:05:17"/>
    <n v="2037"/>
    <x v="7"/>
    <x v="0"/>
    <n v="1055"/>
    <n v="35214500036582"/>
    <s v="Tanger/Casa"/>
    <n v="6.13"/>
    <x v="2"/>
    <s v="N2"/>
    <s v="Arrêt du train"/>
    <s v="Selon notre analyse, nous avons constaté que le HO est Complet 202 et 303, Cependant, les conditions radio étaient bonn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202 et 303"/>
    <s v="dl Rxqual=2"/>
    <s v="dl rx level= -68"/>
    <s v="NOK"/>
    <s v="OK"/>
    <s v="Mauvais"/>
    <s v="  Retransmission des trames HDLC*5"/>
    <m/>
    <s v="MAROUANI Otmane"/>
    <m/>
    <m/>
    <m/>
    <m/>
    <m/>
    <m/>
    <m/>
  </r>
  <r>
    <n v="1083"/>
    <b v="0"/>
    <x v="361"/>
    <d v="1899-12-30T20:04:49"/>
    <n v="1050"/>
    <x v="7"/>
    <x v="1"/>
    <n v="1040"/>
    <n v="35214500045477"/>
    <s v="Casa/Tanger"/>
    <n v="7.3209999999999997"/>
    <x v="2"/>
    <s v="N2"/>
    <s v="Ralentissement du train"/>
    <s v="Selon notre analyse, nous avons constaté que le HO est Complet 202 et 303, Cependant, les conditions radio étaient mauvaises avant la déconnexion. La requete de deconnexion a ete envoyé par le RBC avec retransmission des trames HDLC,l'ecart de la rame est mauvais,                                                       "/>
    <s v="Les derniers résultats de la vérification chaine antennaire conformes _x000a_Présence d'interférences externes  au niveau du GSMR_02/03_x000a_Probléme GSMR_x000a_"/>
    <x v="0"/>
    <s v="En attente de mise en place des tiroires filtrés "/>
    <s v="HO Non finalisé 202 et 203"/>
    <s v="dl Rxqual=7"/>
    <s v="dl rx level= -54"/>
    <s v="NOK"/>
    <s v="OK"/>
    <s v="Mauvais"/>
    <s v="  Retransmission des trames HDLC*5"/>
    <m/>
    <s v="LAGDEM Elmehdi"/>
    <m/>
    <m/>
    <m/>
    <m/>
    <m/>
    <m/>
    <m/>
  </r>
  <r>
    <n v="1084"/>
    <b v="0"/>
    <x v="362"/>
    <d v="1899-12-30T06:08:31"/>
    <n v="10071"/>
    <x v="1"/>
    <x v="0"/>
    <n v="7195"/>
    <n v="35214500047160"/>
    <s v="Tanger/Casa"/>
    <n v="177.85"/>
    <x v="4"/>
    <s v="N2"/>
    <s v="Ralentissement du train"/>
    <s v="Selon notre analyse, nous avons constaté que le HO est non finalisé 231 et 330, Cependant, les conditions radio étaient bonnees avant la déconnexion. La requete de deconnexion a ete envoyé par le RBC avec retransmission des trames HDLC,l'ecart de la rame est mauvais,                                                       "/>
    <s v="Les derniers résultats de la vérification chaine antennaire conformes et Bon qualité de signale_x000a_Zone sous surveillence par le NOC"/>
    <x v="2"/>
    <s v="Zone sous surveillence par le NOC/En attente de mise en place des tiroires filtrés "/>
    <s v="HO Non finalisé 231 et 330"/>
    <s v="dl Rxqual=0"/>
    <s v="dl rx level= -69"/>
    <s v="OK"/>
    <s v="OK"/>
    <s v="Mauvais"/>
    <s v="  Retransmission des trames HDLC*4"/>
    <m/>
    <s v="Nassim NAJIM"/>
    <m/>
    <m/>
    <m/>
    <m/>
    <m/>
    <m/>
    <m/>
  </r>
  <r>
    <n v="1085"/>
    <b v="0"/>
    <x v="362"/>
    <d v="1899-12-30T11:35:05"/>
    <n v="2021"/>
    <x v="9"/>
    <x v="0"/>
    <n v="1053"/>
    <n v="35214500044497"/>
    <s v="Tanger/Casa"/>
    <n v="143.54"/>
    <x v="3"/>
    <s v="N2"/>
    <s v="Ralentissement du train"/>
    <s v="Selon notre analyse, nous avons constaté que le HO est Complet  224 et 225, Cependant, les conditions radio étaient bonnes avant la déconnexion. La requete de deconnexion a ete envoyé par le RBC sans retransmission des trames HDLC,l'ecart de la rame est mauvais,                                                       "/>
    <s v="Les derniers résultats de la vérification chaine antennaire conformes_x000a_En attente de pousser les analyses coté RBC"/>
    <x v="3"/>
    <s v="En attente de pousser les analyses coté RBC"/>
    <s v="HO finalisé 224 et 225"/>
    <s v="dl Rxqual=1"/>
    <s v="dl rx level= -70"/>
    <s v="OK"/>
    <s v="OK"/>
    <s v="Mauvais"/>
    <s v="  Pas de Retransmission des trames HDLC"/>
    <m/>
    <s v="Nassim NAJIM"/>
    <m/>
    <m/>
    <m/>
    <m/>
    <m/>
    <m/>
    <m/>
  </r>
  <r>
    <n v="1086"/>
    <b v="0"/>
    <x v="362"/>
    <d v="1899-12-30T13:31:47"/>
    <n v="1025"/>
    <x v="1"/>
    <x v="1"/>
    <n v="3062"/>
    <n v="35214500046055"/>
    <s v="Casa/Tanger"/>
    <n v="161.72200000000001"/>
    <x v="9"/>
    <s v="N2"/>
    <s v="Ralentissement du train"/>
    <s v="Selon notre analyse, nous avons constaté que le HO est complet 328 et 327, Cependant, les conditions radio étaient bonnes avant la déconnexion. La requete de deconnexion a ete envoyé par le RBC avec retransmission des trames HDLC,l'ecart de la rame est mauvais,                                                       "/>
    <s v="Les derniers résultats de la vérification chaine antennaire conformes et Bon qualité de signale_x000a_Zone sous surveillence par le NOC"/>
    <x v="0"/>
    <s v="En attente de mise en place des tiroires filtrés "/>
    <s v="HO finalisé 328 et 327"/>
    <s v="dl Rxqual=1"/>
    <s v="dl rx level= -64"/>
    <s v="NOK"/>
    <s v="OK"/>
    <s v="Mauvais"/>
    <s v="  Retransmission des trames HDLC*5"/>
    <m/>
    <s v="LAGDEM Elmehdi"/>
    <m/>
    <m/>
    <m/>
    <m/>
    <m/>
    <m/>
    <m/>
  </r>
  <r>
    <n v="1087"/>
    <b v="0"/>
    <x v="362"/>
    <d v="1899-12-30T14:05:42"/>
    <n v="2033"/>
    <x v="4"/>
    <x v="0"/>
    <n v="1058"/>
    <n v="35214500004427"/>
    <s v="Tanger/Casa"/>
    <n v="6.13"/>
    <x v="2"/>
    <s v="N2"/>
    <s v="Ralentissement du train"/>
    <s v="Selon notre analyse, nous avons constaté que le HO est HO Complet 202 et 303, Cependant, les conditions radio étaient bonnes avant la déconnexion. La requete de deconnexion a ete envoyé par le RBC avec retransmission des trames HDLC,l'ecart de la rame est mauvais,                                                       "/>
    <s v="Les derniers résultats de la vérification chaine antennaire conformes _x000a_Présence d'interférences externes  au niveau du GSMR_02/03_x000a_Probléme GSMR_x000a_"/>
    <x v="0"/>
    <s v="En attente de mise en place des tiroires filtrés "/>
    <s v="HO Complet 202 et 303"/>
    <s v="dl Rxqual=1"/>
    <s v="dl rx level= -68"/>
    <s v="OK"/>
    <s v="OK"/>
    <s v="Mauvais"/>
    <s v="  Retransmission des trames HDLC*5"/>
    <m/>
    <s v="LAGDEM Elmehdi"/>
    <m/>
    <m/>
    <m/>
    <m/>
    <m/>
    <m/>
    <m/>
  </r>
  <r>
    <n v="1088"/>
    <b v="0"/>
    <x v="362"/>
    <d v="1899-12-30T20:35:21"/>
    <n v="2057"/>
    <x v="4"/>
    <x v="0"/>
    <n v="1058"/>
    <n v="35214500004427"/>
    <s v="Tanger/Casa"/>
    <n v="144.32599999999999"/>
    <x v="3"/>
    <s v="N2"/>
    <s v="Arrêt du train"/>
    <s v="Selon notre analyse, nous avons constaté que le HO est Complet  224 et 225, Cependant, les conditions radio étaient bonnes avant la déconnexion. La requete de deconnexion a ete envoyé par le RBC sans retransmission des trames HDLC,l'ecart de la rame est mauvais,                                                       "/>
    <s v="Les derniers résultats de la vérification chaine antennaire conformes_x000a_En attente de pousser les analyses coté RBC"/>
    <x v="3"/>
    <s v="En attente de pousser les analyses coté RBC"/>
    <s v="HO Complet 224 et 225"/>
    <s v="dl Rxqual=4"/>
    <s v="dl rx level= -68"/>
    <s v="OK"/>
    <s v="OK"/>
    <s v="Mauvais"/>
    <s v=" Pas Retransmission des trames HDLC"/>
    <m/>
    <s v="Fahd OUSSALH"/>
    <m/>
    <m/>
    <m/>
    <m/>
    <m/>
    <m/>
    <m/>
  </r>
  <r>
    <n v="1089"/>
    <b v="0"/>
    <x v="363"/>
    <d v="1899-12-30T17:04:10"/>
    <n v="1038"/>
    <x v="3"/>
    <x v="1"/>
    <n v="1046"/>
    <n v="35214500038727"/>
    <s v="Casa/Tanger"/>
    <n v="7.3209999999999997"/>
    <x v="2"/>
    <s v="N2"/>
    <s v="Ralentissement du train"/>
    <s v="Selon notre analyse, nous avons constaté que le HO est Non finalisé 202 et 301, Cependant, les conditions radio étaient mauvaises avant la déconnexion. La requete de deconnexion a ete envoyé par le RBC avec retransmission des trames HDLC,l'ecart de la rame est mauvais,                                                       "/>
    <s v="Les derniers résultats de la vérification chaine antennaire conformes _x000a_Présence d'interférences externes  au niveau du GSMR_02/03_x000a_Probléme GSMR_x000a_"/>
    <x v="0"/>
    <s v="En attente de mise en place des tiroires filtrés "/>
    <s v="HO Non finalisé 202 et 301"/>
    <s v="dl Rxqual=6"/>
    <s v="dl rx level= -54"/>
    <s v="NOK"/>
    <s v="OK"/>
    <s v="Mauvais"/>
    <s v="  Retransmission des trames HDLC*5"/>
    <m/>
    <s v="LAGDEM Elmehdi"/>
    <m/>
    <m/>
    <m/>
    <m/>
    <m/>
    <m/>
    <m/>
  </r>
  <r>
    <n v="1090"/>
    <b v="0"/>
    <x v="363"/>
    <d v="1899-12-30T20:30:00"/>
    <n v="1053"/>
    <x v="7"/>
    <x v="1"/>
    <n v="1047"/>
    <n v="35214500045477"/>
    <s v="Casa/Tanger"/>
    <n v="177.85"/>
    <x v="4"/>
    <s v="N2"/>
    <s v="Ralentissement du train"/>
    <s v="Selon notre analyse, nous avons constaté que le HO est Complet 231 et 229, Cependant, les conditions radio étaient mauvaises avant la déconnexion. La requete de deconnexion a ete envoyé par le RBC avec retransmission des trames HDLC,l'ecart de la rame est mauvais,                                                       "/>
    <s v="Les derniers résultats de la vérification chaine antennaire conformes et Mauvaise qualité de signale_x000a_Zone sous surveillence par le NOC"/>
    <x v="2"/>
    <s v="Zone sous surveillence par le NOC/En attente de mise en place des tiroires filtrés "/>
    <s v="HO Complet 231 et 229"/>
    <s v="dl Rxqual=5"/>
    <s v="dl rx level= -63"/>
    <s v="NOK"/>
    <s v="OK"/>
    <s v="Mauvais"/>
    <s v="  Retransmission des trames HDLC*5"/>
    <m/>
    <s v="Oussama ZEHOUANI"/>
    <m/>
    <m/>
    <m/>
    <m/>
    <m/>
    <m/>
    <m/>
  </r>
  <r>
    <n v="1091"/>
    <b v="0"/>
    <x v="364"/>
    <d v="1899-12-30T10:36:30"/>
    <n v="1013"/>
    <x v="7"/>
    <x v="1"/>
    <n v="1040"/>
    <n v="35214500045477"/>
    <s v="Casa/Tanger"/>
    <n v="152.488"/>
    <x v="18"/>
    <s v="N2"/>
    <s v="Ralentissement du train"/>
    <s v="Selon notre analyse, nous avons constaté que le HO est non finalisé 327 et 326, Cependant, les conditions radio étaient mauvaises avant la déconnexion. La requete de deconnexion a ete envoyé par le RBC avec retransmission des trames HDLC,l'ecart de la rame est mauvais"/>
    <s v="Les derniers résultats de la vérification chaine antennaire conformes et Mauvaise qualité de signale_x000a_Zone sous surveillence par le NOC"/>
    <x v="1"/>
    <s v="Zone sous surveillence par le NOC"/>
    <s v="HO non finalisé entre 327 et 326"/>
    <s v="dl Rxqual=7"/>
    <s v="dl rx level= -61"/>
    <s v="NOK"/>
    <s v="OK"/>
    <s v="Mauvais"/>
    <s v="  Retransmission des trames HDLC*5"/>
    <m/>
    <s v="Noura MOUSSAOUI"/>
    <m/>
    <m/>
    <m/>
    <m/>
    <m/>
    <m/>
    <m/>
  </r>
  <r>
    <n v="1092"/>
    <b v="0"/>
    <x v="365"/>
    <d v="1899-12-30T09:27:39"/>
    <n v="2013"/>
    <x v="2"/>
    <x v="0"/>
    <n v="7218"/>
    <n v="35214500044557"/>
    <s v="Tanger/Casa"/>
    <n v="101.587"/>
    <x v="24"/>
    <s v="N2"/>
    <s v="Ralentissement du train"/>
    <s v="Selon notre analyse, nous avons constaté que le HO est non finalisé entre 218 et 219, Cependant, les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218 et 219"/>
    <s v="dl Rxqual=3"/>
    <s v="dl rx level= -67"/>
    <s v="NOK"/>
    <s v="OK"/>
    <s v="Mauvais"/>
    <s v="  Retransmission des trames HDLC*5"/>
    <m/>
    <s v="Noura MOUSSAOUI"/>
    <m/>
    <m/>
    <m/>
    <m/>
    <m/>
    <m/>
    <m/>
  </r>
  <r>
    <n v="1093"/>
    <b v="0"/>
    <x v="365"/>
    <d v="1899-12-30T21:08:52"/>
    <n v="1053"/>
    <x v="9"/>
    <x v="1"/>
    <n v="1034"/>
    <n v="35214500046011"/>
    <s v="Casa/Tanger"/>
    <n v="7.3209999999999997"/>
    <x v="2"/>
    <s v="N2"/>
    <s v="Ralentissement du train"/>
    <s v="Selon notre analyse, nous avons constaté que le HO est non finalisé entre 302 et 203,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2 et 203"/>
    <s v="dl Rxqual=5"/>
    <s v="dl rx level= -51"/>
    <s v="OK"/>
    <s v="OK"/>
    <s v="Mauvais"/>
    <s v="  Retransmission des trames HDLC*5"/>
    <m/>
    <s v="Nassim NAJIM"/>
    <m/>
    <m/>
    <m/>
    <m/>
    <m/>
    <m/>
    <m/>
  </r>
  <r>
    <n v="1094"/>
    <b v="0"/>
    <x v="366"/>
    <d v="1899-12-30T15:05:16"/>
    <n v="2037"/>
    <x v="10"/>
    <x v="0"/>
    <n v="1056"/>
    <n v="35214500045217"/>
    <s v="Tanger/Casa"/>
    <n v="6.13"/>
    <x v="2"/>
    <s v="N2"/>
    <s v="Arrêt du train"/>
    <s v="Selon notre analyse, nous avons constaté que le HO est non finalisé entre 202 et 303, Cependant, les conditions radio étaient mauvais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2"/>
    <s v="OK"/>
    <s v="OK"/>
    <s v="Mauvais"/>
    <s v="  Retransmission des trames HDLC*5"/>
    <m/>
    <s v="Noura MOUSSAOUI"/>
    <m/>
    <m/>
    <m/>
    <m/>
    <m/>
    <m/>
    <m/>
  </r>
  <r>
    <n v="1095"/>
    <b v="0"/>
    <x v="367"/>
    <s v=" 10:35:23"/>
    <n v="2017"/>
    <x v="9"/>
    <x v="0"/>
    <n v="1053"/>
    <n v="35214500043740"/>
    <s v="Tanger/Casa"/>
    <n v="144.32599999999999"/>
    <x v="3"/>
    <s v="N2"/>
    <s v="Arrêt du train"/>
    <s v="Selon notre analyse, nous avons constaté que le HO est complet entre 224 et 225, Cependant, les conditions radio étaient bonnes avant la déconnexion. La requete de deconnexion a ete envoyé par le RBC avec retransmission des trames HDLC,l'ecart de la rame est mauvais,                                                              Justification d’arrêt :_x000a_Un AUC non acquitté par le bord a causé l'envoie d'un AUI depuis RBC suivi d'un trip"/>
    <s v="Les derniers résultats de la vérification chaine antennaire conformes_x000a_"/>
    <x v="0"/>
    <s v="En attente de mise en place des tiroires filtrés "/>
    <s v="HO Complet 224 et 225"/>
    <s v="dl Rxqual=0"/>
    <s v="dl rx level= -70"/>
    <s v="OK"/>
    <s v="OK"/>
    <s v="Mauvais"/>
    <s v="  Retransmission des trames HDLC*5"/>
    <m/>
    <s v="Noura MOUSSAOUI"/>
    <m/>
    <m/>
    <m/>
    <m/>
    <m/>
    <m/>
    <m/>
  </r>
  <r>
    <n v="1096"/>
    <b v="0"/>
    <x v="367"/>
    <s v=" 20:04:57"/>
    <n v="1049"/>
    <x v="2"/>
    <x v="1"/>
    <n v="1060"/>
    <n v="35214500042751"/>
    <s v="Casa/Tanger"/>
    <n v="7.3209999999999997"/>
    <x v="2"/>
    <s v="N2"/>
    <s v="Arrêt du train"/>
    <s v="Selon notre analyse, nous avons constaté que le HO est complet  entre 303 et 202 avec Downlik quality , Cependant, les conditions radio étaient mauvais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303 et 202"/>
    <s v="dl Rxqual=7"/>
    <s v="dl rx level= -50"/>
    <s v="OK"/>
    <s v="OK"/>
    <s v="Mauvais"/>
    <s v="  Retransmission des trames HDLC*5"/>
    <m/>
    <s v="ELHAJOUIA Achraf"/>
    <m/>
    <m/>
    <m/>
    <m/>
    <m/>
    <m/>
    <m/>
  </r>
  <r>
    <n v="1097"/>
    <b v="0"/>
    <x v="367"/>
    <s v=" 20:28:21"/>
    <n v="1053"/>
    <x v="8"/>
    <x v="1"/>
    <n v="1030"/>
    <n v="35214500045491"/>
    <s v="Casa/Tanger"/>
    <n v="177.85"/>
    <x v="4"/>
    <s v="N2"/>
    <s v="Ralentissement du train"/>
    <s v="Selon notre analyse, nous avons constaté que le HO est non finalisé entre 330 et 229 avec Downlik quality , Cependant, les conditions radio étaient mauvaises avant la déconnexion. La requete de deconnexion a ete envoyé par le bord  avec retransmission des trames HDLC,l'ecart de la rame est mauvais"/>
    <s v="Les derniers résultats de la vérification chaine antennaire conformes et Mauvaise qualité de signale_x000a_Zone sous surveillence par le NOC"/>
    <x v="2"/>
    <s v="Zone sous surveillence par le NOC/En attente de mise en place des tiroires filtrés "/>
    <s v="HO Non finalisé 330 et 229"/>
    <s v="dl Rxqual=7"/>
    <s v="dl rx level= -55"/>
    <s v="OK"/>
    <s v="OK"/>
    <s v="Mauvais"/>
    <s v="  Retransmission des trames HDLC*5"/>
    <m/>
    <s v="ISMALI ALAOUI Hamza"/>
    <m/>
    <m/>
    <m/>
    <m/>
    <m/>
    <m/>
    <m/>
  </r>
  <r>
    <n v="1098"/>
    <b v="0"/>
    <x v="368"/>
    <d v="1899-12-30T09:12:47"/>
    <n v="2013"/>
    <x v="11"/>
    <x v="0"/>
    <n v="1051"/>
    <n v="35214500045357"/>
    <s v="Tanger/Casa"/>
    <n v="31.350999999999999"/>
    <x v="25"/>
    <s v="N2"/>
    <s v="Ralentissement du train"/>
    <s v="Selon notre analyse, nous avons constaté que le HO est non finalisé entre 206 et 207, Cependant, les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 HO non finalisé entre 206 et 207"/>
    <s v="dl Rxqual=0"/>
    <s v="dl rx level= -57"/>
    <s v="OK"/>
    <s v="OK"/>
    <s v="Mauvais"/>
    <s v="  Retransmission des trames HDLC*5"/>
    <m/>
    <s v="LAGDEM Elmehdi"/>
    <m/>
    <m/>
    <m/>
    <m/>
    <m/>
    <m/>
    <m/>
  </r>
  <r>
    <n v="1099"/>
    <b v="0"/>
    <x v="368"/>
    <d v="1899-12-30T14:05:00"/>
    <n v="2033"/>
    <x v="10"/>
    <x v="0"/>
    <n v="1056"/>
    <n v="35214500045217"/>
    <s v="Tanger/Casa"/>
    <n v="6.13"/>
    <x v="2"/>
    <s v="N2"/>
    <s v="Ralentissement du train"/>
    <s v="Selon notre analyse, nous avons constaté que le HO est non finalisé entre 302 et 201,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2 et 201"/>
    <s v="dl Rxqual=7"/>
    <s v="dl rx level= -55"/>
    <s v="NOK"/>
    <s v="OK"/>
    <s v="Mauvais"/>
    <s v="  Retransmission des trames HDLC*5"/>
    <m/>
    <s v="Oussama ZEHOUANI"/>
    <m/>
    <m/>
    <m/>
    <m/>
    <m/>
    <m/>
    <m/>
  </r>
  <r>
    <n v="1100"/>
    <b v="0"/>
    <x v="368"/>
    <d v="1899-12-30T16:05:00"/>
    <n v="2041"/>
    <x v="8"/>
    <x v="0"/>
    <n v="1043"/>
    <n v="35214500045200"/>
    <s v="Tanger/Casa"/>
    <n v="6.13"/>
    <x v="2"/>
    <s v="N2"/>
    <s v="Ralentissement du train"/>
    <s v="Selon notre analyse, nous avons constaté que le HO est complet entre 202 et 303,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 HO Complet entre 202 et 303"/>
    <s v="dl Rxqual=7"/>
    <s v="dl rx level= -69"/>
    <s v="NOK"/>
    <s v="OK"/>
    <s v="Mauvais"/>
    <s v="  Retransmission des trames HDLC*5"/>
    <m/>
    <s v="Oussama ZEHOUANI"/>
    <m/>
    <m/>
    <m/>
    <m/>
    <m/>
    <m/>
    <m/>
  </r>
  <r>
    <n v="1101"/>
    <b v="0"/>
    <x v="368"/>
    <d v="1899-12-30T19:05:00"/>
    <n v="2053"/>
    <x v="3"/>
    <x v="0"/>
    <n v="1083"/>
    <n v="35214500043517"/>
    <s v="Tanger/Casa"/>
    <n v="6.13"/>
    <x v="2"/>
    <s v="N2"/>
    <s v="Ralentissement du train"/>
    <s v="Selon notre analyse, nous avons constaté que le HO est non finalisé entre 302 et 203,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 HO non finalisé entre 302 et 203"/>
    <s v="dl Rxqual=6"/>
    <s v="dl rx level= -60"/>
    <s v="NOK"/>
    <s v="OK"/>
    <s v="Mauvais"/>
    <s v="  Retransmission des trames HDLC*5"/>
    <m/>
    <s v="Oussama ZEHOUANI"/>
    <m/>
    <m/>
    <m/>
    <m/>
    <m/>
    <m/>
    <m/>
  </r>
  <r>
    <n v="1102"/>
    <b v="0"/>
    <x v="368"/>
    <s v=" 23:05:50"/>
    <n v="1062"/>
    <x v="2"/>
    <x v="1"/>
    <n v="1060"/>
    <n v="35214500042751"/>
    <s v="Casa/Tanger"/>
    <n v="7.3209999999999997"/>
    <x v="2"/>
    <s v="N2"/>
    <s v="Arrêt du train"/>
    <s v="Selon notre analyse, nous avons constaté que le HO est complet  entre 303 et 202 avec Downlik quality , Cependant, les conditions radio étaient mauvais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303 et 202"/>
    <s v="dl Rxqual=7"/>
    <s v="dl rx level= -52"/>
    <s v="OK"/>
    <s v="OK"/>
    <s v="Mauvais"/>
    <s v="  Retransmission des trames HDLC*5"/>
    <m/>
    <s v="HARIRI Bahaeddine"/>
    <m/>
    <m/>
    <m/>
    <m/>
    <m/>
    <m/>
    <m/>
  </r>
  <r>
    <n v="1103"/>
    <b v="0"/>
    <x v="369"/>
    <s v=" 11:04:42"/>
    <n v="2021"/>
    <x v="11"/>
    <x v="0"/>
    <n v="1050"/>
    <n v="35214500045495"/>
    <s v="Tanger/Casa"/>
    <n v="6.13"/>
    <x v="2"/>
    <s v="N2"/>
    <s v="Arrêt du train"/>
    <s v="Selon notre analyse, nous avons constaté que le HO est complet  entre 302 et 203 avec Downlik quality , Cependant, les conditions radio étaient mauvais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e entre 302 et 203"/>
    <s v="dl Rxqual=7"/>
    <s v="dl rx level= -66"/>
    <s v="OK"/>
    <s v="OK"/>
    <s v="Mauvais"/>
    <s v="  Retransmission des trames HDLC*5"/>
    <m/>
    <s v="ELHAJOUIA Achraf"/>
    <m/>
    <m/>
    <m/>
    <m/>
    <m/>
    <m/>
    <m/>
  </r>
  <r>
    <n v="1104"/>
    <b v="0"/>
    <x v="369"/>
    <d v="1899-12-30T19:04:07"/>
    <n v="1045"/>
    <x v="10"/>
    <x v="1"/>
    <n v="1028"/>
    <n v="35214500045449"/>
    <s v="Casa/Tanger"/>
    <n v="7.3209999999999997"/>
    <x v="2"/>
    <s v="N2"/>
    <s v="Arrêt du train"/>
    <s v="Selon notre analyse, nous avons constaté que le HO non finalisé entre 202 et 303  avec Downlink quality  , Cependant, les conditions radio étaient mauvais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2 et 303  "/>
    <s v="dl Rxqual=7"/>
    <s v="dl rx level= -53"/>
    <s v="OK"/>
    <s v="OK"/>
    <s v="Mauvais"/>
    <s v="  Retransmission des trames HDLC*5"/>
    <m/>
    <s v="Saad Elhabib"/>
    <m/>
    <m/>
    <m/>
    <m/>
    <m/>
    <m/>
    <m/>
  </r>
  <r>
    <n v="1105"/>
    <b v="0"/>
    <x v="370"/>
    <s v=" 11:04:26"/>
    <n v="2021"/>
    <x v="8"/>
    <x v="0"/>
    <n v="1043"/>
    <n v="35214500045200"/>
    <s v="Tanger/Casa"/>
    <n v="6.13"/>
    <x v="2"/>
    <s v="N2"/>
    <s v="Ralentissement du train"/>
    <s v="Selon notre analyse, nous avons constaté que le HO est complet entre 202 et 303 avec downlink quality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e entre 202 et 303"/>
    <s v="dl Rxqual=7"/>
    <s v="dl rx level= -69"/>
    <s v="OK"/>
    <s v="OK"/>
    <s v="Mauvais"/>
    <s v="  Retransmission des trames HDLC*5"/>
    <m/>
    <s v="ISMALI ALAOUI Hamza"/>
    <m/>
    <m/>
    <m/>
    <m/>
    <m/>
    <m/>
    <m/>
  </r>
  <r>
    <n v="1106"/>
    <b v="0"/>
    <x v="370"/>
    <d v="1899-12-30T16:05:10"/>
    <n v="2041"/>
    <x v="0"/>
    <x v="0"/>
    <n v="1037"/>
    <n v="35214500045488"/>
    <s v="Tanger/Casa"/>
    <n v="6.13"/>
    <x v="2"/>
    <s v="N2"/>
    <s v="Arrêt du train"/>
    <s v="Selon notre analyse, nous avons constaté que le HO est complet entre 202 et 303 avec downlink quality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e entre 202 et 303"/>
    <s v="dl Rxqual=7"/>
    <s v="dl rx level= -65"/>
    <s v="OK"/>
    <s v="OK"/>
    <s v="Mauvais"/>
    <s v="  Retransmission des trames HDLC*5"/>
    <m/>
    <s v="Saad Elhabib"/>
    <m/>
    <m/>
    <m/>
    <m/>
    <m/>
    <m/>
    <m/>
  </r>
  <r>
    <n v="1107"/>
    <b v="0"/>
    <x v="371"/>
    <d v="1899-12-30T05:07:47"/>
    <n v="2081"/>
    <x v="10"/>
    <x v="0"/>
    <n v="1057"/>
    <n v="35214500045187"/>
    <s v="Tanger/Casa"/>
    <n v="161.72200000000001"/>
    <x v="9"/>
    <s v="N2"/>
    <s v="Ralentissement du train"/>
    <s v="Selon notre analyse, nous avons constaté que le HO est non finalisé entre 227 et 228 ,Cependant, les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227 et 228"/>
    <s v="dl Rxqual=2"/>
    <s v="dl rx level= -70"/>
    <s v="NOK"/>
    <s v="OK"/>
    <s v="Mauvais"/>
    <s v="  Retransmission des trames HDLC*5"/>
    <m/>
    <s v="LAGDEM Elmehdi"/>
    <m/>
    <m/>
    <m/>
    <m/>
    <m/>
    <m/>
    <m/>
  </r>
  <r>
    <n v="1108"/>
    <b v="0"/>
    <x v="371"/>
    <d v="1899-12-30T09:14:29"/>
    <n v="2013"/>
    <x v="5"/>
    <x v="0"/>
    <n v="1025"/>
    <n v="35214500045073"/>
    <s v="Tanger/Casa"/>
    <n v="39.215000000000003"/>
    <x v="14"/>
    <s v="N2"/>
    <s v="Ralentissement du train"/>
    <s v="Selon notre analyse, nous avons constaté que le HO est non finalisé entre 207 et 208,Cependant, les conditions radio étaient bonnes avant la déconnexion. La requete de deconnexion a ete envoyé par le RBC avec retransmission des trames HDLC,l'ecart de la rame est mauvais,                                                                       "/>
    <s v="Les derniers résultats de la vérification chaine antennaire conformes et Bon qualité de signale_x000a_Zone sous surveillence par le NOC"/>
    <x v="2"/>
    <s v="Zone sous surveillence par le NOC/En attente de mise en place des tiroires filtrés "/>
    <s v="HO non finalisé entre 207 et 208"/>
    <s v="dl Rxqual=2"/>
    <s v="dl rx level= -68"/>
    <s v="NOK"/>
    <s v="OK"/>
    <s v="Mauvais"/>
    <s v="  Retransmission des trames HDLC*5"/>
    <m/>
    <s v="Noura MOUSSAOUI"/>
    <m/>
    <m/>
    <m/>
    <m/>
    <m/>
    <m/>
    <m/>
  </r>
  <r>
    <n v="1109"/>
    <b v="0"/>
    <x v="371"/>
    <d v="1899-12-30T18:35:56"/>
    <n v="2049"/>
    <x v="0"/>
    <x v="0"/>
    <n v="1037"/>
    <n v="35214500045488"/>
    <s v="Tanger/Casa"/>
    <n v="144.32599999999999"/>
    <x v="3"/>
    <s v="N2"/>
    <s v="Arrêt du train"/>
    <s v="Selon notre analyse, nous avons constaté que le HO est complet entre 224 et 225 , es conditions radio étaient bonnes  avant la déconnexion. La requete de deconnexion a ete envoyé par le RBC avec retransmission des trames HDLC,l'ecart de la rame est mauvais"/>
    <s v="Les derniers résultats de la vérification chaine antennaire conformes"/>
    <x v="0"/>
    <s v="En attente de mise en place des tiroires filtrés "/>
    <s v="HO complet entre 224 et 225   "/>
    <s v="dl Rxqual=0"/>
    <s v="dl rx level= -70"/>
    <s v="OK"/>
    <s v="OK"/>
    <s v="Mauvais"/>
    <s v="  Retransmission des trames HDLC*5"/>
    <m/>
    <s v="Saad Elhabib"/>
    <m/>
    <m/>
    <m/>
    <m/>
    <m/>
    <m/>
    <m/>
  </r>
  <r>
    <n v="1110"/>
    <b v="0"/>
    <x v="371"/>
    <d v="1899-12-30T18:43:21"/>
    <n v="1045"/>
    <x v="10"/>
    <x v="1"/>
    <n v="1028"/>
    <n v="35214500045449"/>
    <s v="Casa/Tanger"/>
    <n v="122.536"/>
    <x v="30"/>
    <s v="N2"/>
    <s v="Ralentissement du train"/>
    <s v="Selon notre analyse, nous avons constaté que le HO est non finalisé entre 322 et 221  , es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 HO non finalisé entre 322 et 221 "/>
    <s v="dl Rxqual=0"/>
    <s v="dl rx level= -70"/>
    <s v="NOK"/>
    <s v="OK"/>
    <s v="Mauvais"/>
    <s v="  Retransmission des trames HDLC*5"/>
    <m/>
    <s v="Oussama ZEHOUANI"/>
    <m/>
    <m/>
    <m/>
    <m/>
    <m/>
    <m/>
    <m/>
  </r>
  <r>
    <n v="1111"/>
    <b v="0"/>
    <x v="371"/>
    <d v="1899-12-30T19:04:45"/>
    <n v="2053"/>
    <x v="11"/>
    <x v="0"/>
    <n v="1028"/>
    <n v="35214500045495"/>
    <s v="Tanger/Casa"/>
    <n v="6.13"/>
    <x v="2"/>
    <s v="N2"/>
    <s v="Ralentissement du train"/>
    <s v="Selon notre analyse, nous avons constaté que le HO est complet entre 202 et 302, 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2  avec downlink quality"/>
    <s v="dl Rxqual=5"/>
    <s v="dl rx level= -66"/>
    <s v="OK"/>
    <s v="OK"/>
    <s v="Mauvais"/>
    <s v="  Retransmission des trames HDLC*5"/>
    <m/>
    <s v="Oussama ZEHOUANI"/>
    <m/>
    <m/>
    <m/>
    <m/>
    <m/>
    <m/>
    <m/>
  </r>
  <r>
    <n v="1112"/>
    <b v="0"/>
    <x v="372"/>
    <d v="1899-12-30T04:05:26"/>
    <n v="2081"/>
    <x v="2"/>
    <x v="0"/>
    <n v="7218"/>
    <n v="35214500044557"/>
    <s v="Tanger/Casa"/>
    <n v="6.13"/>
    <x v="2"/>
    <s v="N2"/>
    <s v="Ralentissement du train"/>
    <s v="Selon notre analyse, nous avons constaté que le HO est complet entre 202 et 302, 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201 avec downlink quality"/>
    <s v="dl Rxqual=7"/>
    <s v="dl rx level= -71"/>
    <s v="NOK"/>
    <s v="OK"/>
    <s v="Mauvais"/>
    <s v="  Retransmission des trames HDLC*5"/>
    <m/>
    <s v="LAGDEM Elmehdi"/>
    <m/>
    <m/>
    <m/>
    <m/>
    <m/>
    <m/>
    <m/>
  </r>
  <r>
    <n v="1113"/>
    <b v="0"/>
    <x v="372"/>
    <d v="1899-12-30T21:08:54"/>
    <n v="1053"/>
    <x v="3"/>
    <x v="1"/>
    <n v="1046"/>
    <n v="35214500038727"/>
    <s v="Casa/Tanger"/>
    <n v="7.3209999999999997"/>
    <x v="2"/>
    <s v="N2"/>
    <s v="Ralentissement du train"/>
    <s v="Selon notre analyse, nous avons constaté que le HO est non finalisé entre 302 et 203  , est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2 et 203  "/>
    <s v="dl Rxqual=6"/>
    <s v="dl rx level= -51"/>
    <s v="OK"/>
    <s v="OK"/>
    <s v="Mauvais"/>
    <s v="  Retransmission des trames HDLC*5"/>
    <m/>
    <s v="LAGDEM Elmehdi"/>
    <m/>
    <m/>
    <m/>
    <m/>
    <m/>
    <m/>
    <m/>
  </r>
  <r>
    <n v="1114"/>
    <b v="0"/>
    <x v="373"/>
    <d v="1899-12-30T12:04:53"/>
    <n v="2025"/>
    <x v="10"/>
    <x v="0"/>
    <n v="1056"/>
    <n v="35214500045187"/>
    <s v="Tanger/Casa"/>
    <n v="8.3209999999999997"/>
    <x v="2"/>
    <s v="N2"/>
    <s v="Ralentissement du train"/>
    <s v="Selon notre analyse, nous avons constaté que le HO est non finalisé entre 302 et 203  , est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2 et 203"/>
    <s v="dl Rxqual=7"/>
    <s v="dl rx level= -55"/>
    <s v="NOK"/>
    <s v="OK"/>
    <s v="Mauvais"/>
    <s v="  Retransmission des trames HDLC*5"/>
    <m/>
    <s v="Oussama ZEHOUANI"/>
    <m/>
    <m/>
    <m/>
    <m/>
    <m/>
    <m/>
    <m/>
  </r>
  <r>
    <n v="1115"/>
    <b v="0"/>
    <x v="373"/>
    <d v="1899-12-30T14:05:02"/>
    <n v="2033"/>
    <x v="0"/>
    <x v="0"/>
    <n v="1037"/>
    <n v="35214500045461"/>
    <s v="Tanger/Casa"/>
    <n v="6.13"/>
    <x v="2"/>
    <s v="N2"/>
    <s v="Ralentissement du train"/>
    <s v="Selon notre analyse, nous avons constaté que le HO est complet entre 202 et 303, est conditions radio étaient bonn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avec downlink quality"/>
    <s v="dl Rxqual=1"/>
    <s v="dl rx level= -70"/>
    <s v="OK"/>
    <s v="OK"/>
    <s v="Mauvais"/>
    <s v="  Retransmission des trames HDLC*5"/>
    <m/>
    <s v="Nassim NAJIM"/>
    <m/>
    <m/>
    <m/>
    <m/>
    <m/>
    <m/>
    <m/>
  </r>
  <r>
    <n v="1116"/>
    <b v="0"/>
    <x v="373"/>
    <d v="1899-12-30T17:04:34"/>
    <n v="1038"/>
    <x v="10"/>
    <x v="1"/>
    <n v="1028"/>
    <n v="35214500045449"/>
    <s v="Casa/Tanger"/>
    <n v="7.3209999999999997"/>
    <x v="2"/>
    <s v="N2"/>
    <s v="Ralentissement du train"/>
    <s v="Selon notre analyse, nous avons constaté que le HO est non finalisé entre 303 et 202 , est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3 et 202 "/>
    <s v="dl Rxqual=6"/>
    <s v="dl rx level= -63"/>
    <s v="OK"/>
    <s v="OK"/>
    <s v="Mauvais"/>
    <s v="  Retransmission des trames HDLC*5"/>
    <m/>
    <s v="Nassim NAJIM"/>
    <m/>
    <m/>
    <m/>
    <m/>
    <m/>
    <m/>
    <m/>
  </r>
  <r>
    <n v="1117"/>
    <b v="0"/>
    <x v="374"/>
    <d v="1899-12-30T09:05:16"/>
    <n v="2009"/>
    <x v="2"/>
    <x v="0"/>
    <n v="7218"/>
    <n v="35214500045735"/>
    <s v="Tanger/Casa"/>
    <n v="6.13"/>
    <x v="2"/>
    <s v="N2"/>
    <s v="Ralentissement du train"/>
    <s v="Selon notre analyse, nous avons constaté que le HO est complet entre 202 et 303, est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avec DownLink "/>
    <s v="dl Rxqual=7"/>
    <s v="dl rx level= -69"/>
    <s v="NOK"/>
    <s v="OK"/>
    <s v="Mauvais"/>
    <s v="  Retransmission des trames HDLC*5"/>
    <m/>
    <s v="Oussama ZEHOUANI"/>
    <m/>
    <m/>
    <m/>
    <m/>
    <m/>
    <m/>
    <m/>
  </r>
  <r>
    <n v="1118"/>
    <b v="0"/>
    <x v="374"/>
    <d v="1899-12-30T14:05:00"/>
    <n v="2033"/>
    <x v="2"/>
    <x v="0"/>
    <n v="7218"/>
    <n v="35214500045735"/>
    <s v="Tanger/Casa"/>
    <n v="6.13"/>
    <x v="2"/>
    <s v="N2"/>
    <s v="Ralentissement du train"/>
    <s v="Selon notre analyse, nous avons constaté que le HO est non finalisé entre 302 et 203, est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2 et 203"/>
    <s v="dl Rxqual=6"/>
    <s v="dl rx level= -63"/>
    <s v="OK"/>
    <s v="OK"/>
    <s v="Mauvais"/>
    <s v="  Retransmission des trames HDLC*5"/>
    <m/>
    <s v="Nassim NAJIM"/>
    <m/>
    <m/>
    <m/>
    <m/>
    <m/>
    <m/>
    <m/>
  </r>
  <r>
    <n v="1119"/>
    <b v="0"/>
    <x v="374"/>
    <d v="1899-12-30T17:04:35"/>
    <n v="2041"/>
    <x v="10"/>
    <x v="0"/>
    <n v="1057"/>
    <n v="35214500045187"/>
    <s v="Tanger/Casa"/>
    <n v="6.13"/>
    <x v="2"/>
    <s v="N2"/>
    <s v="Arrêt du train"/>
    <s v="Selon notre analyse, nous avons constaté que le HO est complet entre 202 et 303, est conditions radio étaient mauvaises avant la déconnexion. La requete de deconnexion a ete envoyé par le RBC avec retransmission des trames HDLC,l'ecart de la rame est mauvais , 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9"/>
    <s v="OK"/>
    <s v="OK"/>
    <s v="Mauvais"/>
    <s v="  Retransmission des trames HDLC*5"/>
    <m/>
    <s v="HARIRI Bahaeddine"/>
    <m/>
    <m/>
    <m/>
    <m/>
    <m/>
    <m/>
    <m/>
  </r>
  <r>
    <n v="1120"/>
    <b v="0"/>
    <x v="374"/>
    <d v="1899-12-30T21:03:52"/>
    <n v="1053"/>
    <x v="10"/>
    <x v="1"/>
    <n v="1028"/>
    <n v="35214500045449"/>
    <s v="Casa/Tanger"/>
    <n v="7.3209999999999997"/>
    <x v="2"/>
    <s v="N2"/>
    <s v="Arrêt du train"/>
    <s v="Selon notre analyse, nous avons constaté que le HO est complet entre 303 et 202,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entre 303 et 202"/>
    <s v="dl Rxqual=7"/>
    <s v="dl rx level= -54"/>
    <s v="OK"/>
    <s v="OK"/>
    <s v="Mauvais"/>
    <s v="  Retransmission des trames HDLC*5"/>
    <m/>
    <s v="ELHAJOUIA Achraf"/>
    <m/>
    <m/>
    <m/>
    <m/>
    <m/>
    <m/>
    <m/>
  </r>
  <r>
    <n v="1121"/>
    <b v="0"/>
    <x v="374"/>
    <d v="1899-12-30T21:05:19"/>
    <n v="2061"/>
    <x v="11"/>
    <x v="0"/>
    <n v="1051"/>
    <n v="35214500045357"/>
    <s v="Tanger/Casa"/>
    <n v="6.13"/>
    <x v="2"/>
    <s v="N2"/>
    <s v="Arrêt du train"/>
    <s v="Selon notre analyse, nous avons constaté que le HO est Non finalisé entre 201 et 203 Saute cellule ,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1 et 203 ( saute cellule)"/>
    <s v="dl Rxqual=6"/>
    <s v="dl rx level= -52"/>
    <s v="OK"/>
    <s v="OK"/>
    <s v="Mauvais"/>
    <s v="  Retransmission des trames HDLC*5"/>
    <m/>
    <s v="ELHAJOUIA Achraf"/>
    <m/>
    <m/>
    <m/>
    <m/>
    <m/>
    <m/>
    <m/>
  </r>
  <r>
    <n v="1122"/>
    <b v="0"/>
    <x v="375"/>
    <d v="1899-12-30T06:10:37"/>
    <n v="2001"/>
    <x v="5"/>
    <x v="0"/>
    <n v="1025"/>
    <n v="35214500045122"/>
    <s v="Tanger/Casa"/>
    <n v="21.55"/>
    <x v="20"/>
    <s v="N2"/>
    <s v="Ralentissement du train"/>
    <s v="Selon notre analyse, nous avons constaté que le HO est non finalisé entre 204 et 205 , est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204 et 205 "/>
    <s v="dl Rxqual=0"/>
    <s v="dl rx level= -67"/>
    <s v="OK"/>
    <s v="OK"/>
    <s v="Mauvais"/>
    <s v="  Retransmission des trames HDLC*5"/>
    <m/>
    <s v="ISMALI ALAOUI Hamza"/>
    <m/>
    <m/>
    <m/>
    <m/>
    <m/>
    <m/>
    <m/>
  </r>
  <r>
    <n v="1123"/>
    <b v="0"/>
    <x v="375"/>
    <d v="1899-12-30T14:35:21"/>
    <n v="2033"/>
    <x v="4"/>
    <x v="0"/>
    <n v="1058"/>
    <n v="35214500044293"/>
    <s v="Tanger/Casa"/>
    <n v="141.898"/>
    <x v="26"/>
    <s v="N2"/>
    <s v="Ralentissement du train"/>
    <s v="Selon notre analyse, nous avons constaté que le HO est complet entre 224 et 225 , est conditions radio étaient bonnes avant la déconnexion. La requete de deconnexion a ete envoyé par le RBC sans retransmission des trames HDLC,l'ecart de la rame est mauvais"/>
    <s v="Les derniers résultats de la vérification chaine antennaire conformes_x000a_En attente de pousser les analyses coté RBC"/>
    <x v="3"/>
    <s v="En attente de pousser les analyses coté RBC"/>
    <s v="HO complet entre 224 et 225 "/>
    <s v="dl Rxqual=0"/>
    <s v="dl rx level= -48"/>
    <s v="OK"/>
    <s v="OK"/>
    <s v="Mauvais"/>
    <s v="  Pas de Retransmission des trames HDLC"/>
    <m/>
    <s v="Nassim NAJIM"/>
    <m/>
    <m/>
    <m/>
    <m/>
    <m/>
    <m/>
    <m/>
  </r>
  <r>
    <n v="1124"/>
    <b v="0"/>
    <x v="375"/>
    <d v="1899-12-30T15:27:44"/>
    <n v="2037"/>
    <x v="10"/>
    <x v="0"/>
    <n v="1056"/>
    <n v="35214500045217"/>
    <s v="Tanger/Casa"/>
    <n v="109.495"/>
    <x v="1"/>
    <s v="N2"/>
    <s v="Ralentissement du train"/>
    <s v="Selon notre analyse, nous avons constaté que le HO est non finalisé entre 320 et 321 ,est conditions radio étaient mauvaises avant la déconnexion. La requete de deconnexion a ete envoyé par le RBC avec retransmission des trames HDLC,l'ecart de la rame est mauvais"/>
    <s v="Les derniers résultats de la vérification chaine antennaire conformes et Mauvaise qualité de signale_x000a_Zone sous surveillence par le NOC"/>
    <x v="2"/>
    <s v="Zone sous surveillence par le NOC/En attente de mise en place des tiroires filtrés "/>
    <s v="HO non finalisé entre 320 et 321 "/>
    <s v="dl Rxqual=7"/>
    <s v="dl rx level= -63"/>
    <s v="NOK"/>
    <s v="OK"/>
    <s v="Mauvais"/>
    <s v="  Retransmission des trames HDLC*5"/>
    <m/>
    <s v="Nassim NAJIM"/>
    <m/>
    <m/>
    <m/>
    <m/>
    <m/>
    <m/>
    <m/>
  </r>
  <r>
    <n v="1125"/>
    <b v="0"/>
    <x v="376"/>
    <d v="1899-12-30T16:05:17"/>
    <n v="2037"/>
    <x v="2"/>
    <x v="0"/>
    <n v="7217"/>
    <n v="35214500045735"/>
    <s v="Tanger/Casa"/>
    <n v="6.13"/>
    <x v="2"/>
    <s v="N2"/>
    <s v="Arrêt du train"/>
    <s v="Selon notre analyse, nous avons constaté que le HO est Non finalisé entre 202 et 303 , est conditions radio étaient mauvaises avant la déconnexion. La requete de deconnexion a ete envoyé par le bord avec retransmission des trames HDLC,l'ecart de la rame est mauvais, 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6"/>
    <s v="NOK"/>
    <s v="OK"/>
    <s v="Mauvais"/>
    <s v="  Retransmission des trames HDLC*5"/>
    <m/>
    <s v="SGHAYER Achraf"/>
    <m/>
    <m/>
    <m/>
    <m/>
    <m/>
    <m/>
    <m/>
  </r>
  <r>
    <n v="1126"/>
    <b v="0"/>
    <x v="376"/>
    <d v="1899-12-30T21:05:54"/>
    <n v="2061"/>
    <x v="2"/>
    <x v="1"/>
    <n v="7217"/>
    <n v="35214500005339"/>
    <s v="Casa/Tanger"/>
    <n v="6.13"/>
    <x v="2"/>
    <s v="N2"/>
    <s v="Arrêt du train"/>
    <s v="Selon notre analyse, nous avons constaté que le HO est Non finalisé entre 301 et 203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301 et 203 (saute cellule )"/>
    <s v="dl Rxqual=7"/>
    <s v="dl rx level= -49"/>
    <s v="NOK"/>
    <s v="OK"/>
    <s v="Mauvais"/>
    <s v="  Retransmission des trames HDLC*5"/>
    <m/>
    <s v="ELHAJOUIA Achraf"/>
    <m/>
    <m/>
    <m/>
    <m/>
    <m/>
    <m/>
    <m/>
  </r>
  <r>
    <n v="1127"/>
    <b v="0"/>
    <x v="377"/>
    <d v="1899-12-30T06:38:31"/>
    <n v="2001"/>
    <x v="4"/>
    <x v="0"/>
    <n v="1058"/>
    <n v="35214500004427"/>
    <s v="Tanger/Casa"/>
    <n v="153.68600000000001"/>
    <x v="18"/>
    <s v="N2"/>
    <s v="Ralentissement du train"/>
    <s v="Selon notre analyse, nous avons constaté que le HO est non finalisé entre 206 et 207 ,est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206 et 207 "/>
    <s v="dl Rxqual=1"/>
    <s v="dl rx level= -68"/>
    <s v="NOK"/>
    <s v="OK"/>
    <s v="Mauvais"/>
    <s v="  Retransmission des trames HDLC*5"/>
    <m/>
    <s v="ISMALI ALAOUI Hamza"/>
    <m/>
    <m/>
    <m/>
    <m/>
    <m/>
    <m/>
    <m/>
  </r>
  <r>
    <n v="1128"/>
    <b v="0"/>
    <x v="377"/>
    <d v="1899-12-30T12:05:35"/>
    <n v="2025"/>
    <x v="4"/>
    <x v="0"/>
    <n v="1058"/>
    <n v="35214500004427"/>
    <s v="Tanger/Casa"/>
    <n v="6.13"/>
    <x v="2"/>
    <s v="N2"/>
    <s v="Arrêt du train"/>
    <s v="Selon notre analyse, nous avons constaté que le HO est complet entre 202 et 303,est les conditions radio étaient bonnes avant la déconnexion. La requete de deconnexion a ete envoyé par le RBC avec retransmission des trames HDLC,l'ecart de la rame est mauvais,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5"/>
    <s v="OK"/>
    <s v="OK"/>
    <s v="Mauvais"/>
    <s v="  Retransmission des trames HDLC*5"/>
    <m/>
    <s v="Noura MOUSSAOUI"/>
    <m/>
    <m/>
    <m/>
    <m/>
    <m/>
    <m/>
    <m/>
  </r>
  <r>
    <n v="1129"/>
    <b v="0"/>
    <x v="377"/>
    <d v="1899-12-30T17:05:21"/>
    <n v="2045"/>
    <x v="10"/>
    <x v="0"/>
    <n v="1056"/>
    <n v="35214500045187"/>
    <s v="Tanger/Casa"/>
    <n v="6.13"/>
    <x v="2"/>
    <s v="N2"/>
    <s v="Arrêt du train"/>
    <s v="Selon notre analyse, nous avons constaté que le HO est non finalisé entre 202 et 203,est les conditions radio étaient bonnes avant la déconnexion. La requete de deconnexion a ete envoyé par le RBC avec retransmission des trames HDLC,l'ecart de la rame est mauvais,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2 et 203"/>
    <s v="dl Rxqual=7"/>
    <s v="dl rx level= -53"/>
    <s v="OK"/>
    <s v="OK"/>
    <s v="Mauvais"/>
    <s v="  Retransmission des trames HDLC*5"/>
    <m/>
    <s v="MAROUANI Otmane"/>
    <m/>
    <m/>
    <m/>
    <m/>
    <m/>
    <m/>
    <m/>
  </r>
  <r>
    <n v="1130"/>
    <b v="0"/>
    <x v="378"/>
    <d v="1899-12-30T10:04:53"/>
    <n v="2017"/>
    <x v="1"/>
    <x v="0"/>
    <n v="7195"/>
    <n v="35214500045671"/>
    <s v="Tanger/Casa"/>
    <n v="6.13"/>
    <x v="2"/>
    <s v="N2"/>
    <s v="Ralentissement du train"/>
    <s v="Selon notre analyse, nous avons constaté que le HO est complet entre 202 et 203,es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8"/>
    <s v="OK"/>
    <s v="OK"/>
    <s v="Mauvais"/>
    <s v="  Retransmission des trames HDLC*5"/>
    <m/>
    <s v="Noura MOUSSAOUI"/>
    <m/>
    <m/>
    <m/>
    <m/>
    <m/>
    <m/>
    <m/>
  </r>
  <r>
    <n v="1131"/>
    <b v="0"/>
    <x v="379"/>
    <d v="1899-12-30T10:27:45"/>
    <n v="1013"/>
    <x v="3"/>
    <x v="1"/>
    <n v="1047"/>
    <n v="35214500038727"/>
    <s v="Casa/Tanger"/>
    <n v="185.47"/>
    <x v="19"/>
    <s v="N2"/>
    <s v="Ralentissement du train"/>
    <s v="Selon notre analyse, nous avons constaté que le HO est non finalisé entre 332 et 331,est les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332 et 331"/>
    <s v="dl Rxqual=1"/>
    <s v="dl rx level= -72"/>
    <s v="NOK"/>
    <s v="OK"/>
    <s v="Mauvais"/>
    <s v="  Retransmission des trames HDLC*5"/>
    <m/>
    <s v="Noura MOUSSAOUI"/>
    <m/>
    <m/>
    <m/>
    <m/>
    <m/>
    <m/>
    <m/>
  </r>
  <r>
    <n v="1132"/>
    <b v="0"/>
    <x v="379"/>
    <d v="1899-12-30T17:05:02"/>
    <n v="2045"/>
    <x v="4"/>
    <x v="0"/>
    <n v="7208"/>
    <n v="35214500004427"/>
    <s v="Tanger/Casa"/>
    <n v="6.13"/>
    <x v="2"/>
    <s v="N2"/>
    <s v="Ralentissement du train"/>
    <s v="Selon notre analyse, nous avons constaté que le HO est non finalisé entre 202 et 303,est les conditions radio étaient Mauvaise avant la déconnexion. La requete de deconnexion a ete envoyé par le bord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1"/>
    <s v="OK"/>
    <s v="OK"/>
    <s v="Mauvais"/>
    <s v="  Retransmission des trames HDLC*5"/>
    <m/>
    <s v="ELHAJOUIA Achraf"/>
    <m/>
    <m/>
    <m/>
    <m/>
    <m/>
    <m/>
    <m/>
  </r>
  <r>
    <n v="1133"/>
    <b v="0"/>
    <x v="380"/>
    <d v="1899-12-30T22:05:21"/>
    <n v="10081"/>
    <x v="8"/>
    <x v="0"/>
    <n v="1043"/>
    <n v="35214500045200"/>
    <s v="Tanger/Casa"/>
    <n v="6.13"/>
    <x v="2"/>
    <s v="N2"/>
    <s v="Ralentissement du train"/>
    <s v="Selon notre analyse, nous avons constaté que le HO est non finalisé entre 202 et 303,est les conditions radio étaient Mauvaise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6"/>
    <s v="NOK"/>
    <s v="OK"/>
    <s v="Mauvais"/>
    <s v="  Retransmission des trames HDLC*5"/>
    <m/>
    <s v="LAGDEM Elmehdi"/>
    <m/>
    <m/>
    <m/>
    <m/>
    <m/>
    <m/>
    <m/>
  </r>
  <r>
    <n v="1134"/>
    <b v="0"/>
    <x v="381"/>
    <d v="1899-12-30T08:44:25"/>
    <n v="15061"/>
    <x v="0"/>
    <x v="1"/>
    <n v="1044"/>
    <n v="35214500045131"/>
    <s v="Casa/Tanger"/>
    <n v="202.125"/>
    <x v="5"/>
    <s v="N2"/>
    <s v="Ralentissement du train"/>
    <s v="Selon notre analyse, nous avons constaté que le HO est Non finalisé entre 234 et 233 avec downlink quality ,est les conditions radio étaient Mauvaise avant la déconnexion. La requete de deconnexion a ete envoyé par le bord /pas de retransmission des trames HDLC,l'ecart de la rame est mauvais,"/>
    <s v="Les derniers résultats de la vérification chaine antennaire conformes et Mauvaise qualité de signale"/>
    <x v="2"/>
    <s v="Zone sous surveillence par le NOC/En attente de mise en place des tiroires filtrés "/>
    <s v="HO non finalisé entre 234 et 233"/>
    <s v=" -"/>
    <s v=" -"/>
    <s v="NOK"/>
    <s v="OK"/>
    <s v="Mauvais"/>
    <s v="  Pas de Retransmission des trames HDLC"/>
    <m/>
    <s v="ELHAJOUIA Achraf"/>
    <m/>
    <m/>
    <m/>
    <m/>
    <m/>
    <m/>
    <m/>
  </r>
  <r>
    <n v="1135"/>
    <b v="0"/>
    <x v="381"/>
    <d v="1899-12-30T16:05:34"/>
    <n v="2041"/>
    <x v="5"/>
    <x v="0"/>
    <n v="1025"/>
    <n v="35214500045073"/>
    <s v="Tanger/Casa"/>
    <n v="6.13"/>
    <x v="2"/>
    <s v="N2"/>
    <s v="Ralentissement du train"/>
    <s v="Selon notre analyse, nous avons constaté que le HO est complet entre 202 et 303,est les conditions radio étaient Mauvaise avant la déconnexion. La requete de deconnexion a ete envoyé par le RBC /pas de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6"/>
    <s v="NOK"/>
    <s v="OK"/>
    <s v="Mauvais"/>
    <s v="  Pas de Retransmission des trames HDLC"/>
    <m/>
    <s v="Fahd OUSSALH"/>
    <m/>
    <m/>
    <m/>
    <m/>
    <m/>
    <m/>
    <m/>
  </r>
  <r>
    <n v="1136"/>
    <b v="0"/>
    <x v="382"/>
    <d v="1899-12-30T08:04:51"/>
    <n v="2009"/>
    <x v="1"/>
    <x v="0"/>
    <n v="7194"/>
    <n v="35214500047160"/>
    <s v="Tanger/Casa"/>
    <n v="6.13"/>
    <x v="2"/>
    <s v="N2"/>
    <s v="Ralentissement du train"/>
    <s v="Selon notre analyse, nous avons constaté que le HO est Non finalisé entre 302 et 201 ,est les conditions radio étaient Mauvaise avant la déconnexion. La requete de deconnexion a ete envoyé par le RBC  /pas de retransmission des trames HDLC,l'ecart de la rame est mauvais,"/>
    <s v="Les derniers résultats de la vérification chaine antennaire conformes _x000a_Présence d'interférences externes  au niveau du GSMR_02/03_x000a_Probléme GSMR"/>
    <x v="0"/>
    <s v="En attente de mise en place des tiroires filtrés "/>
    <s v="HO Non finalisé entre 302 et 201"/>
    <s v="dl Rxqual=7"/>
    <s v="dl rx level= -54"/>
    <s v="NOK"/>
    <s v="OK"/>
    <s v="Mauvais"/>
    <s v="  Pas de Retransmission des trames HDLC"/>
    <m/>
    <s v="ELHAJOUIA Achraf"/>
    <m/>
    <m/>
    <m/>
    <m/>
    <m/>
    <m/>
    <m/>
  </r>
  <r>
    <n v="1137"/>
    <b v="0"/>
    <x v="382"/>
    <d v="1899-12-30T14:03:00"/>
    <n v="1025"/>
    <x v="10"/>
    <x v="1"/>
    <n v="1060"/>
    <n v="35214500045449"/>
    <s v="Tanger/Casa"/>
    <n v="6.13"/>
    <x v="2"/>
    <s v="N2"/>
    <s v="Arrêt du train"/>
    <s v="Selon notre analyse, nous avons constaté que le HO est complet 203 et 202 ,est les conditions radio étaient Mauvaise avant la déconnexion. La requete de deconnexion a ete envoyé par le Bord ,"/>
    <s v="Les derniers résultats de la vérification chaine antennaire conformes _x000a_Présence d'interférences externes  au niveau du GSMR_02/03_x000a_Probléme GSMR"/>
    <x v="0"/>
    <s v="En attente de mise en place des tiroires filtrés "/>
    <s v="HO complet entre 203 et 202"/>
    <s v="dl Rxqual=5"/>
    <s v="dl rx level= -51"/>
    <m/>
    <m/>
    <m/>
    <m/>
    <m/>
    <s v="Noura MOUSSAOUI"/>
    <m/>
    <m/>
    <m/>
    <m/>
    <m/>
    <m/>
    <m/>
  </r>
  <r>
    <n v="1138"/>
    <b v="0"/>
    <x v="382"/>
    <d v="1899-12-30T17:05:00"/>
    <n v="2045"/>
    <x v="0"/>
    <x v="0"/>
    <n v="1037"/>
    <n v="35214500045461"/>
    <s v="Tanger/Casa"/>
    <n v="6.13"/>
    <x v="2"/>
    <s v="N2"/>
    <s v="Ralentissement du train"/>
    <s v="Selon notre analyse, nous avons constaté que le HO est Non finalisé entre 202 et 303 ,est les conditions radio étaient Mauvaise avant la déconnexion. La requete de deconnexion a ete envoyé par le RBC,"/>
    <s v="Les derniers résultats de la vérification chaine antennaire conformes _x000a_Présence d'interférences externes  au niveau du GSMR_02/03_x000a_Probléme GSMR"/>
    <x v="0"/>
    <s v="En attente de mise en place des tiroires filtrés "/>
    <s v="HO non finalisé entre 202 et 303"/>
    <s v="dl Rxqual=7"/>
    <s v="dl rx level= -51"/>
    <m/>
    <m/>
    <m/>
    <m/>
    <m/>
    <s v="Fahd OUSSALH"/>
    <m/>
    <m/>
    <m/>
    <m/>
    <m/>
    <m/>
    <m/>
  </r>
  <r>
    <n v="1139"/>
    <b v="0"/>
    <x v="383"/>
    <d v="1899-12-30T22:05:27"/>
    <n v="10081"/>
    <x v="0"/>
    <x v="0"/>
    <n v="1025"/>
    <n v="35214500045073"/>
    <s v="Tanger/Casa"/>
    <n v="6.13"/>
    <x v="2"/>
    <s v="N2"/>
    <s v="Ralentissement du train"/>
    <s v="Selon notre analyse, nous avons constaté que le HO est Non finalisé entre 202 et 303 ,est les conditions radio étaient Mauvaise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
    <x v="0"/>
    <s v="En attente de mise en place des tiroires filtrés "/>
    <s v="HO non finalisé entre 202 et 303"/>
    <s v="dl Rxqual=6"/>
    <s v="dl rx level= -64"/>
    <s v="OK"/>
    <s v="OK"/>
    <s v="Mauvais"/>
    <s v="  Retransmission des trames HDLC*5"/>
    <m/>
    <s v="Saad Elhabib"/>
    <m/>
    <m/>
    <m/>
    <m/>
    <m/>
    <m/>
    <m/>
  </r>
  <r>
    <n v="1140"/>
    <b v="0"/>
    <x v="384"/>
    <d v="1899-12-30T08:35:24"/>
    <n v="1005"/>
    <x v="8"/>
    <x v="1"/>
    <n v="1031"/>
    <n v="35214500045491"/>
    <s v="Casa/Tanger"/>
    <n v="146.738"/>
    <x v="3"/>
    <s v="N2"/>
    <s v="Ralentissement du train"/>
    <s v="Selon notre analyse, nous avons constaté que le HO est Non finalisé entre 326 et 325 , les conditions radio étaient bonnes avant la déconnexion. La requete de deconnexion a ete envoyé par le RBC  avec de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326 et 325"/>
    <s v="dl Rxqual=0"/>
    <s v="dl rx level= -67"/>
    <s v="NOK"/>
    <s v="OK"/>
    <s v="Mauvais"/>
    <s v="  Retransmission des trames HDLC*5"/>
    <m/>
    <s v="ELHAJOUIA Achraf"/>
    <m/>
    <m/>
    <m/>
    <m/>
    <m/>
    <m/>
    <m/>
  </r>
  <r>
    <n v="1141"/>
    <b v="0"/>
    <x v="385"/>
    <s v=" 12:05:20"/>
    <n v="2025"/>
    <x v="8"/>
    <x v="0"/>
    <n v="1043"/>
    <n v="35214500045491"/>
    <s v="Tanger/Casa"/>
    <n v="6.13"/>
    <x v="2"/>
    <s v="N2"/>
    <s v="Arrêt du train"/>
    <s v="Selon notre analyse, nous avons constaté que le HO est complet entre 202 et 303 avec downlink quality,La requete de deconnexion a ete envoyé par le RBC suite au retransmission des trames HDLC "/>
    <s v="Les derniers résultats de la vérification chaine antennaire conformes _x000a_Présence d'interférences externes  au niveau du GSMR_02/03_x000a_Probléme GSMR"/>
    <x v="0"/>
    <s v="En attente de mise en place des tiroires filtrés "/>
    <s v="HO  complet entre 202 et 303 "/>
    <s v=" -"/>
    <s v=" -"/>
    <s v="NOK"/>
    <s v="OK"/>
    <s v="Mauvais"/>
    <s v="  Retransmission des trames HDLC*5"/>
    <m/>
    <s v="Noura MOUSSAOUI"/>
    <m/>
    <m/>
    <m/>
    <m/>
    <m/>
    <m/>
    <m/>
  </r>
  <r>
    <n v="1142"/>
    <b v="0"/>
    <x v="385"/>
    <d v="1899-12-30T22:35:12"/>
    <n v="10081"/>
    <x v="0"/>
    <x v="0"/>
    <n v="1037"/>
    <n v="35214500045488"/>
    <s v="Tanger/Casa"/>
    <n v="145.6"/>
    <x v="3"/>
    <s v="N2"/>
    <s v="Ralentissement du train"/>
    <s v="Selon notre analyse, nous avons constaté que le HO est complet entre 225 et 226,La requete de deconnexion a ete envoyé par le RBC sans retransmission des trames HDLC "/>
    <s v="Les derniers résultats de la vérification chaine antennaire conformes_x000a_Pas de retransmission des trames HDLC_x000a_En attente de pousser les analyses coté RBC"/>
    <x v="3"/>
    <s v="En attente de pousser les analyses coté RBC"/>
    <s v="HO  complet entre 225 et 226"/>
    <s v=" -"/>
    <s v=" -"/>
    <s v="OK"/>
    <s v="OK"/>
    <s v="Mauvais"/>
    <s v="  Pas de Retransmission des trames HDLC"/>
    <m/>
    <s v="Saad Elhabib"/>
    <m/>
    <m/>
    <m/>
    <m/>
    <m/>
    <m/>
    <m/>
  </r>
  <r>
    <n v="1143"/>
    <b v="0"/>
    <x v="386"/>
    <d v="1899-12-30T11:39:26"/>
    <n v="1017"/>
    <x v="3"/>
    <x v="1"/>
    <n v="1047"/>
    <n v="35214500038730"/>
    <s v="Casa/Tanger"/>
    <n v="127.815"/>
    <x v="6"/>
    <s v="N2"/>
    <s v="Ralentissement du train"/>
    <s v="Selon notre analyse, nous avons constaté que le HO est Non finalisé entre 223 et 222,est les conditions radio étaient Mauvaises avant la déconnexion. La requete de deconnexion a ete envoyé par le RBC  avec retransmission des trames HDLC,l'ecart de la rame est mauvais,"/>
    <s v="Les derniers résultats de la vérification chaine antennaire conformes et Mauvaise qualité de signale_x000a_Zone sous surveillence par le NOC"/>
    <x v="1"/>
    <s v="Zone sous surveillence par le NOC"/>
    <s v="HO non finalisé entre 223 et 222"/>
    <s v="dl Rxqual=7"/>
    <s v="dl rx level= -84"/>
    <s v="OK"/>
    <s v="OK"/>
    <s v="Mauvais"/>
    <s v="  Retransmission des trames HDLC*5"/>
    <m/>
    <s v="Noura MOUSSAOUI"/>
    <m/>
    <m/>
    <m/>
    <m/>
    <m/>
    <m/>
    <m/>
  </r>
  <r>
    <n v="1144"/>
    <b v="0"/>
    <x v="387"/>
    <d v="1899-12-30T17:05:39"/>
    <n v="2045"/>
    <x v="10"/>
    <x v="0"/>
    <n v="1056"/>
    <n v="35214500045217"/>
    <s v="Tanger/Casa"/>
    <n v="6.13"/>
    <x v="2"/>
    <s v="N2"/>
    <s v="Ralentissement du train"/>
    <s v="Selon notre analyse, nous avons constaté que le HO est complet entre 202 et 303,La requete de deconnexion a ete envoyé par le RBC avec retransmission des trames HDLC "/>
    <s v="Les derniers résultats de la vérification chaine antennaire conformes _x000a_Présence d'interférences externes  au niveau du GSMR_02/03_x000a_Probléme GSMR"/>
    <x v="0"/>
    <s v="En attente de mise en place des tiroires filtrés "/>
    <s v="HO  complet entre 202 et 303 "/>
    <s v="dl Rxqual=7"/>
    <s v="dl rx level= -59"/>
    <s v="NOK"/>
    <s v="OK"/>
    <s v="Mauvais"/>
    <s v=" Retransmission des trames HDLC*5"/>
    <m/>
    <s v="HARIRI Bahaeddine"/>
    <m/>
    <m/>
    <m/>
    <m/>
    <m/>
    <m/>
    <m/>
  </r>
  <r>
    <n v="1145"/>
    <b v="0"/>
    <x v="388"/>
    <d v="1899-12-30T10:17:06"/>
    <n v="2017"/>
    <x v="1"/>
    <x v="0"/>
    <n v="7194"/>
    <n v="35214500047160"/>
    <s v="Tanger/Casa"/>
    <n v="53.540999999999997"/>
    <x v="29"/>
    <s v="N2"/>
    <s v="Ralentissement du train"/>
    <s v="Selon notre analyse, nous avons constaté que le HO est non finalisé entre 209 et 210, les conditions radio étaient bonnes avant la déconnexion,La requete de deconnexion a ete envoyé par le RBC avec retransmission des trames HDLC "/>
    <s v="Les derniers résultats de la vérification chaine antennaire conformes et Bon qualité de signale_x000a_Zone sous surveillence par le NOC"/>
    <x v="2"/>
    <s v="Zone sous surveillence par le NOC/En attente de mise en place des tiroires filtrés "/>
    <s v="HO non finalisé entre 209 et 210"/>
    <s v="dl Rxqual=1"/>
    <s v="dl rx level= -63"/>
    <s v="NOK"/>
    <s v="OK"/>
    <s v="Mauvais"/>
    <s v=" Retransmission des trames HDLC*5"/>
    <m/>
    <s v="Noura MOUSSAOUI"/>
    <m/>
    <m/>
    <m/>
    <m/>
    <m/>
    <m/>
    <m/>
  </r>
  <r>
    <n v="1146"/>
    <b v="0"/>
    <x v="389"/>
    <d v="1899-12-30T14:10:09"/>
    <n v="2033"/>
    <x v="2"/>
    <x v="0"/>
    <n v="7217"/>
    <n v="35214500044557"/>
    <s v="Tanger/Casa"/>
    <n v="21.55"/>
    <x v="20"/>
    <s v="N2"/>
    <s v="Ralentissement du train"/>
    <s v="Selon notre analyse, nous avons constaté que le HO est complet entre 204 et 205, les conditions radio étaient bonnes avant la déconnexion,La requete de deconnexion a ete envoyé par le RBC avec retransmission des trames HDLC "/>
    <s v="Les derniers résultats de la vérification chaine antennaire conformes et Bon qualité de signale"/>
    <x v="0"/>
    <s v="En attente de mise en place des tiroires filtrés "/>
    <s v="HO  complet entre 204 et 205"/>
    <s v="dl Rxqual=0"/>
    <s v="dl rx level= -48"/>
    <s v="OK"/>
    <s v="OK"/>
    <s v="Mauvais"/>
    <s v=" Retransmission des trames HDLC*5"/>
    <m/>
    <s v="Noura MOUSSAOUI"/>
    <m/>
    <m/>
    <m/>
    <m/>
    <m/>
    <m/>
    <m/>
  </r>
  <r>
    <n v="1147"/>
    <b v="0"/>
    <x v="389"/>
    <d v="1899-12-30T14:14:13"/>
    <n v="2033"/>
    <x v="2"/>
    <x v="0"/>
    <n v="7218"/>
    <n v="35214500044557"/>
    <s v="Tanger/Casa"/>
    <n v="35.259"/>
    <x v="25"/>
    <s v="N2"/>
    <s v="Ralentissement du train"/>
    <s v="Selon notre analyse, nous avons constaté que le bord s'est accroché a la cellule 595 de la ligne Sidi Kacem- Tanger. HO finalisé entre 595 et 596 avec downlink quality, les conditions radio étaitent mauvaises avant la déconnexion,La requete de deconnexion a ete envoyé par le RBC avec retransmission des trames HDLC "/>
    <s v="Les derniers résultats de la vérification chaine antennaire conformes et Bon qualité de signale_x000a_Zone sous surveillence par le NOC"/>
    <x v="2"/>
    <s v="Zone sous surveillence par le NOC/En attente de mise en place des tiroires filtrés "/>
    <s v="HO  complet entre 595 et 596"/>
    <s v="dl Rxqual=7"/>
    <s v="dl rx level= -76"/>
    <s v="OK"/>
    <s v="OK"/>
    <s v="Mauvais"/>
    <s v=" Retransmission des trames HDLC*5"/>
    <m/>
    <s v="Noura MOUSSAOUI"/>
    <m/>
    <m/>
    <m/>
    <m/>
    <m/>
    <m/>
    <m/>
  </r>
  <r>
    <n v="1148"/>
    <b v="0"/>
    <x v="389"/>
    <d v="1899-12-30T23:30:38"/>
    <n v="10091"/>
    <x v="0"/>
    <x v="1"/>
    <n v="1044"/>
    <n v="35214500045131"/>
    <s v="Casa/Tanger"/>
    <n v="170.298"/>
    <x v="27"/>
    <s v="N2"/>
    <s v="Ralentissement du train"/>
    <s v="Selon notre analyse, nous avons constaté que le HO est Complet entre 230 et 329, les conditions radio étaient bonnes avant la déconnexion,La requete de deconnexion a ete envoyé par le RBC avec retransmission des trames HDLC "/>
    <s v="Les derniers résultats de la vérification chaine antennaire conformes"/>
    <x v="0"/>
    <s v="En attente de mise en place des tiroires filtrés "/>
    <s v="HO  complet entre 230 et 329"/>
    <s v="dl Rxqual=0"/>
    <s v="dl rx level= -48"/>
    <s v="OK"/>
    <s v="OK"/>
    <s v="Mauvais"/>
    <s v=" Retransmission des trames HDLC*5"/>
    <m/>
    <s v="ELHAJOUIA Achraf"/>
    <m/>
    <m/>
    <m/>
    <m/>
    <m/>
    <m/>
    <m/>
  </r>
  <r>
    <n v="1149"/>
    <b v="0"/>
    <x v="390"/>
    <s v=" 10:05:14"/>
    <n v="2017"/>
    <x v="2"/>
    <x v="0"/>
    <n v="7218"/>
    <n v="35214500045735"/>
    <s v="Tanger/Casa"/>
    <n v="6.13"/>
    <x v="2"/>
    <s v="N2"/>
    <s v="Ralentissement du train"/>
    <s v="Selon notre analyse, nous avons constaté que le HO est complet entre 202 et 303 avec downlink quality,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202 et 303 "/>
    <s v="dl Rxqual=5"/>
    <s v="dl rx level= -66"/>
    <s v="OK"/>
    <s v="OK"/>
    <s v="Mauvais"/>
    <s v=" Retransmission des trames HDLC*5"/>
    <m/>
    <s v="Noura MOUSSAOUI"/>
    <m/>
    <m/>
    <m/>
    <m/>
    <m/>
    <m/>
    <m/>
  </r>
  <r>
    <n v="1150"/>
    <b v="0"/>
    <x v="391"/>
    <s v=" 14:04:50"/>
    <n v="2033"/>
    <x v="0"/>
    <x v="0"/>
    <n v="7218"/>
    <n v="35214500045461"/>
    <s v="Tanger/Casa"/>
    <n v="6.13"/>
    <x v="2"/>
    <s v="N2"/>
    <s v="Ralentissement du train"/>
    <s v="Selon notre analyse, nous avons constaté que le HO est non finalisé entre 202 et 203 ,les conditions radio étaient bonn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203"/>
    <s v="dl Rxqual=7"/>
    <s v="dl rx level= -54"/>
    <s v="OK"/>
    <s v="OK"/>
    <s v="Mauvais"/>
    <s v=" Retransmission des trames HDLC*5"/>
    <m/>
    <s v="Noura MOUSSAOUI"/>
    <m/>
    <m/>
    <m/>
    <m/>
    <m/>
    <m/>
    <m/>
  </r>
  <r>
    <n v="1151"/>
    <b v="0"/>
    <x v="392"/>
    <s v=" 14:06:04 "/>
    <n v="2033"/>
    <x v="4"/>
    <x v="0"/>
    <n v="7208"/>
    <n v="35214500004427"/>
    <s v="Tanger/Casa"/>
    <n v="6.13"/>
    <x v="2"/>
    <s v="N2"/>
    <s v="Arrêt du train"/>
    <s v="Selon notre analyse, nous avons constaté que le HO est non finalisé entre 202 et 2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5"/>
    <s v="dl rx level= -51"/>
    <s v="OK"/>
    <s v="OK"/>
    <s v="Mauvais"/>
    <s v=" Retransmission des trames HDLC*5"/>
    <m/>
    <s v="ISMALI ALAOUI Hamza"/>
    <m/>
    <m/>
    <m/>
    <m/>
    <m/>
    <m/>
    <m/>
  </r>
  <r>
    <n v="1152"/>
    <b v="0"/>
    <x v="392"/>
    <s v=" 15:05:24"/>
    <n v="2037"/>
    <x v="5"/>
    <x v="0"/>
    <n v="1024"/>
    <n v="35214500045122"/>
    <s v="Tanger/Casa"/>
    <n v="6.13"/>
    <x v="2"/>
    <s v="N2"/>
    <s v="Ralentissement du train"/>
    <s v="Selon notre analyse, nous avons constaté que le HO est non finalisé entre 202 et 301 ,les conditions radio étaient bonn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1"/>
    <s v="dl Rxqual=3"/>
    <s v="dl rx level= -50"/>
    <s v="OK"/>
    <s v="OK"/>
    <s v="Mauvais"/>
    <s v=" Retransmission des trames HDLC*5"/>
    <m/>
    <s v="ELHAJOUIA Achraf"/>
    <m/>
    <m/>
    <m/>
    <m/>
    <m/>
    <m/>
    <m/>
  </r>
  <r>
    <n v="1153"/>
    <b v="0"/>
    <x v="392"/>
    <s v=" 19:48:20"/>
    <n v="1046"/>
    <x v="4"/>
    <x v="1"/>
    <n v="1033"/>
    <n v="35214500040707"/>
    <s v="Tanger/Casa"/>
    <n v="7.3209999999999997"/>
    <x v="2"/>
    <s v="N2"/>
    <s v="Ralentissement du train"/>
    <s v="Selon notre analyse, nous avons constaté que le HO est non finalisé entre 202 et 2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203"/>
    <s v="dl Rxqual=5"/>
    <s v="dl rx level= -51"/>
    <s v="NOK"/>
    <s v="OK"/>
    <s v="Mauvais"/>
    <s v=" Retransmission des trames HDLC*5"/>
    <m/>
    <s v="ELHAJOUIA Achraf"/>
    <m/>
    <m/>
    <m/>
    <m/>
    <m/>
    <m/>
    <m/>
  </r>
  <r>
    <n v="1154"/>
    <b v="0"/>
    <x v="393"/>
    <s v=" 14:05:24  "/>
    <n v="2033"/>
    <x v="4"/>
    <x v="0"/>
    <n v="7208"/>
    <n v="35214500004427"/>
    <s v="Tanger/Casa"/>
    <n v="6.13"/>
    <x v="2"/>
    <s v="N2"/>
    <s v="Arrêt du train"/>
    <s v="Selon notre analyse, nous avons constaté que le HO est non finalisé entre 302 et 203 ,les conditions radio étaient Mauvaise avant la déconnexion,La requete de deconnexion a ete envoyé par le Bord sans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2 et 203"/>
    <s v="dl Rxqual=6"/>
    <s v="dl rx level= -74"/>
    <s v="OK"/>
    <s v="OK"/>
    <s v="Mauvais"/>
    <s v="  Pas de Retransmission des trames HDLC"/>
    <m/>
    <s v="ISMALI ALAOUI Hamza"/>
    <m/>
    <m/>
    <m/>
    <m/>
    <m/>
    <m/>
    <m/>
  </r>
  <r>
    <n v="1155"/>
    <b v="0"/>
    <x v="394"/>
    <s v=" 21:08:04"/>
    <n v="2061"/>
    <x v="2"/>
    <x v="0"/>
    <n v="7217"/>
    <n v="35214500044557"/>
    <s v="Tanger/Casa"/>
    <n v="4.7069999999999999"/>
    <x v="2"/>
    <s v="N2"/>
    <s v="Ralentissement du train"/>
    <s v="Selon notre analyse, nous avons constaté que le HO est non finalisé entre 202 et 2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203"/>
    <s v="dl Rxqual=7"/>
    <s v="dl rx level= -59"/>
    <s v="NOK"/>
    <s v="OK"/>
    <s v="Mauvais"/>
    <s v=" Retransmission des trames HDLC*5"/>
    <m/>
    <s v="HARIRI Bahaeddine"/>
    <m/>
    <m/>
    <m/>
    <m/>
    <m/>
    <m/>
    <m/>
  </r>
  <r>
    <n v="1156"/>
    <b v="0"/>
    <x v="395"/>
    <d v="1899-12-30T17:06:04"/>
    <n v="1037"/>
    <x v="10"/>
    <x v="1"/>
    <n v="1028"/>
    <n v="35214500045268"/>
    <s v="Casa/Tanger"/>
    <n v="7.3209999999999997"/>
    <x v="2"/>
    <s v="N2"/>
    <s v="Ralentissement du train"/>
    <s v="Selon notre analyse, nous avons constaté que le HO est non finalisé entre 303 et 202 ,les conditions radio étaient Bonne avant la déconnexion,La requete de deconnexion a ete envoyé par le bord sans de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3 et 202"/>
    <s v="dl Rxqual=0"/>
    <s v="dl rx level= -64"/>
    <s v="NOK"/>
    <s v="OK"/>
    <s v="Mauvais"/>
    <s v="  Pas de Retransmission des trames HDLC"/>
    <m/>
    <s v="Fahd OUSSALH"/>
    <m/>
    <m/>
    <m/>
    <m/>
    <m/>
    <m/>
    <m/>
  </r>
  <r>
    <n v="1157"/>
    <b v="0"/>
    <x v="395"/>
    <d v="1899-12-30T23:49:23"/>
    <n v="10082"/>
    <x v="10"/>
    <x v="1"/>
    <n v="1029"/>
    <n v="35214500045449"/>
    <s v="Casa/Tanger"/>
    <n v="79.281999999999996"/>
    <x v="11"/>
    <s v="N2"/>
    <s v="Ralentissement du train"/>
    <s v="Selon notre analyse, nous avons constaté que le HO est non finalisé entre 315 et 314 ,les conditions radio étaient Bonnes avant la déconnexion,La requete de deconnexion a ete envoyé par le RBC  suite au retransmission des trames HDLC "/>
    <s v="Les derniers résultats de la vérification chaine antennaire conformes et Bon qualité de signale_x000a_Zone sous surveillence par le NOC"/>
    <x v="2"/>
    <s v="Zone sous surveillence par le NOC/En attente de mise en place des tiroires filtrés "/>
    <s v="HO non finalisé entre 315 et 314"/>
    <s v="dl Rxqual=1"/>
    <s v="dl rx level= -64"/>
    <s v="NOK"/>
    <s v="OK"/>
    <s v="Mauvais"/>
    <s v=" Retransmission des trames HDLC*5"/>
    <m/>
    <s v="HARIRI Bahaeddine"/>
    <m/>
    <m/>
    <m/>
    <m/>
    <m/>
    <m/>
    <m/>
  </r>
  <r>
    <n v="1158"/>
    <b v="0"/>
    <x v="396"/>
    <d v="1899-12-30T11:05:13"/>
    <n v="2021"/>
    <x v="2"/>
    <x v="0"/>
    <n v="7218"/>
    <n v="35214500045735"/>
    <s v="Tanger/Casa"/>
    <n v="6.13"/>
    <x v="2"/>
    <s v="N2"/>
    <s v="Ralentissement du train"/>
    <s v="Selon notre analyse, nous avons constaté que le HO est Complet entre 202 et 203 avec downlink quality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202 et 203"/>
    <s v="dl Rxqual=4"/>
    <s v="dl rx level= -70"/>
    <s v="OK"/>
    <s v="OK"/>
    <s v="Mauvais"/>
    <s v=" Retransmission des trames HDLC*5"/>
    <m/>
    <s v="ELHAJOUIA Achraf"/>
    <m/>
    <m/>
    <m/>
    <m/>
    <m/>
    <m/>
    <m/>
  </r>
  <r>
    <n v="1159"/>
    <b v="0"/>
    <x v="396"/>
    <d v="1899-12-30T17:05:37"/>
    <n v="2045"/>
    <x v="2"/>
    <x v="0"/>
    <n v="7218"/>
    <n v="35214500045735"/>
    <s v="Tanger/Casa"/>
    <n v="6.13"/>
    <x v="2"/>
    <s v="N2"/>
    <s v="Ralentissement du train"/>
    <s v="Selon notre analyse, nous avons constaté que le HO est Complet entre 202 et 203 avec downlink quality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202 et 203"/>
    <s v="dl Rxqual=7"/>
    <s v="dl rx level= -59"/>
    <s v="NOK"/>
    <s v="OK"/>
    <s v="Mauvais"/>
    <s v=" Retransmission des trames HDLC*5"/>
    <m/>
    <s v="Fahd OUSSALH"/>
    <m/>
    <m/>
    <m/>
    <m/>
    <m/>
    <m/>
    <m/>
  </r>
  <r>
    <n v="1160"/>
    <b v="0"/>
    <x v="396"/>
    <d v="1899-12-30T19:05:42"/>
    <n v="2053"/>
    <x v="10"/>
    <x v="0"/>
    <n v="1056"/>
    <n v="35214500045217"/>
    <s v="Tanger/Casa"/>
    <n v="6.13"/>
    <x v="2"/>
    <s v="N2"/>
    <s v="Arrêt du train"/>
    <s v="Selon notre analyse, nous avons constaté que le HO est non finalisé entre 301 et 203 avec downlink quality ,les conditions radio étaient bonn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1 et 202"/>
    <s v="dl Rxqual=3"/>
    <s v="dl rx level= -53"/>
    <s v="NOK"/>
    <s v="OK"/>
    <s v="Mauvais"/>
    <s v=" Retransmission des trames HDLC*5"/>
    <m/>
    <s v="Oussama ZEHOUANI"/>
    <m/>
    <m/>
    <m/>
    <m/>
    <m/>
    <m/>
    <m/>
  </r>
  <r>
    <n v="1161"/>
    <b v="0"/>
    <x v="397"/>
    <d v="1899-12-30T14:04:08"/>
    <n v="1025"/>
    <x v="9"/>
    <x v="1"/>
    <n v="1035"/>
    <n v="35214500046011"/>
    <s v="Casa/Tanger"/>
    <n v="7.32"/>
    <x v="2"/>
    <s v="N2"/>
    <s v="Ralentissement du train"/>
    <s v="Selon notre analyse, nous avons constaté que le HO est Complet entre 302 et 203 avec downlink quality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302 et 203"/>
    <s v="dl Rxqual=5"/>
    <s v="dl rx level= -80"/>
    <s v="OK"/>
    <s v="OK"/>
    <s v="Mauvais"/>
    <s v=" Retransmission des trames HDLC*5"/>
    <m/>
    <s v="Noura MOUSSAOUI"/>
    <m/>
    <m/>
    <m/>
    <m/>
    <m/>
    <m/>
    <m/>
  </r>
  <r>
    <n v="1162"/>
    <b v="0"/>
    <x v="398"/>
    <d v="1899-12-30T16:05:09"/>
    <n v="2041"/>
    <x v="2"/>
    <x v="0"/>
    <n v="7218"/>
    <n v="35214500045735"/>
    <s v="Tanger/Casa"/>
    <n v="6.13"/>
    <x v="2"/>
    <s v="N2"/>
    <s v="Ralentissement du train"/>
    <s v="Selon notre analyse, nous avons constaté que le HO est Complet entre 302 et 203 avec downlink quality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302 et 203"/>
    <s v="dl Rxqual=7"/>
    <s v="dl rx level= -62"/>
    <s v="OK"/>
    <s v="OK"/>
    <s v="Mauvais"/>
    <s v=" Retransmission des trames HDLC*5"/>
    <m/>
    <s v="HARIRI Bahaeddine"/>
    <m/>
    <m/>
    <m/>
    <m/>
    <m/>
    <m/>
    <m/>
  </r>
  <r>
    <n v="1163"/>
    <b v="0"/>
    <x v="398"/>
    <d v="1899-12-30T21:05:05"/>
    <n v="2061"/>
    <x v="4"/>
    <x v="0"/>
    <n v="7208"/>
    <n v="35214500004427"/>
    <s v="Tanger/Casa"/>
    <n v="6.13"/>
    <x v="2"/>
    <s v="N2"/>
    <s v="Ralentissement du train"/>
    <s v="Selon notre analyse, nous avons constaté que le HO est non finalisé entre 202 et 303 avec downlink quality ,les conditions radio étaient Mauvaise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2"/>
    <s v="NOK"/>
    <s v="NOK"/>
    <s v="Mauvais"/>
    <s v=" Retransmission des trames HDLC*5"/>
    <m/>
    <s v="Saad Elhabib"/>
    <m/>
    <m/>
    <m/>
    <m/>
    <m/>
    <m/>
    <m/>
  </r>
  <r>
    <n v="1164"/>
    <b v="0"/>
    <x v="399"/>
    <d v="1899-12-30T18:28:00"/>
    <n v="2049"/>
    <x v="0"/>
    <x v="0"/>
    <n v="1037"/>
    <n v="35214500045461"/>
    <s v="Tanger/Casa"/>
    <n v="109.495"/>
    <x v="1"/>
    <s v="N2"/>
    <s v="Ralentissement du train"/>
    <s v="Selon notre analyse, nous avons constaté que le HO est non finalisé entre 219 et 220  ,les conditions radio étaient Mauvaise avant la déconnexion,La requete de deconnexion a ete envoyé par le RBC  suite au retransmission des trames HDLC "/>
    <s v="Les derniers résultats de la vérification chaine antennaire conformes et Mauvaise qualité de signale_x000a_Zone sous surveillence par le NOC"/>
    <x v="1"/>
    <s v="Zone sous surveillence par le NOC"/>
    <s v="HO non finalisé entre 219 et 220"/>
    <s v="dl Rxqual=5"/>
    <s v="dl rx level= -57"/>
    <s v="NOK"/>
    <s v="OK"/>
    <s v="Mauvais"/>
    <s v=" Retransmission des trames HDLC*5"/>
    <m/>
    <s v="HARIRI Bahaeddine"/>
    <m/>
    <m/>
    <m/>
    <m/>
    <m/>
    <m/>
    <m/>
  </r>
  <r>
    <n v="1165"/>
    <b v="0"/>
    <x v="400"/>
    <d v="1899-12-30T11:05:00"/>
    <n v="2025"/>
    <x v="2"/>
    <x v="0"/>
    <n v="7217"/>
    <n v="35214500045735"/>
    <s v="Tanger/Casa"/>
    <n v="6.13"/>
    <x v="2"/>
    <s v="N2"/>
    <s v="Arrêt du train"/>
    <s v="Selon notre analyse, nous avons constaté que le HO est non finalisé entre 2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0"/>
    <s v="OK"/>
    <s v="OK"/>
    <s v="Mauvais"/>
    <s v=" Retransmission des trames HDLC*5"/>
    <m/>
    <s v="Oussama ZEHOUANI"/>
    <m/>
    <m/>
    <m/>
    <m/>
    <m/>
    <m/>
    <m/>
  </r>
  <r>
    <n v="1166"/>
    <b v="0"/>
    <x v="400"/>
    <d v="1899-12-30T14:05:03"/>
    <n v="2037"/>
    <x v="9"/>
    <x v="0"/>
    <n v="1052"/>
    <n v="35214500043740"/>
    <s v="Tanger/Casa"/>
    <n v="6.13"/>
    <x v="2"/>
    <s v="N2"/>
    <s v="Ralentissement du train"/>
    <s v="Selon notre analyse, nous avons constaté que le HO est non finalisé entre 201 et 3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1 et 302"/>
    <s v="dl Rxqual=7"/>
    <s v="dl rx level= -54"/>
    <s v="NOK"/>
    <s v="OK"/>
    <s v="Mauvais"/>
    <s v=" Retransmission des trames HDLC*5"/>
    <m/>
    <s v="Fahd OUSSALH"/>
    <m/>
    <m/>
    <m/>
    <m/>
    <m/>
    <m/>
    <m/>
  </r>
  <r>
    <n v="1167"/>
    <b v="0"/>
    <x v="401"/>
    <s v=" 08:05:21"/>
    <n v="2013"/>
    <x v="2"/>
    <x v="0"/>
    <n v="7218"/>
    <n v="35214500045735"/>
    <s v="Tanger/Casa"/>
    <n v="6.13"/>
    <x v="2"/>
    <s v="N2"/>
    <s v="Ralentissement du train"/>
    <s v="Selon notre analyse, nous avons constaté que le HO est complet entre 202 et 203 avec downlink quality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203"/>
    <s v="dl Rxqual=7"/>
    <s v="dl rx level= -64"/>
    <s v="OK"/>
    <s v="OK"/>
    <s v="Mauvais"/>
    <s v=" Retransmission des trames HDLC*5"/>
    <m/>
    <s v="Noura MOUSSAOUI"/>
    <m/>
    <m/>
    <m/>
    <m/>
    <m/>
    <m/>
    <m/>
  </r>
  <r>
    <n v="1168"/>
    <b v="0"/>
    <x v="402"/>
    <d v="1899-12-30T15:04:58"/>
    <n v="2037"/>
    <x v="0"/>
    <x v="0"/>
    <n v="1036"/>
    <n v="35214500045488"/>
    <s v="Tanger/Casa"/>
    <n v="6.13"/>
    <x v="2"/>
    <s v="N2"/>
    <s v="Arrêt du train"/>
    <s v="Selon notre analyse, nous avons constaté que le HO est non finalisé  entre 3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2 et 203"/>
    <s v="dl Rxqual=7"/>
    <s v="dl rx level= -51"/>
    <s v="OK"/>
    <s v="OK"/>
    <s v="Mauvais"/>
    <s v=" Retransmission des trames HDLC*5"/>
    <m/>
    <s v="Noura MOUSSAOUI"/>
    <m/>
    <m/>
    <m/>
    <m/>
    <m/>
    <m/>
    <m/>
  </r>
  <r>
    <n v="1169"/>
    <b v="0"/>
    <x v="403"/>
    <d v="1899-12-30T11:05:30"/>
    <n v="2025"/>
    <x v="2"/>
    <x v="0"/>
    <n v="7217"/>
    <n v="35214500044557"/>
    <s v="Tanger/Casa"/>
    <n v="6.13"/>
    <x v="2"/>
    <s v="N2"/>
    <s v="Ralentissement du train"/>
    <s v="Selon notre analyse, nous avons constaté que le HO est non finalisé  entre 302 et 2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2 et 203"/>
    <s v="dl Rxqual=7"/>
    <s v="dl rx level= -50"/>
    <s v="OK"/>
    <s v="OK"/>
    <s v="Mauvais"/>
    <s v=" Retransmission des trames HDLC*5"/>
    <m/>
    <s v="Noura MOUSSAOUI"/>
    <m/>
    <m/>
    <m/>
    <m/>
    <m/>
    <m/>
    <m/>
  </r>
  <r>
    <n v="1170"/>
    <b v="0"/>
    <x v="403"/>
    <d v="1899-12-30T18:05:07"/>
    <n v="2049"/>
    <x v="2"/>
    <x v="0"/>
    <n v="7217"/>
    <n v="35214500044557"/>
    <s v="Tanger/Casa"/>
    <n v="6.13"/>
    <x v="2"/>
    <s v="N2"/>
    <s v="Arrêt du train"/>
    <s v="Selon notre analyse, nous avons constaté que le HO recul non finalisé entre 202 et 301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recul non finalisé entre 202 et 301"/>
    <s v="dl Rxqual=7"/>
    <s v="dl rx level= -55"/>
    <s v="OK"/>
    <s v="OK"/>
    <s v="Mauvais"/>
    <s v=" Retransmission des trames HDLC*5"/>
    <m/>
    <s v="Noura MOUSSAOUI"/>
    <m/>
    <m/>
    <m/>
    <m/>
    <m/>
    <m/>
    <m/>
  </r>
  <r>
    <n v="1171"/>
    <b v="0"/>
    <x v="404"/>
    <d v="1899-12-30T19:05:45"/>
    <n v="1045"/>
    <x v="11"/>
    <x v="1"/>
    <n v="1020"/>
    <n v="35214500045494"/>
    <s v="Casa/Tanger"/>
    <n v="7.3209999999999997"/>
    <x v="2"/>
    <s v="N2"/>
    <s v="Ralentissement du train"/>
    <s v="Selon notre analyse, nous avons constaté que le HO est non finalisé  entre 303 et 202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3 et 202"/>
    <s v="dl Rxqual=4"/>
    <s v="dl rx level= -61"/>
    <s v="OK"/>
    <s v="OK"/>
    <s v="Mauvais"/>
    <s v="Pas Retransmission des trames HDLC"/>
    <m/>
    <s v="ELGUEZZAR Anas"/>
    <m/>
    <m/>
    <m/>
    <m/>
    <m/>
    <m/>
    <m/>
  </r>
  <r>
    <n v="1172"/>
    <b v="0"/>
    <x v="404"/>
    <d v="1899-12-30T12:05:19"/>
    <n v="2025"/>
    <x v="0"/>
    <x v="0"/>
    <n v="1037"/>
    <n v="35214500045488"/>
    <s v="Tanger/Casa"/>
    <n v="6.13"/>
    <x v="2"/>
    <s v="N2"/>
    <s v="Ralentissement du train"/>
    <s v="Selon notre analyse, nous avons constaté que le HO est complet entre 202 et 203 avec downlink quality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7"/>
    <s v="OK"/>
    <s v="OK"/>
    <s v="Mauvais"/>
    <s v="Pas Retransmission des trames HDLC"/>
    <m/>
    <s v="HARIRI Bahaeddine"/>
    <m/>
    <m/>
    <m/>
    <m/>
    <m/>
    <m/>
    <m/>
  </r>
  <r>
    <n v="1173"/>
    <b v="0"/>
    <x v="404"/>
    <d v="1899-12-30T21:28:00"/>
    <n v="2061"/>
    <x v="2"/>
    <x v="0"/>
    <n v="7217"/>
    <n v="35214500044557"/>
    <s v="Tanger/Casa"/>
    <n v="109.495"/>
    <x v="1"/>
    <s v="N2"/>
    <s v="Ralentissement du train"/>
    <s v="Selon notre analyse, nous avons constaté que les conditions radio se sont detriorés rapidement après le HO complet entre 219 et 220, la requete de déconnexion a été envoyé par le RBC suite a un nombre elevé de retransmission des trames HDLC"/>
    <s v="Les derniers résultats de la vérification chaine antennaire conformes et Mauvaise qualité de signale_x000a_Zone sous surveillence par le NOC"/>
    <x v="1"/>
    <s v="En attente d'un plan d'action par le service optimisation"/>
    <s v="HO non finalisé entre 219 et 220"/>
    <s v="dl Rxqual=5"/>
    <s v="dl rx level= -84"/>
    <s v="OK"/>
    <s v="OK"/>
    <s v="Mauvais"/>
    <s v=" Retransmission des trames HDLC*5"/>
    <m/>
    <s v="Fahd OUSSALH"/>
    <m/>
    <m/>
    <m/>
    <m/>
    <m/>
    <m/>
    <m/>
  </r>
  <r>
    <n v="1174"/>
    <b v="0"/>
    <x v="405"/>
    <d v="1899-12-30T18:05:12"/>
    <n v="2049"/>
    <x v="2"/>
    <x v="0"/>
    <n v="7217"/>
    <n v="35214500044557"/>
    <s v="Tanger/Casa"/>
    <n v="6.13"/>
    <x v="2"/>
    <s v="N2"/>
    <s v="Arrêt du train"/>
    <s v="Selon notre analyse, nous avons constaté que le HO recul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6"/>
    <s v="dl rx level= -51"/>
    <s v="OK"/>
    <s v="OK"/>
    <s v="Mauvais"/>
    <s v=" Retransmission des trames HDLC*5"/>
    <m/>
    <s v="ISMALI ALAOUI Hamza"/>
    <m/>
    <m/>
    <m/>
    <m/>
    <m/>
    <m/>
    <m/>
  </r>
  <r>
    <n v="1175"/>
    <b v="0"/>
    <x v="406"/>
    <d v="1899-12-30T21:05:50"/>
    <n v="2061"/>
    <x v="2"/>
    <x v="0"/>
    <n v="7218"/>
    <n v="35214500044557"/>
    <s v="Tanger/Casa"/>
    <n v="6.13"/>
    <x v="2"/>
    <s v="N2"/>
    <s v="Ralentissement du train"/>
    <s v="Selon notre analyse, nous avons constaté que le HO est non finalisé  entre 202 et 3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6"/>
    <s v="dl rx level= -62"/>
    <s v="OK"/>
    <s v="OK"/>
    <s v="Mauvais"/>
    <s v=" Retransmission des trames HDLC*5"/>
    <m/>
    <s v="HARIRI Bahaeddine"/>
    <m/>
    <m/>
    <m/>
    <m/>
    <m/>
    <m/>
    <m/>
  </r>
  <r>
    <n v="1176"/>
    <b v="0"/>
    <x v="407"/>
    <d v="1899-12-30T16:04:54"/>
    <n v="2041"/>
    <x v="10"/>
    <x v="0"/>
    <n v="1056"/>
    <n v="35214500045217"/>
    <s v="Tanger/Casa"/>
    <n v="7.13"/>
    <x v="2"/>
    <s v="N2"/>
    <s v="Arrêt du train"/>
    <s v="Selon notre analyse, nous avons constaté que le HO recul non finalisé entre 3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2 et 303"/>
    <s v="dl Rxqual=7"/>
    <s v="dl rx level= -54"/>
    <s v="OK"/>
    <s v="OK"/>
    <s v="Mauvais"/>
    <s v=" Retransmission des trames HDLC*5"/>
    <m/>
    <s v="ISMALI ALAOUI Hamza"/>
    <m/>
    <m/>
    <m/>
    <m/>
    <m/>
    <m/>
    <m/>
  </r>
  <r>
    <n v="1177"/>
    <b v="0"/>
    <x v="407"/>
    <d v="1899-12-30T18:03:50"/>
    <n v="1042"/>
    <x v="9"/>
    <x v="1"/>
    <n v="1035"/>
    <n v="35214500046011"/>
    <s v="Casa/Tanger"/>
    <n v="7.3209999999999997"/>
    <x v="2"/>
    <s v="N2"/>
    <s v="Ralentissement du train"/>
    <s v="Selon notre analyse, nous avons constaté que le HO complete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e entre 202 et 303"/>
    <s v="dl Rxqual=7"/>
    <s v="dl rx level= -69"/>
    <s v="OK"/>
    <s v="OK"/>
    <s v="Mauvais"/>
    <s v=" Retransmission des trames HDLC*5"/>
    <m/>
    <s v="ELHAJOUIA Achraf"/>
    <m/>
    <m/>
    <m/>
    <m/>
    <m/>
    <m/>
    <m/>
  </r>
  <r>
    <n v="1178"/>
    <b v="0"/>
    <x v="407"/>
    <d v="1899-12-30T21:04:49"/>
    <n v="2061"/>
    <x v="1"/>
    <x v="0"/>
    <n v="7194"/>
    <n v="604070051706194"/>
    <s v="Tanger/Casa"/>
    <n v="7.13"/>
    <x v="2"/>
    <s v="N2"/>
    <s v="Arrêt du train"/>
    <s v="Selon notre analyse, nous avons constaté que le HO recul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4"/>
    <s v="OK"/>
    <s v="OK"/>
    <s v="Mauvais"/>
    <s v=" Retransmission des trames HDLC*5"/>
    <m/>
    <s v="SGHAYER Achraf"/>
    <m/>
    <m/>
    <m/>
    <m/>
    <m/>
    <m/>
    <m/>
  </r>
  <r>
    <n v="1179"/>
    <b v="0"/>
    <x v="408"/>
    <d v="1899-12-30T18:35:28"/>
    <n v="2049"/>
    <x v="0"/>
    <x v="0"/>
    <n v="1037"/>
    <n v="35214500045488"/>
    <s v="Tanger/Casa"/>
    <n v="145.6"/>
    <x v="3"/>
    <s v="N2"/>
    <s v="Ralentissement du train"/>
    <s v="Selon notre analyse, les conditions radio étaient bonnes avant la déconnexion. La requete de deconnexion a ete envoyé par le RBC sans retransmission des trames HDLC,l'ecart de la rame est mauvais."/>
    <s v="Les derniers résultats de la vérification chaine antennaire conformes_x000a_Pas de retransmission des trames HDLC_x000a_En attente de pousser les analyses coté RBC"/>
    <x v="3"/>
    <s v="En attenete de pousser les analyses coté RBC"/>
    <s v="HO complete entre 224 et 225"/>
    <s v="dl Rxqual=2"/>
    <s v="dl rx level= -73"/>
    <s v="OK"/>
    <s v="OK"/>
    <s v="Mauvais"/>
    <s v="Pas Retransmission des trames HDLC"/>
    <m/>
    <s v="Fahd OUSSALH"/>
    <m/>
    <m/>
    <m/>
    <m/>
    <m/>
    <m/>
    <m/>
  </r>
  <r>
    <n v="1180"/>
    <b v="0"/>
    <x v="408"/>
    <d v="1899-12-30T19:05:13"/>
    <n v="2053"/>
    <x v="2"/>
    <x v="0"/>
    <n v="5735"/>
    <n v="35214500045735"/>
    <s v="Tanger/Casa"/>
    <n v="6.13"/>
    <x v="2"/>
    <s v="N2"/>
    <s v="Ralentissement du train"/>
    <s v="Selon notre analyse, nous avons constaté que le HO recul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1 et 302"/>
    <s v="dl Rxqual=6"/>
    <s v="dl rx level= -57"/>
    <s v="NOK"/>
    <s v="OK"/>
    <s v="Mauvais"/>
    <s v="Pas Retransmission des trames HDLC"/>
    <m/>
    <s v="Fahd OUSSALH"/>
    <m/>
    <m/>
    <m/>
    <m/>
    <m/>
    <m/>
    <m/>
  </r>
  <r>
    <n v="1181"/>
    <b v="0"/>
    <x v="409"/>
    <d v="1899-12-30T18:04:48"/>
    <n v="2049"/>
    <x v="11"/>
    <x v="0"/>
    <n v="1051"/>
    <n v="35214500045495"/>
    <s v="Tanger/Casa"/>
    <n v="6.13"/>
    <x v="2"/>
    <s v="N2"/>
    <s v="Ralentissement du train"/>
    <s v="Selon notre analyse, nous avons constaté que le HO recul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60"/>
    <s v="NOK"/>
    <s v="OK"/>
    <s v="Mauvais"/>
    <s v="Pas Retransmission des trames HDLC"/>
    <m/>
    <s v="Fahd OUSSALH"/>
    <m/>
    <m/>
    <m/>
    <m/>
    <m/>
    <m/>
    <m/>
  </r>
  <r>
    <n v="1182"/>
    <b v="0"/>
    <x v="410"/>
    <d v="1899-12-30T21:05:06"/>
    <n v="2061"/>
    <x v="11"/>
    <x v="0"/>
    <n v="1050"/>
    <n v="35214500045357"/>
    <s v="Tanger/Casa"/>
    <n v="6.13"/>
    <x v="2"/>
    <s v="N2"/>
    <s v="Ralentissement du train"/>
    <s v="Selon notre analyse, nous avons constaté que le HO recul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finalisé entre 202 et 303"/>
    <s v="dl Rxqual=1"/>
    <s v="dl rx level= -69"/>
    <s v="OK"/>
    <s v="OK"/>
    <s v="Mauvais"/>
    <s v=" Retransmission des trames HDLC*5"/>
    <m/>
    <s v="Saad Elhabib"/>
    <m/>
    <m/>
    <m/>
    <m/>
    <m/>
    <m/>
    <m/>
  </r>
  <r>
    <n v="1183"/>
    <b v="0"/>
    <x v="411"/>
    <d v="1899-12-30T11:05:05"/>
    <n v="2021"/>
    <x v="1"/>
    <x v="0"/>
    <n v="7195"/>
    <n v="35214500045671"/>
    <s v="Tanger/Casa"/>
    <n v="6.13"/>
    <x v="2"/>
    <s v="N2"/>
    <s v="Arrêt du train"/>
    <s v="Selon notre analyse, nous avons constaté que le HO complete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e entre 202 et 303"/>
    <s v="dl Rxqual=7"/>
    <s v="dl rx level= -67"/>
    <s v="OK"/>
    <s v="OK"/>
    <s v="Mauvais"/>
    <s v=" Retransmission des trames HDLC*5"/>
    <m/>
    <s v="SGHAYER Achraf"/>
    <m/>
    <m/>
    <m/>
    <m/>
    <m/>
    <m/>
    <m/>
  </r>
  <r>
    <n v="1184"/>
    <b v="0"/>
    <x v="411"/>
    <d v="1899-12-30T12:25:17"/>
    <n v="2025"/>
    <x v="4"/>
    <x v="0"/>
    <n v="7208"/>
    <n v="35214500004427"/>
    <s v="Tanger/Casa"/>
    <n v="93.757999999999996"/>
    <x v="8"/>
    <s v="N2"/>
    <s v="Ralentissement du train"/>
    <s v="Selon notre analyse, nous avons constaté que le HO Non finalisé  entre 217 et 218 ,les conditions radio étaient mauvaises avant la déconnexion,La requete de deconnexion a ete envoyé par le RBC suite au retransmission des trames HDLC "/>
    <s v="Les derniers résultats de la vérification chaine antennaire conformes_x000a_Pas de retransmission des trames HDLC_x000a_En attente de pousser les analyses coté RBC"/>
    <x v="3"/>
    <s v="En attenete de pousser les analyses coté RBC"/>
    <s v="HO Non  finalisé entre 217 et 218"/>
    <s v="dl Rxqual=5"/>
    <s v="dl rx level= -74"/>
    <s v="NOK"/>
    <s v="OK"/>
    <s v="Mauvais"/>
    <s v=" Retransmission des trames HDLC*5"/>
    <m/>
    <s v="ELHAJOUIA Achraf"/>
    <m/>
    <m/>
    <m/>
    <m/>
    <m/>
    <m/>
    <m/>
  </r>
  <r>
    <n v="1185"/>
    <b v="0"/>
    <x v="411"/>
    <d v="1899-12-30T18:27:46"/>
    <n v="2049"/>
    <x v="4"/>
    <x v="0"/>
    <n v="7208"/>
    <n v="35214500004427"/>
    <s v="Tanger/Casa"/>
    <n v="109.495"/>
    <x v="1"/>
    <s v="N2"/>
    <s v="Ralentissement du train"/>
    <s v="Selon notre analyse, nous avons constaté que le HO est non finalisé entre 320 et 321 ,est conditions radio étaient mauvaises avant la déconnexion. La requete de deconnexion a ete envoyé par le RBC avec retransmission des trames HDLC,l'ecart de la rame est mauvais"/>
    <s v="Suite aux derniers résultats de la vérification chaine antennaire, il a été constaté que celle-ci est conforme_x000a_Plus précis, 3 HO DownLink de la RGVM 1207 M1 présente une mauvaise qualité dans la même zone, _x000a_Malgré l’utilisation d’un tiroir filtré._x000a_Cela suggère un problème lié à des perturbations GSM-R"/>
    <x v="1"/>
    <s v="En attente d'un plan d'action par le service optimisation"/>
    <s v="HO Non finalisé  entre 220 et 321"/>
    <s v="dl Rxqual=7"/>
    <s v="dl rx level= -57"/>
    <s v="NOK"/>
    <s v="OK"/>
    <s v="Mauvais"/>
    <s v=" Retransmission des trames HDLC*5"/>
    <m/>
    <s v="HARIRI Bahaeddine"/>
    <m/>
    <m/>
    <m/>
    <m/>
    <m/>
    <m/>
    <m/>
  </r>
  <r>
    <n v="1186"/>
    <b v="0"/>
    <x v="412"/>
    <d v="1899-12-30T20:43:32"/>
    <n v="1053"/>
    <x v="7"/>
    <x v="1"/>
    <n v="1040"/>
    <n v="35214500045480"/>
    <s v="Casa/Tanger"/>
    <n v="127.815"/>
    <x v="6"/>
    <s v="N2"/>
    <s v="Ralentissement du train"/>
    <s v="Selon notre analyse, nous avons constaté que le HO est Non finalisé entre 223 et 222,est les conditions radio étaient Mauvaises avant la déconnexion. La requete de deconnexion a ete envoyé par le RBC  avec retransmission des trames HDLC,l'ecart de la rame est mauvais,"/>
    <s v="Les derniers résultats de la vérification chaine antennaire conformes"/>
    <x v="2"/>
    <s v="En attente d'un plan d'action par le service optimisation et mise en place des tiroires filtrés "/>
    <s v="HO Non finalisé  entre 223 et 322"/>
    <s v="dl Rxqual=6"/>
    <s v="dl rx level= -73"/>
    <s v="OK"/>
    <s v="OK"/>
    <s v="Mauvais"/>
    <s v=" Retransmission des trames HDLC*5"/>
    <m/>
    <s v="Saad Elhabib"/>
    <m/>
    <m/>
    <m/>
    <m/>
    <m/>
    <m/>
    <m/>
  </r>
  <r>
    <n v="1187"/>
    <b v="0"/>
    <x v="413"/>
    <d v="1899-12-30T15:05:08"/>
    <n v="2037"/>
    <x v="0"/>
    <x v="0"/>
    <n v="1037"/>
    <n v="35214500045488"/>
    <s v="Tanger/Casa"/>
    <n v="6.13"/>
    <x v="2"/>
    <s v="N2"/>
    <s v="Arrêt du train"/>
    <s v="Selon notre analyse, nous avons constaté que le HO complete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202 et 303"/>
    <s v="dl Rxqual=5"/>
    <s v="dl rx level= -71"/>
    <s v="OK"/>
    <s v="OK"/>
    <s v="Mauvais"/>
    <s v=" Retransmission des trames HDLC*5"/>
    <m/>
    <s v="Oussama ZEHOUANI"/>
    <m/>
    <m/>
    <m/>
    <m/>
    <m/>
    <m/>
    <m/>
  </r>
  <r>
    <n v="1188"/>
    <b v="0"/>
    <x v="414"/>
    <d v="1899-12-30T10:35:05"/>
    <n v="2017"/>
    <x v="0"/>
    <x v="0"/>
    <n v="1037"/>
    <n v="35214500045461"/>
    <s v="Tanger/Casa"/>
    <n v="144.32599999999999"/>
    <x v="3"/>
    <s v="N2"/>
    <s v="Arrêt du train"/>
    <s v="Selon notre analyse, les conditions radio étaient bonnes avant la déconnexion. La requete de deconnexion a ete envoyé par le RBC sans retransmission des trames HDLC,l'ecart de la rame est mauvais."/>
    <s v="Les derniers résultats de la vérification chaine antennaire conformes _x000a_Présence d'interférences externes  au niveau du GSMR_02/03_x000a_Probléme GSMR_x000a_"/>
    <x v="3"/>
    <s v="En attente de pousser les analyses coté RBC"/>
    <s v="HO Complet entre 224 et 225"/>
    <s v="dl Rxqual=0"/>
    <s v="dl rx level= -61"/>
    <s v="OK"/>
    <s v="OK"/>
    <s v="Mauvais"/>
    <s v=" Pas Retransmission des trames HDLC*5"/>
    <m/>
    <s v="Oussama ZEHOUANI"/>
    <m/>
    <m/>
    <m/>
    <m/>
    <m/>
    <m/>
    <m/>
  </r>
  <r>
    <n v="1189"/>
    <b v="0"/>
    <x v="414"/>
    <d v="1899-12-30T19:05:04"/>
    <n v="2053"/>
    <x v="8"/>
    <x v="0"/>
    <n v="1042"/>
    <n v="35214500045424"/>
    <s v="Tanger/Casa"/>
    <n v="6.13"/>
    <x v="2"/>
    <s v="N2"/>
    <s v="Arrêt du train"/>
    <s v="Selon notre analyse, nous avons constaté que le HO Non finalisé  entre 201 et 3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1 et 302"/>
    <s v="dl Rxqual=7"/>
    <s v="dl rx level= -54"/>
    <s v="NOK"/>
    <s v="OK"/>
    <s v="Mauvais"/>
    <s v=" Retransmission des trames HDLC*5"/>
    <m/>
    <s v="HARIRI Bahaeddine"/>
    <m/>
    <m/>
    <m/>
    <m/>
    <m/>
    <m/>
    <m/>
  </r>
  <r>
    <n v="1190"/>
    <b v="0"/>
    <x v="414"/>
    <d v="1899-12-30T21:05:01"/>
    <n v="2061"/>
    <x v="2"/>
    <x v="0"/>
    <n v="7218"/>
    <n v="35214500045735"/>
    <s v="Tanger/Casa"/>
    <n v="6.13"/>
    <x v="2"/>
    <s v="N2"/>
    <s v="Ralentissement du train"/>
    <s v="Selon notre analyse, nous avons constaté que le HO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7"/>
    <s v="dl rx level= -61"/>
    <s v="OK"/>
    <s v="OK"/>
    <s v="Mauvais"/>
    <s v=" Retransmission des trames HDLC*5"/>
    <m/>
    <s v="ELHAJOUIA Achraf"/>
    <m/>
    <m/>
    <m/>
    <m/>
    <m/>
    <m/>
    <m/>
  </r>
  <r>
    <n v="1191"/>
    <b v="0"/>
    <x v="414"/>
    <d v="1899-12-30T22:03:53"/>
    <n v="1057"/>
    <x v="7"/>
    <x v="1"/>
    <n v="1040"/>
    <n v="35214500045480"/>
    <s v="Casa/Tanger"/>
    <n v="6.13"/>
    <x v="2"/>
    <s v="N2"/>
    <s v="Ralentissement du train"/>
    <s v="Selon notre analyse, nous avons constaté que le HO Non finalisé  entre 202 et 3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7"/>
    <s v="dl rx level= -54"/>
    <s v="NOK"/>
    <s v="OK"/>
    <s v="Mauvais"/>
    <s v=" Pas de Retransmission des trames HDLC"/>
    <m/>
    <s v="ELHAJOUIA Achraf"/>
    <m/>
    <m/>
    <m/>
    <m/>
    <m/>
    <m/>
    <m/>
  </r>
  <r>
    <n v="1192"/>
    <b v="0"/>
    <x v="415"/>
    <d v="1899-12-30T21:05:14"/>
    <n v="2061"/>
    <x v="11"/>
    <x v="0"/>
    <n v="1051"/>
    <n v="35214500045357"/>
    <s v="Tanger/Casa"/>
    <n v="6.13"/>
    <x v="2"/>
    <s v="N2"/>
    <s v="Arrêt du train"/>
    <s v="Selon notre analyse, nous avons constaté que le HO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7"/>
    <s v="dl rx level= -55"/>
    <s v="OK"/>
    <s v="OK"/>
    <s v="Mauvais"/>
    <s v=" Retransmission des trames HDLC*5"/>
    <m/>
    <s v="ISMALI ALAOUI Hamza"/>
    <m/>
    <m/>
    <m/>
    <m/>
    <m/>
    <m/>
    <m/>
  </r>
  <r>
    <n v="1193"/>
    <b v="0"/>
    <x v="416"/>
    <d v="1899-12-30T21:39:10"/>
    <n v="1057"/>
    <x v="10"/>
    <x v="1"/>
    <n v="1028"/>
    <n v="35214500045268"/>
    <s v="Casa/Tanger"/>
    <n v="127.815"/>
    <x v="6"/>
    <s v="N2"/>
    <s v="Ralentissement du train"/>
    <s v="Selon notre analyse, nous avons constaté que le HO Non finalisé  entre 223 et 322 ,les conditions radio étaient mauvaises avant la déconnexion,La requete de deconnexion a ete envoyé par le Bord suite au retransmission des trames HDLC "/>
    <s v="Les derniers résultats de la vérification chaine antennaire conformes"/>
    <x v="2"/>
    <s v="En attente d'un plan d'action optim+ En attente de mise en place des tiroirs filtrés "/>
    <s v="HO Non finalisé entre 223 et 322"/>
    <s v="dl Rxqual=6"/>
    <s v="dl rx level= -75"/>
    <s v="OK"/>
    <s v="OK"/>
    <s v="Mauvais"/>
    <s v=" Retransmission des trames HDLC*5"/>
    <m/>
    <s v="ELHAJOUIA Achraf"/>
    <m/>
    <m/>
    <m/>
    <m/>
    <m/>
    <m/>
    <m/>
  </r>
  <r>
    <n v="1194"/>
    <b v="0"/>
    <x v="417"/>
    <d v="1899-12-30T22:50:35"/>
    <n v="1061"/>
    <x v="1"/>
    <x v="1"/>
    <n v="3063"/>
    <n v="35214500046055"/>
    <s v="Casa/Tanger"/>
    <n v="68.956000000000003"/>
    <x v="0"/>
    <s v="N2"/>
    <s v="Ralentissement du train"/>
    <s v="Selon notre analyse, nous avons constaté que le HO Non finalisé  entre 313 et 212 ,les conditions radio étaient Bonne avant la déconnexion,La requete de deconnexion a ete envoyé par le Bord Pas de retransmission des trames HDLC "/>
    <s v="Les derniers résultats de la vérification chaine antennaire conformes "/>
    <x v="0"/>
    <s v="En attente de mise en place des tiroirs filtrés "/>
    <s v="HO Non finalisé entre 313 et 212"/>
    <s v="dl Rxqual=3"/>
    <s v="dl rx level= -68"/>
    <s v="OK"/>
    <s v="OK"/>
    <s v="Mauvais"/>
    <s v=" Pas de Retransmission des trames HDLC"/>
    <m/>
    <s v="ELHAJOUIA Achraf"/>
    <m/>
    <m/>
    <m/>
    <m/>
    <m/>
    <m/>
    <m/>
  </r>
  <r>
    <n v="1195"/>
    <b v="0"/>
    <x v="417"/>
    <d v="1899-12-30T23:04:42"/>
    <n v="1061"/>
    <x v="1"/>
    <x v="1"/>
    <n v="3062"/>
    <n v="35214500017596"/>
    <s v="Casa/Tanger"/>
    <n v="7.3209999999999997"/>
    <x v="2"/>
    <s v="N2"/>
    <s v="Ralentissement du train"/>
    <s v="Selon notre analyse, nous avons constaté que le HO Non finalisé  entre 303 et 202 ,les conditions radio étaient Mauvaise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3 et 202"/>
    <s v="dl Rxqual=7"/>
    <s v="dl rx level= -65"/>
    <s v="OK"/>
    <s v="OK"/>
    <s v="Mauvais"/>
    <s v=" Retransmission des trames HDLC*5"/>
    <m/>
    <s v="ELHAJOUIA Achraf"/>
    <m/>
    <m/>
    <m/>
    <m/>
    <m/>
    <m/>
    <m/>
  </r>
  <r>
    <n v="1196"/>
    <b v="0"/>
    <x v="418"/>
    <s v="  19:04:08"/>
    <n v="1045"/>
    <x v="10"/>
    <x v="1"/>
    <n v="1028"/>
    <n v="35214500045268"/>
    <s v="Casa/Tanger"/>
    <n v="8.3209999999999997"/>
    <x v="2"/>
    <s v="N2"/>
    <s v="Ralentissement du train"/>
    <s v="Selon notre analyse, nous avons constaté que le HO Non finalisé  entre 303 et 202 ,les conditions radio étaient Mauvaise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3 et 202"/>
    <s v="dl Rxqual=6"/>
    <s v="dl rx level= -63"/>
    <s v="OK"/>
    <s v="OK"/>
    <s v="Mauvais"/>
    <s v=" Retransmission des trames HDLC*5"/>
    <m/>
    <s v="Nassim NAJIM"/>
    <m/>
    <m/>
    <m/>
    <m/>
    <m/>
    <m/>
    <m/>
  </r>
  <r>
    <n v="1197"/>
    <b v="0"/>
    <x v="418"/>
    <s v="  20:14:08"/>
    <n v="1050"/>
    <x v="8"/>
    <x v="1"/>
    <n v="1031"/>
    <n v="35214500045491"/>
    <s v="Casa/Tanger"/>
    <n v="7.3209999999999997"/>
    <x v="2"/>
    <s v="N2"/>
    <s v="Ralentissement du train"/>
    <s v="Selon notre analyse, nous avons constaté que le HO Non finalisé  entre 303 et 202 ,les conditions radio étaient Mauvaise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5"/>
    <s v="dl rx level= -83"/>
    <s v="NOK"/>
    <s v="OK"/>
    <s v="Mauvais"/>
    <s v=" Pas de Retransmission des trames HDLC"/>
    <m/>
    <s v="Fahd OUSSALH"/>
    <m/>
    <m/>
    <m/>
    <m/>
    <m/>
    <m/>
    <m/>
  </r>
  <r>
    <n v="1198"/>
    <b v="0"/>
    <x v="419"/>
    <s v="  15:05:20 "/>
    <n v="2037"/>
    <x v="0"/>
    <x v="0"/>
    <n v="1037"/>
    <n v="35214500045488"/>
    <s v="Tanger/Casa"/>
    <n v="6.13"/>
    <x v="2"/>
    <s v="N2"/>
    <s v="Ralentissement du train"/>
    <s v="Selon notre analyse, nous avons constaté que le HO Non finalisé  entre 303 et 202 ,les conditions radio étaient Mauvaise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7"/>
    <s v="dl rx level= -67"/>
    <s v="OK"/>
    <s v="OK"/>
    <s v="Mauvais"/>
    <s v=" Retransmission des trames HDLC*5"/>
    <m/>
    <s v="Nassim NAJIM"/>
    <m/>
    <m/>
    <m/>
    <m/>
    <m/>
    <m/>
    <m/>
  </r>
  <r>
    <n v="1199"/>
    <b v="0"/>
    <x v="420"/>
    <s v=" 19:04:56 "/>
    <n v="1045"/>
    <x v="5"/>
    <x v="1"/>
    <n v="1027"/>
    <n v="35214500045083"/>
    <s v="Casa/Tanger"/>
    <n v="7.3209999999999997"/>
    <x v="2"/>
    <s v="N2"/>
    <s v="Ralentissement du train"/>
    <s v="Selon notre analyse, nous avons constaté que le HO Non finalisé  entre 303 et 202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202 et 303"/>
    <s v="dl Rxqual=7"/>
    <s v="dl rx level= -76"/>
    <s v="OK"/>
    <s v="OK"/>
    <s v="Mauvais"/>
    <s v=" Retransmission des trames HDLC*5"/>
    <m/>
    <s v="Saad Elhabib"/>
    <m/>
    <m/>
    <m/>
    <m/>
    <m/>
    <m/>
    <m/>
  </r>
  <r>
    <n v="1200"/>
    <b v="0"/>
    <x v="420"/>
    <s v=" 21:05:20 "/>
    <n v="2061"/>
    <x v="2"/>
    <x v="0"/>
    <n v="7217"/>
    <n v="35214500044557"/>
    <s v="Casa/Tanger"/>
    <n v="6.13"/>
    <x v="2"/>
    <s v="N2"/>
    <s v="Ralentissement du train"/>
    <s v="Selon notre analyse, nous avons constaté que le HO Non finalisé  entre 303 et 202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1 et 202"/>
    <s v="dl Rxqual=4"/>
    <s v="dl rx level= -53"/>
    <s v="NOK"/>
    <s v="OK"/>
    <s v="Mauvais"/>
    <s v=" Pas de Retransmission des trames HDLC"/>
    <m/>
    <s v="Fahd OUSSALH"/>
    <m/>
    <m/>
    <m/>
    <m/>
    <m/>
    <m/>
    <m/>
  </r>
  <r>
    <n v="1201"/>
    <b v="0"/>
    <x v="421"/>
    <d v="1899-12-30T13:05:08"/>
    <n v="1021"/>
    <x v="5"/>
    <x v="1"/>
    <n v="1027"/>
    <n v="35214500045083"/>
    <s v="Casa/Tanger"/>
    <n v="7.3209999999999997"/>
    <x v="2"/>
    <s v="N2"/>
    <s v="Arrêt du train"/>
    <s v="Selon notre analyse, nous avons constaté que le HO complet entre 2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203"/>
    <s v="dl Rxqual=7"/>
    <s v="dl rx level= -66"/>
    <s v="OK"/>
    <s v="OK"/>
    <s v="Mauvais"/>
    <s v=" Retransmission des trames HDLC*5"/>
    <m/>
    <s v="ELHAJOUIA Achraf"/>
    <m/>
    <m/>
    <m/>
    <m/>
    <m/>
    <m/>
    <m/>
  </r>
  <r>
    <n v="1202"/>
    <b v="0"/>
    <x v="421"/>
    <d v="1899-12-30T21:43:39"/>
    <n v="1057"/>
    <x v="10"/>
    <x v="0"/>
    <n v="1029"/>
    <n v="35214500045268"/>
    <s v="Tanger/Casa"/>
    <n v="109.495"/>
    <x v="1"/>
    <s v="N2"/>
    <s v="Arrêt du train"/>
    <m/>
    <s v="Suite aux derniers résultats de la vérification chaine antennaire, il a été constaté que celle-ci est conforme_x000a_Plus précis, 3 HO DownLink de la RGVM 1207 M1 présente une mauvaise qualité dans la même zone, _x000a_Malgré l’utilisation d’un tiroir filtré._x000a_Cela suggère un problème lié à des perturbations GSM-R"/>
    <x v="2"/>
    <s v="En attente de mise en place des tiroirs filtrés "/>
    <s v="HO non Complet entre 320 et 319"/>
    <s v="dl Rxqual=0"/>
    <s v="dl rx level= -76"/>
    <s v="OK"/>
    <s v="OK"/>
    <s v="Mauvais"/>
    <s v=" Retransmission des trames HDLC*5"/>
    <m/>
    <s v="Oussama ZEHOUANI"/>
    <m/>
    <m/>
    <m/>
    <m/>
    <m/>
    <m/>
    <m/>
  </r>
  <r>
    <n v="1203"/>
    <b v="0"/>
    <x v="422"/>
    <d v="1899-12-30T15:04:55"/>
    <n v="2037"/>
    <x v="2"/>
    <x v="0"/>
    <n v="7218"/>
    <n v="35214500045735"/>
    <s v="Tanger/Casa"/>
    <n v="6.13"/>
    <x v="2"/>
    <s v="N2"/>
    <s v="Ralentissement du train"/>
    <s v="Selon notre analyse, nous avons constaté que le HO Non finalisé  entre 302 et 2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2 et 203"/>
    <s v="dl Rxqual=7"/>
    <s v="dl rx level= -64"/>
    <s v="OK"/>
    <s v="OK"/>
    <s v="Mauvais"/>
    <s v=" Retransmission des trames HDLC*5"/>
    <m/>
    <s v="ELHAJOUIA Achraf"/>
    <m/>
    <m/>
    <m/>
    <m/>
    <m/>
    <m/>
    <m/>
  </r>
  <r>
    <n v="1204"/>
    <b v="0"/>
    <x v="422"/>
    <d v="1899-12-30T22:06:54"/>
    <n v="1058"/>
    <x v="9"/>
    <x v="1"/>
    <n v="1035"/>
    <n v="35214500046011"/>
    <s v="Casa/Tanger"/>
    <n v="7.3209999999999997"/>
    <x v="2"/>
    <s v="N2"/>
    <s v="Ralentissement du train"/>
    <s v="Selon notre analyse, nous avons constaté que le HO  finalisé  entre 202 et 3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203"/>
    <s v="dl Rxqual=7"/>
    <s v="dl rx level= -67"/>
    <s v="OK"/>
    <s v="OK"/>
    <s v="Mauvais"/>
    <s v=" Retransmission des trames HDLC*5"/>
    <m/>
    <s v="HARIRI Bahaeddine"/>
    <m/>
    <m/>
    <m/>
    <m/>
    <m/>
    <m/>
    <m/>
  </r>
  <r>
    <n v="1205"/>
    <b v="0"/>
    <x v="423"/>
    <d v="1899-12-30T17:04:52"/>
    <n v="2045"/>
    <x v="8"/>
    <x v="0"/>
    <n v="1043"/>
    <n v="35214500045200"/>
    <s v="Tanger/Casa"/>
    <n v="6.13"/>
    <x v="2"/>
    <s v="N2"/>
    <s v="Ralentissement du train"/>
    <s v="Selon notre analyse, nous avons constaté que le HO  finalisé  entre 202 et 3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7"/>
    <s v="dl rx level= -67"/>
    <s v="OK"/>
    <s v="OK"/>
    <s v="Mauvais"/>
    <s v=" Retransmission des trames HDLC*5"/>
    <m/>
    <s v="Saad Elhabib"/>
    <m/>
    <m/>
    <m/>
    <m/>
    <m/>
    <m/>
    <m/>
  </r>
  <r>
    <n v="1206"/>
    <b v="0"/>
    <x v="423"/>
    <d v="1899-12-30T18:04:43"/>
    <n v="1041"/>
    <x v="5"/>
    <x v="1"/>
    <n v="1026"/>
    <n v="35214500045329"/>
    <s v="Casa/Tanger"/>
    <n v="7.3209999999999997"/>
    <x v="2"/>
    <s v="N2"/>
    <s v="Ralentissement du train"/>
    <s v="Selon notre analyse, nous avons constaté que le HO  finalisé  entre 202 et 3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7"/>
    <s v="dl rx level= -62"/>
    <s v="OK"/>
    <s v="OK"/>
    <s v="Mauvais"/>
    <s v=" Retransmission des trames HDLC*5"/>
    <m/>
    <s v="Saad Elhabib"/>
    <m/>
    <m/>
    <m/>
    <m/>
    <m/>
    <m/>
    <m/>
  </r>
  <r>
    <n v="1207"/>
    <b v="0"/>
    <x v="423"/>
    <d v="1899-12-30T19:05:18"/>
    <n v="1041"/>
    <x v="5"/>
    <x v="0"/>
    <n v="1024"/>
    <n v="35214500045122"/>
    <s v="Tanger/Casa"/>
    <n v="6.13"/>
    <x v="2"/>
    <s v="N2"/>
    <s v="Ralentissement du train"/>
    <s v="Selon notre analyse, nous avons constaté que le HO  non finalisé  entre 302 et 2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2 et 203 "/>
    <s v="dl Rxqual=7"/>
    <s v="dl rx level= -51"/>
    <s v="OK"/>
    <s v="OK"/>
    <s v="Mauvais"/>
    <s v=" Retransmission des trames HDLC*5"/>
    <m/>
    <s v="Saad Elhabib"/>
    <m/>
    <m/>
    <m/>
    <m/>
    <m/>
    <m/>
    <m/>
  </r>
  <r>
    <n v="1208"/>
    <b v="0"/>
    <x v="424"/>
    <d v="1899-12-30T10:16:46"/>
    <n v="2017"/>
    <x v="5"/>
    <x v="0"/>
    <n v="1024"/>
    <n v="35214500045122"/>
    <s v="Tanger/Casa"/>
    <n v="48.426000000000002"/>
    <x v="16"/>
    <s v="N2"/>
    <s v="Ralentissement du train"/>
    <s v="Selon notre analyse, nous avons constaté que le HO  non finalisé  entre 208 et 309 ,les conditions radio étaient Bonne  avant la déconnexion,La requete de deconnexion a ete envoyé par le Bord/ Pas de   retransmission des trames HDLC "/>
    <s v="Les derniers résultats de la vérification chaine antennaire conformes"/>
    <x v="2"/>
    <s v="En attente de mise en place des tiroirs filtrés "/>
    <s v="HO non finalisé entre 208 et 309"/>
    <s v="dl Rxqual=3"/>
    <s v="dl rx level= -78"/>
    <s v="OK"/>
    <s v="OK"/>
    <s v="Mauvais"/>
    <s v=" Pas de Retransmission des trames HDLC"/>
    <m/>
    <s v="ELHAJOUIA Achraf"/>
    <m/>
    <m/>
    <m/>
    <m/>
    <m/>
    <m/>
    <m/>
  </r>
  <r>
    <n v="1209"/>
    <b v="0"/>
    <x v="425"/>
    <d v="1899-12-30T18:04:34"/>
    <n v="1042"/>
    <x v="5"/>
    <x v="1"/>
    <n v="1027"/>
    <n v="35214500045329"/>
    <s v="Casa/Tanger"/>
    <n v="7.3209999999999997"/>
    <x v="2"/>
    <s v="N2"/>
    <s v="Ralentissement du train"/>
    <s v="Selon notre analyse, nous avons constaté que le HO complet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7"/>
    <s v="dl rx level= -67"/>
    <s v="NOK"/>
    <s v="OK"/>
    <s v="Mauvais"/>
    <s v=" Pas de Retransmission des trames HDLC"/>
    <m/>
    <s v="Fahd OUSSALH"/>
    <m/>
    <m/>
    <m/>
    <m/>
    <m/>
    <m/>
    <m/>
  </r>
  <r>
    <n v="1210"/>
    <b v="0"/>
    <x v="425"/>
    <d v="1899-12-30T19:03:52"/>
    <n v="1046"/>
    <x v="9"/>
    <x v="1"/>
    <n v="1034"/>
    <n v="35214500043605"/>
    <s v="Casa/Tanger"/>
    <n v="7.3209999999999997"/>
    <x v="2"/>
    <s v="N2"/>
    <s v="Ralentissement du train"/>
    <s v="Selon notre analyse, nous avons constaté que le HO non finalisé entre 304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4 et 303 "/>
    <s v="dl Rxqual=3"/>
    <s v="dl rx level= -72"/>
    <s v="NOK"/>
    <s v="OK"/>
    <s v="Mauvais"/>
    <s v=" Retransmission des trames HDLC*5"/>
    <m/>
    <s v="Fahd OUSSALH"/>
    <m/>
    <m/>
    <m/>
    <m/>
    <m/>
    <m/>
    <m/>
  </r>
  <r>
    <n v="1211"/>
    <b v="0"/>
    <x v="425"/>
    <d v="1899-12-30T23:03:38"/>
    <n v="1062"/>
    <x v="7"/>
    <x v="1"/>
    <n v="1040"/>
    <n v="35214500045480"/>
    <s v="Casa/Tanger"/>
    <n v="7.3209999999999997"/>
    <x v="2"/>
    <s v="N2"/>
    <s v="Arrêt du train"/>
    <s v="Selon notre analyse, nous avons constaté que le HO Non finalisé  entre 3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2 et 203 "/>
    <s v="dl Rxqual=7"/>
    <s v="dl rx level= -51"/>
    <s v="NOK"/>
    <s v="OK"/>
    <s v="Mauvais"/>
    <s v=" Retransmission des trames HDLC*5"/>
    <m/>
    <s v="HARIRI Bahaeddine"/>
    <m/>
    <m/>
    <m/>
    <m/>
    <m/>
    <m/>
    <m/>
  </r>
  <r>
    <n v="1212"/>
    <b v="0"/>
    <x v="426"/>
    <d v="1899-12-30T14:05:42"/>
    <n v="2033"/>
    <x v="8"/>
    <x v="0"/>
    <n v="1043"/>
    <n v="35214500045200"/>
    <s v="Tanger/Casa"/>
    <n v="6.13"/>
    <x v="2"/>
    <s v="N2"/>
    <s v="Arrêt du train"/>
    <s v="Selon notre analyse, nous avons constaté que le HO complet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4"/>
    <s v="dl rx level= -66"/>
    <s v="OK"/>
    <s v="OK"/>
    <s v="Mauvais"/>
    <s v=" Retransmission des trames HDLC*5"/>
    <m/>
    <s v="Oussama ZEHOUANI"/>
    <m/>
    <m/>
    <m/>
    <m/>
    <m/>
    <m/>
    <m/>
  </r>
  <r>
    <n v="1213"/>
    <b v="0"/>
    <x v="427"/>
    <d v="1899-12-30T09:59:19"/>
    <n v="1009"/>
    <x v="0"/>
    <x v="1"/>
    <n v="1045"/>
    <n v="35214500045098"/>
    <s v="Casa/Tanger"/>
    <n v="26.739000000000001"/>
    <x v="7"/>
    <s v="N2"/>
    <s v="Ralentissement du train"/>
    <s v="Selon notre analyse, nous avons constaté que le HO Non finalisé entre 306 et 305 ,les conditions radio étaient mauvaises avant la déconnexion dans le sens montant UL, La requete de deconnexion a ete envoyée par le RBC suite au retransmission des trames HDLC "/>
    <s v="Les derniers résultats de la vérification chaine antennaire conformes"/>
    <x v="1"/>
    <s v="En attente d'un plan d'action optim"/>
    <s v="HO  Non finalisé entre 306 et 305"/>
    <s v="dl Rxqual=3"/>
    <s v="dl rx level= -90"/>
    <s v="NOK"/>
    <s v="OK"/>
    <s v="Mauvais"/>
    <s v=" Retransmission des trames HDLC*5"/>
    <m/>
    <s v="ELHAJOUIA Achraf"/>
    <m/>
    <m/>
    <m/>
    <m/>
    <m/>
    <m/>
    <m/>
  </r>
  <r>
    <n v="1214"/>
    <b v="0"/>
    <x v="428"/>
    <d v="1899-12-30T11:05:59"/>
    <n v="1013"/>
    <x v="5"/>
    <x v="1"/>
    <n v="1027"/>
    <n v="35214500045329"/>
    <s v="Casa/Tanger"/>
    <n v="7.3209999999999997"/>
    <x v="2"/>
    <s v="N2"/>
    <s v="Arrêt du train"/>
    <s v="Selon notre analyse, nous avons constaté que le HO complet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4"/>
    <s v="dl rx level= -78"/>
    <s v="OK"/>
    <s v="OK"/>
    <s v="Mauvais"/>
    <s v=" Retransmission des trames HDLC*5"/>
    <m/>
    <s v="ISMALI ALAOUI Hamza"/>
    <m/>
    <m/>
    <m/>
    <m/>
    <m/>
    <m/>
    <m/>
  </r>
  <r>
    <n v="1215"/>
    <b v="0"/>
    <x v="429"/>
    <d v="1899-12-30T11:05:30"/>
    <n v="2021"/>
    <x v="4"/>
    <x v="0"/>
    <n v="7208"/>
    <n v="35214500004427"/>
    <s v="Tanger/Casa"/>
    <n v="6.17"/>
    <x v="2"/>
    <s v="N2"/>
    <s v="Arrêt du train"/>
    <s v="Selon notre analyse, nous avons constaté que le HO est non finalisé entre 3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302 et 303"/>
    <s v="dl Rxqual=7"/>
    <s v="dl rx level= -52"/>
    <s v="NOK"/>
    <s v="OK"/>
    <s v="Mauvais"/>
    <s v=" Retransmission des trames HDLC*5"/>
    <m/>
    <s v="SGHAYER Achraf"/>
    <m/>
    <m/>
    <m/>
    <m/>
    <m/>
    <m/>
    <m/>
  </r>
  <r>
    <n v="1216"/>
    <b v="0"/>
    <x v="429"/>
    <d v="1899-12-30T18:05:21"/>
    <n v="2049"/>
    <x v="2"/>
    <x v="0"/>
    <n v="7218"/>
    <n v="35214500045735"/>
    <s v="Tanger/Casa"/>
    <n v="6.13"/>
    <x v="2"/>
    <s v="N2"/>
    <s v="Arrêt du train"/>
    <s v="Selon notre analyse, nous avons constaté que le HO est Complet entre 3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302 et 304"/>
    <s v="dl Rxqual=7"/>
    <s v="dl rx level= -66"/>
    <s v="NOK"/>
    <s v="OK"/>
    <s v="Mauvais"/>
    <s v=" Retransmission des trames HDLC*5"/>
    <m/>
    <s v="Oussama ZEHOUANI"/>
    <m/>
    <m/>
    <m/>
    <m/>
    <m/>
    <m/>
    <m/>
  </r>
  <r>
    <n v="1217"/>
    <b v="0"/>
    <x v="429"/>
    <d v="1899-12-30T21:04:40"/>
    <n v="1053"/>
    <x v="10"/>
    <x v="1"/>
    <n v="1028"/>
    <n v="35214500045268"/>
    <s v="Casa/Tanger"/>
    <n v="7.3209999999999997"/>
    <x v="2"/>
    <s v="N2"/>
    <s v="Ralentissement du train"/>
    <s v="Selon notre analyse, nous avons constaté que le HO est Non finalisé entre 2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203"/>
    <s v="dl Rxqual=6"/>
    <s v="dl rx level= -54"/>
    <s v="OK"/>
    <s v="OK"/>
    <s v="Mauvais"/>
    <s v=" Retransmission des trames HDLC*5"/>
    <m/>
    <s v="ELHAJOUIA Achraf"/>
    <m/>
    <m/>
    <m/>
    <m/>
    <m/>
    <m/>
    <m/>
  </r>
  <r>
    <n v="1218"/>
    <b v="0"/>
    <x v="430"/>
    <d v="1899-12-30T21:27:59"/>
    <n v="2061"/>
    <x v="3"/>
    <x v="0"/>
    <n v="1083"/>
    <n v="35229605039441"/>
    <s v="Tanger/Casa"/>
    <n v="108.206"/>
    <x v="1"/>
    <s v="N2"/>
    <s v="Ralentissement du train"/>
    <s v="Selon notre analyse, nous avons constaté que le HO est Non finalisé entre 219 et 220 suite au timer T200 Expiré ,les conditions radio étaient mauvaises avant la déconnexion,La requete de deconnexion a ete envoyé par le RBC suite au retransmission des trames HDLC "/>
    <s v="Les derniers résultats de la vérification chaine antennaire conformes _x000a_problème lié à des perturbations GSM-R"/>
    <x v="1"/>
    <s v="Zone sous surveillance par NOC"/>
    <s v="HO  Non finalisé entre 219 et 220"/>
    <s v="dl Rxqual=6"/>
    <s v="dl rx level= -81"/>
    <s v="OK"/>
    <s v="OK"/>
    <s v="moyen"/>
    <s v=" Retransmission des trames HDLC*5"/>
    <m/>
    <s v="ELHAJOUIA Achraf"/>
    <m/>
    <m/>
    <m/>
    <m/>
    <m/>
    <m/>
    <m/>
  </r>
  <r>
    <n v="1219"/>
    <b v="0"/>
    <x v="430"/>
    <d v="1899-12-30T13:05:28"/>
    <n v="1022"/>
    <x v="9"/>
    <x v="1"/>
    <n v="1034"/>
    <n v="35214500043605"/>
    <s v="Casa/Tanger"/>
    <n v="7.3209999999999997"/>
    <x v="2"/>
    <s v="N2"/>
    <s v="Ralentissement du train"/>
    <s v="Selon notre analyse, nous avons constaté que le HO est complet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7"/>
    <s v="dl rx level= -78"/>
    <s v="OK"/>
    <s v="OK"/>
    <s v="Mauvais"/>
    <s v=" Retransmission des trames HDLC*5"/>
    <m/>
    <s v="ISMALI ALAOUI Hamza"/>
    <m/>
    <m/>
    <m/>
    <m/>
    <m/>
    <m/>
    <m/>
  </r>
  <r>
    <n v="1220"/>
    <b v="0"/>
    <x v="431"/>
    <d v="1899-12-30T12:05:09"/>
    <n v="2025"/>
    <x v="2"/>
    <x v="0"/>
    <n v="7218"/>
    <n v="35214500045735"/>
    <s v="Tanger/Casa"/>
    <n v="6.13"/>
    <x v="2"/>
    <s v="N2"/>
    <s v="Arrêt du train"/>
    <s v="Selon notre analyse, nous avons constaté que le HO est Incomplet entre 202 et 3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7"/>
    <s v="dl rx level= -59"/>
    <s v="NOK"/>
    <s v="OK"/>
    <s v="Mauvais"/>
    <s v=" Retransmission des trames HDLC*5"/>
    <m/>
    <s v="Oussama ZEHOUANI"/>
    <m/>
    <m/>
    <m/>
    <m/>
    <m/>
    <m/>
    <m/>
  </r>
  <r>
    <n v="1221"/>
    <b v="0"/>
    <x v="432"/>
    <d v="1899-12-30T15:05:04"/>
    <n v="2037"/>
    <x v="10"/>
    <x v="0"/>
    <n v="1057"/>
    <n v="35214500045217"/>
    <s v="Tanger/Casa"/>
    <n v="6.13"/>
    <x v="2"/>
    <s v="N2"/>
    <s v="Arrêt du train"/>
    <s v="Selon notre analyse, nous avons constaté que le HO est Incomplet entre 302 et 301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2 et 301"/>
    <s v="dl Rxqual=7"/>
    <s v="dl rx level= -63"/>
    <s v="OK"/>
    <s v="OK"/>
    <s v="Mauvais"/>
    <s v=" Retransmission des trames HDLC*5"/>
    <m/>
    <s v="Nassim NAJIM"/>
    <m/>
    <m/>
    <m/>
    <m/>
    <m/>
    <m/>
    <m/>
  </r>
  <r>
    <n v="1222"/>
    <b v="0"/>
    <x v="432"/>
    <d v="1899-12-30T20:24:06"/>
    <n v="1053"/>
    <x v="9"/>
    <x v="1"/>
    <n v="1035"/>
    <n v="35214500043605"/>
    <s v="Tanger/Casa"/>
    <n v="198.98400000000001"/>
    <x v="5"/>
    <s v="N2"/>
    <s v="Arrêt du train"/>
    <s v="Selon notre analyse, nous avons constaté que le HO est complet entre 234 et 233 ,les conditions radio étaient mauvaises avant la déconnexion,La requete de deconnexion a ete envoyé par le bord "/>
    <s v="Les derniers résultats de la vérification chaine antennaire conformes"/>
    <x v="2"/>
    <s v="zone sous surveillance par équipe NOC GSMR"/>
    <s v="HO  complet entre 234 et 233"/>
    <s v="dl Rxqual=0"/>
    <s v="dl rx level= -47"/>
    <s v="NOK"/>
    <s v="NOK"/>
    <s v="Mauvais"/>
    <s v=" pas deretransmission des trames HDLC"/>
    <m/>
    <s v="Nassim NAJIM"/>
    <m/>
    <m/>
    <m/>
    <m/>
    <m/>
    <m/>
    <m/>
  </r>
  <r>
    <n v="1223"/>
    <b v="0"/>
    <x v="432"/>
    <d v="1899-12-30T21:13:32"/>
    <n v="1054"/>
    <x v="9"/>
    <x v="1"/>
    <n v="1035"/>
    <n v="35214500043605"/>
    <s v="Tanger/Casa"/>
    <n v="7.3209999999999997"/>
    <x v="2"/>
    <s v="N2"/>
    <s v="Arrêt du train"/>
    <s v="Selon notre analyse, nous avons constaté que le HO est Incomplet entre 202 et 2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203"/>
    <s v="dl Rxqual=5"/>
    <s v="dl rx level= -52"/>
    <s v="OK"/>
    <s v="OK"/>
    <s v="Mauvais"/>
    <s v=" Retransmission des trames HDLC*5"/>
    <m/>
    <s v="ISMALI ALAOUI Hamza"/>
    <m/>
    <m/>
    <m/>
    <m/>
    <m/>
    <m/>
    <m/>
  </r>
  <r>
    <n v="1224"/>
    <b v="0"/>
    <x v="433"/>
    <d v="1899-12-30T15:24:57"/>
    <n v="2033"/>
    <x v="10"/>
    <x v="0"/>
    <n v="1057"/>
    <n v="35214500045187"/>
    <s v="Tanger/Casa"/>
    <n v="108.206"/>
    <x v="1"/>
    <s v="N2"/>
    <s v="Ralentissement du train"/>
    <s v="Selon notre analyse, nous avons constaté que le HO est Non finalisé entre 219 et 220 suite au timer T200 Expiré ,les conditions radio étaient mauvaises avant la déconnexion,La requete de deconnexion a ete envoyé par le RBC suite au retransmission des trames HDLC "/>
    <s v="Suite aux derniers résultats de la vérification chaine antennaire, il a été constaté que celle-ci est conforme RGVM 1207 M1 présente une mauvaise qualité dans la même zone, _x000a_Malgré l’utilisation d’un tiroir filtré._x000a_Cela suggère un problème lié à des perturbations GSM-R"/>
    <x v="1"/>
    <s v="Zone sous surveillance par NOC"/>
    <s v="HO  Non finalisé entre 219 et 220"/>
    <s v="dl Rxqual=2"/>
    <s v="dl rx level= -85"/>
    <s v="NOK"/>
    <s v="OK"/>
    <s v="Mauvais"/>
    <s v=" Retransmission des trames HDLC*5"/>
    <m/>
    <s v="Saad Elhabib"/>
    <m/>
    <m/>
    <m/>
    <m/>
    <m/>
    <m/>
    <m/>
  </r>
  <r>
    <n v="1225"/>
    <b v="0"/>
    <x v="434"/>
    <d v="1899-12-30T17:05:32"/>
    <n v="2045"/>
    <x v="2"/>
    <x v="0"/>
    <n v="7218"/>
    <n v="35214500045735"/>
    <s v="Tanger/Casa"/>
    <n v="6.13"/>
    <x v="2"/>
    <s v="N2"/>
    <s v="Arrêt du train"/>
    <s v="Selon notre analyse, nous avons constaté que le HO est Non finalisé entre 302 et 3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2 et 303"/>
    <s v="dl Rxqual=7"/>
    <s v="dl rx level= -61"/>
    <s v="NOK"/>
    <s v="OK"/>
    <s v="Mauvais"/>
    <s v=" Retransmission des trames HDLC*5"/>
    <m/>
    <s v="Nassim NAJIM"/>
    <m/>
    <m/>
    <m/>
    <m/>
    <m/>
    <m/>
    <m/>
  </r>
  <r>
    <n v="1226"/>
    <b v="0"/>
    <x v="435"/>
    <d v="1899-12-30T23:06:48"/>
    <n v="1061"/>
    <x v="5"/>
    <x v="1"/>
    <n v="1027"/>
    <n v="35214500045329"/>
    <s v="Casa/Tanger"/>
    <n v="7.3209999999999997"/>
    <x v="2"/>
    <s v="N2"/>
    <s v="Arrêt du train"/>
    <s v="Selon notre analyse, nous avons constaté que le HO est complet entre 203 et 2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203"/>
    <s v="dl Rxqual=7"/>
    <s v="dl rx level= -77"/>
    <s v="NOK"/>
    <s v="OK"/>
    <s v="Mauvais"/>
    <s v=" Retransmission des trames HDLC*5"/>
    <m/>
    <s v="Oussama ZEHOUANI"/>
    <m/>
    <m/>
    <m/>
    <m/>
    <m/>
    <m/>
    <m/>
  </r>
  <r>
    <n v="1227"/>
    <b v="0"/>
    <x v="436"/>
    <d v="1899-12-30T18:27:48"/>
    <n v="2049"/>
    <x v="0"/>
    <x v="0"/>
    <n v="1036"/>
    <n v="35214500045461"/>
    <s v="Tanger/Casa"/>
    <n v="109.495"/>
    <x v="1"/>
    <s v="N2"/>
    <s v="Ralentissement du train"/>
    <s v="Selon notre analyse, nous avons constaté que le HO est Non finalisé entre 219 et 220  ,les conditions radio étaient mauvaises avant la déconnexion,La requete de deconnexion a ete envoyé par le RBC suite au retransmission des trames HDLC "/>
    <s v="Les derniers résultats de la vérification chaine antennaire conformes _x000a_problème lié à des perturbations GSM-R"/>
    <x v="2"/>
    <s v="En attente d'un plan d'action optim"/>
    <s v="HO  Non finalisé entre 219 et 220"/>
    <s v="dl Rxqual=7"/>
    <s v="dl rx level= -62"/>
    <s v="NOK"/>
    <s v="OK"/>
    <s v="Mauvais"/>
    <s v=" Retransmission des trames HDLC*5"/>
    <m/>
    <s v="Saad Elhabib"/>
    <m/>
    <m/>
    <m/>
    <m/>
    <m/>
    <m/>
    <m/>
  </r>
  <r>
    <n v="1228"/>
    <b v="0"/>
    <x v="437"/>
    <d v="1899-12-30T18:33:31"/>
    <n v="1045"/>
    <x v="2"/>
    <x v="1"/>
    <n v="1060"/>
    <n v="35214500053339"/>
    <s v="Casa/Tanger"/>
    <n v="152.488"/>
    <x v="18"/>
    <s v="N2"/>
    <s v="Ralentissement du train"/>
    <s v="Selon notre analyse, nous avons constaté que le HO est Non finalisé entre 227 et 326 suite au conditions radio qui étaient bonne  avant la déconnexion,La requete de deconnexion a ete envoyé par le BORD suite au retransmission des trames HDLC "/>
    <s v="Les derniers résultats de la vérification chaine antennaire conformes"/>
    <x v="1"/>
    <s v="Zone sous surveillance par le NOC"/>
    <s v="HO  Non finalisé entre 227 et 326"/>
    <s v="dl Rxqual=1"/>
    <s v="dl rx level= -62"/>
    <s v="OK"/>
    <s v="OK"/>
    <s v="Mauvais"/>
    <s v=" Retransmission des trames HDLC*5"/>
    <m/>
    <s v="Saad Elhabib"/>
    <m/>
    <m/>
    <m/>
    <m/>
    <m/>
    <m/>
    <m/>
  </r>
  <r>
    <n v="1229"/>
    <b v="0"/>
    <x v="437"/>
    <d v="1899-12-30T19:42:21"/>
    <n v="1049"/>
    <x v="10"/>
    <x v="1"/>
    <n v="1028"/>
    <n v="35214500045268"/>
    <s v="Casa/Tanger"/>
    <n v="127.815"/>
    <x v="6"/>
    <s v="N2"/>
    <s v="Ralentissement du train"/>
    <s v="Selon notre analyse, nous avons constaté que le HO est Non finalisé  entre 223 et 222  ,les conditions radio étaient mauvaises avant la déconnexion,La requete de deconnexion a ete envoyé par le RBC suite au retransmission des trames HDLC "/>
    <s v="Les derniers résultats de la vérification chaine antennaire conformes"/>
    <x v="1"/>
    <s v="En attente d'un plan d'action optim"/>
    <s v="HO non finalisé entre 223et 222"/>
    <s v="dl Rxqual=7"/>
    <s v="dl rx level= -84"/>
    <s v="OK"/>
    <s v="OK"/>
    <s v="Mauvais"/>
    <s v=" Retransmission des trames HDLC*5"/>
    <m/>
    <s v="Saad Elhabib"/>
    <m/>
    <m/>
    <m/>
    <m/>
    <m/>
    <m/>
    <m/>
  </r>
  <r>
    <n v="1230"/>
    <b v="0"/>
    <x v="437"/>
    <d v="1899-12-30T20:29:40"/>
    <n v="1053"/>
    <x v="3"/>
    <x v="1"/>
    <n v="1046"/>
    <n v="35214500038730"/>
    <s v="Casa/Tanger"/>
    <n v="177.85"/>
    <x v="4"/>
    <s v="N2"/>
    <s v="Ralentissement du train"/>
    <s v="Selon notre analyse, nous avons constaté que le HO est  finalisé entre 231 et 332  ,les conditions radio étaient mauvaise avant la déconnexion,La requete de deconnexion a ete envoyé par le RBC suite au retransmission des trames HDLC "/>
    <s v="Les derniers résultats de la vérification chaine antennaire conformes"/>
    <x v="2"/>
    <s v="Zone sous surveillance par le NOC"/>
    <s v="HO   finalisé entre 231 et 332"/>
    <s v="dl Rxqual=0"/>
    <s v="dl rx level= -110"/>
    <s v="OK"/>
    <s v="OK"/>
    <s v="Mauvais"/>
    <s v=" Retransmission des trames HDLC*5"/>
    <m/>
    <s v="Saad Elhabib"/>
    <m/>
    <m/>
    <m/>
    <m/>
    <m/>
    <m/>
    <m/>
  </r>
  <r>
    <n v="1231"/>
    <b v="0"/>
    <x v="438"/>
    <d v="1899-12-30T08:27:32"/>
    <n v="2009"/>
    <x v="7"/>
    <x v="0"/>
    <n v="1054"/>
    <n v="35214500022752"/>
    <s v="Tanger/Casa"/>
    <n v="108.206"/>
    <x v="1"/>
    <s v="N2"/>
    <s v="Ralentissement du train"/>
    <s v="Selon notre analyse, nous avons constaté que le HO est  Non finalisé entre 219 et 320  ,les conditions radio étaient mauvaise avant la déconnexion,La requete de deconnexion a ete envoyé par le bord/ pas de retransmission des trames HDLC "/>
    <s v="Les derniers résultats de la vérification chaine antennaire conformes _x000a_problème lié à des perturbations GSM-R"/>
    <x v="1"/>
    <s v="En attente d'un plan d'action optim"/>
    <s v="HO   Non finalisé entre 219 et 320"/>
    <s v="dl Rxqual=7"/>
    <s v="dl rx level= -73"/>
    <s v="OK"/>
    <s v="OK"/>
    <s v="Mauvais"/>
    <s v=" Pas de Retransmission des trames HDLC"/>
    <m/>
    <s v="ELHAJOUIA Achraf"/>
    <m/>
    <m/>
    <m/>
    <m/>
    <m/>
    <m/>
    <m/>
  </r>
  <r>
    <n v="1232"/>
    <b v="0"/>
    <x v="438"/>
    <d v="1899-12-30T17:52:00"/>
    <n v="1041"/>
    <x v="0"/>
    <x v="1"/>
    <n v="1045"/>
    <n v="35214500045098"/>
    <s v="Casa/Tanger"/>
    <n v="72.397999999999996"/>
    <x v="13"/>
    <s v="N2"/>
    <s v="Ralentissement du train"/>
    <s v="Selon notre analyse, nous avons constaté que le HO est  Non finalisé entre 212 et 311  ,les conditions radio étaient bonne avant la déconnexion,La requete de deconnexion a ete envoyé par le bord/ retransmission des trames HDLC, mauvais ecart de la rame"/>
    <s v="Les derniers résultats de la vérification chaine antennaire conformes "/>
    <x v="0"/>
    <s v="En attente de mise en place des tiroirs filtrés "/>
    <s v="HO   Non finalisé entre 212 et 311"/>
    <s v="dl Rxqual=0"/>
    <s v="dl rx level= -77"/>
    <s v="NOK"/>
    <s v="OK"/>
    <s v="Mauvais"/>
    <s v=" Retransmission des trames HDLC*5"/>
    <m/>
    <s v="Saad Elhabib"/>
    <m/>
    <m/>
    <m/>
    <m/>
    <m/>
    <m/>
    <m/>
  </r>
  <r>
    <n v="1233"/>
    <b v="0"/>
    <x v="439"/>
    <d v="1899-12-30T16:08:10"/>
    <n v="1033"/>
    <x v="5"/>
    <x v="1"/>
    <n v="1027"/>
    <n v="35214500045329"/>
    <s v="Casa/Tanger"/>
    <n v="7.3209999999999997"/>
    <x v="2"/>
    <s v="N2"/>
    <s v="Ralentissement du train"/>
    <s v="Selon notre analyse, nous avons constaté qu'il y avait un recul HO de 302 vers 2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203"/>
    <s v="dl Rxqual=7"/>
    <s v="dl rx level= -77"/>
    <s v="NOK"/>
    <s v="OK"/>
    <s v="Mauvais"/>
    <s v=" Retransmission des trames HDLC*5"/>
    <m/>
    <s v="Fahd OUSSALH"/>
    <m/>
    <m/>
    <m/>
    <m/>
    <m/>
    <m/>
    <m/>
  </r>
  <r>
    <n v="1234"/>
    <b v="0"/>
    <x v="440"/>
    <d v="1899-12-30T04:04:47"/>
    <n v="2081"/>
    <x v="9"/>
    <x v="0"/>
    <n v="1053"/>
    <n v="35214500045329"/>
    <s v="Tanger/Casa"/>
    <n v="6.13"/>
    <x v="2"/>
    <s v="N2"/>
    <s v="Arrêt du train"/>
    <s v="Selon notre analyse, nous avons constaté que le HO est complet entre 202 et 201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1 et 201"/>
    <s v="dl Rxqual=7"/>
    <s v="dl rx level= -83"/>
    <s v="OK"/>
    <s v="OK"/>
    <s v="Mauvais"/>
    <s v=" Retransmission des trames HDLC*5"/>
    <m/>
    <s v="HARIRI Bahaeddine"/>
    <m/>
    <m/>
    <m/>
    <m/>
    <m/>
    <m/>
    <m/>
  </r>
  <r>
    <n v="1235"/>
    <b v="0"/>
    <x v="440"/>
    <d v="1899-12-30T09:09:54"/>
    <n v="1005"/>
    <x v="11"/>
    <x v="1"/>
    <n v="1020"/>
    <n v="35214500045494"/>
    <s v="Casa/Tanger"/>
    <n v="7.13"/>
    <x v="2"/>
    <s v="N2"/>
    <s v="Ralentissement du train"/>
    <s v="Selon notre analyse, nous avons constaté que le HO est non finalisé entre 203 et 3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3 et 302"/>
    <s v="dl Rxqual=7"/>
    <s v="dl rx level= -63"/>
    <s v="OK"/>
    <s v="OK"/>
    <s v="Mauvais"/>
    <s v=" Retransmission des trames HDLC*5"/>
    <m/>
    <s v="ELHAJOUIA Achraf"/>
    <m/>
    <m/>
    <m/>
    <m/>
    <m/>
    <m/>
    <m/>
  </r>
  <r>
    <n v="1236"/>
    <b v="0"/>
    <x v="441"/>
    <m/>
    <n v="1001"/>
    <x v="10"/>
    <x v="1"/>
    <n v="1028"/>
    <n v="35214500045268"/>
    <s v="Casa/Tanger"/>
    <n v="127.815"/>
    <x v="6"/>
    <s v="N2"/>
    <s v="Ralentissement du train"/>
    <s v="Selon notre analyse, nous avons constaté que le HO est non finalisé entre 223 et 222 ,les conditions radio étaient mauvaises avant la déconnexion,La requete de deconnexion a ete envoyé par le RBC suite au retransmission des trames HDLC "/>
    <s v="Les derniers résultats de la vérification chaine antennaire conformes "/>
    <x v="1"/>
    <s v="En attente d'un plan d'action optim"/>
    <s v="HO Non finalisé entre 223 et 222"/>
    <s v="dl Rxqual=6"/>
    <s v="dl rx level= -76"/>
    <s v="OK"/>
    <s v="OK"/>
    <s v="Mauvais"/>
    <s v=" Retransmission des trames HDLC*5"/>
    <m/>
    <s v="ELHAJOUIA Achraf"/>
    <m/>
    <m/>
    <m/>
    <m/>
    <m/>
    <m/>
    <m/>
  </r>
  <r>
    <n v="1237"/>
    <b v="0"/>
    <x v="441"/>
    <d v="1899-12-30T15:25:04"/>
    <n v="1033"/>
    <x v="4"/>
    <x v="1"/>
    <n v="1032"/>
    <n v="35214500040638"/>
    <s v="Casa/Tanger"/>
    <n v="198.98400000000001"/>
    <x v="5"/>
    <s v="N2"/>
    <s v="Arrêt du train"/>
    <s v="Le train s’est déconnecté suite à une erreur de lecture de la balise (M_ERROR) lors de la transition du niveau 1 vers niveau 2 ce qui a déclenché la requête de déconnexion par le train, la dernière balise lue est la 810, pas de visibilité sur les conditions radio car l’appel était en cours d’établissement. Suite à la déconnexion, il s’est déconnecté deux fois supplémentaires (les conditions radio étaient conformes), initiés par le bord, pendant cette période pas de visibilité sur l’état ERTMS de la rame, toutefois il s’est reconnecté en mode post-trip."/>
    <s v="Les derniers résultats de la vérification chaine antennaire conformes "/>
    <x v="10"/>
    <s v="En attente d'analyse les traces DRU/JRU"/>
    <s v="HO  complet entre 234 et 233"/>
    <s v="dl Rxqual=5"/>
    <s v="dl rx level= -47"/>
    <s v="OK"/>
    <s v="OK"/>
    <s v="Mauvais"/>
    <s v=" Retransmission des trames HDLC*5"/>
    <m/>
    <s v="Oussama ZEHOUANI"/>
    <m/>
    <m/>
    <m/>
    <m/>
    <m/>
    <m/>
    <m/>
  </r>
  <r>
    <n v="1238"/>
    <b v="0"/>
    <x v="441"/>
    <d v="1899-12-30T23:10:39"/>
    <n v="1061"/>
    <x v="9"/>
    <x v="1"/>
    <n v="1034"/>
    <n v="35214500043605"/>
    <s v="Casa/Tanger"/>
    <n v="7.3209999999999997"/>
    <x v="2"/>
    <s v="N2"/>
    <s v="Ralentissement du train"/>
    <s v="Selon notre analyse, nous avons constaté que le HO est  finalisé entre 202 et 303,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ntre 202 et 303"/>
    <s v="dl Rxqual=7"/>
    <s v="dl rx level= -67"/>
    <s v="NOK"/>
    <s v="OK"/>
    <s v="Mauvais"/>
    <s v=" Retransmission des trames HDLC*5"/>
    <m/>
    <s v="Saad Elhabib"/>
    <m/>
    <m/>
    <m/>
    <m/>
    <m/>
    <m/>
    <m/>
  </r>
  <r>
    <n v="1239"/>
    <b v="0"/>
    <x v="442"/>
    <d v="1899-12-30T09:04:39"/>
    <n v="1006"/>
    <x v="0"/>
    <x v="1"/>
    <n v="1045"/>
    <n v="35214500045098"/>
    <s v="Casa/Tanger"/>
    <n v="6.13"/>
    <x v="2"/>
    <s v="N2"/>
    <s v="Ralentissement du train"/>
    <s v="Selon notre analyse, nous avons constaté que le HO est  finalisé entre 202 et 303,les conditions radio étaient mauvaises avant la déconnexion,La requete de deconnexion a ete envoyé par le RBC pas de retransmission des trames HDLC "/>
    <s v="Les derniers résultats de la vérification chaine antennaire conformes _x000a_Présence d'interférences externes  au niveau du GSMR_02/03_x000a_Probléme GSMR_x000a_"/>
    <x v="0"/>
    <s v="En attente de mise en place des tiroirs filtrés "/>
    <s v="HO complet ntre 202 et 303"/>
    <s v="dl Rxqual=7"/>
    <s v="dl rx level= -54"/>
    <s v="OK"/>
    <s v="OK"/>
    <s v="Mauvais"/>
    <s v=" Pas Retransmission des trames HDLC*5"/>
    <m/>
    <s v="HARIRI Bahaeddine"/>
    <m/>
    <m/>
    <m/>
    <m/>
    <m/>
    <m/>
    <m/>
  </r>
  <r>
    <n v="1240"/>
    <b v="0"/>
    <x v="443"/>
    <d v="1899-12-30T10:05:05"/>
    <n v="2017"/>
    <x v="4"/>
    <x v="0"/>
    <n v="1058"/>
    <n v="35214500004427"/>
    <s v="Casa/Tanger"/>
    <n v="6.13"/>
    <x v="2"/>
    <s v="N2"/>
    <s v="Ralentissement du train"/>
    <s v="Selon notre analyse, nous avons constaté que le HO est  finalisé entre 202 et 201,les conditions radio étaient mauvaises avant la déconnexion,La requete de deconnexion a ete envoyé par le RBC pas de retransmission des trames HDLC "/>
    <s v="Les derniers résultats de la vérification chaine antennaire conformes _x000a_Présence d'interférences externes  au niveau du GSMR_02/03_x000a_Probléme GSMR_x000a_"/>
    <x v="0"/>
    <s v="En attente de mise en place des tiroirs filtrés "/>
    <s v="HO complet ntre 202 et 201"/>
    <s v="dl Rxqual=7"/>
    <s v="dl rx level= -86"/>
    <s v="OK"/>
    <s v="OK"/>
    <s v="Mauvais"/>
    <s v=" Pas Retransmission des trames HDLC*5"/>
    <m/>
    <s v="Fahd OUSSALH"/>
    <m/>
    <m/>
    <m/>
    <m/>
    <m/>
    <m/>
    <m/>
  </r>
  <r>
    <n v="1241"/>
    <b v="0"/>
    <x v="443"/>
    <d v="1899-12-30T20:31:55"/>
    <n v="1053"/>
    <x v="2"/>
    <x v="1"/>
    <n v="1060"/>
    <n v="35214500005339"/>
    <s v="Casa/Tanger"/>
    <n v="165.298"/>
    <x v="28"/>
    <s v="N2"/>
    <s v="Ralentissement du train"/>
    <s v="Selon notre analyse, nous avons constaté que le HO est  complet entre 329 et 330,les conditions radio étaient mauvaises avant la déconnexion,La requete de deconnexion a ete envoyé par le RBC suite au retransmission des trames HDLC "/>
    <s v="Les derniers résultats de la vérification chaine antennaire conformes "/>
    <x v="1"/>
    <s v="En attente d'un plan d'action optim"/>
    <s v="HO  complet entre 329et 330"/>
    <s v="dl Rxqual=7"/>
    <s v="dl rx level= -70"/>
    <s v="OK"/>
    <s v="OK"/>
    <s v="Mauvais"/>
    <s v=" Pas Retransmission des trames HDLC*5"/>
    <m/>
    <s v="ELHAJOUIA Achraf"/>
    <m/>
    <m/>
    <m/>
    <m/>
    <m/>
    <m/>
    <m/>
  </r>
  <r>
    <n v="1242"/>
    <b v="0"/>
    <x v="444"/>
    <d v="1899-12-30T18:29:30"/>
    <n v="2049"/>
    <x v="7"/>
    <x v="0"/>
    <n v="1054"/>
    <n v="35214500022752"/>
    <s v="Tanger/Casa"/>
    <n v="109.495"/>
    <x v="1"/>
    <s v="N2"/>
    <s v="Ralentissement du train"/>
    <s v="Selon notre analyse, nous avons constaté que le HO est  HO non finalisé  entre 220 et 319  ,les conditions radio étaient mauvaises avant la déconnexion,La requete de deconnexion a ete envoyé par le BORD suite au retransmission des trames HDLC "/>
    <s v="Les derniers résultats de la vérification chaine antennaire conformes _x000a_problème lié à des perturbations GSM-R"/>
    <x v="1"/>
    <s v="En attente d'un plan d'action optim"/>
    <s v="HO non finalisé entre 220 et 319"/>
    <s v="dl Rxqual=7"/>
    <s v="dl rx level= -61"/>
    <s v="NOK"/>
    <s v="OK"/>
    <s v="Mauvais"/>
    <s v=" Retransmission des trames HDLC*5"/>
    <m/>
    <s v="Saad Elhabib"/>
    <m/>
    <m/>
    <m/>
    <m/>
    <m/>
    <m/>
    <m/>
  </r>
  <r>
    <n v="1243"/>
    <b v="0"/>
    <x v="445"/>
    <d v="1899-12-30T18:05:04"/>
    <n v="2049"/>
    <x v="7"/>
    <x v="0"/>
    <n v="1054"/>
    <n v="35214500022752"/>
    <s v="Tanger/Casa"/>
    <n v="6.13"/>
    <x v="2"/>
    <s v="N2"/>
    <s v="Ralentissement du train"/>
    <s v="Selon notre analyse, nous avons constaté que le HO est  HO finalisé  entre 3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302 et 203"/>
    <s v="dl Rxqual=7"/>
    <s v="dl rx level= -63"/>
    <s v="OK"/>
    <s v="OK"/>
    <s v="Mauvais"/>
    <s v=" Retransmission des trames HDLC*5"/>
    <m/>
    <s v="Saad Elhabib"/>
    <m/>
    <m/>
    <m/>
    <m/>
    <m/>
    <m/>
    <m/>
  </r>
  <r>
    <n v="1244"/>
    <b v="0"/>
    <x v="446"/>
    <d v="1899-12-30T20:04:51"/>
    <n v="2057"/>
    <x v="7"/>
    <x v="0"/>
    <n v="1055"/>
    <n v="35214500036582"/>
    <s v="Tanger/Casa"/>
    <n v="6.13"/>
    <x v="2"/>
    <s v="N2"/>
    <s v="Ralentissement du train"/>
    <s v="Selon notre analyse, nous avons constaté que le HO est  HO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202 et 303"/>
    <s v="dl Rxqual=6"/>
    <s v="dl rx level= -67"/>
    <s v="OK"/>
    <s v="OK"/>
    <s v="Mauvais"/>
    <s v=" Retransmission des trames HDLC*5"/>
    <m/>
    <s v="Saad Elhabib"/>
    <m/>
    <m/>
    <m/>
    <m/>
    <m/>
    <m/>
    <m/>
  </r>
  <r>
    <n v="1245"/>
    <b v="0"/>
    <x v="447"/>
    <d v="1899-12-30T06:21:15"/>
    <n v="2001"/>
    <x v="4"/>
    <x v="0"/>
    <n v="1058"/>
    <n v="35214500004427"/>
    <s v="Tanger/Casa"/>
    <n v="73.585999999999999"/>
    <x v="13"/>
    <s v="N2"/>
    <s v="Ralentissement du train"/>
    <s v="Selon notre analyse, nous avons constaté que le HO est  Non finalisé  entre 212 et 213  ,les conditions radio étaient mauvaises avant la déconnexion,La requete de deconnexion a ete envoyé par le RBC suite au retransmission des trames HDLC "/>
    <s v="Les derniers résultats de la vérification chaine antennaire conformes "/>
    <x v="1"/>
    <s v="En attente d'un plan d'action optim"/>
    <s v="HO non finalisé entre 212 et 213"/>
    <s v="dl Rxqual=5"/>
    <s v="dl rx level= -65"/>
    <s v="OK"/>
    <s v="OK"/>
    <s v="Mauvais"/>
    <s v=" Retransmission des trames HDLC*5"/>
    <m/>
    <s v="Fahd OUSSALH"/>
    <m/>
    <m/>
    <m/>
    <m/>
    <m/>
    <m/>
    <m/>
  </r>
  <r>
    <n v="1246"/>
    <b v="0"/>
    <x v="448"/>
    <d v="1899-12-30T14:05:18"/>
    <n v="1025"/>
    <x v="1"/>
    <x v="1"/>
    <n v="3062"/>
    <n v="35214500017596"/>
    <s v="Casa/Tanger"/>
    <n v="7.3209999999999997"/>
    <x v="2"/>
    <s v="N2"/>
    <s v="Arrêt du train"/>
    <s v="Selon notre analyse, nous avons constaté que le HO est  finalisé entre 2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202 et 203"/>
    <s v="dl Rxqual=7"/>
    <s v="dl rx level= -64"/>
    <s v="OK"/>
    <s v="OK"/>
    <s v="Mauvais"/>
    <s v=" Retransmission des trames HDLC*5"/>
    <m/>
    <s v="HAMZAOUI Youssef"/>
    <m/>
    <m/>
    <m/>
    <m/>
    <m/>
    <m/>
    <m/>
  </r>
  <r>
    <n v="1247"/>
    <b v="0"/>
    <x v="448"/>
    <d v="1899-12-30T21:23:15"/>
    <n v="1057"/>
    <x v="11"/>
    <x v="1"/>
    <n v="1020"/>
    <n v="35214500045494"/>
    <s v="Casa/Tanger"/>
    <s v="RAC 4,125"/>
    <x v="33"/>
    <s v="N2"/>
    <s v="Arrêt du train"/>
    <s v="Selon notre analyse, nous avons constaté que le HO est  finalisé entre 99 et 333,les conditions radio étaient mauvaises avant la déconnexion,La requete de deconnexion a ete envoyé par le Bord suite au retransmission des trames HDLC "/>
    <s v="Les derniers résultats de la vérification chaine antennaire conformes "/>
    <x v="1"/>
    <s v="En attente d'un plan d'action optim"/>
    <s v="HO non finalisé entre 99 et 333"/>
    <s v="dl Rxqual=7"/>
    <s v="dl rx level= -71"/>
    <s v="OK"/>
    <s v="OK"/>
    <s v="Mauvais"/>
    <s v=" Retransmission des trames HDLC*5"/>
    <m/>
    <s v="MAROUANI Otmane"/>
    <m/>
    <m/>
    <m/>
    <m/>
    <m/>
    <m/>
    <m/>
  </r>
  <r>
    <n v="1248"/>
    <b v="0"/>
    <x v="449"/>
    <d v="1899-12-30T06:11:47"/>
    <n v="13042"/>
    <x v="4"/>
    <x v="0"/>
    <n v="1036"/>
    <n v="35214500045461"/>
    <s v="Tanger/Casa"/>
    <n v="186.315"/>
    <x v="19"/>
    <s v="N2"/>
    <s v="Ralentissement du train"/>
    <s v="Selon notre analyse, nous avons constaté que le HO est  finalisé entre 232 et 233,les conditions radio étaient bonnes avant la déconnexion,La requete de deconnexion a ete envoyé par le RBC suite au retransmission des trames HDLC "/>
    <s v="Les derniers résultats de la vérification chaine antennaire conformes "/>
    <x v="1"/>
    <s v="En attente d'un plan d'action optim"/>
    <s v="HO non finalisé entre 232 et 233"/>
    <s v="dl Rxqual=0"/>
    <s v="dl rx level= -63"/>
    <s v="OK"/>
    <s v="OK"/>
    <s v="Mauvais"/>
    <s v=" Retransmission des trames HDLC*5"/>
    <m/>
    <s v="ELGUEZZAR Anas"/>
    <m/>
    <m/>
    <m/>
    <m/>
    <m/>
    <m/>
    <m/>
  </r>
  <r>
    <n v="1249"/>
    <b v="0"/>
    <x v="450"/>
    <d v="1899-12-30T21:05:47"/>
    <n v="1053"/>
    <x v="1"/>
    <x v="1"/>
    <n v="3062"/>
    <n v="35214500017596"/>
    <s v="Casa/Tanger"/>
    <n v="7.3209999999999997"/>
    <x v="2"/>
    <s v="N2"/>
    <s v="Ralentissement du train"/>
    <s v="Selon notre analyse, nous avons constaté que le HO est finalisé entre 303 et 302,les conditions radio étaient bonn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303 et 302"/>
    <s v="dl Rxqual=1"/>
    <s v="dl rx level= -61"/>
    <s v="NOK"/>
    <s v="OK"/>
    <s v="Mauvais"/>
    <s v=" Retransmission des trames HDLC*5"/>
    <m/>
    <s v="ELGUEZZAR Anas"/>
    <m/>
    <m/>
    <m/>
    <m/>
    <m/>
    <m/>
    <m/>
  </r>
  <r>
    <n v="1250"/>
    <b v="0"/>
    <x v="451"/>
    <d v="1899-12-30T04:35:42"/>
    <n v="2081"/>
    <x v="0"/>
    <x v="0"/>
    <n v="1037"/>
    <n v="35214500045488"/>
    <s v="Tanger/Casa"/>
    <n v="81.777000000000001"/>
    <x v="15"/>
    <s v="N2"/>
    <s v="Ralentissement du train"/>
    <s v="Selon notre analyse, nous avons constaté que le HO est   finalisé entre 214 et 215,les conditions radio étaient bonnes avant la déconnexion,La requete de deconnexion a ete envoyé par le RBC suite au retransmission des trames HDLC "/>
    <s v="Les derniers résultats de la vérification chaine antennaire conformes "/>
    <x v="1"/>
    <s v="En attente d'un plan d'action optim"/>
    <s v="HO finalisé entre 214 et 215"/>
    <s v="dl Rxqual=4"/>
    <s v="dl rx level= -66"/>
    <s v="OK"/>
    <s v="OK"/>
    <s v="Mauvais"/>
    <s v=" Retransmission des trames HDLC*5"/>
    <m/>
    <s v="ELGUEZZAR Anas"/>
    <m/>
    <m/>
    <m/>
    <m/>
    <m/>
    <m/>
    <m/>
  </r>
  <r>
    <n v="1251"/>
    <b v="0"/>
    <x v="451"/>
    <d v="1899-12-30T12:05:04"/>
    <n v="1018"/>
    <x v="5"/>
    <x v="1"/>
    <n v="1027"/>
    <n v="35214500045083"/>
    <s v="Casa/Tanger"/>
    <n v="7.3209999999999997"/>
    <x v="2"/>
    <s v="N2"/>
    <s v="Ralentissement du train"/>
    <s v="Selon notre analyse, nous avons constaté que le HO est   finalisé entre 203 et 302,les conditions radio étaient mauvaises avant la déconnexion,La requete de deconnexion a ete envoyé par le RBC sans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203 et 302"/>
    <s v="dl Rxqual=7"/>
    <s v="dl rx level= -77"/>
    <s v="OK"/>
    <s v="OK"/>
    <s v="Mauvais"/>
    <s v=" Retransmission des trames HDLC*5"/>
    <m/>
    <s v="Noura MOUSSAOUI"/>
    <m/>
    <m/>
    <m/>
    <m/>
    <m/>
    <m/>
    <m/>
  </r>
  <r>
    <n v="1252"/>
    <b v="0"/>
    <x v="451"/>
    <d v="1899-12-30T21:05:26"/>
    <n v="2061"/>
    <x v="9"/>
    <x v="0"/>
    <n v="1053"/>
    <n v="35214500044497"/>
    <s v="Tanger/Casa"/>
    <n v="6.13"/>
    <x v="2"/>
    <s v="N2"/>
    <s v="Arrêt du train"/>
    <s v="Selon notre analyse, nous avons constaté que le HO est  HO finalisé  entre 203 et 3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203 et 302"/>
    <s v="dl Rxqual=7"/>
    <s v="dl rx level= -67"/>
    <s v="OK"/>
    <s v="OK"/>
    <s v="Mauvais"/>
    <s v=" Retransmission des trames HDLC*5"/>
    <m/>
    <s v="Nassim NAJIM"/>
    <m/>
    <m/>
    <m/>
    <m/>
    <m/>
    <m/>
    <m/>
  </r>
  <r>
    <n v="1253"/>
    <b v="0"/>
    <x v="451"/>
    <d v="1899-12-30T21:05:33"/>
    <n v="1053"/>
    <x v="5"/>
    <x v="1"/>
    <n v="1026"/>
    <n v="35214500045329"/>
    <s v="Casa/Tanger"/>
    <n v="7.3209999999999997"/>
    <x v="2"/>
    <s v="N2"/>
    <s v="Ralentissement du train"/>
    <s v="Selon notre analyse, nous avons constaté que le HO est   finalisé entre 202 et 303,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
    <x v="0"/>
    <s v="En attente de mise en place des tiroirs filtrés "/>
    <s v="HO finalisé entre 202 et 303"/>
    <s v="dl Rxqual=7"/>
    <s v="dl rx level= -74"/>
    <s v="OK"/>
    <s v="OK"/>
    <s v="Mauvais"/>
    <s v=" Retransmission des trames HDLC*5"/>
    <m/>
    <s v="Saad Elhabib"/>
    <m/>
    <m/>
    <m/>
    <m/>
    <m/>
    <m/>
    <m/>
  </r>
  <r>
    <n v="1254"/>
    <b v="0"/>
    <x v="452"/>
    <d v="1899-12-30T12:24:18"/>
    <n v="1021"/>
    <x v="5"/>
    <x v="1"/>
    <n v="1027"/>
    <n v="35214500045083"/>
    <s v="Casa/Tanger"/>
    <n v="198.98400000000001"/>
    <x v="5"/>
    <s v="N2"/>
    <s v="Arrêt du train"/>
    <s v="Selon notre analyse, nous avons constaté que le HO est   finalisé entre 234 et 333,les conditions radio étaient bonnes avant la déconnexion,La requete de deconnexion a ete envoyé par le bord sans retransmission des trames HDLC "/>
    <s v="Les derniers résultats de la vérification chaine antennaire conformes "/>
    <x v="10"/>
    <s v="Analyse des relevés JRU/DRU en cours"/>
    <s v="HO finalisé entre 234 et 333"/>
    <s v="dl Rxqual="/>
    <s v="dl rx level= "/>
    <s v="NOK"/>
    <s v="NOK"/>
    <s v="Mauvais"/>
    <s v=" Retransmission des trames HDLC*5"/>
    <m/>
    <s v="Noura MOUSSAOUI"/>
    <m/>
    <m/>
    <m/>
    <m/>
    <m/>
    <m/>
    <m/>
  </r>
  <r>
    <n v="1255"/>
    <b v="0"/>
    <x v="453"/>
    <d v="1899-12-30T10:05:32"/>
    <n v="2017"/>
    <x v="11"/>
    <x v="0"/>
    <n v="1050"/>
    <n v="35214500045357"/>
    <s v="Tanger/Casa"/>
    <n v="6.13"/>
    <x v="2"/>
    <s v="N2"/>
    <s v="Ralentissement du train"/>
    <s v="Selon notre analyse, nous avons constaté que le HO est   finalisé entre 302 et 301,les conditions radio étaient mauvaise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e mise en place des tiroirs filtrés "/>
    <s v="HO complet entre 302 et 301"/>
    <s v="dl Rxqual=7"/>
    <s v="dl rx level= 69"/>
    <s v="NOK"/>
    <s v="OK"/>
    <s v="Mauvais"/>
    <s v=" Retransmission des trames HDLC*5"/>
    <m/>
    <s v="Noura MOUSSAOUI"/>
    <m/>
    <m/>
    <m/>
    <m/>
    <m/>
    <m/>
    <m/>
  </r>
  <r>
    <n v="1256"/>
    <b v="0"/>
    <x v="453"/>
    <d v="1899-12-30T17:04:47"/>
    <n v="1038"/>
    <x v="0"/>
    <x v="1"/>
    <n v="1037"/>
    <n v="35214500045131"/>
    <s v="Casa/Tanger"/>
    <n v="7.3209999999999997"/>
    <x v="2"/>
    <s v="N2"/>
    <s v="Ralentissement du train"/>
    <s v="Selon notre analyse, nous avons constaté que le HO est  finalisé entre 203 et 302,les conditions radio étaient mauvaisees avant la déconnexion,,La requete de deconnexion a ete envoyé par le Bord suite au retransmission des trames HDLC "/>
    <s v="Les derniers résultats de la vérification chaine antennaire conformes_x000a_Présence d'interférences externes  au niveau du GSMR_02/03_x000a_Probléme GSMR"/>
    <x v="0"/>
    <s v="En attente de mise en place des tiroirs filtrés "/>
    <s v="HO finalisé entre 203 et 302"/>
    <s v="dl Rxqual=7"/>
    <s v="dl rx level= 57"/>
    <s v="OK"/>
    <s v="OK"/>
    <s v="Mauvais"/>
    <s v=" Retransmission des trames HDLC*5"/>
    <m/>
    <s v="HARIRI Bahaeddine"/>
    <m/>
    <m/>
    <m/>
    <m/>
    <m/>
    <m/>
    <m/>
  </r>
  <r>
    <n v="1257"/>
    <b v="0"/>
    <x v="454"/>
    <d v="1899-12-30T15:05:24"/>
    <n v="2037"/>
    <x v="2"/>
    <x v="0"/>
    <n v="7218"/>
    <n v="35214500045735"/>
    <s v="Tanger/Casa"/>
    <n v="7.3209999999999997"/>
    <x v="2"/>
    <s v="N2"/>
    <s v="Arrêt du train"/>
    <s v="Selon notre analyse, nous avons constaté que le HO est  non finalisé entre 202 et 301,les conditions radio étaient mauvaise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e mise en place des tiroirs filtrés "/>
    <s v="HO non finalisé entre 202 et 301"/>
    <s v="dl Rxqual=5"/>
    <s v="dl rx level= 62"/>
    <s v="OK"/>
    <s v="OK"/>
    <s v="Mauvais"/>
    <s v=" Retransmission des trames HDLC*5"/>
    <m/>
    <s v="MAROUANI Otmane"/>
    <m/>
    <m/>
    <m/>
    <m/>
    <m/>
    <m/>
    <m/>
  </r>
  <r>
    <n v="1258"/>
    <b v="0"/>
    <x v="455"/>
    <d v="1899-12-30T09:08:42"/>
    <n v="1005"/>
    <x v="0"/>
    <x v="1"/>
    <n v="1044"/>
    <n v="35214500045131"/>
    <s v="Casa/Tanger"/>
    <n v="7.3209999999999997"/>
    <x v="2"/>
    <s v="N2"/>
    <s v="Ralentissement du train"/>
    <s v="Selon notre analyse, nous avons constaté que le HO est  finalisé entre 303 et 302,les conditions radio étaient mauvaise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e mise en place des tiroirs filtrés "/>
    <s v="HO complet entre 303 et 302"/>
    <s v="dl Rxqual=7"/>
    <s v="dl rx level= 77"/>
    <s v="OK"/>
    <s v="OK"/>
    <s v="Mauvais"/>
    <s v=" Retransmission des trames HDLC*5"/>
    <m/>
    <s v="ELGUEZZAR Anas"/>
    <m/>
    <m/>
    <m/>
    <m/>
    <m/>
    <m/>
    <m/>
  </r>
  <r>
    <n v="1259"/>
    <b v="0"/>
    <x v="456"/>
    <d v="1899-12-30T19:37:41"/>
    <n v="1049"/>
    <x v="10"/>
    <x v="1"/>
    <n v="1029"/>
    <n v="35214500045449"/>
    <s v="Casa/Tanger"/>
    <n v="174.07400000000001"/>
    <x v="27"/>
    <s v="N2"/>
    <s v="Ralentissement du train"/>
    <s v="Selon notre analyse, nous avons constaté que le HO est  Non finalisé entre 330 et 329,les conditions radio étaient Bonnes avant la déconnexion,,La requete de deconnexion a ete envoyé par le RBC suite au retransmission des trames HDLC "/>
    <s v="Les derniers résultats de la vérification chaine antennaire conformes "/>
    <x v="1"/>
    <s v="En attente d'un plan d'action optim"/>
    <s v="HO Non finalisé entre 330 et 329"/>
    <s v="dl Rxqual=0"/>
    <s v="dl rx level= -65"/>
    <s v="NOK"/>
    <s v="OK"/>
    <s v="Mauvais"/>
    <s v=" Retransmission des trames HDLC*5"/>
    <m/>
    <s v="HARIRI Bahaeddine"/>
    <m/>
    <m/>
    <m/>
    <m/>
    <m/>
    <m/>
    <m/>
  </r>
  <r>
    <n v="1260"/>
    <b v="0"/>
    <x v="457"/>
    <d v="1899-12-30T10:05:30"/>
    <n v="2017"/>
    <x v="2"/>
    <x v="0"/>
    <n v="7218"/>
    <n v="35214500045735"/>
    <s v="Tanger/Casa"/>
    <n v="6.13"/>
    <x v="2"/>
    <s v="N2"/>
    <s v="Ralentissement du train"/>
    <s v="Selon notre analyse, nous avons constaté que le HO est  finalisé entre 202 et 303,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e mise en place des tiroirs filtrés "/>
    <s v="HO finalisé entre 202 et 303"/>
    <s v="dl Rxqual=6"/>
    <s v="dl rx level= -69"/>
    <s v="OK"/>
    <s v="OK"/>
    <s v="Mauvais"/>
    <s v=" Retransmission des trames HDLC*5"/>
    <m/>
    <s v="Noura MOUSSAOUI"/>
    <m/>
    <m/>
    <m/>
    <m/>
    <m/>
    <m/>
    <m/>
  </r>
  <r>
    <n v="1261"/>
    <b v="0"/>
    <x v="458"/>
    <d v="1899-12-30T14:02:20"/>
    <n v="1025"/>
    <x v="10"/>
    <x v="1"/>
    <n v="1029"/>
    <n v="35214500045449"/>
    <s v="Casa/Tanger"/>
    <n v="25.85"/>
    <x v="7"/>
    <s v="N2"/>
    <s v="Ralentissement du train"/>
    <s v="Selon notre analyse, nous avons constaté que le HO est  non finalisé entre 207 et 305,les conditions radio étaient mauvaises avant la déconnexion,,La requete de deconnexion a ete envoyé par le Bord suite au retransmission des trames HDLC "/>
    <s v="Les derniers résultats de la vérification chaine antennaire conformes "/>
    <x v="1"/>
    <s v="En attente d'un plan d'action optim"/>
    <s v="HO non finalisé entre 207 et 305"/>
    <s v="dl Rxqual=7"/>
    <s v="dl rx level= -91"/>
    <s v="OK"/>
    <s v="OK"/>
    <s v="Mauvais"/>
    <s v=" Retransmission des trames HDLC*5"/>
    <m/>
    <s v="Noura MOUSSAOUI"/>
    <m/>
    <m/>
    <m/>
    <m/>
    <m/>
    <m/>
    <m/>
  </r>
  <r>
    <n v="1262"/>
    <b v="0"/>
    <x v="458"/>
    <d v="1899-12-30T18:35:23"/>
    <n v="2049"/>
    <x v="5"/>
    <x v="0"/>
    <n v="1025"/>
    <n v="35214500045073"/>
    <s v="Tanger/Casa"/>
    <n v="144.32599999999999"/>
    <x v="3"/>
    <s v="N2"/>
    <s v="Arrêt du train"/>
    <s v="Selon notre analyse, nous avons constaté que le HO finalisé entre 224 et 225,les conditions radio étaient bonnes avant la déconnexion,La requete de deconnexion a ete envoyé par le RBC sans retransmission des trames HDLC "/>
    <s v="Les derniers résultats de la vérification chaine antennaire conformes "/>
    <x v="3"/>
    <s v="En attente de pousser les analyses coté RBC"/>
    <s v="HO  finalisé entre 224 et 225"/>
    <s v="dl Rxqual=0"/>
    <s v="dl rx level= -68"/>
    <s v="OK"/>
    <s v="OK"/>
    <s v="Mauvais"/>
    <s v=" Pas Retransmission des trames HDLC"/>
    <m/>
    <s v="ELGUEZZAR Anas"/>
    <m/>
    <m/>
    <m/>
    <m/>
    <m/>
    <m/>
    <m/>
  </r>
  <r>
    <n v="1263"/>
    <b v="0"/>
    <x v="458"/>
    <d v="1899-12-30T18:07:48"/>
    <n v="1045"/>
    <x v="9"/>
    <x v="1"/>
    <n v="1035"/>
    <n v="35214500045449"/>
    <s v="Casa/Tanger"/>
    <n v="26.739000000000001"/>
    <x v="7"/>
    <s v="N2"/>
    <s v="Arrêt du train"/>
    <s v="Selon notre analyse, nous avons constaté que le HO est  non finalisé entre 207 et 208,les conditions radio étaient mauvaises avant la déconnexion,La requete de deconnexion a ete envoyé par le RBC suite au retransmission des trames HDLC "/>
    <s v="Les derniers résultats de la vérification chaine antennaire conformes "/>
    <x v="1"/>
    <s v="En attente d'un plan d'action optim"/>
    <s v="HO  non finalisé entre 207 et 208"/>
    <s v="dl Rxqual=7"/>
    <s v="dl rx level= -92"/>
    <s v="NOK"/>
    <s v="OK"/>
    <s v="Mauvais"/>
    <s v=" Retransmission des trames HDLC*5"/>
    <m/>
    <s v="ELGUEZZAR Anas"/>
    <m/>
    <m/>
    <m/>
    <m/>
    <m/>
    <m/>
    <m/>
  </r>
  <r>
    <n v="1264"/>
    <b v="0"/>
    <x v="459"/>
    <d v="1899-12-30T12:05:06"/>
    <n v="2025"/>
    <x v="5"/>
    <x v="0"/>
    <n v="1025"/>
    <n v="35214500045073"/>
    <s v="Tanger/Casa"/>
    <n v="6.13"/>
    <x v="2"/>
    <s v="N2"/>
    <s v="Arrêt du train"/>
    <s v="Selon notre analyse, nous avons constaté que le HO  Complet entre 302 et 303,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e mise en place des tiroirs filtrés "/>
    <s v="HO  Complet entre 302 et 303"/>
    <s v="dl Rxqual=7"/>
    <s v="dl rx level= -66"/>
    <s v="OK"/>
    <s v="OK"/>
    <s v="Mauvais"/>
    <s v=" Retransmission des trames HDLC*5"/>
    <m/>
    <s v="MAROUANI Otmane"/>
    <m/>
    <m/>
    <m/>
    <m/>
    <m/>
    <m/>
    <m/>
  </r>
  <r>
    <n v="1265"/>
    <b v="0"/>
    <x v="460"/>
    <d v="1899-12-30T18:29:26"/>
    <n v="2049"/>
    <x v="2"/>
    <x v="0"/>
    <n v="7217"/>
    <n v="35214500044557"/>
    <s v="Tanger/Casa"/>
    <n v="109.495"/>
    <x v="1"/>
    <s v="N2"/>
    <s v="Ralentissement du train"/>
    <s v="Selon notre analyse, nous avons constaté que le HO non finalisé entre 320 et 321,les conditions radio étaient mauvaises avant la déconnexion,La requete de deconnexion a ete envoyé par le RBC suite au retransmission des trames HDLC "/>
    <s v="Les derniers résultats de la vérification chaine antennaire conformes "/>
    <x v="1"/>
    <s v="En attente d'un plan d'action optim"/>
    <s v="HO non finalisé entre 320 et 321"/>
    <s v="dl Rxqual=7"/>
    <s v="dl rx level= -63"/>
    <s v="NOK"/>
    <s v="OK"/>
    <s v="Mauvais"/>
    <s v=" Retransmission des trames HDLC*5"/>
    <m/>
    <s v="HAMZAOUI Youssef"/>
    <m/>
    <m/>
    <m/>
    <m/>
    <m/>
    <m/>
    <m/>
  </r>
  <r>
    <n v="1266"/>
    <b v="0"/>
    <x v="460"/>
    <d v="1899-12-30T19:12:33"/>
    <n v="1045"/>
    <x v="10"/>
    <x v="1"/>
    <n v="1028"/>
    <n v="35214500045268"/>
    <s v="Casa/Tanger"/>
    <n v="127.815"/>
    <x v="6"/>
    <s v="N2"/>
    <s v="Ralentissement du train"/>
    <s v="Selon notre analyse, nous avons constaté que le HO  non finalisé entre 223 et 322,les conditions radio étaient mauvaises avant la déconnexion,La requete de deconnexion a ete envoyé par le RBC sans retransmission des trames HDLC "/>
    <s v="Les derniers résultats de la vérification chaine antennaire conformes "/>
    <x v="1"/>
    <s v="En attente d'un plan d'action optim"/>
    <s v="HO non finalisé entre 223 et 322"/>
    <s v="dl Rxqual=4"/>
    <s v="dl rx level= -80"/>
    <s v="OK"/>
    <s v="OK"/>
    <s v="moyen"/>
    <s v=" Pas Retransmission des trames HDLC"/>
    <m/>
    <s v="HAMZAOUI Youssef"/>
    <m/>
    <m/>
    <m/>
    <m/>
    <m/>
    <m/>
    <m/>
  </r>
  <r>
    <n v="1267"/>
    <b v="0"/>
    <x v="461"/>
    <d v="1899-12-30T15:36:18"/>
    <n v="1033"/>
    <x v="4"/>
    <x v="1"/>
    <n v="1033"/>
    <n v="35214500040707"/>
    <s v="Casa/Tanger"/>
    <n v="177.85"/>
    <x v="4"/>
    <s v="N2"/>
    <s v="Ralentissement du train"/>
    <s v="Selon notre analyse, nous avons constaté que le HO Complet entre 231 et 229,les conditions radio étaient mauvaises avant la déconnexion,La requete de deconnexion a ete envoyé par le RBC suite au retransmission des trames HDLC "/>
    <s v="Les derniers résultats de la vérification chaine antennaire conformes "/>
    <x v="1"/>
    <s v="En attente d'un plan d'action optim"/>
    <s v="HO  Complet entre 231 et 229"/>
    <s v="dl Rxqual=0"/>
    <s v="dl rx level= -110"/>
    <s v="OK"/>
    <s v="OK"/>
    <s v="Mauvais"/>
    <s v=" Retransmission des trames HDLC*5"/>
    <m/>
    <s v="Noura MOUSSAOUI"/>
    <m/>
    <m/>
    <m/>
    <m/>
    <m/>
    <m/>
    <m/>
  </r>
  <r>
    <n v="1268"/>
    <b v="0"/>
    <x v="461"/>
    <d v="1899-12-30T17:03:49"/>
    <n v="1037"/>
    <x v="5"/>
    <x v="1"/>
    <n v="1027"/>
    <n v="35214500045083"/>
    <s v="Casa/Tanger"/>
    <n v="7.3209999999999997"/>
    <x v="2"/>
    <s v="N2"/>
    <s v="Ralentissement du train"/>
    <s v="Selon notre analyse, nous avons constaté que le HO Complet entre 202 et 203,les conditions radio étaient mauvaises avant la déconnexion,La requete de deconnexion a ete envoyé par le Bord suite au retransmission des trames HDLC "/>
    <s v="Les derniers résultats de la vérification chaine antennaire conformes_x000a_Présence d'interférences externes  au niveau du GSMR_02/03_x000a_Probléme GSMR"/>
    <x v="0"/>
    <s v="En attente de mise en place des tiroirs filtrés "/>
    <s v="HO  Complet entre 202 et 203"/>
    <s v="dl Rxqual=4"/>
    <s v="dl rx level= -80"/>
    <s v="OK"/>
    <s v="OK"/>
    <s v="Mauvais"/>
    <s v=" Retransmission des trames HDLC*5"/>
    <m/>
    <s v="HAMZAOUI Youssef"/>
    <m/>
    <m/>
    <m/>
    <m/>
    <m/>
    <m/>
    <m/>
  </r>
  <r>
    <n v="1269"/>
    <b v="0"/>
    <x v="461"/>
    <d v="1899-12-30T21:48:48"/>
    <n v="1058"/>
    <x v="4"/>
    <x v="1"/>
    <n v="1033"/>
    <n v="35214500040707"/>
    <s v="Casa/Tanger"/>
    <n v="166.529"/>
    <x v="28"/>
    <s v="N2"/>
    <s v="Ralentissement du train"/>
    <s v="Selon notre analyse, nous avons constaté que le HO Complet entre 329 et 230,les conditions radio étaient mauvaises avant la déconnexion,La requete de deconnexion a ete envoyé par le RBC sans retransmission des trames HDLC "/>
    <s v="Les derniers résultats de la vérification chaine antennaire conformes "/>
    <x v="1"/>
    <s v="En attente d'un plan d'action optim"/>
    <s v="HO  Complet entre 329 et 230"/>
    <s v="dl Rxqual=0"/>
    <s v="dl rx level= -110"/>
    <s v="OK"/>
    <s v="OK"/>
    <s v="Mauvais"/>
    <s v=" Pas Retransmission des trames HDLC"/>
    <m/>
    <s v="Fahd OUSSALH"/>
    <m/>
    <m/>
    <m/>
    <m/>
    <m/>
    <m/>
    <m/>
  </r>
  <r>
    <n v="1270"/>
    <b v="0"/>
    <x v="462"/>
    <d v="1899-12-30T04:08:32"/>
    <n v="2081"/>
    <x v="9"/>
    <x v="0"/>
    <n v="1058"/>
    <n v="35214500044477"/>
    <s v="Tanger/Casa"/>
    <n v="6.13"/>
    <x v="2"/>
    <s v="N2"/>
    <s v="Ralentissement du train"/>
    <s v="Selon notre analyse, nous avons constaté que le HO  non finalisé entre 201 et 303,les conditions radio étaient bonnes avant la déconnexion,La requete de deconnexion a ete envoyé par le Bord suite au retransmission des trames HDLC "/>
    <s v="Les derniers résultats de la vérification chaine antennaire conformes_x000a_Présence d'interférences externes  au niveau du GSMR_02/03_x000a_Probléme GSMR"/>
    <x v="0"/>
    <s v="En attente de mise en place des tiroirs filtrés "/>
    <s v="HO  non finalisé entre 201 et 303"/>
    <s v="dl Rxqual=0"/>
    <s v="dl rx level= -55"/>
    <s v="OK"/>
    <s v="OK"/>
    <s v="Mauvais"/>
    <s v=" Retransmission des trames HDLC*5"/>
    <m/>
    <s v="Fahd OUSSALH"/>
    <m/>
    <m/>
    <m/>
    <m/>
    <m/>
    <m/>
    <m/>
  </r>
  <r>
    <n v="1271"/>
    <b v="0"/>
    <x v="462"/>
    <d v="1899-12-30T09:28:04"/>
    <n v="2013"/>
    <x v="1"/>
    <x v="0"/>
    <n v="7195"/>
    <n v="35214500045671"/>
    <s v="Tanger/Casa"/>
    <n v="108.206"/>
    <x v="1"/>
    <s v="N2"/>
    <s v="Ralentissement du train"/>
    <s v="Selon notre analyse, nous avons constaté que le HO est finalisé entre 218 et 219,La requete de deconnexion a ete envoyé par le RBC suite au retransmission des trames HDLC "/>
    <s v="Les derniers résultats de la vérification chaine antennaire conformes "/>
    <x v="1"/>
    <s v="En attente d'un plan d'action optim"/>
    <s v="HO  Complet entre 218 et 219"/>
    <s v="dl Rxqual="/>
    <s v="dl rx level= "/>
    <s v="NOK"/>
    <s v="OK"/>
    <s v="Mauvais"/>
    <s v=" Retransmission des trames HDLC*5"/>
    <m/>
    <s v="Noura MOUSSAOUI"/>
    <m/>
    <m/>
    <m/>
    <m/>
    <m/>
    <m/>
    <m/>
  </r>
  <r>
    <n v="1272"/>
    <b v="0"/>
    <x v="462"/>
    <d v="1899-12-30T10:28:53"/>
    <n v="2017"/>
    <x v="11"/>
    <x v="0"/>
    <n v="1050"/>
    <n v="35214500045357"/>
    <s v="Tanger/Casa"/>
    <n v="108.206"/>
    <x v="1"/>
    <s v="N2"/>
    <s v="Ralentissement du train"/>
    <s v="Selon notre analyse, nous avons constaté que le HO est  non finalisé entre 219 et 320,les conditions radio étaient mauvaises avant la déconnexion,,La requete de deconnexion a ete envoyé par le Bord sans retransmission des trames HDLC "/>
    <s v="Les derniers résultats de la vérification chaine antennaire conformes "/>
    <x v="1"/>
    <s v="En attente d'un plan d'action optim"/>
    <s v="HO  non finalisé entre 219 et 320"/>
    <s v="dl Rxqual=7"/>
    <s v="dl rx level= -86"/>
    <s v="OK"/>
    <s v="OK"/>
    <s v="Mauvais"/>
    <s v=" Pas Retransmission des trames HDLC"/>
    <m/>
    <s v="Noura MOUSSAOUI"/>
    <m/>
    <m/>
    <m/>
    <m/>
    <m/>
    <m/>
    <m/>
  </r>
  <r>
    <n v="1273"/>
    <b v="0"/>
    <x v="462"/>
    <d v="1899-12-30T16:47:15"/>
    <n v="1037"/>
    <x v="10"/>
    <x v="1"/>
    <n v="1028"/>
    <n v="35214500045268"/>
    <s v="Casa/Tanger"/>
    <n v="94.953999999999994"/>
    <x v="8"/>
    <s v="N2"/>
    <s v="Ralentissement du train"/>
    <s v="Selon notre analyse, nous avons constaté que le HO est  complet entre 219 et 217,les conditions radio étaient mauvaises avant la déconnexion,,La requete de deconnexion a ete envoyé par le RBC avec retransmission des trames HDLC "/>
    <s v="Les derniers résultats de la vérification chaine antennaire conformes "/>
    <x v="1"/>
    <s v="En attente d'un plan d'action optim"/>
    <s v="HO  Complet entre 219 et 217"/>
    <s v="dl Rxqual=7"/>
    <s v="dl rx level= -80"/>
    <s v="NOK"/>
    <s v="OK"/>
    <s v="Mauvais"/>
    <s v=" Retransmission des trames HDLC*5"/>
    <m/>
    <s v="LAGDEM Elmehdi"/>
    <m/>
    <m/>
    <m/>
    <m/>
    <m/>
    <m/>
    <m/>
  </r>
  <r>
    <n v="1274"/>
    <b v="0"/>
    <x v="462"/>
    <d v="1899-12-30T20:27:53"/>
    <n v="2057"/>
    <x v="0"/>
    <x v="0"/>
    <n v="1036"/>
    <n v="35214500045061"/>
    <s v="Tanger/Casa"/>
    <n v="108.206"/>
    <x v="1"/>
    <s v="N2"/>
    <s v="Ralentissement du train"/>
    <s v="Selon notre analyse, nous avons constaté que le HO est  non finalisé entre 219 et 320,les conditions radio étaient mauvaises avant la déconnexion,,La requete de deconnexion a ete envoyé par le Bord avec retransmission des trames HDLC "/>
    <s v="Les derniers résultats de la vérification chaine antennaire conformes "/>
    <x v="1"/>
    <s v="En attente d'un plan d'action optim"/>
    <s v="HO  non finalisé entre 219 et 320"/>
    <s v="dl Rxqual=0"/>
    <s v="dl rx level= -57"/>
    <s v="OK"/>
    <s v="OK"/>
    <s v="Mauvais"/>
    <s v=" Retransmission des trames HDLC*5"/>
    <m/>
    <s v="Fahd OUSSALH"/>
    <m/>
    <m/>
    <m/>
    <m/>
    <m/>
    <m/>
    <m/>
  </r>
  <r>
    <n v="1275"/>
    <b v="0"/>
    <x v="462"/>
    <d v="1899-12-30T21:42:34"/>
    <n v="1057"/>
    <x v="5"/>
    <x v="1"/>
    <n v="1027"/>
    <n v="35214500045083"/>
    <s v="Casa/Tanger"/>
    <n v="134.30000000000001"/>
    <x v="10"/>
    <s v="N2"/>
    <s v="Ralentissement du train"/>
    <s v="Selon notre analyse, nous avons constaté que le HO est  non finalisé entre 224 et 323 (HO Recul), les conditions radio étaient bonnes avant la déconnexion,,La requete de deconnexion a ete envoyé par le Bord sans retransmission des trames HDLC "/>
    <s v="Les derniers résultats de la vérification chaine antennaire conformes "/>
    <x v="1"/>
    <s v="En attente d'un plan d'action optim"/>
    <s v="HO  non finalisé entre 224 et 323"/>
    <s v="dl Rxqual=2"/>
    <s v="dl rx level= -72"/>
    <s v="OK"/>
    <s v="OK"/>
    <s v="Mauvais"/>
    <s v=" Pas Retransmission des trames HDLC"/>
    <m/>
    <s v="Fahd OUSSALH"/>
    <m/>
    <m/>
    <m/>
    <m/>
    <m/>
    <m/>
    <m/>
  </r>
  <r>
    <n v="1276"/>
    <b v="0"/>
    <x v="462"/>
    <d v="1899-12-30T21:43:53"/>
    <n v="1057"/>
    <x v="5"/>
    <x v="1"/>
    <n v="1027"/>
    <n v="35214500045083"/>
    <s v="Casa/Tanger"/>
    <n v="129.18"/>
    <x v="10"/>
    <s v="N2"/>
    <s v="Arrêt du train"/>
    <s v="Selon notre analyse,les conditions radio étaient bonnes avant la déconnexion, mais le voisinage était absent, ce qui a engendré la déconnexion, La requete de deconnexion a ete envoyé par le Bord sans retransmission des trames HDLC "/>
    <s v="Les derniers résultats de la vérification chaine antennaire conformes "/>
    <x v="1"/>
    <s v="En attente d'un plan d'action optim"/>
    <m/>
    <s v="dl Rxqual=2"/>
    <s v="dl rx level= -47"/>
    <s v="NOK"/>
    <s v="OK"/>
    <s v="Mauvais"/>
    <s v=" Pas Retransmission des trames HDLC"/>
    <m/>
    <s v="Oussama ZEHOUANI"/>
    <m/>
    <m/>
    <m/>
    <m/>
    <m/>
    <m/>
    <m/>
  </r>
  <r>
    <n v="1277"/>
    <b v="0"/>
    <x v="463"/>
    <d v="1899-12-30T19:01:14"/>
    <n v="1046"/>
    <x v="2"/>
    <x v="1"/>
    <n v="1060"/>
    <m/>
    <s v="Casa/Tanger"/>
    <n v="25.85"/>
    <x v="7"/>
    <s v="N2"/>
    <s v="Ralentissement du train"/>
    <s v="Selon notre analyse, nous avons constaté que le HO  non finalisé entre 207 et 308 (HO recul du 306 --&gt; 207), les conditions radio étaient mauvaises avant la déconnexion,La requete de deconnexion a ete envoyé par le Bord avec retransmission des trames HDLC "/>
    <s v="Les derniers résultats de la vérification chaine antennaire conformes "/>
    <x v="1"/>
    <s v="En attente d'un plan d'action optim"/>
    <s v="HO  non finalisé entre 207 et 308"/>
    <s v="dl Rxqual=5"/>
    <s v="dl rx level= -68"/>
    <s v="OK"/>
    <s v="OK"/>
    <s v="Mauvais"/>
    <s v=" Retransmission des trames HDLC*5"/>
    <m/>
    <s v="ELGUEZZAR Anas"/>
    <m/>
    <m/>
    <m/>
    <m/>
    <m/>
    <m/>
    <m/>
  </r>
  <r>
    <n v="1278"/>
    <b v="0"/>
    <x v="464"/>
    <d v="1899-12-30T07:05:24"/>
    <n v="2005"/>
    <x v="0"/>
    <x v="0"/>
    <n v="1037"/>
    <m/>
    <s v="Tanger/Casa"/>
    <n v="6.13"/>
    <x v="2"/>
    <s v="N2"/>
    <s v="Arrêt du train"/>
    <s v="Selon notre analyse, nous avons constaté que le  HO Complet entre 202 et 201,les conditions radio étaient bonn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202 et 201"/>
    <s v="dl Rxqual=0"/>
    <s v="dl rx level= -60"/>
    <s v="NOK"/>
    <s v="OK"/>
    <s v="Mauvais"/>
    <s v=" Retransmission des trames HDLC*5"/>
    <m/>
    <s v="Noura MOUSSAOUI"/>
    <m/>
    <m/>
    <m/>
    <m/>
    <m/>
    <m/>
    <m/>
  </r>
  <r>
    <n v="1279"/>
    <b v="0"/>
    <x v="465"/>
    <d v="1899-12-30T22:07:01"/>
    <n v="1057"/>
    <x v="9"/>
    <x v="1"/>
    <n v="1035"/>
    <m/>
    <s v="Casa/Tanger"/>
    <n v="7.3209999999999997"/>
    <x v="2"/>
    <s v="N2"/>
    <s v="Ralentissement du train"/>
    <s v="Selon notre analyse, nous avons constaté que le  HO Complet entre 202 et 203,les conditions radio étaient mauvai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202 et 203"/>
    <s v="dl Rxqual=7"/>
    <s v="dl rx level= -72"/>
    <s v="NOK"/>
    <s v="OK"/>
    <s v="Mauvais"/>
    <s v=" Retransmission des trames HDLC*5"/>
    <m/>
    <s v="HARIRI Bahaeddine"/>
    <m/>
    <m/>
    <m/>
    <m/>
    <m/>
    <m/>
    <m/>
  </r>
  <r>
    <n v="1280"/>
    <b v="0"/>
    <x v="466"/>
    <d v="1899-12-30T18:05:54"/>
    <n v="1041"/>
    <x v="5"/>
    <x v="1"/>
    <n v="1027"/>
    <m/>
    <s v="Casa/Tanger"/>
    <n v="7.3209999999999997"/>
    <x v="2"/>
    <s v="N2"/>
    <s v="Arrêt du train"/>
    <s v="Selon notre analyse, nous avons constaté que le  HO Complet entre 202 et 203,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202 et 203"/>
    <s v="dl Rxqual=7"/>
    <s v="dl rx level= -79"/>
    <s v="OK"/>
    <s v="OK"/>
    <s v="Mauvais"/>
    <s v=" Retransmission des trames HDLC*5"/>
    <m/>
    <s v="ISMALI ALAOUI Hamza"/>
    <m/>
    <m/>
    <m/>
    <m/>
    <m/>
    <m/>
    <m/>
  </r>
  <r>
    <n v="1281"/>
    <b v="0"/>
    <x v="466"/>
    <d v="1899-12-30T20:04:43"/>
    <n v="2057"/>
    <x v="8"/>
    <x v="0"/>
    <n v="1043"/>
    <m/>
    <s v="Tanger/Casa"/>
    <n v="6.13"/>
    <x v="2"/>
    <s v="N2"/>
    <s v="Ralentissement du train"/>
    <s v="Selon notre analyse, nous avons constaté que le HO est  non finalisé entre 302 et 303, 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HO  non finalisé entre 302 et 303"/>
    <s v="dl Rxqual=7"/>
    <s v="dl rx level= -74"/>
    <s v="NOK"/>
    <s v="NOK"/>
    <s v="Mauvais"/>
    <s v=" Retransmission des trames HDLC*5"/>
    <m/>
    <s v="Saad Elhabib"/>
    <m/>
    <m/>
    <m/>
    <m/>
    <m/>
    <m/>
    <m/>
  </r>
  <r>
    <n v="1282"/>
    <b v="0"/>
    <x v="467"/>
    <d v="1899-12-30T14:08:44"/>
    <n v="1025"/>
    <x v="7"/>
    <x v="1"/>
    <n v="1040"/>
    <m/>
    <s v="Casa/Tanger"/>
    <n v="7.3209999999999997"/>
    <x v="2"/>
    <s v="N2"/>
    <s v="Ralentissement du train"/>
    <s v="Selon notre analyse, nous avons constaté que le  HO Complet entre 202 et 203,les conditions radio étaient mauvaises avant la déconnexion,La requete de deconnexion a ete envoyé par le RBC sans retransmission des trames HDLC "/>
    <s v="Les derniers résultats de la vérification chaine antennaire conformes_x000a_Présence d'interférences externes  au niveau du GSMR_02/03_x000a_Probléme GSMR"/>
    <x v="0"/>
    <s v="En attente de mise en place des tiroirs filtrés "/>
    <s v=" HO Complet entre 202 et 203"/>
    <s v="dl Rxqual=7"/>
    <s v="dl rx level= -66"/>
    <s v="NOK"/>
    <s v="NOK"/>
    <s v="Mauvais"/>
    <s v=" Pas Retransmission des trames HDLC"/>
    <m/>
    <s v="Fahd OUSSALH"/>
    <m/>
    <m/>
    <m/>
    <m/>
    <m/>
    <m/>
    <m/>
  </r>
  <r>
    <n v="1283"/>
    <b v="0"/>
    <x v="467"/>
    <d v="1899-12-30T19:35:28"/>
    <n v="2053"/>
    <x v="10"/>
    <x v="0"/>
    <n v="1057"/>
    <n v="35214500045187"/>
    <s v="Tanger/Casa"/>
    <n v="144.32599999999999"/>
    <x v="3"/>
    <s v="N2"/>
    <s v="Ralentissement du train"/>
    <s v="Selon notre analyse, nous avons constaté que le  HO Complet entre 224 et 225,les conditions radio étaient bonnes avant la déconnexion,La requete de deconnexion a ete envoyé par le RBC sans retransmission des trames HDLC "/>
    <s v="Les derniers résultats de la vérification chaine antennaire conformes "/>
    <x v="3"/>
    <s v="En attente de pousser les analyses coté RBC"/>
    <s v=" HO Complet entre 224 et 225"/>
    <s v="dl Rxqual=0"/>
    <s v="dl rx level= -68"/>
    <s v="OK"/>
    <s v="OK"/>
    <s v="Mauvais"/>
    <s v=" Pas Retransmission des trames HDLC"/>
    <m/>
    <s v="Fahd OUSSALH"/>
    <m/>
    <m/>
    <m/>
    <m/>
    <m/>
    <m/>
    <m/>
  </r>
  <r>
    <n v="1284"/>
    <b v="0"/>
    <x v="468"/>
    <d v="1899-12-30T18:32:53"/>
    <n v="1045"/>
    <x v="2"/>
    <x v="1"/>
    <n v="1061"/>
    <n v="35214500045735"/>
    <s v="Casa/Tanger"/>
    <n v="185.47"/>
    <x v="19"/>
    <s v="N2"/>
    <s v="Ralentissement du train"/>
    <s v="Selon notre analyse, nous avons constaté que le HO est  non finalisé entre 233 et 332, les conditions radio étaient mauvaises avant la déconnexion (UL Rxqual = 7),La requete de deconnexion a ete envoyé par le RBC avec retransmission des trames HDLC "/>
    <s v="Les derniers résultats de la vérification chaine antennaire conformes "/>
    <x v="1"/>
    <s v="En attente d'un plan d'action optim"/>
    <s v="HO  non finalisé entre 233 et 332"/>
    <s v="dl Rxqual=2"/>
    <s v="dl rx level= -76"/>
    <s v="OK"/>
    <s v="OK"/>
    <s v="Mauvais"/>
    <s v="retransmission des trames HDLC*5"/>
    <m/>
    <s v="Fahd OUSSALH"/>
    <m/>
    <m/>
    <m/>
    <m/>
    <m/>
    <m/>
    <m/>
  </r>
  <r>
    <n v="1285"/>
    <b v="0"/>
    <x v="469"/>
    <d v="1899-12-30T16:10:32"/>
    <n v="1025"/>
    <x v="10"/>
    <x v="1"/>
    <n v="1028"/>
    <m/>
    <s v="Casa/Tanger"/>
    <n v="7.3209999999999997"/>
    <x v="2"/>
    <s v="N2"/>
    <s v="Ralentissement du train"/>
    <s v="Selon notre analyse, nous avons constaté que le  HO Complet entre 202 et 203,les conditions radio étaient mauvaises avant la déconnexion,La requete de deconnexion a ete envoyé par le RBC sans retransmission des trames HDLC "/>
    <s v="Les derniers résultats de la vérification chaine antennaire conformes_x000a_Présence d'interférences externes  au niveau du GSMR_02/03_x000a_Probléme GSMR"/>
    <x v="0"/>
    <s v="En attente de mise en place des tiroirs filtrés "/>
    <s v="HO  non finalisé entre 202 et 303"/>
    <s v="dl Rxqual=6"/>
    <s v="dl rx level= -66"/>
    <s v="NOK"/>
    <s v="OK"/>
    <s v="Mauvais"/>
    <s v=" Pas Retransmission des trames HDLC"/>
    <m/>
    <s v="Fahd OUSSALH"/>
    <m/>
    <m/>
    <m/>
    <m/>
    <m/>
    <m/>
    <m/>
  </r>
  <r>
    <n v="1286"/>
    <b v="0"/>
    <x v="470"/>
    <d v="1899-12-30T16:46:07"/>
    <n v="1037"/>
    <x v="0"/>
    <x v="1"/>
    <n v="1045"/>
    <m/>
    <s v="Casa/Tanger"/>
    <n v="109.495"/>
    <x v="1"/>
    <s v="N2"/>
    <s v="Ralentissement du train"/>
    <s v="Selon notre analyse, nous avons constaté que le HO est non finalisét entre 320 et 319,les conditions radio étaient mauvaises avant la déconnexion,La requete de deconnexion a ete envoyé par le RBC avec retransmission des trames HDLC "/>
    <s v="Les derniers résultats de la vérification chaine antennaire conformes "/>
    <x v="1"/>
    <s v="Opération d'optimisation réalisée le 10/07 vers 12:55 par le SOR; zone sous surveillance par le NOC"/>
    <s v="HO  non finalisé entre  320 et 319"/>
    <s v="dl Rxqual=3"/>
    <s v="dl rx level= -81"/>
    <s v="NOK"/>
    <s v="OK"/>
    <s v="Mauvais"/>
    <s v="retransmission des trames HDLC*5"/>
    <m/>
    <s v="Noura MOUSSAOUI"/>
    <m/>
    <m/>
    <m/>
    <m/>
    <m/>
    <m/>
    <m/>
  </r>
  <r>
    <n v="1287"/>
    <b v="0"/>
    <x v="470"/>
    <s v=" 16:46:29"/>
    <n v="1037"/>
    <x v="0"/>
    <x v="1"/>
    <n v="1044"/>
    <m/>
    <s v="Casa/Tanger"/>
    <n v="8.9700000000000006"/>
    <x v="2"/>
    <s v="N2"/>
    <s v="Ralentissement du train"/>
    <s v="Selon notre analyse, nous avons constaté que le  HO est non finalisé entre 203 et 302,les conditions radio étaient mauvaises avant la déconnexion,La requete de deconnexion a ete envoyé par le Bord avec retransmission des trames HDLC "/>
    <s v="Les derniers résultats de la vérification chaine antennaire conformes_x000a_Présence d'interférences externes  au niveau du GSMR_02/03_x000a_Probléme GSMR"/>
    <x v="0"/>
    <s v="En attente de mise en place des tiroirs filtrés "/>
    <s v="HO  non finalisé entre 203 et 302"/>
    <s v="dl Rxqual=7"/>
    <s v="dl rx level= -61"/>
    <s v="OK"/>
    <s v="NOK"/>
    <s v="Mauvais"/>
    <s v="retransmission des trames HDLC*5"/>
    <m/>
    <s v="Noura MOUSSAOUI"/>
    <m/>
    <m/>
    <m/>
    <m/>
    <m/>
    <m/>
    <m/>
  </r>
  <r>
    <n v="1288"/>
    <b v="0"/>
    <x v="471"/>
    <d v="1899-12-30T17:05:12"/>
    <n v="1037"/>
    <x v="2"/>
    <x v="1"/>
    <n v="1060"/>
    <n v="35214500005339"/>
    <s v="Casa/Tanger"/>
    <n v="7.3209999999999997"/>
    <x v="2"/>
    <s v="N2"/>
    <s v="Arrêt du train"/>
    <s v="Selon notre analyse, nous avons constaté que le  HO non finalisé entre 202 et 203,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non finalisé 202 et 203"/>
    <s v="dl Rxqual=7"/>
    <s v="dl rx level= -57"/>
    <s v="OK"/>
    <s v="OK"/>
    <s v="Mauvais"/>
    <s v=" Retransmission des trames HDLC*5"/>
    <m/>
    <s v="MAROUANI Otmane"/>
    <m/>
    <m/>
    <m/>
    <m/>
    <m/>
    <m/>
    <m/>
  </r>
  <r>
    <n v="1289"/>
    <b v="0"/>
    <x v="472"/>
    <d v="1899-12-30T07:05:35"/>
    <n v="10075"/>
    <x v="5"/>
    <x v="1"/>
    <n v="1026"/>
    <m/>
    <s v="Casa/Tanger"/>
    <n v="152.488"/>
    <x v="18"/>
    <s v="N2"/>
    <s v="Ralentissement du train"/>
    <s v="Selon notre analyse, nous avons constaté que le  HO non finalisé entre 326 et 225,les conditions radio étaient mauvaises avant la déconnexion,La requete de deconnexion a ete envoyé par le RBC avec retransmission des trames HDLC "/>
    <s v="Les derniers résultats de la vérification chaine antennaire conformes "/>
    <x v="1"/>
    <s v="En attente d'un plan d'action optim"/>
    <s v="HO non finalisé entre 326 et 225"/>
    <s v="dl Rxqual=7"/>
    <s v="dl rx level= -58"/>
    <s v="NOK"/>
    <s v="OK"/>
    <s v="Mauvais"/>
    <s v=" Retransmission des trames HDLC*5"/>
    <m/>
    <s v="Saad Elhabib"/>
    <m/>
    <m/>
    <m/>
    <m/>
    <m/>
    <m/>
    <m/>
  </r>
  <r>
    <n v="1290"/>
    <b v="0"/>
    <x v="473"/>
    <d v="1899-12-30T08:09:22"/>
    <n v="1001"/>
    <x v="0"/>
    <x v="1"/>
    <n v="1044"/>
    <n v="35214500045131"/>
    <s v="Casa/Tanger"/>
    <n v="7.3209999999999997"/>
    <x v="2"/>
    <s v="N2"/>
    <s v="Ralentissement du train"/>
    <s v="Selon notre analyse, nous avons constaté que le  HO Complet entre 303 et 302,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303 et 302"/>
    <s v="dl Rxqual=7"/>
    <s v="dl rx level= -73"/>
    <s v="OK"/>
    <s v="OK"/>
    <s v="Mauvais"/>
    <s v=" Retransmission des trames HDLC*5"/>
    <m/>
    <s v="ELHAJOUIA Achraf"/>
    <m/>
    <m/>
    <m/>
    <m/>
    <m/>
    <m/>
    <m/>
  </r>
  <r>
    <n v="1291"/>
    <b v="0"/>
    <x v="473"/>
    <d v="1899-12-30T19:03:21"/>
    <n v="1046"/>
    <x v="11"/>
    <x v="1"/>
    <n v="1072"/>
    <n v="35214500045424"/>
    <s v="Casa/Tanger"/>
    <n v="25.91"/>
    <x v="7"/>
    <s v="N2"/>
    <s v="Ralentissement du train"/>
    <s v="Selon notre analyse, nous avons constaté que le  HO Non finalisé entre 207 et 305,les conditions radio étaient mauvaises avant la déconnexion,La requete de deconnexion a ete envoyé par le bord avec retransmission des trames HDLC "/>
    <s v="Les derniers résultats de la vérification chaine antennaire conformes "/>
    <x v="1"/>
    <s v="En attente d'un plan d'action optim"/>
    <s v=" HO Non finalisé entre 207 et 305"/>
    <s v="dl Rxqual=7"/>
    <s v="dl rx level= -83"/>
    <s v="OK"/>
    <s v="OK"/>
    <s v="Mauvais"/>
    <s v=" Retransmission des trames HDLC*5"/>
    <m/>
    <s v="HARIRI Bahaeddine"/>
    <m/>
    <m/>
    <m/>
    <m/>
    <m/>
    <m/>
    <m/>
  </r>
  <r>
    <n v="1292"/>
    <b v="0"/>
    <x v="473"/>
    <d v="1899-12-30T19:09:18"/>
    <n v="1046"/>
    <x v="11"/>
    <x v="1"/>
    <n v="1072"/>
    <n v="35214500045494"/>
    <s v="Casa/Tanger"/>
    <n v="7.3209999999999997"/>
    <x v="2"/>
    <s v="N2"/>
    <s v="Ralentissement du train"/>
    <s v="Selon notre analyse, nous avons constaté que le  HO Complet entre 302 et 203,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302 et 203"/>
    <s v="dl Rxqual=7"/>
    <s v="dl rx level= -55"/>
    <s v="OK"/>
    <s v="OK"/>
    <s v="Mauvais"/>
    <s v=" Retransmission des trames HDLC*5"/>
    <m/>
    <s v="HARIRI Bahaeddine"/>
    <m/>
    <m/>
    <m/>
    <m/>
    <m/>
    <m/>
    <m/>
  </r>
  <r>
    <n v="1293"/>
    <b v="0"/>
    <x v="474"/>
    <d v="1899-12-30T11:06:46"/>
    <n v="1013"/>
    <x v="9"/>
    <x v="1"/>
    <n v="1035"/>
    <n v="35214500046011"/>
    <s v="Casa/Tanger"/>
    <n v="7.3209999999999997"/>
    <x v="2"/>
    <s v="N2"/>
    <s v="Ralentissement du train"/>
    <s v="Selon notre analyse, nous avons constaté que le HO est complet entre 202 et 203,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202 et 203"/>
    <s v="dl Rxqual=6"/>
    <s v="dl rx level=-79"/>
    <s v="OK"/>
    <s v="OK"/>
    <s v="Mauvais"/>
    <s v=" Retransmission des trames HDLC*5"/>
    <m/>
    <s v="Noura MOUSSAOUI"/>
    <m/>
    <m/>
    <m/>
    <m/>
    <m/>
    <m/>
    <m/>
  </r>
  <r>
    <n v="1294"/>
    <b v="0"/>
    <x v="474"/>
    <d v="1899-12-30T19:43:36"/>
    <n v="1050"/>
    <x v="7"/>
    <x v="1"/>
    <n v="1041"/>
    <m/>
    <s v="Casa/Tanger"/>
    <n v="127.815"/>
    <x v="6"/>
    <s v="N2"/>
    <s v="Ralentissement du train"/>
    <s v="Selon notre analyse, nous avons constaté que le  HO Non finalisé entre 223 et 322,les conditions radio étaient mauvaises avant la déconnexion,La requete de deconnexion a ete envoyé par le bord sans retransmission des trames HDLC "/>
    <s v="Les derniers résultats de la vérification chaine antennaire conformes "/>
    <x v="1"/>
    <s v="En attente d'un plan d'action optim"/>
    <s v=" HO Non finalisé entre 223 et 322"/>
    <s v="dl Rxqual=7"/>
    <s v="dl rx level=-65"/>
    <s v="OK"/>
    <s v="OK"/>
    <s v="Mauvais"/>
    <s v=" Pas Retransmission des trames HDLC"/>
    <m/>
    <s v="Fahd OUSSALH"/>
    <m/>
    <m/>
    <m/>
    <m/>
    <m/>
    <m/>
    <m/>
  </r>
  <r>
    <n v="1295"/>
    <b v="0"/>
    <x v="475"/>
    <d v="1899-12-30T07:31:44"/>
    <n v="15299"/>
    <x v="3"/>
    <x v="1"/>
    <n v="1046"/>
    <n v="35214500038730"/>
    <s v="Casa/Tanger"/>
    <n v="7.3209999999999997"/>
    <x v="2"/>
    <s v="N2"/>
    <s v="Arrêt du train"/>
    <s v="Selon notre analyse, nous avons constaté que le HO est Non finalise  entre 303 et 202,les conditions radio étaient mauvaises avant la déconnexion,La requete de deconnexion a ete envoyé par le bord avec retransmission des trames HDLC "/>
    <s v="Les derniers résultats de la vérification chaine antennaire conformes_x000a_Présence d'interférences externes  au niveau du GSMR_02/03_x000a_Probléme GSMR"/>
    <x v="0"/>
    <s v="En attente de mise en place des tiroirs filtrés "/>
    <s v=" HO Non finalisé entre 303 et 202"/>
    <s v="dl Rxqual=7"/>
    <s v="dl rx level=-67"/>
    <s v="OK"/>
    <s v="OK"/>
    <s v="Mauvais"/>
    <s v=" Retransmission des trames HDLC*5"/>
    <m/>
    <s v="ISMALI ALAOUI Hamza"/>
    <m/>
    <m/>
    <m/>
    <m/>
    <m/>
    <m/>
    <m/>
  </r>
  <r>
    <n v="1296"/>
    <b v="0"/>
    <x v="475"/>
    <d v="1899-12-30T19:32:07"/>
    <n v="2053"/>
    <x v="0"/>
    <x v="0"/>
    <n v="1037"/>
    <n v="35214500045461"/>
    <s v="Casa/Tanger"/>
    <n v="126.51"/>
    <x v="6"/>
    <s v="N2"/>
    <s v="Arrêt du train"/>
    <s v="Selon notre analyse, nous avons constaté que le HO est Non finalise  entre 222 et 323,les conditions radio étaient mauvaises avant la déconnexion,La requete de deconnexion a ete envoyé par le bord avec retransmission des trames HDLC "/>
    <s v="Les derniers résultats de la vérification chaine antennaire conformes "/>
    <x v="1"/>
    <s v="En attente d'un plan d'action optim"/>
    <s v=" HO Non finalisé entre 222 et 323"/>
    <s v="dl Rxqual=7"/>
    <s v="dl rx level=-82"/>
    <s v="OK"/>
    <s v="OK"/>
    <s v="Mauvais"/>
    <s v=" Retransmission des trames HDLC*5"/>
    <m/>
    <s v="Nassim NAJIM"/>
    <m/>
    <m/>
    <m/>
    <m/>
    <m/>
    <m/>
    <m/>
  </r>
  <r>
    <n v="1297"/>
    <b v="0"/>
    <x v="476"/>
    <d v="1899-12-30T11:05:30"/>
    <n v="2021"/>
    <x v="11"/>
    <x v="0"/>
    <n v="1050"/>
    <n v="35214500045357"/>
    <s v="Tanger/Casa"/>
    <n v="6.13"/>
    <x v="2"/>
    <s v="N2"/>
    <s v="Ralentissement du train"/>
    <s v="Selon notre analyse, nous avons constaté que le HO est complet entre 303 et 302,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HO complet entre 303 et 302"/>
    <s v="dl Rxqual=7"/>
    <s v="dl rx level=-69"/>
    <s v="OK"/>
    <s v="OK"/>
    <s v="Mauvais"/>
    <s v=" Retransmission des trames HDLC*5"/>
    <m/>
    <s v="Noura MOUSSAOUI"/>
    <m/>
    <m/>
    <m/>
    <m/>
    <m/>
    <m/>
    <m/>
  </r>
  <r>
    <n v="1298"/>
    <b v="0"/>
    <x v="477"/>
    <d v="1899-12-30T06:35:41"/>
    <n v="15299"/>
    <x v="3"/>
    <x v="1"/>
    <n v="1046"/>
    <n v="35214500038730"/>
    <s v="Casa/Tanger"/>
    <n v="152.488"/>
    <x v="18"/>
    <s v="N2"/>
    <s v="Ralentissement du train"/>
    <s v="Selon notre analyse, nous avons constaté que le HO est Non finalisé  entre 327 et 326,les conditions radio étaient mauvaises avant la déconnexion,La requete de deconnexion a ete envoyé par le RBC /Pas de  retransmission des trames HDLC "/>
    <s v="Les derniers résultats de la vérification chaine antennaire conformes"/>
    <x v="1"/>
    <s v="En attente d'un plan d'action optim"/>
    <s v=" HO Non finalisé entre 327 et 326"/>
    <s v="dl Rxqual=7"/>
    <s v="dl rx level=-58"/>
    <s v="NOK"/>
    <s v="OK"/>
    <s v="Mauvais"/>
    <s v=" Pas Retransmission des trames HDLC"/>
    <m/>
    <s v="ELHAJOUIA Achraf"/>
    <m/>
    <m/>
    <m/>
    <m/>
    <m/>
    <m/>
    <m/>
  </r>
  <r>
    <n v="1299"/>
    <b v="0"/>
    <x v="477"/>
    <d v="1899-12-30T18:28:25"/>
    <n v="2049"/>
    <x v="9"/>
    <x v="0"/>
    <n v="1052"/>
    <n v="35214500043740"/>
    <s v="Tanger/Casa"/>
    <n v="108.206"/>
    <x v="1"/>
    <s v="N2"/>
    <s v="Ralentissement du train"/>
    <s v="Selon notre analyse, nous avons constaté que le HO est complet entre 219 et 320,les conditions radio étaient mauvaises avant la déconnexion,La requete de deconnexion a ete envoyé par le RBC avec retransmission des trames HDLC "/>
    <s v="Les derniers résultats de la vérification chaine antennaire conformes"/>
    <x v="1"/>
    <s v="En attente d'un plan d'action optim"/>
    <s v="HO complet entre 219 et 320"/>
    <s v="dl Rxqual=7"/>
    <s v="dl rx level=-60"/>
    <s v="OK"/>
    <s v="OK"/>
    <s v="Mauvais"/>
    <s v=" Retransmission des trames HDLC*5"/>
    <m/>
    <s v="Saad Elhabib"/>
    <m/>
    <m/>
    <m/>
    <m/>
    <m/>
    <m/>
    <m/>
  </r>
  <r>
    <n v="1300"/>
    <b v="0"/>
    <x v="478"/>
    <d v="1899-12-30T10:05:30"/>
    <n v="2017"/>
    <x v="10"/>
    <x v="0"/>
    <n v="1057"/>
    <n v="35214500045187"/>
    <s v="Tanger/Casa"/>
    <n v="6.13"/>
    <x v="2"/>
    <s v="N2"/>
    <s v="Ralentissement du train"/>
    <s v="Selon notre analyse, nous avons constaté que le HO est complet entre 302 et 203,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HO complet entre 302 et 203"/>
    <s v="dl Rxqual=6"/>
    <s v="dl rx level=-74"/>
    <s v="OK"/>
    <s v="OK"/>
    <s v="Mauvais"/>
    <s v=" Retransmission des trames HDLC*5"/>
    <m/>
    <s v="Noura MOUSSAOUI"/>
    <m/>
    <m/>
    <m/>
    <m/>
    <m/>
    <m/>
    <m/>
  </r>
  <r>
    <n v="1301"/>
    <b v="0"/>
    <x v="479"/>
    <s v="09:45:57 "/>
    <n v="2010"/>
    <x v="11"/>
    <x v="1"/>
    <n v="1052"/>
    <n v="35214500045424"/>
    <s v="Casa/Tanger"/>
    <n v="113.321"/>
    <x v="17"/>
    <s v="N2"/>
    <s v="Ralentissement du train"/>
    <s v="Selon notre analyse, nous avons constaté que le HO est complet entre 321 et 320 ,les conditions radio étaient bonnes  avant la déconnexion,La requete de deconnexion a ete envoyé par le bord sans retransmission des trames"/>
    <m/>
    <x v="10"/>
    <s v="Besoin de pousser les analyses coté Bord"/>
    <s v="HO complet entre 321 et 320"/>
    <s v="dl Rxqual=0"/>
    <s v="dl rx level=-48"/>
    <s v="OK"/>
    <s v="OK"/>
    <s v="Mauvais"/>
    <s v=" Retransmission des trames HDLC*5"/>
    <m/>
    <s v="HARIRI Bahaeddine"/>
    <m/>
    <m/>
    <m/>
    <m/>
    <m/>
    <m/>
    <m/>
  </r>
  <r>
    <n v="1302"/>
    <b v="0"/>
    <x v="480"/>
    <s v="06:05:14 "/>
    <n v="2001"/>
    <x v="9"/>
    <x v="0"/>
    <n v="1053"/>
    <n v="35214500046011"/>
    <s v="Tanger/Casa"/>
    <n v="6.13"/>
    <x v="2"/>
    <s v="N2"/>
    <s v="Ralentissement du train"/>
    <s v="Selon notre analyse, nous avons constaté que le  HO non finalisé entre 202 et 203,les conditions radio étaient mauvaises avant la déconnexion,La requete de deconnexion a ete envoyé par le RBC sans retransmission des trames HDLC "/>
    <s v="Les derniers résultats de la vérification chaine antennaire conformes_x000a_Présence d'interférences externes  au niveau du GSMR_02/03_x000a_Probléme GSMR"/>
    <x v="0"/>
    <s v="En attente de mise en place des tiroirs filtrés "/>
    <s v=" HO  non finalisé entre 202 et 203"/>
    <s v="dl Rxqual=0"/>
    <s v="dl rx level=-57"/>
    <s v="OK"/>
    <s v="OK"/>
    <s v="Mauvais"/>
    <s v=" Pas Retransmission des trames HDLC"/>
    <m/>
    <s v="Fahd OUSSALH"/>
    <m/>
    <m/>
    <m/>
    <m/>
    <m/>
    <m/>
    <m/>
  </r>
  <r>
    <n v="1303"/>
    <b v="0"/>
    <x v="480"/>
    <d v="1899-12-30T17:04:42"/>
    <n v="1037"/>
    <x v="9"/>
    <x v="1"/>
    <n v="1034"/>
    <n v="35214500043605"/>
    <s v="Casa/Tanger"/>
    <n v="7.3209999999999997"/>
    <x v="2"/>
    <s v="N2"/>
    <s v="Ralentissement du train"/>
    <s v="Selon notre analyse, nous avons constaté que le  HO non finalisé entre 302 et 203,les conditions radio étaient mauvaises avant la déconnexion,La requete de deconnexion a ete envoyé par le RBC sans retransmission des trames HDLC "/>
    <s v="Les derniers résultats de la vérification chaine antennaire conformes_x000a_Présence d'interférences externes  au niveau du GSMR_02/03_x000a_Probléme GSMR"/>
    <x v="0"/>
    <s v="En attente de mise en place des tiroirs filtrés "/>
    <s v=" HO  non finalisé entre 302 et 203"/>
    <s v="dl Rxqual=7"/>
    <s v="dl rx level=-49"/>
    <s v="NOK"/>
    <s v="OK"/>
    <s v="Mauvais"/>
    <s v=" Retransmission des trames HDLC*5"/>
    <m/>
    <s v="Saad Elhabib"/>
    <m/>
    <m/>
    <m/>
    <m/>
    <m/>
    <m/>
    <m/>
  </r>
  <r>
    <n v="1304"/>
    <b v="0"/>
    <x v="480"/>
    <d v="1899-12-30T22:21:05"/>
    <n v="10081"/>
    <x v="5"/>
    <x v="0"/>
    <n v="1024"/>
    <n v="35214500045122"/>
    <s v="Tanger/Casa"/>
    <n v="73.585999999999999"/>
    <x v="13"/>
    <s v="N2"/>
    <s v="Ralentissement du train"/>
    <s v="Selon notre analyse, nous avons constaté que le  HO non finalisé entre 212 et 213,les conditions radio étaient mauvaises avant la déconnexion,La requete de deconnexion a ete envoyé par le RBC avec retransmission des trames HDLC "/>
    <s v="Les derniers résultats de la vérification chaine antennaire conformes"/>
    <x v="1"/>
    <s v="En attente d'un plan d'action optim"/>
    <s v=" HO  non finalisé entre 212 et 213"/>
    <s v="dl Rxqual=7"/>
    <s v="dl rx level=-70"/>
    <s v="OK"/>
    <s v="OK"/>
    <s v="Mauvais"/>
    <s v=" Retransmission des trames HDLC*5"/>
    <m/>
    <s v="Fahd OUSSALH"/>
    <m/>
    <m/>
    <m/>
    <m/>
    <m/>
    <m/>
    <m/>
  </r>
  <r>
    <n v="1305"/>
    <b v="0"/>
    <x v="480"/>
    <d v="1899-12-30T22:28:46"/>
    <n v="10081"/>
    <x v="5"/>
    <x v="0"/>
    <n v="1025"/>
    <n v="35214500045073"/>
    <s v="Tanger/Casa"/>
    <n v="108.206"/>
    <x v="1"/>
    <s v="N2"/>
    <s v="Ralentissement du train"/>
    <s v="Selon notre analyse, nous avons constaté que le  HO non finalisé entre 219 et 220,les conditions radio étaient mauvaises avant la déconnexion,La requete de deconnexion a ete envoyé par le bord avec retransmission des trames HDLC "/>
    <s v="Les derniers résultats de la vérification chaine antennaire conformes"/>
    <x v="1"/>
    <s v="En attente d'un plan d'action optim"/>
    <s v=" HO  non finalisé entre 219 et 220"/>
    <s v="dl Rxqual=3"/>
    <s v="dl rx level=-67"/>
    <s v="OK"/>
    <s v="OK"/>
    <s v="Mauvais"/>
    <s v=" Retransmission des trames HDLC*5"/>
    <m/>
    <s v="Fahd OUSSALH"/>
    <m/>
    <m/>
    <m/>
    <m/>
    <m/>
    <m/>
    <m/>
  </r>
  <r>
    <n v="1306"/>
    <b v="0"/>
    <x v="481"/>
    <d v="1899-12-30T05:09:53"/>
    <n v="15297"/>
    <x v="7"/>
    <x v="0"/>
    <n v="1025"/>
    <n v="35214500022752"/>
    <s v="Tanger/Casa"/>
    <n v="90.108000000000004"/>
    <x v="12"/>
    <s v="N2"/>
    <s v="Ralentissement du train"/>
    <s v="Selon notre analyse, nous avons constaté que le  HO non finalisé entre 217 et316,les conditions radio étaient mauvaises avant la déconnexion,La requete de deconnexion a ete envoyé par le bord sans retransmission des trames HDLC "/>
    <s v="Les derniers résultats de la vérification chaine antennaire conformes"/>
    <x v="1"/>
    <s v="En attente d'un plan d'action optim"/>
    <s v=" HO  non finalisé entre 217 et 316"/>
    <s v="dl Rxqual=5"/>
    <s v="dl rx level=-60"/>
    <s v="OK"/>
    <s v="OK"/>
    <s v="Mauvais"/>
    <s v=" Pas Retransmission des trames HDLC"/>
    <m/>
    <s v="Fahd OUSSALH"/>
    <m/>
    <m/>
    <m/>
    <m/>
    <m/>
    <m/>
    <m/>
  </r>
  <r>
    <n v="1307"/>
    <b v="0"/>
    <x v="481"/>
    <d v="1899-12-30T09:28:11"/>
    <n v="2013"/>
    <x v="7"/>
    <x v="0"/>
    <n v="1055"/>
    <n v="35214500036582"/>
    <s v="Tanger/Casa"/>
    <n v="108.206"/>
    <x v="1"/>
    <s v="N2"/>
    <s v="Ralentissement du train"/>
    <s v="Selon notre analyse, nous avons constaté que le HO  non finalisé entre 219 et 320,les conditions radio étaient mauvaises avant la déconnexion,La requete de deconnexion a ete envoyé par le bord sans retransmission des trames HDLC "/>
    <s v="Les derniers résultats de la vérification chaine antennaire conformes"/>
    <x v="1"/>
    <s v="En attente d'un plan d'action optim"/>
    <s v=" HO  non finalisé entre 219 et 320"/>
    <s v="dl Rxqual=8"/>
    <s v="dl rx level=-87"/>
    <s v="OK"/>
    <s v="OK"/>
    <s v="Mauvais"/>
    <s v=" Pas Retransmission des trames HDLC"/>
    <m/>
    <s v="Noura MOUSSAOUI"/>
    <m/>
    <m/>
    <m/>
    <m/>
    <m/>
    <m/>
    <m/>
  </r>
  <r>
    <n v="1308"/>
    <b v="0"/>
    <x v="482"/>
    <d v="1899-12-30T05:04:53"/>
    <n v="15297"/>
    <x v="9"/>
    <x v="0"/>
    <n v="1052"/>
    <n v="35214500043740"/>
    <s v="Tanger/Casa"/>
    <n v="78.155000000000001"/>
    <x v="11"/>
    <s v="N2"/>
    <s v="Arrêt du train"/>
    <s v="Selon notre analyse, nous avons constaté que le HO complet entre 213 et 214,les conditions radio étaient bonne avant la déconnexion,La requete de deconnexion a ete envoyé par le RBC sans retransmission des trames HDLC "/>
    <s v="Les derniers résultats de la vérification chaine antennaire conformes"/>
    <x v="3"/>
    <s v="En attente de pousser les analyses coté RBC"/>
    <s v=" HO  Complete entre 213 et 214"/>
    <s v="dl Rxqual=0"/>
    <s v="dl rx level=-57"/>
    <s v="OK"/>
    <s v="OK"/>
    <s v="Mauvais"/>
    <s v=" Pas Retransmission des trames HDLC"/>
    <m/>
    <s v="MAROUANI Otmane"/>
    <m/>
    <m/>
    <m/>
    <m/>
    <m/>
    <m/>
    <m/>
  </r>
  <r>
    <n v="1309"/>
    <b v="0"/>
    <x v="482"/>
    <d v="1899-12-30T16:26:24"/>
    <n v="2041"/>
    <x v="4"/>
    <x v="0"/>
    <n v="1058"/>
    <n v="35214500044293"/>
    <s v="Tanger/Casa"/>
    <n v="95.013999999999996"/>
    <x v="8"/>
    <s v="N2"/>
    <s v="Ralentissement du train"/>
    <s v="Selon notre analyse, nous avons constaté que le HO  non finalisé entre 217 et 318,les conditions radio étaient mauvaises avant la déconnexion,La requete de deconnexion a ete envoyé par le bord avec retransmission des trames HDLC "/>
    <s v="Les derniers résultats de la vérification chaine antennaire conformes"/>
    <x v="1"/>
    <s v="En attente d'un plan d'action optim"/>
    <s v=" HO  non finalisé entre 217 et 318"/>
    <s v="dl Rxqual=4"/>
    <s v="dl rx level=-82"/>
    <s v="OK"/>
    <s v="NOK"/>
    <s v="Mauvais"/>
    <s v=" Retransmission des trames HDLC*5"/>
    <m/>
    <s v="Saad Elhabib"/>
    <m/>
    <m/>
    <m/>
    <m/>
    <m/>
    <m/>
    <m/>
  </r>
  <r>
    <n v="1310"/>
    <b v="0"/>
    <x v="482"/>
    <d v="1899-12-30T16:26:24"/>
    <n v="2041"/>
    <x v="4"/>
    <x v="0"/>
    <n v="1058"/>
    <n v="35214500044293"/>
    <s v="Tanger/Casa"/>
    <n v="95.013999999999996"/>
    <x v="8"/>
    <s v="N2"/>
    <s v="Ralentissement du train"/>
    <s v="Selon notre analyse, nous avons constaté que le HO  non finalisé entre 217 et 318,les conditions radio étaient mauvaises avant la déconnexion,La requete de deconnexion a ete envoyé par le bord avec retransmission des trames HDLC "/>
    <s v="Les derniers résultats de la vérification chaine antennaire conformes"/>
    <x v="1"/>
    <s v="En attente d'un plan d'action optim"/>
    <s v=" HO  non finalisé entre 217 et 318"/>
    <s v="dl Rxqual=4"/>
    <s v="dl rx level=-82"/>
    <s v="OK"/>
    <s v="NOK"/>
    <s v="Mauvais"/>
    <s v=" Retransmission des trames HDLC*5"/>
    <m/>
    <s v="Saad Elhabib"/>
    <m/>
    <m/>
    <m/>
    <m/>
    <m/>
    <m/>
    <m/>
  </r>
  <r>
    <n v="1311"/>
    <b v="0"/>
    <x v="483"/>
    <d v="1899-12-30T10:35:40"/>
    <n v="2017"/>
    <x v="7"/>
    <x v="0"/>
    <n v="1055"/>
    <m/>
    <s v="Tanger/Casa"/>
    <n v="144.32599999999999"/>
    <x v="3"/>
    <s v="N2"/>
    <s v="Arrêt du train"/>
    <s v="Selon notre analyse, nous avons constaté que le HO  complet entre 224 et 225,les conditions radio étaient bonnes avant la déconnexion,La requete de deconnexion a ete envoyé par le RBC sans retransmission des trames HDLC "/>
    <m/>
    <x v="3"/>
    <s v="En attente de pousser les analyses coté RBC"/>
    <s v=" HO complet entre 224 et 225"/>
    <s v="dl Rxqual=2"/>
    <s v="dl rx level=-68"/>
    <s v="OK"/>
    <s v="OK"/>
    <s v="Mauvais"/>
    <s v=" Pas Retransmission des trames HDLC"/>
    <m/>
    <s v="Noura MOUSSAOUI"/>
    <m/>
    <m/>
    <m/>
    <m/>
    <m/>
    <m/>
    <m/>
  </r>
  <r>
    <n v="1312"/>
    <b v="0"/>
    <x v="483"/>
    <d v="1899-12-30T19:28:55"/>
    <n v="1049"/>
    <x v="11"/>
    <x v="1"/>
    <n v="1020"/>
    <m/>
    <s v="Casa/Tanger"/>
    <n v="177.85"/>
    <x v="4"/>
    <s v="N2"/>
    <s v="Ralentissement du train"/>
    <s v="Selon notre analyse, nous avons constaté que le HO  complet entre 231 et 329,les conditions radio étaient mauvais avant la déconnexion,La requete de deconnexion a ete envoyé par le RBC avec retransmission des trames HDLC "/>
    <m/>
    <x v="1"/>
    <s v="En attente d'un plan d'action optim"/>
    <s v=" HO complet entre 231 et 329"/>
    <s v="dl Rxqual=6"/>
    <s v="dl rx level=-63"/>
    <s v="OK"/>
    <s v="OK"/>
    <s v="Mauvais"/>
    <s v=" Retransmission des trames HDLC*5"/>
    <m/>
    <s v="Fahd OUSSALH"/>
    <m/>
    <m/>
    <m/>
    <m/>
    <m/>
    <m/>
    <m/>
  </r>
  <r>
    <n v="1313"/>
    <b v="0"/>
    <x v="483"/>
    <d v="1899-12-30T21:55:35"/>
    <n v="1058"/>
    <x v="2"/>
    <x v="1"/>
    <n v="1061"/>
    <m/>
    <s v="Casa/Tanger"/>
    <n v="94.953999999999994"/>
    <x v="8"/>
    <s v="N2"/>
    <s v="Ralentissement du train"/>
    <s v="Selon notre analyse, nous avons constaté que le HO  non finalisé entre 217 et 318,les conditions radio étaient mauvaises avant la déconnexion,La requete de deconnexion a ete envoyé par le bord avec retransmission des trames HDLC "/>
    <s v="Aucune anomalie constatée suite à l’analyse du relevé JRU Présence d'interférences externes"/>
    <x v="1"/>
    <s v="En attente d'un plan d'action optim"/>
    <s v=" HO  non finalisé entre 318 et 217"/>
    <s v="dl Rxqual=6"/>
    <s v="dl rx level=-78"/>
    <s v="OK"/>
    <s v="OK"/>
    <s v="Mauvais"/>
    <s v=" Retransmission des trames HDLC*5"/>
    <m/>
    <s v="HARIRI Bahaeddine"/>
    <m/>
    <m/>
    <m/>
    <m/>
    <m/>
    <m/>
    <m/>
  </r>
  <r>
    <n v="1314"/>
    <b v="0"/>
    <x v="484"/>
    <d v="1899-12-30T16:46:23"/>
    <n v="2041"/>
    <x v="11"/>
    <x v="1"/>
    <n v="1061"/>
    <m/>
    <s v="Casa/Tanger"/>
    <n v="94.953999999999994"/>
    <x v="8"/>
    <s v="N2"/>
    <s v="Ralentissement du train"/>
    <s v="Selon notre analyse, nous avons constaté que le HO  non finalisé entre  318et 217 ,les conditions radio étaient mauvaises avant la déconnexion,La requete de deconnexion a ete envoyé par le bord avec retransmission des trames HDLC "/>
    <s v="Aucune anomalie constatée suite à l’analyse du relevé JRU Présence d'interférences externes"/>
    <x v="1"/>
    <s v="En attente d'un plan d'action optim"/>
    <s v=" HO  non finalisé entre 318 et 217"/>
    <s v="dl Rxqual=0"/>
    <s v="dl rx level=-61"/>
    <s v="OK"/>
    <s v="OK"/>
    <s v="Mauvais"/>
    <s v=" Retransmission des trames HDLC*5"/>
    <m/>
    <s v="Fahd OUSSALH"/>
    <m/>
    <m/>
    <m/>
    <m/>
    <m/>
    <m/>
    <m/>
  </r>
  <r>
    <n v="1315"/>
    <b v="0"/>
    <x v="485"/>
    <d v="1899-12-30T16:05:58"/>
    <n v="1033"/>
    <x v="1"/>
    <x v="1"/>
    <n v="1061"/>
    <m/>
    <s v="Casa/Tanger"/>
    <n v="7.3209999999999997"/>
    <x v="2"/>
    <s v="N2"/>
    <s v="Arrêt du train"/>
    <s v="Selon notre analyse, nous avons constaté que le HO  non finalisé entre  303 et 302,les conditions radio étaient mauvaises avant la déconnexion,La requete de deconnexion a ete envoyé par le RBC, sans retransmission des trames HDLC "/>
    <m/>
    <x v="0"/>
    <s v="En attente de mise en place des tiroirs filtrés "/>
    <s v=" HO  non finalisé entre 303 et 302"/>
    <s v="dl Rxqual=6"/>
    <s v="dl rx level=-54"/>
    <s v="NOK"/>
    <s v="OK"/>
    <s v="Mauvais"/>
    <s v="Pas de  Retransmission des trames HDLC"/>
    <m/>
    <s v="ELGUEZZAR Anas"/>
    <m/>
    <m/>
    <m/>
    <m/>
    <m/>
    <m/>
    <m/>
  </r>
  <r>
    <n v="1316"/>
    <b v="0"/>
    <x v="485"/>
    <d v="1899-12-30T20:05:44"/>
    <n v="1049"/>
    <x v="9"/>
    <x v="1"/>
    <n v="1061"/>
    <m/>
    <s v="Casa/Tanger"/>
    <n v="7.3209999999999997"/>
    <x v="2"/>
    <s v="N2"/>
    <s v="Arrêt du train"/>
    <s v="Selon notre analyse, nous avons constaté que le HO  Complete entre 203 et 202 ,les conditions radio étaient bonne avant la déconnexion,La requete de deconnexion a ete envoyé par le RBC avec retransmission des trames HDLC "/>
    <m/>
    <x v="0"/>
    <s v="En attente de mise en place des tiroirs filtrés "/>
    <s v=" HO  complet entre 203 et 202"/>
    <s v="dl Rxqual=0"/>
    <s v="dl rx level=-110"/>
    <s v="OK"/>
    <s v="OK"/>
    <s v="Mauvais"/>
    <s v="retransmission des trames HDLC*5"/>
    <m/>
    <s v="ELGUEZZAR Anas"/>
    <m/>
    <m/>
    <m/>
    <m/>
    <m/>
    <m/>
    <m/>
  </r>
  <r>
    <n v="1317"/>
    <b v="0"/>
    <x v="485"/>
    <d v="1899-12-30T21:04:49"/>
    <n v="1054"/>
    <x v="2"/>
    <x v="1"/>
    <n v="1053"/>
    <m/>
    <s v="Casa/Tanger"/>
    <n v="7.3209999999999997"/>
    <x v="2"/>
    <s v="N2"/>
    <s v="Ralentissement du train"/>
    <s v="Selon notre analyse, nous avons constaté que le HO  non finalisé entre  303 et 202 ,les conditions radio étaient mauvaises avant la déconnexion,La requete de deconnexion a ete envoyé par le bord avec retransmission des trames HDLC "/>
    <m/>
    <x v="0"/>
    <s v="En attente de mise en place des tiroirs filtrés "/>
    <s v=" HO  non finalisé entre 202 et 203"/>
    <s v="dl Rxqual=7"/>
    <s v="dl rx level=-65"/>
    <s v="OK"/>
    <s v="OK"/>
    <s v="Mauvais"/>
    <s v=" Retransmission des trames HDLC*5"/>
    <m/>
    <s v="HARIRI Bahaeddine"/>
    <m/>
    <m/>
    <m/>
    <m/>
    <m/>
    <m/>
    <m/>
  </r>
  <r>
    <n v="1318"/>
    <b v="0"/>
    <x v="485"/>
    <d v="1899-12-30T21:21:44"/>
    <n v="2061"/>
    <x v="7"/>
    <x v="0"/>
    <n v="1053"/>
    <m/>
    <s v="Tanger/Casa"/>
    <n v="73.585999999999999"/>
    <x v="13"/>
    <s v="N2"/>
    <s v="Ralentissement du train"/>
    <s v="Selon notre analyse, nous avons constaté que le  HO  finalisé entre 212 et 213,les conditions radio étaient mauvaises avant la déconnexion,La requete de deconnexion a ete envoyé par le RBC avec retransmission des trames HDLC "/>
    <m/>
    <x v="1"/>
    <s v="En attente d'un plan d'action optim"/>
    <s v=" HO   finalisé entre 212 et 213"/>
    <s v="dl Rxqual=7"/>
    <s v="dl rx level=-69"/>
    <s v="OK"/>
    <s v="OK"/>
    <s v="Mauvais"/>
    <s v=" Retransmission des trames HDLC*5"/>
    <m/>
    <s v="HARIRI Bahaeddine"/>
    <m/>
    <m/>
    <m/>
    <m/>
    <m/>
    <m/>
    <m/>
  </r>
  <r>
    <n v="1319"/>
    <b v="0"/>
    <x v="486"/>
    <d v="1899-12-30T07:28:14"/>
    <n v="2005"/>
    <x v="1"/>
    <x v="0"/>
    <n v="1054"/>
    <m/>
    <s v="Tanger/Casa"/>
    <n v="108.206"/>
    <x v="1"/>
    <s v="N2"/>
    <s v="Ralentissement du train"/>
    <s v="Selon notre analyse, nous avons constaté que le  HO  finalisé entre 219 et 220,les conditions radio étaient mauvaises avant la déconnexion,La requete de deconnexion a ete envoyé par le bord avec retransmission des trames HDLC "/>
    <m/>
    <x v="1"/>
    <s v="En attente d'un plan d'action optim"/>
    <s v=" HO   finalisé entre 219 et 220"/>
    <s v="dl Rxqual=7"/>
    <s v="dl rx level=-82"/>
    <s v="OK"/>
    <s v="OK"/>
    <s v="Mauvais"/>
    <s v=" Retransmission des trames HDLC*5"/>
    <m/>
    <s v="HARIRI Bahaeddine"/>
    <m/>
    <m/>
    <m/>
    <m/>
    <m/>
    <m/>
    <m/>
  </r>
  <r>
    <n v="1320"/>
    <b v="0"/>
    <x v="486"/>
    <s v=" 10:15:10"/>
    <n v="2017"/>
    <x v="11"/>
    <x v="0"/>
    <m/>
    <m/>
    <s v="Tanger/Casa"/>
    <n v="47.127000000000002"/>
    <x v="16"/>
    <s v="N2"/>
    <s v="Ralentissement du train"/>
    <s v="Selon notre analyse, nous avons constaté que le  HO  finalisé entre 208 et 209,les conditions radio étaient bonnes avant la déconnexion,La requete de deconnexion a ete envoyé par le RBC avec retransmission des trames HDLC "/>
    <m/>
    <x v="1"/>
    <s v="En attente d'un plan d'action optim"/>
    <s v="HO non finalisé entre 208 et 209"/>
    <s v="dl Rxqual=0"/>
    <s v="dl rx level=-77"/>
    <s v="NOK"/>
    <s v="OK"/>
    <s v="Mauvais"/>
    <s v=" Retransmission des trames HDLC*5"/>
    <m/>
    <s v="Noura MOUSSAOUI"/>
    <m/>
    <m/>
    <m/>
    <m/>
    <m/>
    <m/>
    <m/>
  </r>
  <r>
    <n v="1321"/>
    <b v="0"/>
    <x v="486"/>
    <s v=" 15:39:53"/>
    <n v="1033"/>
    <x v="9"/>
    <x v="1"/>
    <m/>
    <m/>
    <s v="Casa/Tanger"/>
    <n v="127.815"/>
    <x v="6"/>
    <s v="N2"/>
    <s v="Ralentissement du train"/>
    <s v="Selon notre analyse, nous avons constaté que le  HO  finalisé entre 323 et 322,les conditions radio étaient bonnes avant la déconnexion,La requete de deconnexion a ete envoyé par le RBC avec retransmission des trames HDLC "/>
    <m/>
    <x v="1"/>
    <s v="En attente d'un plan d'action optim"/>
    <s v="HO non finalisé entre 323 et 322"/>
    <s v="dl Rxqual=1"/>
    <s v="dl rx level=-75"/>
    <s v="NOK"/>
    <s v="OK"/>
    <s v="Mauvais"/>
    <s v=" Retransmission des trames HDLC*5"/>
    <m/>
    <s v="Noura MOUSSAOUI"/>
    <m/>
    <m/>
    <m/>
    <m/>
    <m/>
    <m/>
    <m/>
  </r>
  <r>
    <n v="1322"/>
    <b v="0"/>
    <x v="487"/>
    <d v="1899-12-30T08:55:41"/>
    <n v="1005"/>
    <x v="0"/>
    <x v="1"/>
    <m/>
    <m/>
    <s v="Casa/Tanger"/>
    <n v="48.426000000000002"/>
    <x v="16"/>
    <s v="N2"/>
    <s v="Ralentissement du train"/>
    <s v="Selon notre analyse, nous avons constaté que le  HO  finalisé entre 309 et 308,les conditions radio étaient bonnes avant la déconnexion,La requete de deconnexion a ete envoyé par le Bord avec retransmission des trames HDLC "/>
    <m/>
    <x v="1"/>
    <s v="En attente d'un plan d'action optim"/>
    <s v="HO non finalisé entre 309 et 308"/>
    <s v="dl Rxqual=0"/>
    <s v="dl rx level=-70"/>
    <s v="NOK"/>
    <s v="OK"/>
    <s v="Mauvais"/>
    <s v=" Retransmission des trames HDLC*5"/>
    <m/>
    <s v="Noura MOUSSAOUI"/>
    <m/>
    <m/>
    <m/>
    <m/>
    <m/>
    <m/>
    <m/>
  </r>
  <r>
    <n v="1323"/>
    <b v="0"/>
    <x v="488"/>
    <d v="1899-12-30T20:20:29"/>
    <n v="2057"/>
    <x v="3"/>
    <x v="0"/>
    <m/>
    <m/>
    <s v="Tanger/Casa"/>
    <n v="73.585999999999999"/>
    <x v="0"/>
    <s v="N2"/>
    <s v="Ralentissement du train"/>
    <s v="Selon notre analyse, nous avons constaté que le  HO  finalisé entre 212 et 213,les conditions radio étaient mauvaises avant la déconnexion,La requete de deconnexion a ete envoyé par le RBC avec retransmission des trames HDLC "/>
    <m/>
    <x v="1"/>
    <s v="En attente d'un plan d'action optim"/>
    <s v=" HO  finalisé entre 212 et 213"/>
    <s v="dl Rxqual=7"/>
    <s v="dl rx level=-74"/>
    <s v="NOK"/>
    <s v="OK"/>
    <s v="Mauvais"/>
    <s v=" Retransmission des trames HDLC*5"/>
    <m/>
    <s v="Saad Elhabib"/>
    <m/>
    <m/>
    <m/>
    <m/>
    <m/>
    <m/>
    <m/>
  </r>
  <r>
    <n v="1324"/>
    <b v="0"/>
    <x v="489"/>
    <d v="1899-12-30T15:36:46"/>
    <n v="2037"/>
    <x v="10"/>
    <x v="0"/>
    <m/>
    <m/>
    <s v="Tanger/Casa"/>
    <n v="153.68600000000001"/>
    <x v="18"/>
    <s v="N2"/>
    <s v="Ralentissement du train"/>
    <s v="Selon notre analyse, nous avons constaté que le  HO non finalisé entre 226  et 227,les conditions radio étaient mauvaises avant la déconnexion,La requete de deconnexion a ete envoyé par le RBC avec retransmission des trames HDLC "/>
    <m/>
    <x v="1"/>
    <s v="En attente d'un plan d'action optim"/>
    <s v=" HO non finalisé entre 226 et 227"/>
    <s v="dl Rxqual=0"/>
    <s v="dl rx level=-71"/>
    <s v="NOK"/>
    <s v="OK"/>
    <s v="Mauvais"/>
    <s v=" Retransmission des trames HDLC*5"/>
    <m/>
    <s v="Noura MOUSSAOUI"/>
    <m/>
    <m/>
    <m/>
    <m/>
    <m/>
    <m/>
    <m/>
  </r>
  <r>
    <n v="1325"/>
    <b v="0"/>
    <x v="489"/>
    <d v="1899-12-30T21:47:19"/>
    <n v="1057"/>
    <x v="0"/>
    <x v="1"/>
    <n v="1061"/>
    <m/>
    <s v="Casa/Tanger"/>
    <n v="94.953999999999994"/>
    <x v="8"/>
    <s v="N2"/>
    <s v="Ralentissement du train"/>
    <s v="Selon notre analyse, nous avons constaté que le HO  non finalisé entre 318 et 217,les conditions radio étaient mauvaises avant la déconnexion,La requete de deconnexion a ete envoyé par le bord avec retransmission des trames HDLC "/>
    <s v="Aucune anomalie constatée suite à l’analyse du relevé JRU Présence d'interférences externes"/>
    <x v="1"/>
    <s v="En attente d'un plan d'action optim"/>
    <s v=" HO  non finalisé entre 318 et 217"/>
    <s v="dl Rxqual=7"/>
    <s v="dl rx level=-79"/>
    <s v="OK"/>
    <s v="OK"/>
    <s v="Mauvais"/>
    <s v=" Retransmission des trames HDLC*5"/>
    <m/>
    <s v="Saad Elhabib"/>
    <m/>
    <m/>
    <m/>
    <m/>
    <m/>
    <m/>
    <m/>
  </r>
  <r>
    <n v="1326"/>
    <b v="0"/>
    <x v="490"/>
    <d v="1899-12-30T19:27:11"/>
    <n v="2053"/>
    <x v="1"/>
    <x v="0"/>
    <n v="1061"/>
    <m/>
    <s v="Tanger/Casa"/>
    <n v="108.206"/>
    <x v="1"/>
    <s v="N2"/>
    <s v="Ralentissement du train"/>
    <s v="Selon notre analyse, nous avons constaté que le HO  non finalisé entre 219 et 320,les conditions radio étaient mauvaises avant la déconnexion,La requete de deconnexion a ete envoyé par le bord avec retransmission des trames HDLC "/>
    <s v="Les derniers résultats de la vérification chaine antennaire conformes "/>
    <x v="1"/>
    <s v="En attente d'un plan d'action optim"/>
    <s v=" HO  non finalisé entre 219 et 320"/>
    <s v="dl Rxqual=6"/>
    <s v="dl rx level=-81"/>
    <s v="OK"/>
    <s v="OK"/>
    <s v="Mauvais"/>
    <s v="Pas de  Retransmission des trames HDLC"/>
    <m/>
    <s v="HARIRI Bahaeddine"/>
    <m/>
    <m/>
    <m/>
    <m/>
    <m/>
    <m/>
    <m/>
  </r>
  <r>
    <n v="1327"/>
    <b v="0"/>
    <x v="490"/>
    <d v="1899-12-30T22:05:31"/>
    <n v="10081"/>
    <x v="4"/>
    <x v="0"/>
    <m/>
    <m/>
    <s v="Tanger/Casa"/>
    <n v="6.13"/>
    <x v="2"/>
    <s v="N2"/>
    <s v="Arrêt du train"/>
    <s v="Selon notre analyse, nous avons constaté que le HO  Complete entre 301 et 302 ,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301 et 302"/>
    <s v="dl Rxqual=7"/>
    <s v="dl rx level=-59"/>
    <s v="OK"/>
    <s v="OK"/>
    <s v="Mauvais"/>
    <s v=" Retransmission des trames HDLC*5"/>
    <m/>
    <s v="ISMALI ALAOUI Hamza"/>
    <m/>
    <m/>
    <m/>
    <m/>
    <m/>
    <m/>
    <m/>
  </r>
  <r>
    <n v="1328"/>
    <b v="0"/>
    <x v="490"/>
    <d v="1899-12-30T22:32:15"/>
    <n v="10081"/>
    <x v="4"/>
    <x v="0"/>
    <n v="1063"/>
    <m/>
    <s v="Tanger/Casa"/>
    <n v="108.206"/>
    <x v="1"/>
    <s v="N2"/>
    <s v="Ralentissement du train"/>
    <s v="Selon notre analyse, nous avons constaté que le HO  non finalisé entre 219 et 320,les conditions radio étaient mauvaises avant la déconnexion,La requete de deconnexion a ete envoyé par le bord avec retransmission des trames HDLC "/>
    <s v="Les derniers résultats de la vérification chaine antennaire conformes "/>
    <x v="1"/>
    <s v="En attente d'un plan d'action optim"/>
    <s v=" HO  non finalisé entre 219 et 320"/>
    <s v="dl Rxqual=7"/>
    <s v="dl rx level=-79"/>
    <s v="OK"/>
    <s v="OK"/>
    <s v="Mauvais"/>
    <s v=" Retransmission des trames HDLC*5"/>
    <m/>
    <s v="ELHAJOUIA Achraf"/>
    <m/>
    <m/>
    <m/>
    <m/>
    <m/>
    <m/>
    <m/>
  </r>
  <r>
    <n v="1329"/>
    <b v="0"/>
    <x v="491"/>
    <d v="1899-12-30T19:06:12"/>
    <n v="1046"/>
    <x v="5"/>
    <x v="1"/>
    <m/>
    <m/>
    <s v="Casa/Tanger"/>
    <n v="7.3209999999999997"/>
    <x v="2"/>
    <s v="N2"/>
    <s v="Ralentissement du train"/>
    <s v="Selon notre analyse, nous avons constaté que le HO  Complet entre 303 et 302,les conditions radio étaient Mauvaise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Complet entre 303 et 302"/>
    <s v="dl Rxqual=5"/>
    <s v="dl rx level=-49"/>
    <s v="OK"/>
    <s v="OK"/>
    <s v="Mauvais"/>
    <s v=" Retransmission des trames HDLC*5"/>
    <m/>
    <s v="HARIRI Bahaeddine"/>
    <m/>
    <m/>
    <m/>
    <m/>
    <m/>
    <m/>
    <m/>
  </r>
  <r>
    <n v="1330"/>
    <b v="0"/>
    <x v="492"/>
    <d v="1899-12-30T08:05:19"/>
    <n v="2009"/>
    <x v="7"/>
    <x v="0"/>
    <m/>
    <m/>
    <s v="Tanger/Casa"/>
    <n v="6.13"/>
    <x v="2"/>
    <s v="N2"/>
    <s v="Ralentissement du train"/>
    <s v="Selon notre analyse, nous avons constaté que le HO  Complet entre 303 et 302,les conditions radio étaient Bonn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Complet entre 303 et 302"/>
    <s v="dl Rxqual=2"/>
    <s v="dl rx level=-61"/>
    <s v="OK"/>
    <s v="OK"/>
    <s v="Mauvais"/>
    <s v=" Retransmission des trames HDLC*5"/>
    <m/>
    <s v="ELHAJOUIA Achraf"/>
    <m/>
    <m/>
    <m/>
    <m/>
    <m/>
    <m/>
    <m/>
  </r>
  <r>
    <n v="1331"/>
    <b v="0"/>
    <x v="492"/>
    <d v="1899-12-30T17:05:03"/>
    <n v="2045"/>
    <x v="10"/>
    <x v="0"/>
    <s v="Casa/Tanger"/>
    <m/>
    <s v="Tanger/Casa"/>
    <n v="6.13"/>
    <x v="2"/>
    <s v="N2"/>
    <s v="Ralentissement du train"/>
    <s v="Selon notre analyse, nous avons constaté que le HO  Complet entre 302 et 203,les conditions radio étaient Mauvaise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Complet entre 302 et 203"/>
    <s v="dl Rxqual=7"/>
    <s v="dl rx level=-63"/>
    <s v="OK"/>
    <s v="OK"/>
    <s v="Mauvais"/>
    <s v=" Retransmission des trames HDLC*5"/>
    <m/>
    <s v="Fahd OUSSALH"/>
    <m/>
    <m/>
    <m/>
    <m/>
    <m/>
    <m/>
    <m/>
  </r>
  <r>
    <n v="1332"/>
    <b v="0"/>
    <x v="492"/>
    <d v="1899-12-30T17:40:09"/>
    <n v="1041"/>
    <x v="5"/>
    <x v="1"/>
    <m/>
    <m/>
    <s v="Casa/Tanger"/>
    <n v="134.30000000000001"/>
    <x v="10"/>
    <s v="N2"/>
    <s v="Ralentissement du train"/>
    <s v="Selon notre analyse, nous avons constaté que le HO  Non finalisé entre 323 et 324,les conditions radio étaient Bonnes avant la déconnexion,La requete de deconnexion a ete envoyé par le RBC avec retransmission des trames HDLC "/>
    <s v="Les derniers résultats de la vérification chaine antennaire conformes "/>
    <x v="11"/>
    <s v="En attente d'un plan d'action optim/en attente de mise en place des tiroires filtrés"/>
    <s v=" HO  non finalisé entre 323 et 324"/>
    <s v="dl Rxqual=3"/>
    <s v="dl rx level=-76"/>
    <s v="NOK"/>
    <s v="OK"/>
    <s v="Mauvais"/>
    <s v=" Retransmission des trames HDLC*5"/>
    <m/>
    <s v="ELHAJOUIA Achraf"/>
    <m/>
    <m/>
    <m/>
    <m/>
    <m/>
    <m/>
    <m/>
  </r>
  <r>
    <n v="1333"/>
    <b v="0"/>
    <x v="492"/>
    <d v="1899-12-30T22:15:47"/>
    <n v="10081"/>
    <x v="9"/>
    <x v="0"/>
    <m/>
    <m/>
    <s v="Tanger/Casa"/>
    <n v="6.13"/>
    <x v="2"/>
    <s v="N2"/>
    <s v="Ralentissement du train"/>
    <s v="Selon notre analyse, nous avons constaté que le HO  Complet entre 301 et 202,les conditions radio étaient Mauvaise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Complet entre 301 et 202"/>
    <s v="dl Rxqual=5"/>
    <s v="dl rx level=-50"/>
    <s v="OK"/>
    <s v="OK"/>
    <s v="Mauvais"/>
    <s v=" Retransmission des trames HDLC*5"/>
    <m/>
    <s v="ELHAJOUIA Achraf"/>
    <m/>
    <m/>
    <m/>
    <m/>
    <m/>
    <m/>
    <m/>
  </r>
  <r>
    <n v="1334"/>
    <b v="0"/>
    <x v="493"/>
    <d v="1899-12-30T11:04:50"/>
    <n v="2021"/>
    <x v="2"/>
    <x v="0"/>
    <m/>
    <m/>
    <s v="Tanger/Casa"/>
    <n v="6.13"/>
    <x v="2"/>
    <s v="N2"/>
    <s v="Arrêt du train"/>
    <s v="Selon notre analyse, nous avons constaté que le HO  Complet entre 302 et 203,les conditions radio étaient Mauvaise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Complet entre 302 et 203"/>
    <s v="dl Rxqual=7"/>
    <s v="dl rx level=-70"/>
    <s v="OK"/>
    <s v="OK"/>
    <s v="Mauvais"/>
    <s v=" Retransmission des trames HDLC*5"/>
    <m/>
    <s v="Noura MOUSSAOUI"/>
    <m/>
    <m/>
    <m/>
    <m/>
    <m/>
    <m/>
    <m/>
  </r>
  <r>
    <n v="1335"/>
    <b v="0"/>
    <x v="493"/>
    <d v="1899-12-30T17:05:22"/>
    <n v="1037"/>
    <x v="1"/>
    <x v="1"/>
    <s v="Tanger/Casa"/>
    <m/>
    <s v="Casa/Tanger"/>
    <n v="7.3209999999999997"/>
    <x v="2"/>
    <s v="N2"/>
    <s v="Ralentissement du train"/>
    <s v="Selon notre analyse, nous avons constaté que le HO  Non finalisé entre 202 et 303,les conditions radio étaient Mauvai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non finalisé entre 202 et 303"/>
    <s v="dl Rxqual=7"/>
    <s v="dl rx level=-56"/>
    <s v="NOK"/>
    <s v="OK"/>
    <s v="Mauvais"/>
    <s v=" Retransmission des trames HDLC*5"/>
    <m/>
    <s v="Saad Elhabib"/>
    <m/>
    <m/>
    <m/>
    <m/>
    <m/>
    <m/>
    <m/>
  </r>
  <r>
    <n v="1336"/>
    <b v="0"/>
    <x v="493"/>
    <d v="1899-12-30T20:29:57"/>
    <n v="2057"/>
    <x v="11"/>
    <x v="0"/>
    <s v="Tanger/Casa"/>
    <m/>
    <s v="Tanger/Casa"/>
    <n v="108.206"/>
    <x v="1"/>
    <s v="N2"/>
    <s v="Ralentissement du train"/>
    <s v="Selon notre analyse, nous avons constaté que le HO  Non finalisé entre 219 et 320,les conditions radio étaient Mauvais avant la déconnexion,La requete de deconnexion a ete envoyé par le Bord  avec retransmission des trames HDLC "/>
    <s v="Les derniers résultats de la vérification chaine antennaire conformes "/>
    <x v="1"/>
    <s v="En attente d'un plan d'action optim"/>
    <s v=" HO  non finalisé entre 219 et 320"/>
    <s v="dl Rxqual=7"/>
    <s v="dl rx level=-84"/>
    <s v="OK"/>
    <s v="OK"/>
    <s v="Mauvais"/>
    <s v=" Retransmission des trames HDLC*5"/>
    <m/>
    <s v="ELHAJOUIA Achraf"/>
    <m/>
    <m/>
    <m/>
    <m/>
    <m/>
    <m/>
    <m/>
  </r>
  <r>
    <n v="1337"/>
    <b v="0"/>
    <x v="494"/>
    <d v="1899-12-30T12:31:12"/>
    <n v="2025"/>
    <x v="4"/>
    <x v="0"/>
    <s v="Tanger/Casa"/>
    <m/>
    <s v="Tanger/Casa"/>
    <n v="119.92700000000001"/>
    <x v="30"/>
    <s v="N2"/>
    <s v="Ralentissement du train"/>
    <s v="Selon notre analyse, nous avons constaté que le HO  complet entre 220 et 221,les conditions radio étaient bonnes avant la déconnexion,La requete de deconnexion a ete envoyé par le Bord sans retransmission des trames HDLC "/>
    <s v="Les derniers résultats de la vérification chaine antennaire conformes "/>
    <x v="0"/>
    <s v="En attente de mise en place des tiroires filtrés "/>
    <s v=" HO  Complet entre 220 et 221"/>
    <s v="dl Rxqual=0"/>
    <s v="dl rx level=-48"/>
    <s v="OK"/>
    <s v="OK"/>
    <s v="Mauvais"/>
    <s v=" Pas de transmission des trames HDLC"/>
    <m/>
    <s v="Noura MOUSSAOUI"/>
    <m/>
    <m/>
    <m/>
    <m/>
    <m/>
    <m/>
    <m/>
  </r>
  <r>
    <n v="1338"/>
    <b v="0"/>
    <x v="495"/>
    <d v="1899-12-30T11:34:55"/>
    <n v="2021"/>
    <x v="8"/>
    <x v="0"/>
    <s v="Tanger/Casa"/>
    <m/>
    <s v="Tanger/Casa"/>
    <n v="137.09200000000001"/>
    <x v="26"/>
    <s v="N2"/>
    <s v="Arrêt du train"/>
    <s v="Selon notre analyse, nous avons constaté que le HO  complet entre 223 et 224,les conditions radio étaient bonnes avant la déconnexion,La requete de deconnexion a ete envoyé par le RBC sans retransmission des trames HDLC "/>
    <s v="Les derniers résultats de la vérification chaine antennaire conformes "/>
    <x v="6"/>
    <s v="En attente croisement des données entre l'équipe SIG et SIANA"/>
    <s v=" HO  Complet entre 223 et 224"/>
    <s v="dl Rxqual=3"/>
    <s v="dl rx level=-73"/>
    <s v="OK"/>
    <s v="OK"/>
    <s v="Mauvais"/>
    <s v=" Pas de transmission des trames HDLC"/>
    <m/>
    <s v="Noura MOUSSAOUI"/>
    <m/>
    <m/>
    <m/>
    <m/>
    <m/>
    <m/>
    <m/>
  </r>
  <r>
    <n v="1339"/>
    <b v="0"/>
    <x v="496"/>
    <d v="1899-12-30T08:36:13"/>
    <n v="2009"/>
    <x v="8"/>
    <x v="0"/>
    <s v="Tanger/Casa"/>
    <m/>
    <s v="Tanger/Casa"/>
    <n v="137.09200000000001"/>
    <x v="26"/>
    <s v="N2"/>
    <s v="Arrêt du train"/>
    <s v="Selon notre analyse, nous avons constaté que le HO  complet entre 223 et 224,les conditions radio étaient bonnes avant la déconnexion,La requete de deconnexion a ete envoyé par le RBC sans retransmission des trames HDLC "/>
    <m/>
    <x v="6"/>
    <s v="En attente croisement des données entre l'équipe SIG et SIANA"/>
    <s v=" HO  Complet entre 223 et 224"/>
    <s v="dl Rxqual=3"/>
    <s v="dl rx level=-72"/>
    <s v="OK"/>
    <s v="OK"/>
    <s v="Mauvais"/>
    <s v=" Pas de transmission des trames HDLC"/>
    <m/>
    <s v="Noura MOUSSAOUI"/>
    <m/>
    <m/>
    <m/>
    <m/>
    <m/>
    <m/>
    <m/>
  </r>
  <r>
    <n v="1340"/>
    <b v="0"/>
    <x v="496"/>
    <d v="1899-12-30T17:04:55"/>
    <n v="2045"/>
    <x v="4"/>
    <x v="0"/>
    <s v="Tanger/Casa"/>
    <m/>
    <s v="Tanger/Casa"/>
    <n v="6.13"/>
    <x v="2"/>
    <s v="N2"/>
    <s v="Arrêt du train"/>
    <s v="Selon notre analyse, nous avons constaté que le HO  non finalisé  entre 302 et 203,les conditions radio étaient Mauvaise avant la déconnexion,La requete de deconnexion a ete envoyé par le Bord avec retransmission des trames HDLC  "/>
    <m/>
    <x v="0"/>
    <s v="En attente de mise en place des tiroires filtrés "/>
    <s v=" HO  non finalisé  entre 302 et 203"/>
    <s v="dl Rxqual=7"/>
    <s v="dl rx level=-56"/>
    <s v="OK"/>
    <s v="OK"/>
    <s v="Mauvais"/>
    <s v=" Retransmission des trames HDLC*4"/>
    <m/>
    <s v="Nassim NAJIM"/>
    <m/>
    <m/>
    <m/>
    <m/>
    <m/>
    <m/>
    <m/>
  </r>
  <r>
    <n v="1341"/>
    <b v="0"/>
    <x v="496"/>
    <d v="1899-12-30T20:29:57"/>
    <n v="2057"/>
    <x v="8"/>
    <x v="0"/>
    <s v="Tanger/Casa"/>
    <n v="6.13"/>
    <s v="Tanger/Casa"/>
    <n v="109.495"/>
    <x v="1"/>
    <s v="N2"/>
    <s v="Ralentissement du train"/>
    <s v="Selon notre analyse, nous avons constaté que le HO  non finalisé entre 219 et 320,les conditionsradio étaient Mauvaise avant la déconnexion,La requete de deconnexion a ete envoyé par le RBC avec retransmission des trames HDLC "/>
    <m/>
    <x v="1"/>
    <s v="En attente d'un plan d'action optim"/>
    <s v=" HO  non finalisé  entre 219 et 320"/>
    <s v="dl Rxqual=7"/>
    <s v="dl rx level=-78"/>
    <s v="OK"/>
    <s v="OK"/>
    <s v="Mauvais"/>
    <s v=" Retransmission des trames HDLC*5"/>
    <m/>
    <s v="Fahd OUSSALH"/>
    <m/>
    <m/>
    <m/>
    <m/>
    <m/>
    <m/>
    <m/>
  </r>
  <r>
    <n v="1342"/>
    <b v="0"/>
    <x v="496"/>
    <d v="1899-12-30T20:31:14"/>
    <n v="1054"/>
    <x v="3"/>
    <x v="1"/>
    <s v="Tanger/Casa"/>
    <n v="109.495"/>
    <s v="Casa/Tanger"/>
    <n v="177.85"/>
    <x v="4"/>
    <s v="N2"/>
    <s v="Ralentissement du train"/>
    <s v="Selon notre analyse, nous avons constaté que le HO  non finalisé entre 231et 329,les conditions rradio étaient Mauvaise avant la déconnexion,La requete de deconnexion a ete envoyé par le RBC avec retransmission des trames HDLC "/>
    <m/>
    <x v="1"/>
    <s v="En attente d'un plan d'action optim"/>
    <s v=" HO  non finalisé  entre 231 et 329"/>
    <s v="dl Rxqual=5"/>
    <s v="dl rx level=-62"/>
    <s v="OK"/>
    <s v="OK"/>
    <s v="Mauvais"/>
    <s v=" Retransmission des trames HDLC*5"/>
    <m/>
    <s v="Fahd OUSSALH"/>
    <m/>
    <m/>
    <m/>
    <m/>
    <m/>
    <m/>
    <m/>
  </r>
  <r>
    <n v="1343"/>
    <b v="0"/>
    <x v="497"/>
    <d v="1899-12-30T10:38:57"/>
    <n v="1013"/>
    <x v="1"/>
    <x v="1"/>
    <s v="Tanger/Casa"/>
    <n v="110.495"/>
    <s v="Casa/Tanger"/>
    <n v="177.85"/>
    <x v="4"/>
    <s v="N2"/>
    <s v="Ralentissement du train"/>
    <s v="Selon notre analyse, nous avons constaté que le HO  non finalisé entre 331et 330,les conditions rradio étaient bonnes avant la déconnexion,La requete de deconnexion a ete envoyé par le RBC avec retransmission des trames HDLC "/>
    <m/>
    <x v="11"/>
    <s v="En attente d'un plan d'action optim/en attente de mise en place des tiroires filtrés"/>
    <s v=" HO  non finalisé  entre  331 et 330"/>
    <s v="dl Rxqual=1"/>
    <s v="dl rx level=-68"/>
    <s v="NOK"/>
    <s v="OK"/>
    <s v="Mauvais"/>
    <s v=" Retransmission des trames HDLC*5"/>
    <m/>
    <s v="Noura MOUSSAOUI"/>
    <m/>
    <m/>
    <m/>
    <m/>
    <m/>
    <m/>
    <m/>
  </r>
  <r>
    <n v="1344"/>
    <b v="0"/>
    <x v="497"/>
    <d v="1899-12-30T16:34:58"/>
    <n v="2041"/>
    <x v="4"/>
    <x v="0"/>
    <m/>
    <m/>
    <s v="Tanger/Casa"/>
    <n v="145.6"/>
    <x v="3"/>
    <s v="N2"/>
    <s v="Ralentissement du train"/>
    <s v="Selon notre analyse, nous avons constaté que le HO  complet entre 225 et 226,les conditions radio étaient bonnes avant la déconnexion,La requete de deconnexion a ete envoyé par le RBC suite au retransmission des trames HDLC "/>
    <m/>
    <x v="1"/>
    <s v="Zone sous surveillance par le noc"/>
    <s v="HO  finalisé entre 225 et 226"/>
    <s v="dl Rxqual=4"/>
    <s v="dl rx level=-58"/>
    <s v="OK"/>
    <s v="OK"/>
    <s v="Mauvais"/>
    <s v=" Retransmission des trames HDLC*5"/>
    <m/>
    <s v="Saad Elhabib"/>
    <m/>
    <m/>
    <m/>
    <m/>
    <m/>
    <m/>
    <m/>
  </r>
  <r>
    <n v="1345"/>
    <b v="0"/>
    <x v="497"/>
    <d v="1899-12-30T17:22:23"/>
    <n v="2045"/>
    <x v="7"/>
    <x v="0"/>
    <m/>
    <m/>
    <s v="Tanger/Casa"/>
    <n v="73.585999999999999"/>
    <x v="13"/>
    <s v="N2"/>
    <s v="Ralentissement du train"/>
    <s v="Selon notre analyse, nous avons constaté que le HO  complet entre 212 et 213,les conditions radio étaient Mauvais avant la déconnexion,La requete de deconnexion a ete envoyé par le RBC sans retransmission des trames HDLC "/>
    <m/>
    <x v="1"/>
    <s v="Zone sous surveillance par le noc"/>
    <s v="HO  finalisé entre 212 et 213"/>
    <s v="dl Rxqual=7"/>
    <s v="dl rx level=-76"/>
    <s v="OK"/>
    <s v="OK"/>
    <s v="Mauvais"/>
    <s v=" Retransmission des trames HDLC*5"/>
    <m/>
    <s v="Saad Elhabib"/>
    <m/>
    <m/>
    <m/>
    <m/>
    <m/>
    <m/>
    <m/>
  </r>
  <r>
    <n v="1346"/>
    <b v="0"/>
    <x v="498"/>
    <d v="1899-12-30T15:48:29"/>
    <n v="1033"/>
    <x v="5"/>
    <x v="1"/>
    <m/>
    <m/>
    <s v="Casa/Tanger"/>
    <n v="94.953999999999994"/>
    <x v="8"/>
    <s v="N2"/>
    <s v="Ralentissement du train"/>
    <s v="Selon notre analyse, nous avons constaté que le HO  complet entre 318 et 317,les conditions radio étaient Mauvais avant la déconnexion,La requete de deconnexion a ete envoyé par le RBC avec retransmission des trames HDLC "/>
    <s v="Aucune anomalie constatée suite à l’analyse du relevé JRU Présence d'interférences externes"/>
    <x v="1"/>
    <s v="En attente d'un plan d'action optim"/>
    <s v="HO Complete entre 318 et 317"/>
    <s v="dl Rxqual=6"/>
    <s v="dl rx level=-50"/>
    <s v="OK"/>
    <s v="OK"/>
    <s v="Mauvais"/>
    <s v=" Retransmission des trames HDLC*5"/>
    <m/>
    <s v="ELHAJOUIA Achraf"/>
    <m/>
    <m/>
    <m/>
    <m/>
    <m/>
    <m/>
    <m/>
  </r>
  <r>
    <n v="1347"/>
    <b v="0"/>
    <x v="498"/>
    <d v="1899-12-30T18:29:26"/>
    <n v="2049"/>
    <x v="8"/>
    <x v="0"/>
    <m/>
    <m/>
    <s v="Tanger/Casa"/>
    <n v="108.206"/>
    <x v="1"/>
    <s v="N2"/>
    <s v="Ralentissement du train"/>
    <s v="Selon notre analyse, nous avons constaté que le HO  non finalisé entre 219 et 320,les conditions radio étaient Mauvaise  avant la déconnexion,La requete de deconnexion a ete envoyé par le bord avec retransmission des trames HDLC "/>
    <m/>
    <x v="1"/>
    <s v="En attente d'un plan d'action optim"/>
    <s v=" HO  non finalisé  entre  219 et 320"/>
    <s v="dl Rxqual=7"/>
    <s v="dl rx level=-83"/>
    <s v="OK"/>
    <s v="OK"/>
    <s v="Mauvais"/>
    <s v=" Retransmission des trames HDLC*5"/>
    <m/>
    <s v="ELHAJOUIA Achraf"/>
    <m/>
    <m/>
    <m/>
    <m/>
    <m/>
    <m/>
    <m/>
  </r>
  <r>
    <n v="1348"/>
    <b v="0"/>
    <x v="498"/>
    <d v="1899-12-30T21:05:31"/>
    <n v="1053"/>
    <x v="10"/>
    <x v="0"/>
    <m/>
    <m/>
    <s v="Tanger/Casa"/>
    <n v="7.3209999999999997"/>
    <x v="2"/>
    <s v="N2"/>
    <s v="Ralentissement du train"/>
    <s v="Selon notre analyse, nous avons constaté que le HO  complet entre 303 et 202,les conditions radio étaient Mauvaise  avant la déconnexion,La requete de deconnexion a ete envoyé par le RBC avec retransmission des trames HDLC "/>
    <m/>
    <x v="0"/>
    <s v="En attente de mise en place des tiroires filtrés "/>
    <s v="HO Complete entre 303 et 202"/>
    <s v="dl Rxqual=3"/>
    <s v="dl rx level=-56"/>
    <s v="OK"/>
    <s v="OK"/>
    <s v="Mauvais"/>
    <s v=" Pas Retransmission des trames HDLC"/>
    <m/>
    <s v="Fahd OUSSALH"/>
    <m/>
    <m/>
    <m/>
    <m/>
    <m/>
    <m/>
    <m/>
  </r>
  <r>
    <n v="1349"/>
    <b v="0"/>
    <x v="499"/>
    <d v="1899-12-30T06:31:28"/>
    <n v="2001"/>
    <x v="5"/>
    <x v="0"/>
    <m/>
    <m/>
    <s v="Tanger/Casa"/>
    <n v="126.51"/>
    <x v="6"/>
    <s v="N2"/>
    <s v="Arrêt du train"/>
    <s v="Selon notre analyse, nous avons constaté que le HO  non finalisé entre 222 et 323,les conditions radio étaient Mauvaise  avant la déconnexion,La requete de deconnexion a ete envoyé par le bord /pas de retransmission des trames HDLC "/>
    <m/>
    <x v="1"/>
    <s v="Zone sous surveillance par le noc"/>
    <s v=" HO  non finalisé  entre  222 et 323"/>
    <s v="dl Rxqual=7"/>
    <s v="dl rx level=-79"/>
    <s v="NOK"/>
    <s v="OK"/>
    <s v="Mauvais"/>
    <s v=" Pas Retransmission des trames HDLC"/>
    <m/>
    <s v="ELGUEZZAR Anas"/>
    <m/>
    <m/>
    <m/>
    <m/>
    <m/>
    <m/>
    <m/>
  </r>
  <r>
    <n v="1350"/>
    <b v="0"/>
    <x v="499"/>
    <d v="1899-12-30T19:13:47"/>
    <n v="2053"/>
    <x v="4"/>
    <x v="0"/>
    <m/>
    <m/>
    <s v="Tanger/Casa"/>
    <n v="39.215000000000003"/>
    <x v="14"/>
    <s v="N2"/>
    <s v="Ralentissement du train"/>
    <s v="Selon notre analyse, nous avons constaté que le HO  non finalisé entre 207 et 208,les conditions radio étaient mauvaises avant la déconnexion,La requete de deconnexion a ete envoyé par le RBC /Avec  retransmission des trames HDLC "/>
    <m/>
    <x v="1"/>
    <s v="Zone sous surveillance par le noc"/>
    <s v=" HO  non finalisé  entre  207 et 208"/>
    <s v="dl Rxqual=7"/>
    <s v="dl rx level=-68"/>
    <s v="NOK"/>
    <s v="OK"/>
    <s v="Mauvais"/>
    <s v=" Retransmission des trames HDLC*5"/>
    <m/>
    <s v="ELHAJOUIA Achraf"/>
    <m/>
    <m/>
    <m/>
    <m/>
    <m/>
    <m/>
    <m/>
  </r>
  <r>
    <n v="1351"/>
    <b v="0"/>
    <x v="499"/>
    <d v="1899-12-30T20:31:51"/>
    <n v="1053"/>
    <x v="2"/>
    <x v="1"/>
    <m/>
    <m/>
    <s v="Casa/Tanger"/>
    <n v="185.47"/>
    <x v="19"/>
    <s v="N2"/>
    <s v="Ralentissement du train"/>
    <s v="Selon notre analyse, nous avons constaté que le HO  non finalisé entre 330 et 331,les conditions radio étaient Bonne  avant la déconnexion,La requete de deconnexion a ete envoyé par le RBC /Avec  retransmission des trames HDLC "/>
    <m/>
    <x v="1"/>
    <s v="Zone sous surveillance par le noc"/>
    <s v=" HO  non finalisé  entre  330 et 331"/>
    <s v="dl Rxqual=5"/>
    <s v="dl rx level=-65"/>
    <s v="NOK"/>
    <s v="OK"/>
    <s v="Mauvais"/>
    <s v=" Retransmission des trames HDLC*5"/>
    <m/>
    <s v="Fahd OUSSALH"/>
    <m/>
    <m/>
    <m/>
    <m/>
    <m/>
    <m/>
    <m/>
  </r>
  <r>
    <n v="1352"/>
    <b v="0"/>
    <x v="500"/>
    <d v="1899-12-30T05:07:13"/>
    <n v="1053"/>
    <x v="9"/>
    <x v="0"/>
    <m/>
    <m/>
    <s v="Tanger/Casa"/>
    <n v="78.155000000000001"/>
    <x v="11"/>
    <s v="N2"/>
    <s v="Ralentissement du train"/>
    <s v="Selon notre analyse, nous avons constaté que le HO  complet entre 213 et 214,les conditions radio étaient Mauvaise  avant la déconnexion,La requete de deconnexion a ete envoyé par le RBC sans retransmission des trames HDLC "/>
    <m/>
    <x v="1"/>
    <s v="Zone sous surveillance par le noc"/>
    <s v="HO Complete entre 213 et 214"/>
    <s v="dl Rxqual=5"/>
    <s v="dl rx level=-64"/>
    <s v="OK"/>
    <s v="OK"/>
    <s v="Mauvais"/>
    <s v=" Pas Retransmission des trames HDLC"/>
    <m/>
    <s v="Fahd OUSSALH"/>
    <m/>
    <m/>
    <m/>
    <m/>
    <m/>
    <m/>
    <m/>
  </r>
  <r>
    <n v="1353"/>
    <b v="0"/>
    <x v="500"/>
    <d v="1899-12-30T16:57:43"/>
    <n v="1037"/>
    <x v="7"/>
    <x v="1"/>
    <m/>
    <m/>
    <s v="Casa/Tanger"/>
    <n v="67.828999999999994"/>
    <x v="0"/>
    <s v="N2"/>
    <s v="Arrêt du train"/>
    <s v="Selon notre analyse, nous avons constaté que le HO est complet entre 313 et 312, les conditions radio étaient bonnes avant la déconnexion, La requete de deconnexion a ete envoyé par le RBC / Retransmission des trames HDLC "/>
    <m/>
    <x v="0"/>
    <s v="Besoin de verification chaine antennaire"/>
    <s v="HO Complete entre 313 et 312"/>
    <s v="dl Rxqual=0"/>
    <s v="dl rx level=-48"/>
    <s v="OK"/>
    <s v="OK"/>
    <s v="moyen"/>
    <s v=" Retransmission des trames HDLC*5"/>
    <m/>
    <s v="HAMZAOUI Youssef"/>
    <m/>
    <m/>
    <m/>
    <m/>
    <m/>
    <m/>
    <m/>
  </r>
  <r>
    <n v="1354"/>
    <b v="0"/>
    <x v="500"/>
    <d v="1899-12-30T23:23:50"/>
    <n v="1028"/>
    <x v="10"/>
    <x v="1"/>
    <m/>
    <m/>
    <s v="Casa/Tanger"/>
    <n v="177.85"/>
    <x v="4"/>
    <s v="N2"/>
    <s v="Ralentissement du train"/>
    <s v="Selon notre analyse, nous avons constaté que le HO  complet entre 231 et 230 ,les conditions radio étaient Mauvaise  avant la déconnexion,La requete de deconnexion a ete envoyé par le RBC sans retransmission des trames HDLC "/>
    <m/>
    <x v="1"/>
    <s v="En attente d'un plan d'action optim"/>
    <s v="HO Complete entre 231 et 230"/>
    <s v="dl Rxqual=6"/>
    <s v="dl rx level=-59"/>
    <s v="OK"/>
    <s v="OK"/>
    <s v="Mauvais"/>
    <s v=" Retransmission des trames HDLC*5"/>
    <m/>
    <s v="HARIRI Bahaeddine"/>
    <m/>
    <m/>
    <m/>
    <m/>
    <m/>
    <m/>
    <m/>
  </r>
  <r>
    <n v="1355"/>
    <b v="0"/>
    <x v="501"/>
    <d v="1899-12-30T12:50:00"/>
    <n v="1021"/>
    <x v="2"/>
    <x v="1"/>
    <m/>
    <m/>
    <s v="Casa/Tanger"/>
    <n v="94.953999999999994"/>
    <x v="8"/>
    <s v="N2"/>
    <s v="Ralentissement du train"/>
    <s v="Selon notre analyse, nous avons constaté que le HO  Non finalisé entre 318 et 217 ,les conditions radio étaient Mauvaise  avant la déconnexion,La requete de deconnexion a ete envoyé par le bord /pas deretransmission des trames HDLC "/>
    <s v="Aucune anomalie constatée suite à l’analyse du relevé JRU Présence d'interférences externes"/>
    <x v="1"/>
    <s v="En attente d'un plan d'action optim"/>
    <s v=" HO  non finalisé  entre  318 et 217"/>
    <s v="dl Rxqual=7"/>
    <s v="dl rx level=-83"/>
    <s v="OK"/>
    <s v="OK"/>
    <s v="Mauvais"/>
    <s v=" Pas Retransmission des trames HDLC"/>
    <m/>
    <s v="ELHAJOUIA Achraf"/>
    <m/>
    <m/>
    <m/>
    <m/>
    <m/>
    <m/>
    <m/>
  </r>
  <r>
    <n v="1356"/>
    <b v="0"/>
    <x v="501"/>
    <d v="1899-12-30T14:29:29"/>
    <n v="2033"/>
    <x v="10"/>
    <x v="0"/>
    <m/>
    <m/>
    <s v="Tanger/Casa"/>
    <n v="108.206"/>
    <x v="1"/>
    <s v="N2"/>
    <s v="Ralentissement du train"/>
    <s v="Selon notre analyse, nous avons constaté que le HO  Non finalisé entre 219 et 320,les conditions radio étaient Mauvaise  avant la déconnexion,La requete de deconnexion a ete envoyé par le bord /retransmission des trames HDLC "/>
    <m/>
    <x v="1"/>
    <s v="En attente d'un plan d'action optim"/>
    <s v=" HO  non finalisé  entre 219 et 320"/>
    <s v="dl Rxqual=7"/>
    <s v="dl rx level=-86"/>
    <s v="OK"/>
    <s v="OK"/>
    <s v="Mauvais"/>
    <s v=" Retransmission des trames HDLC*5"/>
    <m/>
    <s v="Saad Elhabib"/>
    <m/>
    <m/>
    <m/>
    <m/>
    <m/>
    <m/>
    <m/>
  </r>
  <r>
    <n v="1357"/>
    <b v="0"/>
    <x v="501"/>
    <d v="1899-12-30T16:24:56"/>
    <n v="2041"/>
    <x v="3"/>
    <x v="0"/>
    <m/>
    <m/>
    <s v="Tanger/Casa"/>
    <n v="73.585999999999999"/>
    <x v="13"/>
    <s v="N2"/>
    <s v="Ralentissement du train"/>
    <s v="Selon notre analyse, nous avons constaté que le HO   finalisé entre 213 et 214,les conditions radio étaient Mauvaise  avant la déconnexion,La requete de deconnexion a ete envoyé par le RBC /retransmission des trames HDLC "/>
    <m/>
    <x v="1"/>
    <s v="Zone sous surveillance par le noc"/>
    <s v=" HO finalisé entre 213 et 214"/>
    <s v="dl Rxqual=7"/>
    <s v="dl rx level=-79"/>
    <s v="OK"/>
    <s v="NOK"/>
    <s v="Mauvais"/>
    <s v=" Retransmission des trames HDLC*5"/>
    <m/>
    <s v="Saad Elhabib"/>
    <m/>
    <m/>
    <m/>
    <m/>
    <m/>
    <m/>
    <m/>
  </r>
  <r>
    <n v="1358"/>
    <b v="0"/>
    <x v="501"/>
    <d v="1899-12-30T16:48:26"/>
    <n v="1037"/>
    <x v="5"/>
    <x v="1"/>
    <m/>
    <m/>
    <s v="Casa/Tanger"/>
    <n v="96.316999999999993"/>
    <x v="8"/>
    <s v="N2"/>
    <s v="Ralentissement du train"/>
    <s v="Selon notre analyse, nous avons constaté que le HO finalisé entre 318 et 317 ,les conditions radio étaient Mauvaise  avant la déconnexion,La requete de deconnexion a ete envoyé par le RBC /retransmission des trames HDLC "/>
    <s v="Aucune anomalie constatée suite à l’analyse du relevé JRU Présence d'interférences externes"/>
    <x v="1"/>
    <s v="En attente d'un plan d'action optim"/>
    <s v=" HO finalisé entre 318 et 317"/>
    <s v="dl Rxqual=7"/>
    <s v="dl rx level=-84"/>
    <s v="NOK"/>
    <s v="NOK"/>
    <s v="Mauvais"/>
    <s v=" Retransmission des trames HDLC*5"/>
    <m/>
    <s v="Saad Elhabib"/>
    <m/>
    <m/>
    <m/>
    <m/>
    <m/>
    <m/>
    <m/>
  </r>
  <r>
    <n v="1359"/>
    <b v="0"/>
    <x v="501"/>
    <d v="1899-12-30T18:48:26"/>
    <n v="1045"/>
    <x v="2"/>
    <x v="1"/>
    <m/>
    <m/>
    <s v="Casa/Tanger"/>
    <n v="94.953999999999994"/>
    <x v="8"/>
    <s v="N2"/>
    <s v="Ralentissement du train"/>
    <s v="Selon notre analyse, nous avons constaté que le HO Non finalisé entre 318 et 317 ,les conditions radio étaient Mauvaise  avant la déconnexion,La requete de deconnexion a ete envoyé par le BORD /retransmission des trames HDLC "/>
    <s v="Aucune anomalie constatée suite à l’analyse du relevé JRU Présence d'interférences externes"/>
    <x v="1"/>
    <s v="En attente d'un plan d'action optim"/>
    <s v=" HO Non finalisé entre 318 et 317"/>
    <s v="dl Rxqual=7"/>
    <s v="dl rx level=-72"/>
    <s v="OK"/>
    <s v="NOK"/>
    <s v="Mauvais"/>
    <s v=" Retransmission des trames HDLC*5"/>
    <m/>
    <s v="Saad Elhabib"/>
    <m/>
    <m/>
    <m/>
    <m/>
    <m/>
    <m/>
    <m/>
  </r>
  <r>
    <n v="1360"/>
    <b v="0"/>
    <x v="501"/>
    <d v="1899-12-30T21:02:09"/>
    <n v="1053"/>
    <x v="3"/>
    <x v="1"/>
    <m/>
    <m/>
    <s v="Casa/Tanger"/>
    <n v="25.85"/>
    <x v="7"/>
    <s v="N2"/>
    <s v="Ralentissement du train"/>
    <s v="Selon notre analyse, nous avons constaté que le HO Non finalisé entre 207 et 205 ,les conditions radio étaient Mauvaise  avant la déconnexion,La requete de deconnexion a ete envoyé par le RBC /retransmission des trames HDLC "/>
    <m/>
    <x v="1"/>
    <s v="Zone sous surveillance par le noc"/>
    <s v=" HO Non finalisé entre 207 et 205"/>
    <s v="dl Rxqual=7"/>
    <s v="dl rx level=-72"/>
    <s v="OK"/>
    <s v="OK"/>
    <s v="Mauvais"/>
    <s v=" Retransmission des trames HDLC*5"/>
    <m/>
    <s v="HARIRI Bahaeddine"/>
    <m/>
    <m/>
    <m/>
    <m/>
    <m/>
    <m/>
    <m/>
  </r>
  <r>
    <n v="1361"/>
    <b v="0"/>
    <x v="501"/>
    <d v="1899-12-30T21:46:09"/>
    <n v="1045"/>
    <x v="0"/>
    <x v="1"/>
    <m/>
    <m/>
    <s v="Casa/Tanger"/>
    <n v="94.953999999999994"/>
    <x v="8"/>
    <s v="N2"/>
    <s v="Ralentissement du train"/>
    <s v="Selon notre analyse, nous avons constaté que le HO Non finalisé entre 318 et 317 ,les conditions radio étaient Mauvaise  avant la déconnexion,La requete de deconnexion a ete envoyé par le BORD /retransmission des trames HDLC "/>
    <s v="Aucune anomalie constatée suite à l’analyse du relevé JRU Présence d'interférences externes"/>
    <x v="1"/>
    <s v="En attente d'un plan d'action optim"/>
    <s v=" HO Non finalisé entre 318 et 317"/>
    <s v="dl Rxqual=7"/>
    <s v="dl rx level=-77"/>
    <s v="OK"/>
    <s v="OK"/>
    <s v="Mauvais"/>
    <s v=" Retransmission des trames HDLC*5"/>
    <m/>
    <s v="HARIRI Bahaeddine"/>
    <m/>
    <m/>
    <m/>
    <m/>
    <m/>
    <m/>
    <m/>
  </r>
  <r>
    <n v="1362"/>
    <b v="0"/>
    <x v="502"/>
    <d v="1899-12-30T19:27:45"/>
    <n v="2053"/>
    <x v="2"/>
    <x v="0"/>
    <m/>
    <m/>
    <s v="Tanger/Casa"/>
    <n v="108.206"/>
    <x v="1"/>
    <s v="N2"/>
    <s v="Ralentissement du train"/>
    <s v="Selon notre analyse, nous avons constaté que le HO Non finalisé entre 219 et 320 ,les conditions radio étaient Mauvaise  avant la déconnexion,La requete de deconnexion a ete envoyé par le BORD /retransmission des trames HDLC "/>
    <m/>
    <x v="1"/>
    <s v="En attente d'un plan d'action optim"/>
    <s v=" HO Non finalisé entre 219 et 320"/>
    <s v="dl Rxqual=7"/>
    <s v="dl rx level=-85"/>
    <s v="OK"/>
    <s v="OK"/>
    <s v="Mauvais"/>
    <s v=" Pas Retransmission des trames HDLC"/>
    <m/>
    <s v="Saad Elhabib"/>
    <m/>
    <m/>
    <m/>
    <m/>
    <m/>
    <m/>
    <m/>
  </r>
  <r>
    <n v="1363"/>
    <b v="0"/>
    <x v="502"/>
    <d v="1899-12-30T20:27:23"/>
    <n v="2053"/>
    <x v="8"/>
    <x v="0"/>
    <m/>
    <m/>
    <s v="Tanger/Casa"/>
    <n v="108.206"/>
    <x v="1"/>
    <s v="N2"/>
    <s v="Ralentissement du train"/>
    <s v="Selon notre analyse, nous avons constaté que le HO Non finalisé entre 219 et 320 ,les conditions radio étaient Mauvaise  avant la déconnexion,La requete de deconnexion a ete envoyé par le BORD /retransmission des trames HDLC "/>
    <m/>
    <x v="1"/>
    <s v="En attente d'un plan d'action optim"/>
    <s v=" HO Non finalisé entre 219 et 320"/>
    <s v="dl Rxqual=7"/>
    <s v="dl rx level=-72"/>
    <s v="OK"/>
    <s v="OK"/>
    <s v="Mauvais"/>
    <s v=" Pas Retransmission des trames HDLC"/>
    <m/>
    <s v="HARIRI Bahaeddine"/>
    <m/>
    <m/>
    <m/>
    <m/>
    <m/>
    <m/>
    <m/>
  </r>
  <r>
    <n v="1364"/>
    <b v="0"/>
    <x v="502"/>
    <d v="1899-12-30T22:27:18"/>
    <n v="2053"/>
    <x v="0"/>
    <x v="0"/>
    <m/>
    <m/>
    <s v="Tanger/Casa"/>
    <n v="108.206"/>
    <x v="1"/>
    <s v="N2"/>
    <s v="Ralentissement du train"/>
    <s v="Selon notre analyse, nous avons constaté que le HO Non finalisé entre 219 et 320 ,les conditions radio étaient Mauvaise  avant la déconnexion,La requete de deconnexion a ete envoyé par le BORD /retransmission des trames HDLC "/>
    <m/>
    <x v="1"/>
    <s v="En attente d'un plan d'action optim"/>
    <s v=" HO Non finalisé entre 219 et 320"/>
    <s v="dl Rxqual=7"/>
    <s v="dl rx level=-71"/>
    <s v="OK"/>
    <s v="OK"/>
    <s v="Mauvais"/>
    <s v=" Pas Retransmission des trames HDLC"/>
    <m/>
    <s v="HARIRI Bahaeddine"/>
    <m/>
    <m/>
    <m/>
    <m/>
    <m/>
    <m/>
    <m/>
  </r>
  <r>
    <n v="1365"/>
    <b v="0"/>
    <x v="502"/>
    <d v="1899-12-30T23:26:39"/>
    <n v="10091"/>
    <x v="2"/>
    <x v="1"/>
    <m/>
    <m/>
    <s v="Casa/Tanger"/>
    <s v="RAC 0"/>
    <x v="33"/>
    <s v="N1"/>
    <s v="Arrêt du train"/>
    <s v="Selon notre analyse, nous avons constaté que le HO Non finalisé entre 234 et 99 ,les indicateurs techniques radio  sont absents vue que la déconnexion est survenue peu après l’établissement d’appel,La requete de deconnexion a ete envoyé par le BORD, toutefois dans l'une des tentatives de retablissement d'appel on a pu relever quelques mesures radio qui indiquent que la qualité radio était mauvaise avant que l'appel en question coupe."/>
    <m/>
    <x v="1"/>
    <s v="Zone sous surveillance par le noc"/>
    <s v=" HO Non finalisé entre 234  et 99"/>
    <s v="dl Rxqual=X"/>
    <s v="dl rx level=-X"/>
    <s v="X"/>
    <s v="X"/>
    <s v="Mauvais"/>
    <s v="X"/>
    <m/>
    <s v="MAROUANI Otmane"/>
    <m/>
    <m/>
    <m/>
    <m/>
    <m/>
    <m/>
    <m/>
  </r>
  <r>
    <n v="1366"/>
    <b v="0"/>
    <x v="503"/>
    <d v="1899-12-30T16:56:08"/>
    <n v="1038"/>
    <x v="3"/>
    <x v="1"/>
    <m/>
    <m/>
    <s v="Casa/Tanger"/>
    <n v="110.783"/>
    <x v="1"/>
    <s v="N2"/>
    <s v="Ralentissement du train"/>
    <s v="Selon notre analyse, nous avons constaté que le HO Non finalisé entre 321  et 220 ,les conditions radio étaient Mauvaise  avant la déconnexion,La requete de deconnexion a ete envoyé par le BORD /pas de retransmission des trames HDLC "/>
    <m/>
    <x v="1"/>
    <s v="En attente d'un plan d'action optim"/>
    <s v=" HO Non finalisé entre 321 et 220 "/>
    <s v="dl Rxqual=6"/>
    <s v="dl rx level=-62"/>
    <s v="OK"/>
    <s v="OK"/>
    <s v="Mauvais"/>
    <s v=" Pas Retransmission des trames HDLC"/>
    <m/>
    <s v="Fahd OUSSALH"/>
    <m/>
    <m/>
    <m/>
    <m/>
    <m/>
    <m/>
    <m/>
  </r>
  <r>
    <n v="1367"/>
    <b v="0"/>
    <x v="503"/>
    <d v="1899-12-30T19:35:16"/>
    <n v="2053"/>
    <x v="7"/>
    <x v="0"/>
    <m/>
    <m/>
    <s v="Tanger/Casa"/>
    <n v="144.32599999999999"/>
    <x v="3"/>
    <s v="N2"/>
    <s v="Arrêt du train"/>
    <s v="Selon notre analyse, nous avons constaté que le HO  complet entre 224 et 225,les conditions radio étaient bonnes avant la déconnexion,La requete de deconnexion a ete envoyé par le RBC avec  retransmission des trames HDLC "/>
    <m/>
    <x v="0"/>
    <s v="Besoin de verification chaine antennaire"/>
    <s v="HO Complet entre 224 et 225 "/>
    <s v="dl Rxqual=2"/>
    <s v="dl rx level=-72"/>
    <s v="OK"/>
    <s v="OK"/>
    <s v="Mauvais"/>
    <s v=" Retransmission des trames HDLC*5"/>
    <m/>
    <s v="ELGUEZZAR Anas"/>
    <m/>
    <m/>
    <m/>
    <m/>
    <m/>
    <m/>
    <m/>
  </r>
  <r>
    <n v="1368"/>
    <b v="0"/>
    <x v="503"/>
    <d v="1899-12-30T20:35:16"/>
    <n v="1038"/>
    <x v="0"/>
    <x v="0"/>
    <m/>
    <m/>
    <s v="Casa/Tanger"/>
    <n v="144.32599999999999"/>
    <x v="3"/>
    <s v="N2"/>
    <s v="Ralentissement du train"/>
    <s v="Selon notre analyse, nous avons constaté que le HO  complet entre 224 et 225,les conditions radio étaient bonnes avant la déconnexion,La requete de deconnexion a ete envoyé par le RBC pas de  retransmission des trames HDLC "/>
    <m/>
    <x v="3"/>
    <s v="En attente de pousser les analyses coté RBC"/>
    <s v="HO Complet entre 224 et 225 "/>
    <s v="dl Rxqual=2"/>
    <s v="dl rx level=-67"/>
    <s v="OK"/>
    <s v="OK"/>
    <s v="Mauvais"/>
    <s v=" Pas Retransmission des trames HDLC"/>
    <m/>
    <s v="HARIRI Bahaeddine"/>
    <m/>
    <m/>
    <m/>
    <m/>
    <m/>
    <m/>
    <m/>
  </r>
  <r>
    <n v="1369"/>
    <b v="0"/>
    <x v="504"/>
    <d v="1899-12-30T09:45:36"/>
    <n v="1009"/>
    <x v="2"/>
    <x v="1"/>
    <m/>
    <m/>
    <s v="Casa/Tanger"/>
    <n v="94.953999999999994"/>
    <x v="8"/>
    <s v="N2"/>
    <s v="Ralentissement du train"/>
    <s v="Selon notre analyse, nous avons constaté que le HO Non finalisé entre 318 et 317 ,les conditions radio étaient Mauvaise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317"/>
    <s v="dl Rxqual=7"/>
    <s v="dl rx level=-83"/>
    <s v="OK"/>
    <s v="OK"/>
    <s v="Mauvais"/>
    <s v=" Retransmission des trames HDLC*5"/>
    <m/>
    <s v="LAGDEM Elmehdi"/>
    <m/>
    <m/>
    <m/>
    <m/>
    <m/>
    <m/>
    <m/>
  </r>
  <r>
    <n v="1370"/>
    <b v="0"/>
    <x v="504"/>
    <d v="1899-12-30T16:30:02"/>
    <n v="1038"/>
    <x v="1"/>
    <x v="1"/>
    <m/>
    <m/>
    <s v="Casa/Tanger"/>
    <n v="177.85"/>
    <x v="4"/>
    <s v="N2"/>
    <s v="Ralentissement du train"/>
    <s v="Selon notre analyse, nous avons constaté que le HO  complet entre 231 et 229 ,les conditions radio étaient Mauvaise  avant la déconnexion,La requete de deconnexion a ete envoyé par le RBC avec retransmission des trames HDLC "/>
    <m/>
    <x v="1"/>
    <s v="Zone sous surveillance par le noc"/>
    <s v="HO Complet entre 231 et 229 "/>
    <s v="dl Rxqual=7"/>
    <s v="dl rx level=-71"/>
    <s v="OK"/>
    <s v="OK"/>
    <s v="Mauvais"/>
    <s v=" Retransmission des trames HDLC*5"/>
    <m/>
    <s v="Fahd OUSSALH"/>
    <m/>
    <m/>
    <m/>
    <m/>
    <m/>
    <m/>
    <m/>
  </r>
  <r>
    <n v="1371"/>
    <b v="0"/>
    <x v="504"/>
    <d v="1899-12-30T16:49:00"/>
    <n v="1038"/>
    <x v="1"/>
    <x v="1"/>
    <m/>
    <m/>
    <s v="Casa/Tanger"/>
    <n v="93.757999999999996"/>
    <x v="8"/>
    <s v="N2"/>
    <s v="Ralentissement du train"/>
    <s v="Selon notre analyse, nous avons constaté que le HO  complet entre 318 et 317 ,les conditions radio étaient Mauvaise  avant la déconnexion,La requete de deconnexion a ete envoyé par le RBC avec retransmission des trames HDLC "/>
    <s v="Aucune anomalie constatée suite à l’analyse du relevé JRU Présence d'interférences externes"/>
    <x v="2"/>
    <s v="En attente d'un plan d'action optim + Besoin de verification chaine antennaire"/>
    <s v="HO Complet entre 318 et 317"/>
    <s v="dl Rxqual=7"/>
    <s v="dl rx level=-68"/>
    <s v="OK"/>
    <s v="OK"/>
    <s v="Mauvais"/>
    <s v=" Pas Retransmission des trames HDLC"/>
    <m/>
    <s v="Fahd OUSSALH"/>
    <m/>
    <m/>
    <m/>
    <m/>
    <m/>
    <m/>
    <m/>
  </r>
  <r>
    <n v="1372"/>
    <b v="0"/>
    <x v="505"/>
    <d v="1899-12-30T14:20:54"/>
    <n v="2034"/>
    <x v="5"/>
    <x v="0"/>
    <m/>
    <m/>
    <s v="Tanger/Casa"/>
    <n v="73.585999999999999"/>
    <x v="13"/>
    <s v="N2"/>
    <s v="Ralentissement du train"/>
    <s v="Selon notre analyse, nous avons constaté que le HO  complet entre 212 et 213,les conditions radio étaient Mauvais avant la déconnexion,La requete de deconnexion a ete envoyé par le RBC avec retransmission des trames HDLC "/>
    <m/>
    <x v="1"/>
    <s v="Zone sous surveillance par le noc"/>
    <s v=" HO Non finalisé entre 212 et 213"/>
    <s v="dl Rxqual=6"/>
    <s v="dl rx level=-62"/>
    <s v="OK"/>
    <s v="OK"/>
    <s v="Mauvais"/>
    <s v=" Retransmission des trames HDLC*5"/>
    <m/>
    <s v="Fahd OUSSALH"/>
    <m/>
    <m/>
    <m/>
    <m/>
    <m/>
    <m/>
    <m/>
  </r>
  <r>
    <n v="1373"/>
    <b v="0"/>
    <x v="505"/>
    <d v="1899-12-30T22:40:40"/>
    <n v="1061"/>
    <x v="4"/>
    <x v="1"/>
    <m/>
    <m/>
    <s v="Casa/Tanger"/>
    <n v="138.30199999999999"/>
    <x v="26"/>
    <s v="N2"/>
    <s v="Ralentissement du train"/>
    <s v="Selon notre analyse, nous avons constaté que le HO  complet entre 325 et 226,les conditions radio étaient Mauvais avant la déconnexion,La requete de deconnexion a ete envoyé par le RBC avec retransmission des trames HDLC "/>
    <m/>
    <x v="1"/>
    <s v="En attente d'un plan d'action optim"/>
    <s v=" HO  finalisé entre 325 et 226"/>
    <s v="dl Rxqual=5"/>
    <s v="dl rx level=-77"/>
    <s v="NOK"/>
    <s v="NOK"/>
    <s v="Mauvais"/>
    <s v=" Retransmission des trames HDLC*5"/>
    <m/>
    <s v="Saad Elhabib"/>
    <m/>
    <m/>
    <m/>
    <m/>
    <m/>
    <m/>
    <m/>
  </r>
  <r>
    <n v="1374"/>
    <b v="0"/>
    <x v="505"/>
    <d v="1899-12-30T22:40:40"/>
    <n v="1061"/>
    <x v="4"/>
    <x v="1"/>
    <m/>
    <m/>
    <s v="Casa/Tanger"/>
    <n v="164.30199999999999"/>
    <x v="28"/>
    <s v="N2"/>
    <s v="Ralentissement du train"/>
    <s v="Selon notre analyse, nous avons constaté que le HO  complet entre 325 et 226,les conditions radio étaient Mauvais avant la déconnexion,La requete de deconnexion a ete envoyé par le RBC avec retransmission des trames HDLC "/>
    <m/>
    <x v="1"/>
    <s v="En attente d'un plan d'action optim"/>
    <s v=" HO  finalisé entre 325 et 226"/>
    <s v="dl Rxqual=5"/>
    <s v="dl rx level=-77"/>
    <s v="NOK"/>
    <s v="NOK"/>
    <s v="Mauvais"/>
    <s v=" Retransmission des trames HDLC*5"/>
    <m/>
    <s v="Saad Elhabib"/>
    <m/>
    <m/>
    <m/>
    <m/>
    <m/>
    <m/>
    <m/>
  </r>
  <r>
    <n v="1375"/>
    <b v="0"/>
    <x v="506"/>
    <d v="1899-12-30T07:28:08"/>
    <n v="2005"/>
    <x v="8"/>
    <x v="0"/>
    <m/>
    <m/>
    <s v="Tanger/Casa"/>
    <n v="108.206"/>
    <x v="1"/>
    <s v="N2"/>
    <s v="Ralentissement du train"/>
    <s v="Selon notre analyse, nous avons constaté que le HO Non finalisé entre 219 et 320 ,les conditions radio étaient Mauvaise  avant la déconnexion,La requete de deconnexion a ete envoyé par le BORD /Pas de retransmission des trames HDLC "/>
    <m/>
    <x v="1"/>
    <s v="En attente d'un plan d'action optim"/>
    <s v=" HO Non finalisé entre 219 et 320"/>
    <s v="dl Rxqual=7"/>
    <s v="dl rx level=-87"/>
    <s v="OK"/>
    <s v="OK"/>
    <s v="Mauvais"/>
    <s v=" Pas Retransmission des trames HDLC"/>
    <m/>
    <s v="LAGDEM Elmehdi"/>
    <m/>
    <m/>
    <m/>
    <m/>
    <m/>
    <m/>
    <m/>
  </r>
  <r>
    <n v="1376"/>
    <b v="0"/>
    <x v="506"/>
    <d v="1899-12-30T09:37:19"/>
    <n v="2009"/>
    <x v="2"/>
    <x v="1"/>
    <m/>
    <m/>
    <s v="Casa/Tanger"/>
    <n v="164.006"/>
    <x v="28"/>
    <s v="N2"/>
    <s v="Arrêt du train"/>
    <s v="Selon notre analyse, nous avons constaté que le HO  complet entre 329 et 328,les conditions radio étaient bonnes avant la déconnexion,La requete de deconnexion a ete envoyé par le bord avec  retransmission des trames HDLC, suite à des investigations approfondies, la cause racine remonte au bug au niveau du switch RNIS1 qui a souffert d'une micro-coupure ce qui a causé la déconnexion."/>
    <m/>
    <x v="3"/>
    <s v="Instalation d'un nouveau ASI "/>
    <s v="HO Complet entre 329 et 328 "/>
    <s v="dl Rxqual=0"/>
    <s v="dl rx level=-48"/>
    <s v="OK"/>
    <s v="OK"/>
    <s v="Mauvais"/>
    <s v=" Retransmission des trames HDLC*5"/>
    <m/>
    <s v="ISMALI ALAOUI Hamza"/>
    <m/>
    <m/>
    <m/>
    <m/>
    <m/>
    <m/>
    <m/>
  </r>
  <r>
    <n v="1377"/>
    <b v="0"/>
    <x v="506"/>
    <d v="1899-12-30T15:55:10"/>
    <n v="1034"/>
    <x v="2"/>
    <x v="1"/>
    <m/>
    <m/>
    <s v="Casa/Tanger"/>
    <n v="94.953999999999994"/>
    <x v="8"/>
    <s v="N2"/>
    <s v="Ralentissement du train"/>
    <s v="Selon notre analyse, nous avons constaté que le HO Non finalisé entre 318 et 217 ,les conditions radio étaient Mauvaise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61"/>
    <s v="OK"/>
    <s v="OK"/>
    <s v="Mauvais"/>
    <s v=" Retransmission des trames HDLC*5"/>
    <m/>
    <s v="Fahd OUSSALH"/>
    <m/>
    <m/>
    <m/>
    <m/>
    <m/>
    <m/>
    <m/>
  </r>
  <r>
    <n v="1378"/>
    <b v="0"/>
    <x v="507"/>
    <d v="1899-12-30T14:28:33"/>
    <n v="2033"/>
    <x v="7"/>
    <x v="0"/>
    <m/>
    <m/>
    <s v="Tanger/Casa"/>
    <n v="101.587"/>
    <x v="24"/>
    <s v="N2"/>
    <s v="Ralentissement du train"/>
    <s v="Selon notre analyse, nous avons constaté que le HO Non finalisé entre 218 et 219 ,les conditions radio étaient Mauvaise  avant la déconnexion,La requete de deconnexion a ete envoyé par le RBC /retransmission des trames HDLC "/>
    <m/>
    <x v="2"/>
    <s v="En attente d'un plan d'action optim"/>
    <s v=" HO Non finalisé entre 218 et 219"/>
    <s v="dl Rxqual=0"/>
    <s v="dl rx level=-64"/>
    <s v="OK"/>
    <s v="OK"/>
    <s v="Mauvais"/>
    <s v=" Retransmission des trames HDLC*5"/>
    <m/>
    <s v="HARIRI Bahaeddine"/>
    <m/>
    <m/>
    <m/>
    <m/>
    <m/>
    <m/>
    <m/>
  </r>
  <r>
    <n v="1379"/>
    <b v="0"/>
    <x v="507"/>
    <d v="1899-12-30T16:05:03"/>
    <n v="2041"/>
    <x v="11"/>
    <x v="0"/>
    <m/>
    <m/>
    <s v="Tanger/Casa"/>
    <n v="6.13"/>
    <x v="2"/>
    <s v="N2"/>
    <s v="Ralentissement du train"/>
    <s v="Selon notre analyse, nous avons constaté que le HO  Complet entre 202 et 203,les conditions radio étaient Mauvaise avant la déconnexion,La requete de deconnexion a ete envoyé par le Rbc avec retransmission des trames HDLC "/>
    <s v="Les derniers résultats de la vérification chaine antennaire conformes_x000a_Présence d'interférences externes  au niveau du GSMR_02/03_x000a_Probléme GSMR"/>
    <x v="0"/>
    <s v="Besoin de verification chaine antennaire"/>
    <s v=" HO  Complet entre 202 et 203"/>
    <s v="dl Rxqual=7"/>
    <s v="dl rx level=-69"/>
    <s v="OK"/>
    <s v="OK"/>
    <s v="Mauvais"/>
    <s v=" Retransmission des trames HDLC*5"/>
    <m/>
    <s v="HARIRI Bahaeddine"/>
    <m/>
    <m/>
    <m/>
    <m/>
    <m/>
    <m/>
    <m/>
  </r>
  <r>
    <n v="1380"/>
    <b v="0"/>
    <x v="507"/>
    <d v="1899-12-30T20:53:03"/>
    <n v="1053"/>
    <x v="11"/>
    <x v="1"/>
    <m/>
    <m/>
    <s v="Casa/Tanger"/>
    <n v="94.953999999999994"/>
    <x v="8"/>
    <s v="N2"/>
    <s v="Ralentissement du train"/>
    <s v="Selon notre analyse, nous avons constaté que le HO  Complet entre 318 et 317,les conditions radio étaient bonnes avant la déconnexion,La requete de deconnexion a ete envoyé par le Rbc avec retransmission des trames HDLC "/>
    <s v="Aucune anomalie constatée suite à l’analyse du relevé JRU Présence d'interférences externes"/>
    <x v="2"/>
    <s v="En attente d'un plan d'action optim + Besoin de verification chaine antennaire"/>
    <s v=" HO  Complet entre 318 et 317"/>
    <s v="dl Rxqual=7"/>
    <s v="dl rx level=-48"/>
    <s v="OK"/>
    <s v="OK"/>
    <s v="Mauvais"/>
    <s v=" Retransmission des trames HDLC*5"/>
    <m/>
    <s v="Saad Elhabib"/>
    <m/>
    <m/>
    <m/>
    <m/>
    <m/>
    <m/>
    <m/>
  </r>
  <r>
    <n v="1381"/>
    <b v="0"/>
    <x v="508"/>
    <d v="1899-12-30T21:46:36"/>
    <n v="1057"/>
    <x v="2"/>
    <x v="1"/>
    <m/>
    <m/>
    <s v="Casa/Tanger"/>
    <n v="94.953999999999994"/>
    <x v="8"/>
    <s v="N2"/>
    <s v="Ralentissement du train"/>
    <s v="Selon notre analyse, nous avons constaté que le HO  Non finalisé entre 318 et 217 ,les conditions radio étaient Mauvaise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81"/>
    <s v="OK"/>
    <s v="NOK"/>
    <s v="Mauvais"/>
    <s v=" Retransmission des trames HDLC*5"/>
    <m/>
    <s v="Saad Elhabib"/>
    <m/>
    <m/>
    <m/>
    <m/>
    <m/>
    <m/>
    <m/>
  </r>
  <r>
    <n v="1382"/>
    <b v="0"/>
    <x v="509"/>
    <d v="1899-12-30T08:46:52"/>
    <n v="1005"/>
    <x v="0"/>
    <x v="1"/>
    <m/>
    <m/>
    <s v="Casa/Tanger"/>
    <n v="94.953999999999994"/>
    <x v="8"/>
    <s v="N2"/>
    <s v="Ralentissement du train"/>
    <s v="Selon notre analyse, nous avons constaté que le HO  Non finalisé entre 318 et 217 ,les conditions radio étaient mauvaises avant la déconnexion,La requete de deconnexion a ete envoyé par le BORD sans retransmission des trames HDLC "/>
    <s v="Aucune anomalie constatée suite à l’analyse du relevé JRU Présence d'interférences externes"/>
    <x v="2"/>
    <s v="En attente d'un plan d'action optim + Besoin de verification chaine antennaire"/>
    <s v=" HO Non finalisé entre 318 et 217"/>
    <s v="dl Rxqual=6"/>
    <s v="dl rx level=-76"/>
    <s v="OK"/>
    <s v="OK"/>
    <s v="Mauvais"/>
    <s v=" Pas Retransmission des trames HDLC"/>
    <m/>
    <s v="Fahd OUSSALH"/>
    <m/>
    <m/>
    <m/>
    <m/>
    <m/>
    <m/>
    <m/>
  </r>
  <r>
    <n v="1383"/>
    <b v="0"/>
    <x v="509"/>
    <d v="1899-12-30T10:24:49"/>
    <n v="2017"/>
    <x v="0"/>
    <x v="0"/>
    <m/>
    <m/>
    <s v="Tanger/Casa"/>
    <n v="96.316999999999993"/>
    <x v="8"/>
    <s v="N2"/>
    <s v="Ralentissement du train"/>
    <s v="Selon notre analyse, nous avons constaté que le HO complet entre 217 et 316 avec downlink quality ,les conditions radio étaient mauvaises avant la déconnexion,La requete de deconnexion a ete envoyé par le RBC suite au retransmission des trames HDLC "/>
    <s v="Aucune anomalie constatée suite à l’analyse du relevé JRU Présence d'interférences externes"/>
    <x v="2"/>
    <s v="En attente d'un plan d'action optim + Besoin de verification chaine antennaire"/>
    <s v=" HO complet entre 217 et 316"/>
    <s v="dl Rxqual=7"/>
    <s v="dl rx level=-101"/>
    <s v="OK"/>
    <s v="OK"/>
    <s v="Mauvais"/>
    <s v=" Retransmission des trames HDLC*5"/>
    <m/>
    <s v="Fahd OUSSALH"/>
    <m/>
    <m/>
    <m/>
    <m/>
    <m/>
    <m/>
    <m/>
  </r>
  <r>
    <n v="1384"/>
    <b v="0"/>
    <x v="509"/>
    <d v="1899-12-30T13:27:39"/>
    <n v="1025"/>
    <x v="8"/>
    <x v="1"/>
    <m/>
    <m/>
    <s v="Tanger/Casa"/>
    <n v="181.626"/>
    <x v="4"/>
    <s v="N2"/>
    <s v="Ralentissement du train"/>
    <s v="Selon notre analyse, nous avons constaté que le HO  Complet entre 332 et 331,les conditions radio étaient bonnes avant la déconnexion,La requete de deconnexion a ete envoyé par le RBC sans de retransmission des trames HDLC "/>
    <s v="Les derniers résultats de la vérification chaine antennaire conformes_x000a_Présence d'interférences externes  au niveau du GSMR_02/03_x000a_Probléme GSMR"/>
    <x v="3"/>
    <s v="En attente de pousser les analyses coté RBC"/>
    <s v=" HO  Complet entre 332 et 331"/>
    <s v="dl Rxqual=0"/>
    <s v="dl rx level=-62"/>
    <s v="OK"/>
    <s v="OK"/>
    <s v="Mauvais"/>
    <s v=" Pas Retransmission des trames HDLC"/>
    <m/>
    <s v="HARIRI Bahaeddine"/>
    <m/>
    <m/>
    <m/>
    <m/>
    <m/>
    <m/>
    <m/>
  </r>
  <r>
    <n v="1385"/>
    <b v="0"/>
    <x v="509"/>
    <d v="1899-12-30T17:28:37"/>
    <n v="2017"/>
    <x v="9"/>
    <x v="0"/>
    <m/>
    <m/>
    <s v="Tanger/Casa"/>
    <n v="108.206"/>
    <x v="1"/>
    <s v="N2"/>
    <s v="Ralentissement du train"/>
    <s v="Selon notre analyse, nous avons constaté que le HO  Non finalise entre 219 et 320,les conditions radio étaient Mauvaises avant la déconnexion,La requete de deconnexion a ete envoyé par le RBC suite  de  retransmission des trames HDLC "/>
    <s v="Les derniers résultats de la vérification chaine antennaire conformes_x000a_Présence d'interférences externes  au niveau du GSMR_02/03_x000a_Probléme GSMR"/>
    <x v="2"/>
    <s v="En attente d'un plan d'action optim + Besoin de verification chaine antennaire"/>
    <s v=" HO  Non finalisé entre 219 et 320"/>
    <s v="dl Rxqual=7"/>
    <s v="dl rx level=-82"/>
    <s v="OK"/>
    <s v="OK"/>
    <s v="Mauvais"/>
    <s v=" Retransmission des trames HDLC*5"/>
    <m/>
    <s v="HARIRI Bahaeddine"/>
    <m/>
    <m/>
    <m/>
    <m/>
    <m/>
    <m/>
    <m/>
  </r>
  <r>
    <n v="1386"/>
    <b v="0"/>
    <x v="510"/>
    <d v="1899-12-30T12:05:33"/>
    <n v="2025"/>
    <x v="7"/>
    <x v="0"/>
    <m/>
    <m/>
    <s v="Tanger/Casa"/>
    <n v="6.13"/>
    <x v="2"/>
    <s v="N2"/>
    <s v="Arrêt du train"/>
    <s v="Selon notre analyse, nous avons constaté que le HO Complet entre 202 et 203,les conditions radio étaient Mauvaises avant la déconnexion,La requete de deconnexion a ete envoyé par le RBC suite  de  retransmission des trames HDLC "/>
    <s v="Les derniers résultats de la vérification chaine antennaire conformes_x000a_Présence d'interférences externes  au niveau du GSMR_02/03_x000a_Probléme GSMR"/>
    <x v="0"/>
    <s v="En attente du mise en place des tirroirs filtrés"/>
    <s v=" HO  Complet entre 202 et 203"/>
    <s v="dl Rxqual=7"/>
    <s v="dl rx level=-73"/>
    <s v="NOK"/>
    <s v="OK"/>
    <s v="Mauvais"/>
    <s v=" Retransmission des trames HDLC*5"/>
    <m/>
    <s v="ELGUEZZAR Anas"/>
    <m/>
    <m/>
    <m/>
    <m/>
    <m/>
    <m/>
    <m/>
  </r>
  <r>
    <n v="1387"/>
    <b v="0"/>
    <x v="510"/>
    <d v="1899-12-30T17:46:43"/>
    <n v="2017"/>
    <x v="2"/>
    <x v="1"/>
    <m/>
    <m/>
    <s v="Casa/Tanger"/>
    <n v="94.953999999999994"/>
    <x v="8"/>
    <s v="N2"/>
    <s v="Ralentissement du train"/>
    <s v="Selon notre analyse, nous avons constaté que le HO  Non finalise entre 318 et 217,les conditions radio étaient Mauvaises  avant la déconnexion,La requete de deconnexion a ete envoyé par le BORD sans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82"/>
    <s v="OK"/>
    <s v="OK"/>
    <s v="Mauvais"/>
    <s v=" Pas Retransmission des trames HDLC"/>
    <m/>
    <s v="HARIRI Bahaeddine"/>
    <m/>
    <m/>
    <m/>
    <m/>
    <m/>
    <m/>
    <m/>
  </r>
  <r>
    <n v="1388"/>
    <b v="0"/>
    <x v="511"/>
    <d v="1899-12-30T23:49:30"/>
    <n v="10091"/>
    <x v="2"/>
    <x v="1"/>
    <m/>
    <m/>
    <s v="Casa/Tanger"/>
    <n v="94.953999999999994"/>
    <x v="8"/>
    <s v="N2"/>
    <s v="Ralentissement du train"/>
    <s v="Selon notre analyse, nous avons constaté que le HO  Non finalise entre 318 et 217,les conditions radio étaient Mauvaises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78"/>
    <s v="OK"/>
    <s v="OK"/>
    <s v="Mauvais"/>
    <s v=" Retransmission des trames HDLC*5"/>
    <m/>
    <s v="ELHAJOUIA Achraf"/>
    <m/>
    <m/>
    <m/>
    <m/>
    <m/>
    <m/>
    <m/>
  </r>
  <r>
    <n v="1389"/>
    <b v="0"/>
    <x v="512"/>
    <d v="1899-12-30T08:40:32"/>
    <n v="1005"/>
    <x v="0"/>
    <x v="1"/>
    <m/>
    <m/>
    <s v="Casa/Tanger"/>
    <n v="122.536"/>
    <x v="30"/>
    <s v="N2"/>
    <s v="Ralentissement du train"/>
    <s v="Selon notre analyse, nous avons constaté que le HO  Non finalise entre 222 et 321,les conditions radio étaient bonnes  avant la déconnexion,La requete de deconnexion a ete envoyé par le BORD sans retransmission des trames HDLC "/>
    <m/>
    <x v="2"/>
    <s v="En attente d'un plan d'action optim + Besoin de verification chaine antennaire"/>
    <s v=" HO  Non finalisé entre 222 et  321"/>
    <s v="dl Rxqual=2"/>
    <s v="dl rx level=-77"/>
    <s v="OK"/>
    <s v="OK"/>
    <s v="Mauvais"/>
    <s v=" Pas Retransmission des trames HDLC"/>
    <m/>
    <s v="Noura MOUSSAOUI"/>
    <m/>
    <m/>
    <s v="Mesures radio en UPLINK dégradé"/>
    <m/>
    <m/>
    <m/>
    <m/>
  </r>
  <r>
    <n v="1390"/>
    <b v="0"/>
    <x v="512"/>
    <d v="1899-12-30T10:47:12"/>
    <n v="1013"/>
    <x v="2"/>
    <x v="1"/>
    <m/>
    <m/>
    <s v="Casa/Tanger"/>
    <n v="94.953999999999994"/>
    <x v="8"/>
    <s v="N2"/>
    <s v="Ralentissement du train"/>
    <s v="Selon notre analyse, nous avons constaté que le HO  Non finalise entre 222 et 321,les conditions radio étaient Mauvaises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80"/>
    <s v="OK"/>
    <s v="OK"/>
    <s v="Mauvais"/>
    <s v=" Retransmission des trames HDLC*5"/>
    <m/>
    <s v="Noura MOUSSAOUI"/>
    <m/>
    <m/>
    <m/>
    <m/>
    <m/>
    <m/>
    <m/>
  </r>
  <r>
    <n v="1391"/>
    <b v="0"/>
    <x v="512"/>
    <d v="1899-12-30T11:59:19"/>
    <n v="1017"/>
    <x v="8"/>
    <x v="1"/>
    <m/>
    <m/>
    <s v="Casa/Tanger"/>
    <n v="37.917000000000002"/>
    <x v="14"/>
    <s v="N2"/>
    <s v="Ralentissement du train"/>
    <s v="Selon notre analyse, nous avons constaté que le HO complet entre 308 et 307,les conditions radio étaient bonnes  avant la déconnexion,La requete de deconnexion a ete envoyé par le BORD avec retransmission des trames HDLC "/>
    <m/>
    <x v="0"/>
    <s v="Besoin de verification chaine antennaire"/>
    <s v=" HO Complet entre 308 et  307"/>
    <s v="dl Rxqual=2"/>
    <s v="dl rx level=-60"/>
    <s v="OK"/>
    <s v="NOK"/>
    <s v="Mauvais"/>
    <s v=" Retransmission des trames HDLC*5"/>
    <m/>
    <s v="Noura MOUSSAOUI"/>
    <m/>
    <m/>
    <m/>
    <m/>
    <m/>
    <m/>
    <m/>
  </r>
  <r>
    <n v="1392"/>
    <b v="0"/>
    <x v="512"/>
    <d v="1899-12-30T16:47:12"/>
    <n v="1037"/>
    <x v="2"/>
    <x v="1"/>
    <m/>
    <m/>
    <s v="Casa/Tanger"/>
    <n v="94.953999999999994"/>
    <x v="8"/>
    <s v="N2"/>
    <s v="Ralentissement du train"/>
    <s v="Selon notre analyse, nous avons constaté que le HO  Non finalise entre 318 et 317,les conditions radio étaient Mauvaises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83"/>
    <s v="OK"/>
    <s v="OK"/>
    <s v="Mauvais"/>
    <s v=" Retransmission des trames HDLC*5"/>
    <m/>
    <s v="Saad Elhabib"/>
    <m/>
    <m/>
    <m/>
    <m/>
    <m/>
    <m/>
    <m/>
  </r>
  <r>
    <n v="1393"/>
    <b v="0"/>
    <x v="513"/>
    <d v="1899-12-30T10:46:13"/>
    <n v="1013"/>
    <x v="0"/>
    <x v="1"/>
    <m/>
    <m/>
    <s v="Casa/Tanger"/>
    <n v="94.953999999999994"/>
    <x v="8"/>
    <s v="N2"/>
    <s v="Ralentissement du train"/>
    <s v="Selon notre analyse, nous avons constaté que le HO  Non finalise entre 318 et 217,les conditions radio étaient Mauvaises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317"/>
    <s v="dl Rxqual=7"/>
    <s v="dl rx level=-84"/>
    <s v="OK"/>
    <s v="OK"/>
    <s v="Mauvais"/>
    <s v=" Retransmission des trames HDLC*5"/>
    <m/>
    <s v="Noura MOUSSAOUI"/>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8">
  <r>
    <n v="1"/>
    <x v="0"/>
    <x v="0"/>
    <d v="1899-12-30T09:20:26"/>
    <n v="2013"/>
    <x v="0"/>
    <x v="0"/>
    <n v="1037"/>
    <n v="35214500045488"/>
    <s v="Tanger/Casa"/>
    <n v="68.956000000000003"/>
    <x v="0"/>
    <s v="N2"/>
    <x v="0"/>
    <s v="H.O non finalisé entre 212 et 213,bonne qualité / niveau de signal Requête de déconnexion a été envoyé par le RBC"/>
    <m/>
    <x v="0"/>
    <m/>
    <s v="H.O non finalisé entre 212 et 213"/>
    <s v="dl Rxqual=3"/>
    <s v="dl rx level= -63 dbm"/>
    <s v="NOK"/>
    <s v="NOK"/>
    <s v="moyenne"/>
    <s v="retransmission des trames HDLC*5"/>
    <m/>
    <m/>
    <m/>
    <m/>
    <m/>
    <m/>
    <m/>
    <m/>
    <m/>
  </r>
  <r>
    <n v="2"/>
    <x v="0"/>
    <x v="1"/>
    <d v="1899-12-30T10:28:18"/>
    <n v="2017"/>
    <x v="1"/>
    <x v="0"/>
    <n v="1029"/>
    <n v="35214500045449"/>
    <s v="Tanger/Casa"/>
    <n v="108.206"/>
    <x v="1"/>
    <s v="N2"/>
    <x v="0"/>
    <s v="H.O non finalisé entre 219 et 220,bonne qualité / niveau de signal Requête de déconnexion a été envoyé par le RBC"/>
    <m/>
    <x v="1"/>
    <s v="dans l'attente des mesures radio "/>
    <s v="recule non reussi entre 219 et 220"/>
    <s v="dl Rxqual=3"/>
    <s v="dl rx level= -78 dbm"/>
    <s v="NOK"/>
    <s v="OK"/>
    <s v="Mauvais"/>
    <s v="retransmission des trames HDLC*5"/>
    <m/>
    <m/>
    <m/>
    <m/>
    <m/>
    <m/>
    <m/>
    <m/>
    <m/>
  </r>
  <r>
    <n v="3"/>
    <x v="0"/>
    <x v="1"/>
    <d v="1899-12-30T08:05:42"/>
    <n v="2009"/>
    <x v="2"/>
    <x v="0"/>
    <n v="7217"/>
    <n v="35214500044557"/>
    <s v="Tanger/Casa"/>
    <n v="6.13"/>
    <x v="2"/>
    <s v="N2"/>
    <x v="0"/>
    <s v="recule non reussi  202 et 201,Mauvaise qualité de signal Requête de déconnexion a été envoyé par le RBC"/>
    <m/>
    <x v="2"/>
    <m/>
    <s v="recule non reussi entre 202 et 201"/>
    <s v="dl Rxqual=7"/>
    <s v="dl rx level= -53 dbm"/>
    <s v="NOK"/>
    <s v="OK"/>
    <s v="Mauvais"/>
    <s v="retransmission des trames HDLC*5"/>
    <m/>
    <m/>
    <m/>
    <m/>
    <m/>
    <m/>
    <m/>
    <m/>
    <m/>
  </r>
  <r>
    <n v="4"/>
    <x v="0"/>
    <x v="2"/>
    <d v="1899-12-30T16:05:51"/>
    <n v="2041"/>
    <x v="3"/>
    <x v="0"/>
    <n v="1046"/>
    <n v="35214500038730"/>
    <s v="Tanger/Casa"/>
    <n v="6.13"/>
    <x v="2"/>
    <s v="N2"/>
    <x v="1"/>
    <s v="H.O non finalisé entre 202 et 203,Mauvaise qualité  de signal Requête de déconnexion a été envoyé par le RBC"/>
    <m/>
    <x v="1"/>
    <s v="Le 14/01 Changement de cable coaxial  de la rame 1207 M1 "/>
    <s v="H.O non finalisé entre 202 et 203"/>
    <s v="dl Rxqual=7"/>
    <s v="dl rx level= -53 dbm"/>
    <s v="NOK"/>
    <s v="OK"/>
    <s v="moyenne"/>
    <s v="retransmission des trames HDLC*5"/>
    <m/>
    <m/>
    <m/>
    <m/>
    <m/>
    <m/>
    <m/>
    <m/>
    <m/>
  </r>
  <r>
    <n v="5"/>
    <x v="0"/>
    <x v="3"/>
    <d v="1899-12-30T14:35:49"/>
    <n v="2033"/>
    <x v="4"/>
    <x v="0"/>
    <n v="7208"/>
    <n v="35214500004427"/>
    <s v="Tanger/Casa"/>
    <n v="147.876"/>
    <x v="3"/>
    <s v="N2"/>
    <x v="0"/>
    <s v="enchainement 325-&gt;226-&gt;228-&gt;227 ; mauvaise  qualité de signal , requête déconnexion envoyé par le RBC"/>
    <m/>
    <x v="2"/>
    <s v="le 09/01  verification de VSWR de l'antenne de la rame 1209 M1"/>
    <s v="325-&gt;226-&gt;228-&gt;227"/>
    <s v="dl Rxqual=7"/>
    <s v="dl rx level= -97 dbm"/>
    <s v="NOK"/>
    <m/>
    <s v="moyenne"/>
    <s v="retransmission des trames HDLC*3"/>
    <m/>
    <m/>
    <m/>
    <m/>
    <m/>
    <m/>
    <m/>
    <m/>
    <m/>
  </r>
  <r>
    <n v="6"/>
    <x v="0"/>
    <x v="4"/>
    <d v="1899-12-30T12:36:13"/>
    <n v="2025"/>
    <x v="3"/>
    <x v="0"/>
    <n v="1046"/>
    <n v="35214500038730"/>
    <s v="Tanger/Casa"/>
    <n v="147.876"/>
    <x v="3"/>
    <s v="N2"/>
    <x v="0"/>
    <s v="recule de la cellule 327 vers la cellule 325 , bonne qualité/niveau de signal , requête déconnexion envoyé par le RBC"/>
    <m/>
    <x v="2"/>
    <m/>
    <s v="recule 327 vers 325"/>
    <s v="dl Rxqual=0"/>
    <s v="dl rx level= -79 dbm"/>
    <s v="NOK"/>
    <s v="OK"/>
    <s v="moyenne"/>
    <s v="retransmission des trames HDLC*5"/>
    <m/>
    <m/>
    <m/>
    <m/>
    <m/>
    <m/>
    <m/>
    <m/>
    <m/>
  </r>
  <r>
    <n v="7"/>
    <x v="0"/>
    <x v="5"/>
    <d v="1899-12-30T17:04:36"/>
    <n v="1037"/>
    <x v="5"/>
    <x v="1"/>
    <n v="1026"/>
    <n v="35214500045083"/>
    <s v="Casa/Tanger"/>
    <n v="7.3209999999999997"/>
    <x v="2"/>
    <s v="N2"/>
    <x v="1"/>
    <s v="H.O complet  entre 303 et 202,Mauvaise qualité  de signal Requête de déconnexion a été envoyé par le Bord"/>
    <m/>
    <x v="1"/>
    <m/>
    <s v="H.O Complet entre 303 et 202"/>
    <s v="dl Rxqual=7"/>
    <s v="dl rx level= -57 dbm"/>
    <s v="OK"/>
    <s v="OK"/>
    <s v="moyenne"/>
    <s v="retransmission des trames HDLC*5"/>
    <m/>
    <m/>
    <m/>
    <m/>
    <m/>
    <m/>
    <m/>
    <m/>
    <m/>
  </r>
  <r>
    <n v="8"/>
    <x v="0"/>
    <x v="5"/>
    <d v="1899-12-30T10:42:39"/>
    <n v="2017"/>
    <x v="6"/>
    <x v="0"/>
    <n v="1057"/>
    <n v="35214500045187"/>
    <s v="Tanger/Casa"/>
    <n v="179.149"/>
    <x v="4"/>
    <s v="N2"/>
    <x v="0"/>
    <s v="H.O non finalisé entre 230 et 231,bonne qualité / niveau de signal Requête de déconnexion a été envoyé par le RBC"/>
    <m/>
    <x v="0"/>
    <m/>
    <s v="H.O non finalisé entre 230 et 231"/>
    <s v="dl Rxqual=2"/>
    <s v="dl rx level= -69 dbm"/>
    <s v="OK"/>
    <s v="OK"/>
    <s v="moyenne"/>
    <s v="retransmission des trames HDLC*5"/>
    <m/>
    <m/>
    <m/>
    <m/>
    <m/>
    <m/>
    <m/>
    <m/>
    <m/>
  </r>
  <r>
    <n v="9"/>
    <x v="0"/>
    <x v="6"/>
    <d v="1899-12-30T16:24:53"/>
    <n v="1037"/>
    <x v="7"/>
    <x v="1"/>
    <n v="1040"/>
    <m/>
    <s v="Casa/Tanger"/>
    <n v="202.125"/>
    <x v="5"/>
    <s v="N2"/>
    <x v="0"/>
    <s v="H.O complet  entre 234 et 333,Mauvaise qualité  de signal Requête de déconnexion a été envoyé par le RBC"/>
    <m/>
    <x v="1"/>
    <m/>
    <s v="H.O Complet entre 234 et 333"/>
    <s v="dl Rxqual=7"/>
    <s v="dl rx level= -65 dbm"/>
    <s v="NOK"/>
    <s v="OK"/>
    <s v="moyenne"/>
    <s v="retransmission des trames HDLC*5"/>
    <m/>
    <m/>
    <m/>
    <m/>
    <m/>
    <m/>
    <m/>
    <m/>
    <m/>
  </r>
  <r>
    <n v="10"/>
    <x v="0"/>
    <x v="7"/>
    <d v="1899-12-30T20:46:39"/>
    <m/>
    <x v="8"/>
    <x v="1"/>
    <n v="1022"/>
    <n v="35214500045326"/>
    <s v="Casa/Tanger"/>
    <n v="127.815"/>
    <x v="6"/>
    <s v="N2"/>
    <x v="0"/>
    <s v="H.O non finalisé entre 223 et 222,Mauvaise qualité de signal Requête de déconnexion a été envoyé par le RBC"/>
    <m/>
    <x v="1"/>
    <m/>
    <s v="H.O non finalisé entre 223 et 222"/>
    <s v="dl Rxqual=7"/>
    <s v="dl rx level= -66 dbm"/>
    <s v="OK"/>
    <s v="OK"/>
    <s v="Mauvais"/>
    <s v="retransmission des trames HDLC*5"/>
    <m/>
    <m/>
    <m/>
    <m/>
    <m/>
    <m/>
    <m/>
    <m/>
    <m/>
  </r>
  <r>
    <n v="11"/>
    <x v="0"/>
    <x v="7"/>
    <d v="1899-12-30T17:12:56"/>
    <n v="1037"/>
    <x v="5"/>
    <x v="1"/>
    <n v="1026"/>
    <n v="35214500045083"/>
    <s v="Casa/Tanger"/>
    <n v="7.3209999999999997"/>
    <x v="2"/>
    <s v="N2"/>
    <x v="1"/>
    <s v="H.O complet  entre 303 et 202,Mauvaise qualité  de signal Requête de déconnexion a été envoyé par le RBC"/>
    <m/>
    <x v="2"/>
    <m/>
    <s v="H.O Complet entre 303 et 202"/>
    <s v="dl Rxqual=7"/>
    <s v="dl rx level= -57 dbm"/>
    <s v="OK"/>
    <s v="OK"/>
    <s v="moyenne"/>
    <s v="retransmission des trames HDLC*5"/>
    <m/>
    <m/>
    <m/>
    <m/>
    <m/>
    <m/>
    <m/>
    <m/>
    <m/>
  </r>
  <r>
    <n v="12"/>
    <x v="0"/>
    <x v="8"/>
    <d v="1899-12-30T18:27:36"/>
    <n v="2049"/>
    <x v="4"/>
    <x v="0"/>
    <n v="7208"/>
    <n v="35214500004427"/>
    <s v="Tanger/Casa"/>
    <n v="108.206"/>
    <x v="1"/>
    <s v="N2"/>
    <x v="0"/>
    <s v="H.O complet  entre 219 et 320,Mauvaise qualité de signal Requête de déconnexion a été envoyé par le Bord"/>
    <m/>
    <x v="0"/>
    <m/>
    <s v="H.O Complet entre 219 et 320"/>
    <s v="dl Rxqual=7"/>
    <s v="dl rx level= -70 dbm"/>
    <s v="OK"/>
    <s v="OK"/>
    <s v="moyenne"/>
    <s v="retransmission des trames HDLC*3"/>
    <m/>
    <m/>
    <m/>
    <m/>
    <m/>
    <m/>
    <m/>
    <m/>
    <m/>
  </r>
  <r>
    <n v="13"/>
    <x v="0"/>
    <x v="9"/>
    <d v="1899-12-30T17:11:55"/>
    <n v="2045"/>
    <x v="0"/>
    <x v="0"/>
    <n v="1037"/>
    <n v="35214500045488"/>
    <s v="Tanger/Casa"/>
    <n v="25.91"/>
    <x v="7"/>
    <s v="N2"/>
    <x v="0"/>
    <s v="H.O non finalisé entre 205 et 206,Mauvaise qualité de signal Requête de déconnexion a été envoyé par le RBC"/>
    <m/>
    <x v="0"/>
    <m/>
    <s v="H.O non finalisé entre 205 et 206"/>
    <s v="dl Rxqual=6"/>
    <s v="dl rx level= -87 dbm"/>
    <s v="NOK"/>
    <s v="OK"/>
    <s v="moyenne"/>
    <s v="retransmission des trames HDLC*5"/>
    <m/>
    <m/>
    <m/>
    <m/>
    <m/>
    <m/>
    <m/>
    <m/>
    <m/>
  </r>
  <r>
    <n v="14"/>
    <x v="0"/>
    <x v="9"/>
    <d v="1899-12-30T22:28:59"/>
    <n v="1061"/>
    <x v="6"/>
    <x v="1"/>
    <n v="1072"/>
    <n v="35214500045424"/>
    <s v="Casa/Tanger"/>
    <n v="177.85"/>
    <x v="4"/>
    <s v="N2"/>
    <x v="0"/>
    <s v="recule  de la cellule 330vers la cellue 331,Mauvaise qualité de signal Requête de déconnexion a été envoyé par le RBC"/>
    <m/>
    <x v="0"/>
    <m/>
    <s v="Recule de 330  vers 331"/>
    <s v="dl Rxqual=7"/>
    <s v="dl rx level= -68 dbm"/>
    <s v="OK"/>
    <s v="OK"/>
    <s v="Bon"/>
    <s v="retransmission des trames HDLC*5"/>
    <m/>
    <m/>
    <m/>
    <m/>
    <m/>
    <m/>
    <m/>
    <m/>
    <m/>
  </r>
  <r>
    <n v="15"/>
    <x v="0"/>
    <x v="10"/>
    <d v="1899-12-30T18:35:18"/>
    <n v="2049"/>
    <x v="9"/>
    <x v="0"/>
    <n v="1052"/>
    <n v="35214500043740"/>
    <s v="Tanger/Casa"/>
    <n v="144.32599999999999"/>
    <x v="3"/>
    <s v="N2"/>
    <x v="1"/>
    <s v="H.O complet  entre 224 et 225,Bonne  qualité  de signal Requête de déconnexion a été envoyé par le RBC"/>
    <m/>
    <x v="0"/>
    <m/>
    <s v="H.O Complet entre 224 et 225"/>
    <s v="dl Rxqual=1"/>
    <s v="dl rx level= -64 dbm"/>
    <s v="OK"/>
    <s v="OK"/>
    <s v="Mauvais"/>
    <s v="pas de retransmission des trames HDLC"/>
    <m/>
    <m/>
    <m/>
    <m/>
    <m/>
    <m/>
    <m/>
    <m/>
    <m/>
  </r>
  <r>
    <n v="16"/>
    <x v="0"/>
    <x v="11"/>
    <d v="1899-12-30T19:45:40"/>
    <m/>
    <x v="9"/>
    <x v="1"/>
    <n v="1030"/>
    <n v="35214500045348"/>
    <s v="Casa/Tanger"/>
    <n v="96.316999999999993"/>
    <x v="8"/>
    <s v="N2"/>
    <x v="0"/>
    <s v="H.O complet  entre 319 et 318,Bonne  qualité /niveau  de signal Requête de déconnexion a été envoyé a travers la BTS"/>
    <m/>
    <x v="3"/>
    <s v="En attente de verification des traces RBC"/>
    <s v="H.O Complet entre 319 et318"/>
    <s v="dl Rxqual=0"/>
    <s v="dl rx level= -56 dbm"/>
    <s v="OK"/>
    <s v="NOK"/>
    <s v="moyenne"/>
    <s v="retransmission des trames HDLC*5"/>
    <m/>
    <m/>
    <m/>
    <m/>
    <m/>
    <m/>
    <m/>
    <m/>
    <m/>
  </r>
  <r>
    <n v="17"/>
    <x v="0"/>
    <x v="12"/>
    <d v="1899-12-30T18:39:59"/>
    <n v="1045"/>
    <x v="3"/>
    <x v="1"/>
    <n v="1007"/>
    <m/>
    <s v="Casa/Tanger"/>
    <n v="127.815"/>
    <x v="6"/>
    <s v="N2"/>
    <x v="0"/>
    <s v="deux tentative de H.O nn reussi entre 323 et 322 ,mauvaise qualité de signal , requête déconnexion envoyé par le RBC"/>
    <m/>
    <x v="1"/>
    <s v=" Permutation des cartes radio active / stand by au niveau de la cellule 22 le 05/02"/>
    <s v="H.O non finalisé entre 323 et 22"/>
    <s v="dl Rxqual=6"/>
    <s v="dl rx level= -77 dbm"/>
    <s v="OK"/>
    <s v="OK"/>
    <s v="Mauvais"/>
    <s v="retransmission des trames HDLC*5"/>
    <m/>
    <m/>
    <m/>
    <m/>
    <m/>
    <m/>
    <m/>
    <m/>
    <m/>
  </r>
  <r>
    <n v="18"/>
    <x v="0"/>
    <x v="12"/>
    <d v="1899-12-30T19:29:16"/>
    <n v="1049"/>
    <x v="6"/>
    <x v="1"/>
    <n v="1020"/>
    <n v="35214500045494"/>
    <s v="Casa/Tanger"/>
    <n v="177.85"/>
    <x v="4"/>
    <s v="N2"/>
    <x v="0"/>
    <s v="ping pong / recule non reussi entre 331 eeet 232 ,Mauvaise qualité   de signal Requête de déconnexion a été envoyé par le Bord"/>
    <m/>
    <x v="0"/>
    <s v="Attente reponse ingenieurie  SMM-RGV"/>
    <s v="Ping pong entre 330 et 331"/>
    <s v="dl Rxqual=5"/>
    <s v="dl rx level= -63 dbm"/>
    <s v="OK"/>
    <s v="OK"/>
    <s v="Bon"/>
    <s v="retransmission des trames HDLC*5"/>
    <m/>
    <m/>
    <m/>
    <m/>
    <m/>
    <m/>
    <m/>
    <m/>
    <m/>
  </r>
  <r>
    <n v="19"/>
    <x v="0"/>
    <x v="12"/>
    <d v="1899-12-30T09:38:49"/>
    <n v="2013"/>
    <x v="6"/>
    <x v="0"/>
    <n v="1056"/>
    <n v="35214500045217"/>
    <s v="Tanger/Casa"/>
    <n v="162.89500000000001"/>
    <x v="9"/>
    <s v="N2"/>
    <x v="0"/>
    <s v="H.O complet  entre 327 et 328,Bonne  qualité /niveau  de signal Requête de déconnexion a été envoyé a travers la BTS"/>
    <m/>
    <x v="4"/>
    <m/>
    <s v="H.O Complet entre 327et328"/>
    <s v="dl Rxqual=0"/>
    <s v="dl rx level= -48 dbm"/>
    <s v="OK"/>
    <s v="NOK"/>
    <s v="Mauvais"/>
    <s v="retransmission des trames HDLC*5"/>
    <m/>
    <m/>
    <m/>
    <m/>
    <m/>
    <m/>
    <m/>
    <m/>
    <m/>
  </r>
  <r>
    <n v="20"/>
    <x v="0"/>
    <x v="12"/>
    <d v="1899-12-30T09:38:50"/>
    <m/>
    <x v="1"/>
    <x v="1"/>
    <n v="3063"/>
    <n v="35214500046055"/>
    <s v="Casa/Tanger"/>
    <n v="130.48400000000001"/>
    <x v="10"/>
    <s v="N2"/>
    <x v="0"/>
    <s v="H.O complet  entre 324 et 323,Bonne  qualité /niveau  de signal Requête de déconnexion a été envoyé a travers la BTS"/>
    <m/>
    <x v="4"/>
    <m/>
    <s v="H.O Complet entre 324 et323"/>
    <s v="dl Rxqual=0"/>
    <s v="dl rx level= -48 dbm"/>
    <s v="OK"/>
    <s v="NOK"/>
    <s v="Mauvais"/>
    <s v="retransmission des trames HDLC*5"/>
    <m/>
    <m/>
    <m/>
    <m/>
    <m/>
    <m/>
    <m/>
    <m/>
    <m/>
  </r>
  <r>
    <n v="21"/>
    <x v="0"/>
    <x v="13"/>
    <d v="1899-12-30T07:36:22"/>
    <n v="10075"/>
    <x v="6"/>
    <x v="1"/>
    <n v="1020"/>
    <n v="35214500045494"/>
    <s v="Casa/Tanger"/>
    <n v="79.281999999999996"/>
    <x v="11"/>
    <s v="N2"/>
    <x v="0"/>
    <s v="H.O complet  entre 315 et 314,Bonne  qualité /niveau  de signal Requête de déconnexion a été envoyé par RBC"/>
    <m/>
    <x v="0"/>
    <s v="Attente reponse ingenieurie  SMM-RGV"/>
    <s v="H.O Complet entre 315 et314"/>
    <s v="dl Rxqual=0"/>
    <s v="dl rx level= -59 dbm"/>
    <s v="OK"/>
    <s v="OK"/>
    <s v="Mauvais"/>
    <s v="pas de retransmission des trames HDLC"/>
    <m/>
    <m/>
    <m/>
    <m/>
    <m/>
    <m/>
    <m/>
    <m/>
    <m/>
  </r>
  <r>
    <n v="22"/>
    <x v="0"/>
    <x v="14"/>
    <d v="1899-12-30T11:05:56"/>
    <n v="1013"/>
    <x v="1"/>
    <x v="1"/>
    <n v="3062"/>
    <m/>
    <s v="Casa/Tanger"/>
    <n v="7.3209999999999997"/>
    <x v="2"/>
    <s v="N2"/>
    <x v="0"/>
    <s v="H.O complet  entre 303 et 202,Bonne  qualité /niveau  de signal Requête de déconnexion a été envoyé par RBC"/>
    <m/>
    <x v="5"/>
    <s v="Programmer une reunion afin d'analyser les traces "/>
    <s v="H.O Complet entre 303 et202"/>
    <s v="dl Rxqual=0"/>
    <s v="dl rx level= -53 dbm"/>
    <s v="OK"/>
    <s v="OK"/>
    <s v="Bon"/>
    <s v="retransmission des trames HDLC*5"/>
    <m/>
    <m/>
    <m/>
    <m/>
    <m/>
    <m/>
    <m/>
    <m/>
    <m/>
  </r>
  <r>
    <n v="23"/>
    <x v="0"/>
    <x v="15"/>
    <d v="1899-12-30T11:25:11"/>
    <n v="2021"/>
    <x v="3"/>
    <x v="0"/>
    <n v="1047"/>
    <n v="35214500038727"/>
    <s v="Tanger/Casa"/>
    <n v="91.364999999999995"/>
    <x v="12"/>
    <s v="N2"/>
    <x v="0"/>
    <s v="H.O complet  entre 216 et 217,Bonne  qualité /niveau  de signal Requête de déconnexion a été envoyé par RBC"/>
    <m/>
    <x v="4"/>
    <m/>
    <s v="H.O Complet entre 216 et217"/>
    <s v="dl Rxqual=0"/>
    <s v="dl rx level= -48 dbm"/>
    <s v="OK"/>
    <s v="OK"/>
    <m/>
    <s v="retransmission des trames HDLC*5"/>
    <m/>
    <m/>
    <m/>
    <m/>
    <m/>
    <m/>
    <m/>
    <m/>
    <m/>
  </r>
  <r>
    <n v="24"/>
    <x v="0"/>
    <x v="15"/>
    <d v="1899-12-30T08:05:00"/>
    <n v="2009"/>
    <x v="4"/>
    <x v="0"/>
    <n v="7208"/>
    <n v="35214500004427"/>
    <s v="Tanger/Casa"/>
    <n v="5.73"/>
    <x v="2"/>
    <s v="N2"/>
    <x v="1"/>
    <s v="ping pong entre 201 et 302 ,Bonne qualité de signal Requête de déconnexion a été envoyé par le RBC"/>
    <m/>
    <x v="0"/>
    <m/>
    <s v="Ping pong entre 201 et 302"/>
    <s v="dl Rxqual=0"/>
    <s v="dl rx level= -48 dbm"/>
    <s v="OK"/>
    <s v="OK"/>
    <s v="Mauvais"/>
    <s v="retransmission des trames HDLC*5"/>
    <m/>
    <m/>
    <m/>
    <m/>
    <m/>
    <m/>
    <m/>
    <m/>
    <m/>
  </r>
  <r>
    <n v="25"/>
    <x v="0"/>
    <x v="16"/>
    <d v="1899-12-30T11:49:20"/>
    <n v="1017"/>
    <x v="6"/>
    <x v="1"/>
    <n v="1072"/>
    <n v="35214500045424"/>
    <s v="Casa/Tanger"/>
    <n v="73.525999999999996"/>
    <x v="13"/>
    <s v="N2"/>
    <x v="0"/>
    <s v="probléme de communication entre Bord et RBC , 4 requête train position envoyé par Bord Ho complèt entre 214 et 313"/>
    <m/>
    <x v="4"/>
    <s v="Remplacement de balise 510442-1 la nuit du 06-02 au 07/02"/>
    <s v="H.O Complet entre 314 et 213"/>
    <s v="dl Rxqual=3"/>
    <s v="dl rx level= -60 dbm"/>
    <s v="OK"/>
    <s v="NOK"/>
    <s v="Mauvais"/>
    <s v="retransmission des trames HDLC*5"/>
    <m/>
    <m/>
    <m/>
    <m/>
    <m/>
    <m/>
    <m/>
    <m/>
    <m/>
  </r>
  <r>
    <n v="26"/>
    <x v="0"/>
    <x v="17"/>
    <d v="1899-12-30T09:49:56"/>
    <n v="1009"/>
    <x v="4"/>
    <x v="1"/>
    <n v="1032"/>
    <n v="35214500040638"/>
    <s v="Casa/Tanger"/>
    <n v="74.712999999999994"/>
    <x v="13"/>
    <s v="N2"/>
    <x v="0"/>
    <s v="défaut de lecture Balise au point d'information 510442-1, HO non finalisé entre 314 et 313"/>
    <m/>
    <x v="4"/>
    <m/>
    <s v="H.O non finalisé entre 314 et 313"/>
    <s v="dl Rxqual=3"/>
    <s v="dl rx level= -71 dbm"/>
    <s v="OK"/>
    <s v="OK"/>
    <s v="Bon"/>
    <s v="retransmission des trames HDLC*5"/>
    <m/>
    <m/>
    <m/>
    <m/>
    <m/>
    <m/>
    <m/>
    <m/>
    <m/>
  </r>
  <r>
    <n v="27"/>
    <x v="0"/>
    <x v="17"/>
    <d v="1899-12-30T15:57:10"/>
    <n v="1033"/>
    <x v="4"/>
    <x v="1"/>
    <n v="1032"/>
    <n v="35214500040638"/>
    <s v="Casa/Tanger"/>
    <n v="39.215000000000003"/>
    <x v="14"/>
    <s v="N2"/>
    <x v="0"/>
    <s v="H.O non finalisé entre 308 et 307 , Bonne qualité/ niveau de signal , une requête déconnexion envoyé par le Bord"/>
    <m/>
    <x v="0"/>
    <m/>
    <s v="H.O non finalisé entre 308 et 307"/>
    <s v="dl Rxqual=2"/>
    <s v="dl rx level= -65 dbm"/>
    <s v="NOK"/>
    <s v="OK"/>
    <s v="Bon"/>
    <s v="retransmission des trames HDLC*5"/>
    <m/>
    <m/>
    <m/>
    <m/>
    <m/>
    <m/>
    <m/>
    <m/>
    <m/>
  </r>
  <r>
    <n v="28"/>
    <x v="0"/>
    <x v="18"/>
    <d v="1899-12-30T08:20:33"/>
    <n v="2009"/>
    <x v="3"/>
    <x v="0"/>
    <n v="1046"/>
    <n v="35214500038730"/>
    <s v="Casa/Tanger"/>
    <n v="70.144000000000005"/>
    <x v="0"/>
    <s v="N2"/>
    <x v="0"/>
    <s v="H.O complet  entre 312 et 213,Bonne  qualité /niveau  de signal Requête de déconnexion a été envoyé par RBC"/>
    <m/>
    <x v="3"/>
    <s v="Remplacement de  l'ensemble du circuit antennaire du GSM-R3/4 qui se compose de : IHM MONOMODE (Version 1M3)  ;Tiroir Radio MONODE(Version 1M3);Cable Coaxial neuf ;Antenne GSM-R3/4 neuve&lt;=&gt; S08"/>
    <s v="H.O Complet entre 312 et 213"/>
    <s v="dl Rxqual=2"/>
    <s v="dl rx level= -60 dbm"/>
    <s v="OK"/>
    <s v="OK"/>
    <s v="Mauvais"/>
    <s v="retransmission des trames HDLC*4"/>
    <m/>
    <m/>
    <m/>
    <m/>
    <m/>
    <m/>
    <m/>
    <m/>
    <m/>
  </r>
  <r>
    <n v="29"/>
    <x v="0"/>
    <x v="19"/>
    <d v="1899-12-30T22:38:16"/>
    <n v="1061"/>
    <x v="2"/>
    <x v="1"/>
    <n v="1050"/>
    <n v="35214500045357"/>
    <s v="Tanger/Casa"/>
    <n v="131.78899999999999"/>
    <x v="10"/>
    <s v="N2"/>
    <x v="0"/>
    <s v="H.O complet  entre 324 et 323,moyenne qualité de signal Requête de déconnexion a été envoyé par RBC"/>
    <m/>
    <x v="0"/>
    <m/>
    <s v="H.O Complet entre 324 et 323"/>
    <s v="dl Rxqual=5"/>
    <s v="dl rx level= -77 dbm"/>
    <s v="OK"/>
    <s v="OK"/>
    <s v="Mauvais"/>
    <s v="retransmission des trames HDLC*5"/>
    <m/>
    <m/>
    <m/>
    <m/>
    <m/>
    <m/>
    <m/>
    <m/>
    <m/>
  </r>
  <r>
    <n v="30"/>
    <x v="0"/>
    <x v="20"/>
    <d v="1899-12-30T11:24:16"/>
    <n v="2021"/>
    <x v="0"/>
    <x v="0"/>
    <n v="1037"/>
    <n v="35214500045488"/>
    <s v="Tanger/Casa"/>
    <n v="84.451999999999998"/>
    <x v="15"/>
    <s v="N2"/>
    <x v="0"/>
    <s v="H.O complet  entre 215 et 216,Bonne  qualité /niveau  de signal Requête de déconnexion a été envoyé par RBC"/>
    <m/>
    <x v="6"/>
    <s v="Rame verifié  durant la semaine S06 par smmrgv ; vswr bon ; puissance 37 ; 33"/>
    <s v="H.O Complet entre 215 et 216"/>
    <s v="dl Rxqual=3"/>
    <s v="dl rx level= -66 dbm"/>
    <s v="OK"/>
    <s v="OK"/>
    <s v="Bon"/>
    <s v="retransmission des trames HDLC*5"/>
    <m/>
    <m/>
    <m/>
    <m/>
    <m/>
    <m/>
    <m/>
    <m/>
    <m/>
  </r>
  <r>
    <n v="31"/>
    <x v="0"/>
    <x v="21"/>
    <d v="1899-12-30T12:15:16"/>
    <n v="2025"/>
    <x v="0"/>
    <x v="0"/>
    <n v="1036"/>
    <n v="35214500045461"/>
    <s v="Tanger/Casa"/>
    <n v="45.829000000000001"/>
    <x v="16"/>
    <s v="N2"/>
    <x v="0"/>
    <s v="H.O complet  entre 207 et 208,Bonne  qualité /niveau  de signal Requête de déconnexion a été envoyé par RBC"/>
    <m/>
    <x v="5"/>
    <s v="rame verifié Puissance 32,9 ; vswr bon "/>
    <s v="H.O Complet entre 207 et 208"/>
    <s v="dl Rxqual=0"/>
    <s v="dl rx level= -51 dbm"/>
    <s v="OK"/>
    <s v="OK"/>
    <s v="Mauvais "/>
    <s v="retransmission des trames HDLC*5"/>
    <m/>
    <m/>
    <m/>
    <m/>
    <m/>
    <m/>
    <m/>
    <m/>
    <m/>
  </r>
  <r>
    <n v="32"/>
    <x v="0"/>
    <x v="21"/>
    <d v="1899-12-30T07:43:25"/>
    <n v="1001"/>
    <x v="7"/>
    <x v="1"/>
    <n v="1041"/>
    <n v="35214500045477"/>
    <s v="Casa/Tanger"/>
    <n v="111.97499999999999"/>
    <x v="17"/>
    <s v="N2"/>
    <x v="0"/>
    <s v="H.O complet  entre 321 et 320,Bonne  qualité /niveau  de signal Requête de déconnexion a été envoyé par RBC"/>
    <m/>
    <x v="0"/>
    <s v="En attente de verification de la chaine antennaire de la rame "/>
    <s v="H.O Complet entre 321 et 320"/>
    <s v="dl Rxqual=0"/>
    <s v="dl rx level= -48 dbm"/>
    <s v="OK"/>
    <s v="OK"/>
    <s v="Mauvais "/>
    <s v="retransmission des trames HDLC*5"/>
    <m/>
    <m/>
    <m/>
    <m/>
    <m/>
    <m/>
    <m/>
    <m/>
    <m/>
  </r>
  <r>
    <n v="33"/>
    <x v="0"/>
    <x v="21"/>
    <d v="1899-12-30T10:39:30"/>
    <n v="1013"/>
    <x v="0"/>
    <x v="1"/>
    <n v="1045"/>
    <n v="35214500045098"/>
    <s v="Casa/Tanger"/>
    <n v="125.206"/>
    <x v="6"/>
    <s v="N2"/>
    <x v="0"/>
    <s v="H.O complet  entre 323 et 222,Bonne  qualité /niveau  de signal Requête de déconnexion a été envoyé par RBC"/>
    <m/>
    <x v="1"/>
    <s v="Rame verifié par SMMRGV &quot; Puissance 36,68 ; VSWR bon . Verification des tilts mecanique &quot;bon&quot; , switching des cartes radio &quot; aucune amélioration&quot; ;   "/>
    <s v="H.O Complet entre 323 et 222"/>
    <s v="dl Rxqual=0"/>
    <s v="dl rx level= -48 dbm"/>
    <s v="OK"/>
    <s v="OK"/>
    <s v="Mauvais "/>
    <s v="retransmission des trames HDLC*5"/>
    <m/>
    <m/>
    <m/>
    <m/>
    <m/>
    <m/>
    <m/>
    <m/>
    <m/>
  </r>
  <r>
    <n v="34"/>
    <x v="0"/>
    <x v="21"/>
    <d v="1899-12-30T09:12:45"/>
    <n v="2013"/>
    <x v="7"/>
    <x v="0"/>
    <n v="1054"/>
    <n v="35214500022752"/>
    <s v="Tanger/Casa"/>
    <n v="26.739000000000001"/>
    <x v="7"/>
    <s v="N2"/>
    <x v="0"/>
    <s v="H.O complet  entre 205 et 206,Bonne  qualité /niveau  de signal Requête de déconnexion a été envoyé par RBC"/>
    <m/>
    <x v="0"/>
    <s v="En attente de verification de la chaine antennaire de la rame "/>
    <s v="H.O Complet entre 205 et 206"/>
    <s v="dl Rxqual=0"/>
    <s v="dl rx level= -62 dbm"/>
    <s v="OK"/>
    <s v="OK"/>
    <s v="Mauvais "/>
    <s v="retransmission des trames HDLC*5"/>
    <m/>
    <m/>
    <m/>
    <m/>
    <m/>
    <m/>
    <m/>
    <m/>
    <m/>
  </r>
  <r>
    <n v="35"/>
    <x v="0"/>
    <x v="22"/>
    <d v="1899-12-30T10:43:18"/>
    <n v="2017"/>
    <x v="1"/>
    <x v="0"/>
    <n v="1029"/>
    <n v="35214500045449"/>
    <s v="Tanger/Casa"/>
    <n v="179.149"/>
    <x v="4"/>
    <s v="N2"/>
    <x v="0"/>
    <s v="H.O Failure  entre 330 et 331,Bonne  qualité /niveau  de signal Requête de déconnexion a été envoyé par le Bord"/>
    <m/>
    <x v="3"/>
    <m/>
    <s v="H.O non finalisé entre 330 et 231"/>
    <s v="dl Rxqual=0"/>
    <s v="dl rx level= -68 dbm"/>
    <s v="OK"/>
    <s v="OK"/>
    <s v="Bon"/>
    <s v="retransmission des trames HDLC*4"/>
    <m/>
    <m/>
    <m/>
    <m/>
    <m/>
    <m/>
    <m/>
    <m/>
    <m/>
  </r>
  <r>
    <n v="36"/>
    <x v="0"/>
    <x v="22"/>
    <d v="1899-12-30T18:20:34"/>
    <n v="2049"/>
    <x v="4"/>
    <x v="0"/>
    <n v="1058"/>
    <n v="35214500044293"/>
    <s v="Tanger/Casa"/>
    <n v="66.701999999999998"/>
    <x v="0"/>
    <s v="N2"/>
    <x v="0"/>
    <s v="H.O complet  entre 211 et 212,Bonne  qualité /niveau  de signal Requête de déconnexion a été envoyé par RBC"/>
    <m/>
    <x v="0"/>
    <s v="dans l'attente de verification de la rame 1209 "/>
    <s v="H.O Complet entre 211 et 212"/>
    <s v="dl Rxqual=0"/>
    <s v="dl rx level= -47 dbm"/>
    <s v="OK"/>
    <s v="OK"/>
    <m/>
    <s v="retransmission des trames HDLC*5"/>
    <m/>
    <m/>
    <m/>
    <m/>
    <m/>
    <m/>
    <m/>
    <m/>
    <m/>
  </r>
  <r>
    <n v="37"/>
    <x v="0"/>
    <x v="23"/>
    <d v="1899-12-30T22:34:09"/>
    <n v="1061"/>
    <x v="6"/>
    <x v="1"/>
    <n v="1020"/>
    <n v="35214500045494"/>
    <s v="Casa/Tanger"/>
    <n v="153.68600000000001"/>
    <x v="18"/>
    <s v="N2"/>
    <x v="1"/>
    <s v="H.O Failure  entre 327 et 326,Bonne  qualité /niveau  de signal Requête de déconnexion a été envoyé par le RBC"/>
    <m/>
    <x v="0"/>
    <s v="reverification de la rame 1212 M2"/>
    <s v="H.O non finalisé entre 327 et 326"/>
    <s v="dl Rxqual=0"/>
    <s v="dl rx level= -64 dbm"/>
    <s v="OK"/>
    <s v="OK"/>
    <m/>
    <s v="retransmission des trames HDLC*5"/>
    <m/>
    <m/>
    <m/>
    <m/>
    <m/>
    <m/>
    <m/>
    <m/>
    <m/>
  </r>
  <r>
    <n v="38"/>
    <x v="0"/>
    <x v="24"/>
    <d v="1899-12-30T18:25:39"/>
    <m/>
    <x v="5"/>
    <x v="1"/>
    <n v="1027"/>
    <m/>
    <s v="Casa/Tanger"/>
    <n v="186.87"/>
    <x v="19"/>
    <s v="N2"/>
    <x v="0"/>
    <s v="H.O complet  entre 234 et 233,Bonne  qualité /niveau  de signal Requête de déconnexion a été envoyé par RBC"/>
    <m/>
    <x v="6"/>
    <s v="Des requêtes envoyé par le bord , aucune reponse cote RBC"/>
    <s v="H.O Complet entre 234 et 233"/>
    <s v="dl Rxqual=2"/>
    <s v="dl rx level= -69 dbm"/>
    <m/>
    <s v="NOK"/>
    <m/>
    <s v="retransmission des trames HDLC*5"/>
    <m/>
    <m/>
    <m/>
    <m/>
    <m/>
    <m/>
    <m/>
    <m/>
    <m/>
  </r>
  <r>
    <n v="39"/>
    <x v="0"/>
    <x v="24"/>
    <d v="1899-12-30T08:42:08"/>
    <n v="1005"/>
    <x v="0"/>
    <x v="1"/>
    <n v="1045"/>
    <n v="35214500045098"/>
    <s v="Casa/Tanger"/>
    <n v="111.97499999999999"/>
    <x v="17"/>
    <s v="N2"/>
    <x v="0"/>
    <s v="H.O complet  entre 321 et 320,Bonne  qualité /niveau  de signal Requête de déconnexion a été envoyé par RBC"/>
    <m/>
    <x v="0"/>
    <s v="Ecart de la rame mauvais ; à verifier"/>
    <s v="H.O Complet entre 321 et 320"/>
    <s v="dl Rxqual=0"/>
    <s v="dl rx level= -48 dbm"/>
    <s v="OK"/>
    <s v="OK"/>
    <m/>
    <s v="retransmission des trames HDLC*5"/>
    <m/>
    <m/>
    <m/>
    <m/>
    <m/>
    <m/>
    <m/>
    <m/>
    <m/>
  </r>
  <r>
    <n v="40"/>
    <x v="0"/>
    <x v="24"/>
    <d v="1899-12-30T13:38:28"/>
    <n v="1025"/>
    <x v="2"/>
    <x v="1"/>
    <n v="1051"/>
    <n v="35214500045495"/>
    <s v="Casa/Tanger"/>
    <n v="130.48400000000001"/>
    <x v="10"/>
    <s v="N2"/>
    <x v="0"/>
    <s v="H.O complet  entre 324 et 223,Bonne  qualité /niveau  de signal Requête de déconnexion a été envoyé par RBC"/>
    <m/>
    <x v="0"/>
    <m/>
    <s v="H.O Complet entre 324 et 223"/>
    <s v="dl Rxqual=0"/>
    <s v="dl rx level= -48 dbm"/>
    <s v="OK"/>
    <s v="OK"/>
    <m/>
    <s v="retransmission des trames HDLC*5"/>
    <m/>
    <m/>
    <m/>
    <m/>
    <m/>
    <m/>
    <m/>
    <m/>
    <m/>
  </r>
  <r>
    <n v="41"/>
    <x v="0"/>
    <x v="25"/>
    <d v="1899-12-30T10:48:25"/>
    <n v="1013"/>
    <x v="9"/>
    <x v="1"/>
    <n v="1031"/>
    <m/>
    <s v="Casa/Tanger"/>
    <n v="79.281999999999996"/>
    <x v="11"/>
    <s v="N2"/>
    <x v="0"/>
    <s v="H.O complet  entre 315 et 314,Bonne  qualité /niveau  de signal Requête de déconnexion a été envoyé par RBC"/>
    <m/>
    <x v="5"/>
    <m/>
    <s v="H.O Complet entre 315 et 314"/>
    <s v="dl Rxqual=0"/>
    <s v="dl rx level= -52 dbm"/>
    <m/>
    <s v="OK"/>
    <s v="Bon"/>
    <s v="retransmission des trames HDLC*5"/>
    <m/>
    <m/>
    <m/>
    <m/>
    <m/>
    <m/>
    <m/>
    <m/>
    <m/>
  </r>
  <r>
    <n v="42"/>
    <x v="0"/>
    <x v="26"/>
    <d v="1899-12-30T22:48:24"/>
    <n v="1061"/>
    <x v="3"/>
    <x v="1"/>
    <n v="1008"/>
    <n v="35214500045654"/>
    <s v="Casa/Tanger"/>
    <n v="81.777000000000001"/>
    <x v="15"/>
    <s v="N2"/>
    <x v="0"/>
    <s v="H.O complet  entre 216 et 315,Bonne  qualité /niveau  de signal Requête de déconnexion a été envoyé par le RBC"/>
    <m/>
    <x v="5"/>
    <m/>
    <s v="H.O Complet entre 216 et 315"/>
    <s v="dl Rxqual=3"/>
    <s v="dl rx level= -68 dbm"/>
    <s v="OK"/>
    <s v="OK"/>
    <m/>
    <s v="retransmission des trames HDLC*5"/>
    <m/>
    <m/>
    <m/>
    <m/>
    <m/>
    <m/>
    <m/>
    <m/>
    <m/>
  </r>
  <r>
    <n v="43"/>
    <x v="0"/>
    <x v="26"/>
    <d v="1899-12-30T08:10:40"/>
    <n v="2009"/>
    <x v="0"/>
    <x v="0"/>
    <n v="1036"/>
    <n v="35214500045461"/>
    <s v="Tanger/Casa"/>
    <n v="21.55"/>
    <x v="20"/>
    <s v="N2"/>
    <x v="0"/>
    <s v="H.O complet  entre 204 et 205,Bonne  qualité /niveau  de signal Requête de déconnexion a été envoyé par le RBC"/>
    <m/>
    <x v="5"/>
    <s v="Puissance de la rame 1208 M1 dégradé"/>
    <s v="H.O Complet entre 204 et 205"/>
    <s v="dl Rxqual=0"/>
    <s v="dl rx level= -48 dbm"/>
    <s v="OK"/>
    <s v="OK"/>
    <m/>
    <s v="retransmission des trames HDLC*5"/>
    <m/>
    <m/>
    <m/>
    <m/>
    <m/>
    <m/>
    <m/>
    <m/>
    <m/>
  </r>
  <r>
    <n v="44"/>
    <x v="0"/>
    <x v="27"/>
    <d v="1899-12-30T09:51:04"/>
    <m/>
    <x v="8"/>
    <x v="1"/>
    <n v="1023"/>
    <n v="35214500045408"/>
    <s v="Casa/Tanger"/>
    <n v="87.186999999999998"/>
    <x v="12"/>
    <s v="N2"/>
    <x v="1"/>
    <s v="H.O complet  entre 317 et 316,Bonne  qualité /niveau  de signal Requête de déconnexion a été envoyé par le RBC , absence de réponse coté bord , dans l'attente d'analyse des traces JRU"/>
    <m/>
    <x v="0"/>
    <m/>
    <s v="H.O Complet entre 317 et 316"/>
    <s v="dl Rxqual=2"/>
    <s v="dl rx level= -48 dbm"/>
    <s v="OK"/>
    <s v="OK"/>
    <m/>
    <s v="retransmission des trames HDLC*5"/>
    <m/>
    <m/>
    <m/>
    <m/>
    <m/>
    <m/>
    <m/>
    <m/>
    <m/>
  </r>
  <r>
    <n v="45"/>
    <x v="0"/>
    <x v="27"/>
    <d v="1899-12-30T11:19:34"/>
    <n v="2021"/>
    <x v="8"/>
    <x v="0"/>
    <n v="1043"/>
    <n v="35214500045200"/>
    <s v="Tanger/Casa"/>
    <n v="64.387"/>
    <x v="21"/>
    <s v="N2"/>
    <x v="0"/>
    <s v="H.O Failure  entre 211 et 212,Bonne  qualité /niveau  de signal Requête de déconnexion a été envoyé par le RBC"/>
    <m/>
    <x v="2"/>
    <m/>
    <s v="H.O non finalisé entre 211 et 212 "/>
    <s v="dl Rxqual=2"/>
    <s v="dl rx level= -68 dbm"/>
    <s v="OK"/>
    <s v="OK"/>
    <m/>
    <s v="retransmission des trames HDLC*5"/>
    <m/>
    <m/>
    <m/>
    <m/>
    <m/>
    <m/>
    <m/>
    <m/>
    <m/>
  </r>
  <r>
    <n v="46"/>
    <x v="0"/>
    <x v="28"/>
    <d v="1899-12-30T09:25:30"/>
    <n v="1010"/>
    <x v="2"/>
    <x v="1"/>
    <n v="1050"/>
    <n v="35214500045357"/>
    <s v="Casa/Tanger"/>
    <n v="188.245"/>
    <x v="5"/>
    <s v="N2"/>
    <x v="0"/>
    <s v="H.O complet  entre 234 et 233,Bonne  qualité /niveau  de signal Requête de déconnexion a été envoyé par le RBC"/>
    <m/>
    <x v="0"/>
    <s v="verification de la chaine antennaire"/>
    <s v="H.O Complet entre 234 et 233"/>
    <s v="dl Rxqual=2"/>
    <s v="dl rx level= -48 dbm"/>
    <s v="OK"/>
    <s v="OK"/>
    <m/>
    <s v="retransmission des trames HDLC*5"/>
    <m/>
    <m/>
    <m/>
    <m/>
    <m/>
    <m/>
    <m/>
    <m/>
    <m/>
  </r>
  <r>
    <n v="47"/>
    <x v="0"/>
    <x v="28"/>
    <d v="1899-12-30T09:38:33"/>
    <n v="1010"/>
    <x v="2"/>
    <x v="1"/>
    <n v="1051"/>
    <n v="35214500045495"/>
    <s v="Casa/Tanger"/>
    <n v="186.87"/>
    <x v="19"/>
    <s v="N2"/>
    <x v="1"/>
    <s v="H.O complet  entre 333 et 332,Bonne  qualité /niveau  de signal Requête de déconnexion a été envoyé a travers la BTS"/>
    <m/>
    <x v="0"/>
    <s v="verification de la chaine antennaire"/>
    <s v="H.O Complet entre 333 et 332"/>
    <s v="dl Rxqual=0"/>
    <s v="dl rx level= -50 dbm"/>
    <s v="OK"/>
    <s v="OK"/>
    <m/>
    <m/>
    <m/>
    <m/>
    <m/>
    <m/>
    <m/>
    <m/>
    <m/>
    <m/>
    <m/>
  </r>
  <r>
    <n v="48"/>
    <x v="0"/>
    <x v="28"/>
    <d v="1899-12-30T10:26:03"/>
    <n v="1010"/>
    <x v="2"/>
    <x v="1"/>
    <n v="1051"/>
    <n v="35214500045495"/>
    <s v="Casa/Tanger"/>
    <n v="7.3209999999999997"/>
    <x v="2"/>
    <s v="N2"/>
    <x v="0"/>
    <s v="H.O complet  entre 303 et 202,Bonne  qualité /niveau  de signal Requête de déconnexion a été envoyé par le Bord"/>
    <m/>
    <x v="0"/>
    <s v="verification de la chaine antennaire"/>
    <s v="H.O Complet entre 303 et 202"/>
    <m/>
    <m/>
    <s v="OK"/>
    <s v="OK"/>
    <m/>
    <s v="retransmission des trames HDLC*4"/>
    <m/>
    <m/>
    <m/>
    <m/>
    <m/>
    <m/>
    <m/>
    <m/>
    <m/>
  </r>
  <r>
    <n v="49"/>
    <x v="0"/>
    <x v="28"/>
    <d v="1899-12-30T11:08:38"/>
    <n v="2021"/>
    <x v="9"/>
    <x v="0"/>
    <n v="4497"/>
    <m/>
    <s v="Tanger/Casa"/>
    <n v="14.99"/>
    <x v="22"/>
    <s v="N2"/>
    <x v="0"/>
    <s v="H.O complet  entre 303 et 204,Bonne  qualité /niveau  de signal Requête de déconnexion a été envoyé par RBC"/>
    <m/>
    <x v="5"/>
    <m/>
    <s v="H.O Complet entre 303 et 204"/>
    <s v="dl Rxqual=0"/>
    <s v="dl rx level= -48 dbm"/>
    <s v="OK"/>
    <s v="OK"/>
    <s v="moyenne"/>
    <s v="retransmission des trames HDLC*5"/>
    <m/>
    <m/>
    <m/>
    <m/>
    <m/>
    <m/>
    <m/>
    <m/>
    <m/>
  </r>
  <r>
    <n v="50"/>
    <x v="0"/>
    <x v="28"/>
    <d v="1899-12-30T18:18:02"/>
    <m/>
    <x v="3"/>
    <x v="0"/>
    <m/>
    <m/>
    <s v="Tanger/Casa"/>
    <n v="58.71"/>
    <x v="23"/>
    <s v="N2"/>
    <x v="0"/>
    <s v="H.O non finalisé entre 323 et 222,Bonne  qualité /niveau  de signal Requête de déconnexion a été envoyé par RBC"/>
    <m/>
    <x v="0"/>
    <s v="experimentation coté bord le 15/02/2024"/>
    <s v="H.O Complet entre 210 et 211"/>
    <s v="dl Rxqual=0"/>
    <s v="dl rx level= -67 dbm"/>
    <s v="OK"/>
    <s v="OK"/>
    <m/>
    <s v="retransmission des trames HDLC*5"/>
    <m/>
    <m/>
    <m/>
    <m/>
    <m/>
    <m/>
    <m/>
    <m/>
    <m/>
  </r>
  <r>
    <n v="51"/>
    <x v="0"/>
    <x v="29"/>
    <d v="1899-12-30T09:39:41"/>
    <n v="1009"/>
    <x v="4"/>
    <x v="1"/>
    <m/>
    <m/>
    <s v="Casa/Tanger"/>
    <n v="125.206"/>
    <x v="6"/>
    <s v="N2"/>
    <x v="1"/>
    <s v="H.O complet  entre 323 et 222,Bonne  qualité /niveau  de signal Requête de déconnexion a été envoyé par RBC"/>
    <m/>
    <x v="3"/>
    <s v="fonctionement anormal du RBC &quot;AUI non justifié&quot; ; attente reception de rapport de conduite"/>
    <s v="H.O Complet entre 323 et 222"/>
    <s v="dl Rxqual=0"/>
    <s v="dl rx level= -48 dbm"/>
    <s v="OK"/>
    <s v="OK"/>
    <m/>
    <s v="retransmission des trames HDLC*5"/>
    <m/>
    <m/>
    <m/>
    <m/>
    <m/>
    <m/>
    <m/>
    <m/>
    <m/>
  </r>
  <r>
    <n v="52"/>
    <x v="0"/>
    <x v="29"/>
    <d v="1899-12-30T11:44:18"/>
    <n v="1017"/>
    <x v="1"/>
    <x v="1"/>
    <m/>
    <m/>
    <s v="Casa/Tanger"/>
    <n v="101.587"/>
    <x v="24"/>
    <s v="N2"/>
    <x v="0"/>
    <s v="H.O complet  entre 319 et 318,  qualité de signal moyenne ,Requête de déconnexion a été envoyé par RBC"/>
    <m/>
    <x v="5"/>
    <m/>
    <s v="H.O Complet entre 319 et 318"/>
    <s v="dl Rxqual=4"/>
    <s v="dl rx level= -57 dbm"/>
    <s v="OK"/>
    <s v="OK"/>
    <m/>
    <s v="retransmission des trames HDLC*4"/>
    <m/>
    <m/>
    <m/>
    <m/>
    <m/>
    <m/>
    <m/>
    <m/>
    <m/>
  </r>
  <r>
    <n v="53"/>
    <x v="0"/>
    <x v="30"/>
    <d v="1899-12-30T22:38:48"/>
    <n v="1061"/>
    <x v="3"/>
    <x v="1"/>
    <n v="1007"/>
    <m/>
    <s v="Casa/Tanger"/>
    <n v="127.815"/>
    <x v="6"/>
    <s v="N2"/>
    <x v="0"/>
    <s v="H.O Failure  entre 223 et 321,Mauvaise qualité /niveau  de signal Requête de déconnexion a été envoyé par le Bord"/>
    <m/>
    <x v="2"/>
    <m/>
    <s v="saut de la cellule 22"/>
    <s v="dl Rxqual=6"/>
    <s v="dl rx level= -77 dbm"/>
    <s v="OK"/>
    <s v="OK"/>
    <s v="Mauvais"/>
    <s v="retransmission des trames HDLC*4"/>
    <m/>
    <m/>
    <m/>
    <m/>
    <m/>
    <m/>
    <m/>
    <m/>
    <m/>
  </r>
  <r>
    <n v="54"/>
    <x v="0"/>
    <x v="30"/>
    <d v="1899-12-30T09:45:59"/>
    <n v="1009"/>
    <x v="3"/>
    <x v="1"/>
    <n v="1008"/>
    <n v="35214500045654"/>
    <s v="Casa/Tanger"/>
    <n v="94.953999999999994"/>
    <x v="8"/>
    <s v="N2"/>
    <x v="0"/>
    <s v="H.O non finalisé entre 318 et 217,Mauvaise qualité /niveau  de signal Requête de déconnexion a été envoyé par Bord"/>
    <m/>
    <x v="2"/>
    <m/>
    <s v="H.O non finalisé entre 318 et 217"/>
    <s v="dl Rxqual=7"/>
    <s v="dl rx level= -85 dbm"/>
    <s v="OK"/>
    <s v="OK"/>
    <s v="Mauvais"/>
    <s v="retransmission des trames HDLC*5"/>
    <m/>
    <m/>
    <m/>
    <m/>
    <m/>
    <m/>
    <m/>
    <m/>
    <m/>
  </r>
  <r>
    <n v="55"/>
    <x v="0"/>
    <x v="30"/>
    <d v="1899-12-30T19:58:47"/>
    <n v="1049"/>
    <x v="2"/>
    <x v="1"/>
    <n v="1050"/>
    <n v="35214500045357"/>
    <s v="Casa/Tanger"/>
    <n v="32.625999999999998"/>
    <x v="25"/>
    <s v="N2"/>
    <x v="0"/>
    <s v="H.O Failure  entre 307 et 306,Bonne qualité /niveau  de signal Requête de déconnexion a été envoyé par le Bord"/>
    <m/>
    <x v="0"/>
    <m/>
    <s v="H.O non finalisé entre 307 et 306"/>
    <s v="dl Rxqual=0"/>
    <s v="dl rx level= -62 dbm"/>
    <s v="NOK"/>
    <s v="OK"/>
    <m/>
    <s v="retransmission des trames HDLC*5"/>
    <m/>
    <m/>
    <m/>
    <m/>
    <m/>
    <m/>
    <m/>
    <m/>
    <m/>
  </r>
  <r>
    <n v="56"/>
    <x v="0"/>
    <x v="30"/>
    <d v="1899-12-30T18:35:30"/>
    <n v="2049"/>
    <x v="10"/>
    <x v="0"/>
    <n v="7198"/>
    <m/>
    <s v="Tanger/Casa"/>
    <n v="141.898"/>
    <x v="26"/>
    <s v="N2"/>
    <x v="0"/>
    <s v="H.O complet  entre 224 et 225,Bonne  qualité /niveau  de signal Requête de déconnexion a été envoyé par RBC"/>
    <m/>
    <x v="0"/>
    <m/>
    <s v="H.O Complet entre 224 et 225"/>
    <s v="dl Rxqual=0"/>
    <s v="dl rx level= -71 dbm"/>
    <s v="OK"/>
    <s v="OK"/>
    <m/>
    <s v="retransmission des trames HDLC*5"/>
    <m/>
    <m/>
    <m/>
    <m/>
    <m/>
    <m/>
    <m/>
    <m/>
    <m/>
  </r>
  <r>
    <n v="57"/>
    <x v="0"/>
    <x v="31"/>
    <d v="1899-12-30T21:23:39"/>
    <n v="2061"/>
    <x v="6"/>
    <x v="0"/>
    <n v="1056"/>
    <n v="35214500045217"/>
    <s v="Tanger/Casa"/>
    <n v="87.655000000000001"/>
    <x v="12"/>
    <s v="N2"/>
    <x v="0"/>
    <s v="H.O complet  entre 215 et 216, qualité de signal moyenne  ,Requête de déconnexion a été envoyé par RBC"/>
    <m/>
    <x v="0"/>
    <m/>
    <s v="H.O Complet entre 215 et 216"/>
    <s v="dl Rxqual=4"/>
    <s v="dl rx level= -67 dbm"/>
    <s v="OK"/>
    <s v="OK"/>
    <m/>
    <s v="retransmission des trames HDLC*5"/>
    <m/>
    <m/>
    <m/>
    <m/>
    <m/>
    <m/>
    <m/>
    <m/>
    <m/>
  </r>
  <r>
    <n v="58"/>
    <x v="0"/>
    <x v="32"/>
    <d v="1899-12-30T11:24:41"/>
    <n v="2021"/>
    <x v="8"/>
    <x v="0"/>
    <n v="1043"/>
    <n v="35214500045200"/>
    <s v="Tanger/Casa"/>
    <n v="91.364999999999995"/>
    <x v="12"/>
    <s v="N2"/>
    <x v="0"/>
    <s v="H.O complet  entre 216 et 217,Bonne qualité de signal   ,Requête de déconnexion a été envoyé par RBC"/>
    <m/>
    <x v="5"/>
    <m/>
    <s v="H.O Complet entre 216 et 217"/>
    <s v="dl Rxqual=0"/>
    <s v="dl rx level= -48 dbm"/>
    <s v="OK"/>
    <s v="OK"/>
    <m/>
    <s v="retransmission des trames HDLC*5"/>
    <m/>
    <m/>
    <m/>
    <m/>
    <m/>
    <m/>
    <m/>
    <m/>
    <m/>
  </r>
  <r>
    <n v="59"/>
    <x v="0"/>
    <x v="32"/>
    <d v="1899-12-30T16:09:12"/>
    <n v="2041"/>
    <x v="9"/>
    <x v="0"/>
    <n v="1052"/>
    <n v="35214500043740"/>
    <s v="Tanger/Casa"/>
    <n v="14.99"/>
    <x v="22"/>
    <s v="N2"/>
    <x v="0"/>
    <s v="H.O complet  entre 203 et 204,qualité de signal moyenne  ,Requête de déconnexion a été envoyé par RBC"/>
    <m/>
    <x v="0"/>
    <m/>
    <s v="H.O Complet entre 203 et 204"/>
    <s v="dl Rxqual=4"/>
    <s v="dl rx level= -81 dbm"/>
    <s v="OK"/>
    <s v="OK"/>
    <s v="Mauvais"/>
    <s v="retransmission des trames HDLC*5"/>
    <m/>
    <m/>
    <m/>
    <m/>
    <m/>
    <m/>
    <m/>
    <m/>
    <m/>
  </r>
  <r>
    <n v="60"/>
    <x v="0"/>
    <x v="33"/>
    <d v="1899-12-30T09:52:54"/>
    <n v="1010"/>
    <x v="4"/>
    <x v="1"/>
    <n v="1032"/>
    <n v="35214500040638"/>
    <s v="Casa/Tanger"/>
    <n v="94.953999999999994"/>
    <x v="8"/>
    <s v="N2"/>
    <x v="0"/>
    <s v="H.O Failure  entre 318 et 217,mauvaise   qualité /niveau  de signal Requête de déconnexion a été envoyé par le Bord"/>
    <m/>
    <x v="0"/>
    <s v="dans l'attente de verification de la rame 1209 "/>
    <s v="H.O non finalisé entre 318 et 217"/>
    <s v="dl Rxqual=7"/>
    <s v="dl rx level= -78 dbm"/>
    <s v="OK"/>
    <s v="OK"/>
    <m/>
    <s v="retransmission des trames HDLC*4"/>
    <m/>
    <m/>
    <m/>
    <m/>
    <m/>
    <m/>
    <m/>
    <m/>
    <m/>
  </r>
  <r>
    <n v="61"/>
    <x v="0"/>
    <x v="33"/>
    <d v="1899-12-30T10:45:29"/>
    <m/>
    <x v="2"/>
    <x v="1"/>
    <n v="1035"/>
    <n v="35214500046011"/>
    <s v="Casa/Tanger"/>
    <n v="94.953999999999994"/>
    <x v="8"/>
    <s v="N2"/>
    <x v="0"/>
    <s v="H.O Failure  entre 318 et 217,mauvaise   qualité /niveau  de signal Requête de déconnexion a été envoyé par le Bord"/>
    <m/>
    <x v="0"/>
    <s v="Tiroir remplacé  de la 1205 motrice 2 le 21/02/2024"/>
    <s v="H.O non finalisé entre 318 et 217"/>
    <s v="dl Rxqual=7"/>
    <s v="dl rx level= -80 dbm"/>
    <s v="OK"/>
    <s v="OK"/>
    <m/>
    <s v="pas de retransmission des trames HDLC"/>
    <m/>
    <m/>
    <m/>
    <m/>
    <m/>
    <m/>
    <m/>
    <m/>
    <m/>
  </r>
  <r>
    <n v="62"/>
    <x v="0"/>
    <x v="33"/>
    <d v="1899-12-30T18:35:25"/>
    <n v="1045"/>
    <x v="1"/>
    <x v="1"/>
    <n v="3063"/>
    <n v="35214500046055"/>
    <s v="Casa/Tanger"/>
    <n v="153.68600000000001"/>
    <x v="18"/>
    <s v="N2"/>
    <x v="0"/>
    <s v="H.O complet  entre 327 et 326,Bonne  qualité de signal  ,Requête de déconnexion a été envoyé par RBC"/>
    <m/>
    <x v="0"/>
    <m/>
    <s v="H.O Complet entre 327 et 326"/>
    <s v="dl Rxqual=2"/>
    <s v="dl rx level= -61 dbm"/>
    <s v="OK"/>
    <s v="OK"/>
    <s v="Mauvais"/>
    <s v="retransmission des trames HDLC*5"/>
    <m/>
    <m/>
    <m/>
    <m/>
    <m/>
    <m/>
    <m/>
    <m/>
    <m/>
  </r>
  <r>
    <n v="63"/>
    <x v="0"/>
    <x v="33"/>
    <d v="1899-12-30T19:12:24"/>
    <n v="2053"/>
    <x v="2"/>
    <x v="0"/>
    <n v="7218"/>
    <n v="35214500045735"/>
    <s v="Tanger/Casa"/>
    <n v="28.457000000000001"/>
    <x v="7"/>
    <s v="N2"/>
    <x v="1"/>
    <s v="H.O complet  entre 205 et 206,  Bonne qualité de signal  ,Requête de déconnexion a été envoyé par RBC"/>
    <m/>
    <x v="0"/>
    <m/>
    <s v="H.O Complet entre 205 et 206"/>
    <s v="dl Rxqual=0"/>
    <s v="dl rx level= -47 dbm"/>
    <s v="OK"/>
    <s v="OK"/>
    <m/>
    <s v="retransmission des trames HDLC*5"/>
    <m/>
    <m/>
    <m/>
    <m/>
    <m/>
    <m/>
    <m/>
    <m/>
    <m/>
  </r>
  <r>
    <n v="64"/>
    <x v="0"/>
    <x v="33"/>
    <d v="1899-12-30T19:48:31"/>
    <m/>
    <x v="2"/>
    <x v="0"/>
    <n v="7218"/>
    <n v="35214500045735"/>
    <s v="Tanger/Casa"/>
    <n v="126.51"/>
    <x v="6"/>
    <s v="N2"/>
    <x v="1"/>
    <s v="H.O Failure  entre 222 et 323,mauvaise   qualité /niveau  de signal Requête de déconnexion a été envoyé par le Bord"/>
    <m/>
    <x v="0"/>
    <m/>
    <s v="H.O non finalisé entre 222 et 323"/>
    <s v="dl Rxqual=7"/>
    <s v="dl rx level= -110 dbm"/>
    <s v="OK"/>
    <s v="OK"/>
    <m/>
    <s v="retransmission des trames HDLC*5"/>
    <m/>
    <m/>
    <m/>
    <m/>
    <m/>
    <m/>
    <m/>
    <m/>
    <m/>
  </r>
  <r>
    <n v="65"/>
    <x v="0"/>
    <x v="34"/>
    <d v="1899-12-30T17:31:25"/>
    <m/>
    <x v="9"/>
    <x v="1"/>
    <n v="1031"/>
    <n v="35214500045491"/>
    <s v="Casa/Tanger"/>
    <n v="169.06"/>
    <x v="27"/>
    <s v="N2"/>
    <x v="0"/>
    <s v="H.O complet  entre 330 et 329,  Bonne qualité de signal  ,Requête de déconnexion a été envoyé par RBC"/>
    <m/>
    <x v="0"/>
    <s v="A planifier apres"/>
    <s v="H.O Complet entre 330 et 329"/>
    <s v="dl Rxqual=5"/>
    <s v="dl rx level= -47 dbm"/>
    <s v="OK"/>
    <s v="OK"/>
    <m/>
    <s v="retransmission des trames HDLC*5"/>
    <m/>
    <m/>
    <m/>
    <m/>
    <m/>
    <m/>
    <m/>
    <m/>
    <m/>
  </r>
  <r>
    <n v="66"/>
    <x v="0"/>
    <x v="34"/>
    <d v="1899-12-30T18:51:52"/>
    <n v="1045"/>
    <x v="7"/>
    <x v="1"/>
    <n v="1041"/>
    <n v="35214500045477"/>
    <s v="Casa/Tanger"/>
    <n v="68.656000000000006"/>
    <x v="0"/>
    <s v="N2"/>
    <x v="0"/>
    <s v="H.O Failure  entre 313 et 212,mauvaise   qualité /niveau  de signal Requête de déconnexion a été envoyé par le Bord"/>
    <m/>
    <x v="0"/>
    <s v="Planification Urgent pour verification par la SMMRGV"/>
    <s v="H.O non finalisé entre 313 et 212"/>
    <s v="dl Rxqual=7"/>
    <s v="dl rx level= -110 dbm"/>
    <s v="OK"/>
    <s v="OK"/>
    <m/>
    <s v="retransmission des trames HDLC*5"/>
    <m/>
    <m/>
    <m/>
    <m/>
    <m/>
    <m/>
    <m/>
    <m/>
    <m/>
  </r>
  <r>
    <n v="67"/>
    <x v="0"/>
    <x v="35"/>
    <d v="1899-12-30T06:58:14"/>
    <n v="10075"/>
    <x v="4"/>
    <x v="1"/>
    <n v="1032"/>
    <n v="35214500040638"/>
    <s v="Casa/Tanger"/>
    <n v="167.761"/>
    <x v="28"/>
    <s v="N2"/>
    <x v="0"/>
    <s v="H.O complet  entre 330 et 329,  Bonne qualité de signal  ,Requête de déconnexion a été envoyé par RBC"/>
    <m/>
    <x v="0"/>
    <s v="Planification Urgent pour verification par la SMMRGV"/>
    <s v="H.O Complet entre 330 et 329"/>
    <s v="dl Rxqual=0"/>
    <s v="dl rx level= -57 dbm"/>
    <s v="OK"/>
    <s v="OK"/>
    <m/>
    <s v="retransmission des trames HDLC*5"/>
    <m/>
    <m/>
    <m/>
    <m/>
    <m/>
    <m/>
    <m/>
    <m/>
    <m/>
  </r>
  <r>
    <n v="68"/>
    <x v="0"/>
    <x v="35"/>
    <d v="1899-12-30T12:54:53"/>
    <n v="1021"/>
    <x v="10"/>
    <x v="1"/>
    <n v="1061"/>
    <n v="35214500042751"/>
    <s v="Casa/Tanger"/>
    <n v="54.222999999999999"/>
    <x v="29"/>
    <s v="N2"/>
    <x v="1"/>
    <s v="H.O complet  entre 224 et 323,  Bonne qualité de signal  ,Requête de déconnexion a été envoyé par RBC"/>
    <m/>
    <x v="0"/>
    <s v="A planifier apres"/>
    <s v="H.O Complet entre 224 et 323"/>
    <s v="dl Rxqual=1"/>
    <s v="dl rx level= -66 dbm"/>
    <s v="OK"/>
    <s v="OK"/>
    <m/>
    <s v="retransmission des trames HDLC*5"/>
    <m/>
    <m/>
    <m/>
    <m/>
    <m/>
    <m/>
    <m/>
    <m/>
    <m/>
  </r>
  <r>
    <n v="69"/>
    <x v="0"/>
    <x v="36"/>
    <d v="1899-12-30T14:02:33"/>
    <m/>
    <x v="6"/>
    <x v="1"/>
    <n v="1072"/>
    <n v="35214500045424"/>
    <s v="Casa/Tanger"/>
    <n v="14.93"/>
    <x v="22"/>
    <s v="N2"/>
    <x v="0"/>
    <s v="H.O complet  entre 305 et 204,  qualité de signal moyenne   ,Requête de déconnexion a été envoyé par RBC"/>
    <m/>
    <x v="0"/>
    <s v="Planification Urgent pour verification par la SMMRGV"/>
    <s v="H.O Complet entre 305 et 204"/>
    <s v="dl Rxqual=4"/>
    <s v="dl rx level= -62 dbm"/>
    <s v="OK"/>
    <s v="OK"/>
    <m/>
    <s v="retransmission des trames HDLC*5"/>
    <m/>
    <m/>
    <m/>
    <m/>
    <m/>
    <m/>
    <m/>
    <m/>
    <m/>
  </r>
  <r>
    <n v="70"/>
    <x v="0"/>
    <x v="37"/>
    <d v="1899-12-30T08:38:58"/>
    <n v="2009"/>
    <x v="4"/>
    <x v="0"/>
    <n v="7208"/>
    <n v="35214500004427"/>
    <s v="Tanger/Casa"/>
    <n v="161.72200000000001"/>
    <x v="9"/>
    <s v="N2"/>
    <x v="0"/>
    <s v="ping pong entre 227 et 228 ,Bonne qualité de signal Requête de déconnexion a été envoyé par le RBC"/>
    <m/>
    <x v="0"/>
    <s v="Planification Urgent pour verification par la SMMRGV"/>
    <s v="Ping pong  entre 227 et 228"/>
    <s v="dl Rxqual=2"/>
    <s v="dl rx level= -48 dbm"/>
    <s v="OK"/>
    <s v="OK"/>
    <m/>
    <s v="retransmission des trames HDLC*5"/>
    <m/>
    <m/>
    <m/>
    <m/>
    <m/>
    <m/>
    <m/>
    <m/>
    <m/>
  </r>
  <r>
    <n v="71"/>
    <x v="0"/>
    <x v="38"/>
    <d v="1899-12-30T08:48:13"/>
    <n v="1005"/>
    <x v="7"/>
    <x v="1"/>
    <n v="1041"/>
    <n v="35214500045477"/>
    <s v="Casa/Tanger"/>
    <n v="84.391999999999996"/>
    <x v="15"/>
    <s v="N2"/>
    <x v="0"/>
    <s v="H.O complet  entre 317 et 216,  Bonne qualité de signal  ,Requête de déconnexion a été envoyé par RBC"/>
    <m/>
    <x v="0"/>
    <s v="Planification Urgent pour verification par la SMMRGV"/>
    <s v="H.O Complet entre 317 et 216"/>
    <s v="dl Rxqual=2"/>
    <s v="dl rx level= -62 dbm"/>
    <s v="OK"/>
    <s v="OK"/>
    <m/>
    <s v="retransmission des trames HDLC*5"/>
    <m/>
    <m/>
    <m/>
    <m/>
    <m/>
    <m/>
    <m/>
    <m/>
    <m/>
  </r>
  <r>
    <n v="72"/>
    <x v="0"/>
    <x v="38"/>
    <d v="1899-12-30T10:08:29"/>
    <n v="2017"/>
    <x v="7"/>
    <x v="0"/>
    <n v="1055"/>
    <n v="35214500036582"/>
    <s v="Tanger/Casa"/>
    <n v="13.712999999999999"/>
    <x v="22"/>
    <s v="N2"/>
    <x v="0"/>
    <s v="H.O complet  entre 303 et 204,  Bonne qualité de signal  ,Requête de déconnexion a été envoyé par RBC"/>
    <m/>
    <x v="0"/>
    <s v="Planification Urgent pour verification par la SMMRGV"/>
    <s v="H.O Complet entre 303 et 204"/>
    <s v="dl Rxqual=0"/>
    <s v="dl rx level= -58 dbm"/>
    <s v="OK"/>
    <s v="OK"/>
    <m/>
    <s v="retransmission des trames HDLC*5"/>
    <m/>
    <m/>
    <m/>
    <m/>
    <m/>
    <m/>
    <m/>
    <m/>
    <m/>
  </r>
  <r>
    <n v="73"/>
    <x v="0"/>
    <x v="38"/>
    <d v="1899-12-30T19:17:25"/>
    <n v="2053"/>
    <x v="7"/>
    <x v="0"/>
    <n v="1055"/>
    <n v="35214500036582"/>
    <s v="Tanger/Casa"/>
    <n v="57.661999999999999"/>
    <x v="23"/>
    <s v="N2"/>
    <x v="0"/>
    <s v="H.O complet  entre 209 et 210,  Bonne qualité de signal  ,Requête de déconnexion a été envoyé par RBC"/>
    <m/>
    <x v="0"/>
    <s v="Planification Urgent pour verification par la SMMRGV"/>
    <s v="H.O Complet entre 209 et 210"/>
    <s v="dl Rxqual=0"/>
    <s v="dl rx level= -62 dbm"/>
    <s v="OK"/>
    <s v="OK"/>
    <m/>
    <s v="retransmission des trames HDLC*5"/>
    <m/>
    <m/>
    <m/>
    <m/>
    <m/>
    <m/>
    <m/>
    <m/>
    <m/>
  </r>
  <r>
    <n v="74"/>
    <x v="0"/>
    <x v="39"/>
    <d v="1899-12-30T11:51:53"/>
    <n v="1018"/>
    <x v="4"/>
    <x v="1"/>
    <n v="1032"/>
    <n v="35214500040638"/>
    <s v="Casa/Tanger"/>
    <n v="73.525999999999996"/>
    <x v="13"/>
    <s v="N2"/>
    <x v="0"/>
    <s v="H.O complet  entre 314 et 313,  Bonne qualité de signal  ,Requête de déconnexion a été envoyé par RBC"/>
    <m/>
    <x v="0"/>
    <s v="Planification Urgent pour verification par la SMMRGV"/>
    <s v="H.O Complet entre 314 et 313"/>
    <s v="dl Rxqual=0"/>
    <s v="dl rx level= -48 dbm"/>
    <s v="OK"/>
    <s v="OK"/>
    <m/>
    <s v="retransmission des trames HDLC*5"/>
    <m/>
    <m/>
    <m/>
    <m/>
    <m/>
    <m/>
    <m/>
    <m/>
    <m/>
  </r>
  <r>
    <n v="75"/>
    <x v="0"/>
    <x v="40"/>
    <d v="1899-12-30T04:29:49"/>
    <n v="2081"/>
    <x v="7"/>
    <x v="0"/>
    <n v="1055"/>
    <n v="35214500036582"/>
    <s v="Tanger/Casa"/>
    <n v="65.513999999999996"/>
    <x v="21"/>
    <s v="N2"/>
    <x v="0"/>
    <s v="H.O complet  entre 211 et 212,  Bonne qualité de signal  ,Requête de déconnexion a été envoyé par RBC"/>
    <m/>
    <x v="0"/>
    <m/>
    <s v="H.O Complet entre 211 et 212"/>
    <s v="dl Rxqual=0"/>
    <s v="dl rx level= -65 dbm"/>
    <s v="OK"/>
    <s v="OK"/>
    <m/>
    <s v="retransmission des trames HDLC*5"/>
    <m/>
    <m/>
    <m/>
    <m/>
    <m/>
    <m/>
    <m/>
    <m/>
    <m/>
  </r>
  <r>
    <n v="76"/>
    <x v="0"/>
    <x v="40"/>
    <d v="1899-12-30T06:22:31"/>
    <n v="2001"/>
    <x v="0"/>
    <x v="0"/>
    <n v="1037"/>
    <n v="35214500045488"/>
    <s v="Tanger/Casa"/>
    <n v="80.47"/>
    <x v="11"/>
    <s v="N2"/>
    <x v="0"/>
    <s v="H.O complet  entre 214 et 215,  Bonne qualité de signal  ,Requête de déconnexion a été envoyé par RBC"/>
    <m/>
    <x v="0"/>
    <s v="dans l'attente de verification de la rame "/>
    <s v="H.O Complet entre 214 et 215"/>
    <s v="dl Rxqual=0"/>
    <s v="dl rx level= -56 dbm"/>
    <s v="OK"/>
    <s v="OK"/>
    <m/>
    <s v="retransmission des trames HDLC*5"/>
    <m/>
    <m/>
    <m/>
    <m/>
    <m/>
    <m/>
    <m/>
    <m/>
    <m/>
  </r>
  <r>
    <n v="77"/>
    <x v="0"/>
    <x v="40"/>
    <d v="1899-12-30T11:06:13"/>
    <n v="1013"/>
    <x v="0"/>
    <x v="1"/>
    <n v="1045"/>
    <n v="35214500045098"/>
    <s v="Casa/Tanger"/>
    <n v="7.3209999999999997"/>
    <x v="2"/>
    <s v="N2"/>
    <x v="0"/>
    <s v="H.O complet  entre 303 et 202,  Bonne qualité de signal  ,Requête de déconnexion a été envoyé par RBC"/>
    <m/>
    <x v="0"/>
    <s v="dans l'attente de verification de la rame "/>
    <s v="H.O Complet entre 303 et 202"/>
    <s v="dl Rxqual=0"/>
    <s v="dl rx level= -52 dbm"/>
    <s v="OK"/>
    <s v="OK"/>
    <m/>
    <s v="retransmission des trames HDLC*5"/>
    <m/>
    <m/>
    <m/>
    <m/>
    <m/>
    <m/>
    <m/>
    <m/>
    <m/>
  </r>
  <r>
    <n v="78"/>
    <x v="0"/>
    <x v="40"/>
    <d v="1899-12-30T13:04:51"/>
    <n v="1021"/>
    <x v="7"/>
    <x v="1"/>
    <n v="1040"/>
    <n v="35214500045480"/>
    <s v="Casa/Tanger"/>
    <n v="7.3209999999999997"/>
    <x v="2"/>
    <s v="N2"/>
    <x v="0"/>
    <s v="H.O non finalisé entre  303 et 202,  Mauvaise qualité de signal  ,Requête de déconnexion a été envoyé par Bord"/>
    <m/>
    <x v="0"/>
    <m/>
    <s v="H.O Non Finalisé entre 303 et 202"/>
    <s v="dl Rxqual=5"/>
    <s v="dl rx level= -68 dbm"/>
    <s v="OK"/>
    <s v="OK"/>
    <m/>
    <s v="retransmission des trames HDLC*5"/>
    <m/>
    <m/>
    <m/>
    <m/>
    <m/>
    <m/>
    <m/>
    <m/>
    <m/>
  </r>
  <r>
    <n v="79"/>
    <x v="0"/>
    <x v="40"/>
    <d v="1899-12-30T15:31:46"/>
    <n v="2037"/>
    <x v="4"/>
    <x v="0"/>
    <n v="7208"/>
    <n v="35214500004427"/>
    <s v="Tanger/Casa"/>
    <n v="127.875"/>
    <x v="6"/>
    <s v="N2"/>
    <x v="0"/>
    <s v="H.O complet  entre 222 et 323,  Bonne qualité de signal  ,Requête de déconnexion a été envoyé par RBC"/>
    <m/>
    <x v="0"/>
    <m/>
    <s v="H.O Complet entre 222 et 323"/>
    <s v="dl Rxqual=3"/>
    <s v="dl rx level= -48 dbm"/>
    <s v="OK"/>
    <s v="OK"/>
    <m/>
    <s v="retransmission des trames HDLC*5"/>
    <m/>
    <m/>
    <m/>
    <m/>
    <m/>
    <m/>
    <m/>
    <m/>
    <m/>
  </r>
  <r>
    <n v="80"/>
    <x v="0"/>
    <x v="40"/>
    <d v="1899-12-30T18:05:28"/>
    <n v="2049"/>
    <x v="0"/>
    <x v="0"/>
    <n v="1036"/>
    <n v="35214500045461"/>
    <s v="Tanger/Casa"/>
    <n v="7.3810000000000002"/>
    <x v="2"/>
    <s v="N2"/>
    <x v="1"/>
    <s v="H.O complet  entre 202 et 303,  Bonne qualité de signal  ,Requête de déconnexion a été envoyé par RBC"/>
    <m/>
    <x v="0"/>
    <s v="dans l'attente de verification de la rame "/>
    <s v="H.O Complet entre 202 et 303"/>
    <s v="dl Rxqual=3"/>
    <s v="dl rx level= -67 dbm"/>
    <s v="OK"/>
    <s v="OK"/>
    <m/>
    <s v="retransmission des trames HDLC*5"/>
    <m/>
    <m/>
    <m/>
    <m/>
    <m/>
    <m/>
    <m/>
    <m/>
    <m/>
  </r>
  <r>
    <n v="81"/>
    <x v="0"/>
    <x v="40"/>
    <d v="1899-12-30T19:31:05"/>
    <n v="1049"/>
    <x v="4"/>
    <x v="1"/>
    <n v="1033"/>
    <n v="35214500040707"/>
    <s v="Casa/Tanger"/>
    <n v="167.761"/>
    <x v="28"/>
    <s v="N2"/>
    <x v="0"/>
    <s v="H.O complet  entre 330 et 329,  Mauvaise qualité de signal  ,Requête de déconnexion a été envoyé par RBC"/>
    <m/>
    <x v="0"/>
    <m/>
    <s v="H.O Complet entre 330 et 329"/>
    <s v="dl Rxqual=4"/>
    <s v="dl rx level= -57 dbm"/>
    <s v="OK"/>
    <s v="OK"/>
    <m/>
    <s v="retransmission des trames HDLC*5"/>
    <m/>
    <m/>
    <m/>
    <m/>
    <m/>
    <m/>
    <m/>
    <m/>
    <m/>
  </r>
  <r>
    <n v="82"/>
    <x v="0"/>
    <x v="40"/>
    <d v="1899-12-30T20:40:15"/>
    <n v="1053"/>
    <x v="6"/>
    <x v="1"/>
    <n v="1072"/>
    <n v="35214500045424"/>
    <s v="Casa/Tanger"/>
    <n v="122.536"/>
    <x v="30"/>
    <s v="N2"/>
    <x v="0"/>
    <s v="H.O complet  entre 222 et 321,  Bonne qualité de signal  ,Requête de déconnexion a été envoyé par Bord"/>
    <m/>
    <x v="0"/>
    <s v="dans l'attente de verification de la rame "/>
    <s v="H.O Complet entre 222 et 321"/>
    <s v="dl Rxqual=2"/>
    <s v="dl rx level= -76 dbm"/>
    <s v="OK"/>
    <s v="OK"/>
    <m/>
    <s v="retransmission des trames HDLC*5"/>
    <m/>
    <m/>
    <m/>
    <m/>
    <m/>
    <m/>
    <m/>
    <m/>
    <m/>
  </r>
  <r>
    <n v="83"/>
    <x v="0"/>
    <x v="41"/>
    <d v="1899-12-30T17:32:01"/>
    <n v="2045"/>
    <x v="0"/>
    <x v="0"/>
    <n v="1037"/>
    <n v="35214500045488"/>
    <s v="Tanger/Casa"/>
    <n v="126.51"/>
    <x v="6"/>
    <s v="N2"/>
    <x v="0"/>
    <s v="H.O non finalisé entre  222 et 223,  Bonne qualité de signal  ,Requête de déconnexion a été envoyé par RBC"/>
    <m/>
    <x v="0"/>
    <s v="dans l'attente de verification de la rame "/>
    <s v="H.O Non Finalisé entre 222 et 223"/>
    <s v="dl Rxqual=1"/>
    <s v="dl rx level= -78 dbm"/>
    <s v="OK"/>
    <s v="NOK"/>
    <m/>
    <s v="retransmission des trames HDLC*5"/>
    <m/>
    <m/>
    <m/>
    <m/>
    <m/>
    <m/>
    <m/>
    <m/>
    <m/>
  </r>
  <r>
    <n v="84"/>
    <x v="0"/>
    <x v="42"/>
    <d v="1899-12-30T08:58:09"/>
    <n v="1005"/>
    <x v="0"/>
    <x v="1"/>
    <n v="1044"/>
    <n v="35214500045131"/>
    <s v="Casa/Tanger"/>
    <n v="32.625999999999998"/>
    <x v="25"/>
    <s v="N2"/>
    <x v="0"/>
    <s v="H.O complet  entre 307 et 306,  Bonne qualité de signal  ,Requête de déconnexion a été envoyé par RBC"/>
    <m/>
    <x v="0"/>
    <s v="dans l'attente de verification de la rame "/>
    <s v="H.O Complet entre 307 et 306"/>
    <s v="dl Rxqual=0"/>
    <s v="dl rx level= -57 dbm"/>
    <s v="OK"/>
    <s v="OK"/>
    <m/>
    <s v="retransmission des trames HDLC*5"/>
    <m/>
    <m/>
    <m/>
    <m/>
    <m/>
    <m/>
    <m/>
    <m/>
    <m/>
  </r>
  <r>
    <n v="85"/>
    <x v="0"/>
    <x v="43"/>
    <d v="1899-12-30T06:20:05"/>
    <n v="2001"/>
    <x v="6"/>
    <x v="0"/>
    <n v="1057"/>
    <n v="35214500045187"/>
    <s v="Tanger/Casa"/>
    <n v="68.956000000000003"/>
    <x v="0"/>
    <s v="N2"/>
    <x v="0"/>
    <s v="H.O non finalisé entre 212 et 213,  Bonne qualité de signal  ,Requête de déconnexion a été envoyé par RBC"/>
    <m/>
    <x v="0"/>
    <s v="rame a été verifié ; vswr 1,73"/>
    <s v="H.O non finalisé entre 212 et 213"/>
    <s v="dl Rxqual=1"/>
    <s v="dl rx level= -63 dbm"/>
    <s v="NOK"/>
    <s v="OK"/>
    <m/>
    <s v="retransmission des trames HDLC*5"/>
    <m/>
    <m/>
    <m/>
    <m/>
    <m/>
    <m/>
    <m/>
    <m/>
    <m/>
  </r>
  <r>
    <n v="86"/>
    <x v="0"/>
    <x v="44"/>
    <d v="1899-12-30T11:55:44"/>
    <n v="1017"/>
    <x v="3"/>
    <x v="1"/>
    <n v="1008"/>
    <n v="35214500045654"/>
    <s v="Casa/Tanger"/>
    <n v="44.47"/>
    <x v="16"/>
    <s v="N2"/>
    <x v="0"/>
    <s v="H.O complet  entre 309 et 308,  Bonne qualité de signal  ,Requête de déconnexion a été envoyé par RBC"/>
    <m/>
    <x v="0"/>
    <m/>
    <s v="H.O Complet entre 309 et 308"/>
    <s v="dl Rxqual=0"/>
    <s v="dl rx level= -47 dbm"/>
    <s v="OK"/>
    <s v="OK"/>
    <s v="Mauvais"/>
    <s v="retransmission des trames HDLC*5"/>
    <m/>
    <m/>
    <m/>
    <m/>
    <m/>
    <m/>
    <m/>
    <m/>
    <m/>
  </r>
  <r>
    <n v="87"/>
    <x v="0"/>
    <x v="44"/>
    <d v="1899-12-30T13:01:50"/>
    <n v="1021"/>
    <x v="2"/>
    <x v="1"/>
    <n v="1035"/>
    <n v="35214500046011"/>
    <s v="Casa/Tanger"/>
    <n v="17.59"/>
    <x v="20"/>
    <s v="N2"/>
    <x v="0"/>
    <s v="H.O complet  entre 305 et 204,  Bonne qualité de signal  ,Requête de déconnexion a été envoyé par RBC"/>
    <m/>
    <x v="5"/>
    <m/>
    <s v="H.O Complet entre 305 et 204"/>
    <s v="dl Rxqual=0"/>
    <s v="dl rx level= -48 dbm"/>
    <s v="OK"/>
    <m/>
    <m/>
    <s v="retransmission des trames HDLC*5"/>
    <m/>
    <m/>
    <m/>
    <m/>
    <m/>
    <m/>
    <m/>
    <m/>
    <m/>
  </r>
  <r>
    <n v="88"/>
    <x v="0"/>
    <x v="44"/>
    <d v="1899-12-30T13:03:08"/>
    <n v="1021"/>
    <x v="2"/>
    <x v="1"/>
    <n v="1034"/>
    <m/>
    <s v="Casa/Tanger"/>
    <n v="13.712999999999999"/>
    <x v="22"/>
    <s v="N2"/>
    <x v="0"/>
    <s v="accrochage au nouveau secteur 591 ,"/>
    <m/>
    <x v="1"/>
    <m/>
    <m/>
    <m/>
    <m/>
    <m/>
    <m/>
    <m/>
    <m/>
    <m/>
    <m/>
    <m/>
    <m/>
    <m/>
    <m/>
    <m/>
    <m/>
    <m/>
  </r>
  <r>
    <n v="89"/>
    <x v="0"/>
    <x v="44"/>
    <d v="1899-12-30T14:05:06"/>
    <n v="1025"/>
    <x v="4"/>
    <x v="1"/>
    <n v="1032"/>
    <n v="35214500040638"/>
    <s v="Casa/Tanger"/>
    <n v="7.3209999999999997"/>
    <x v="2"/>
    <s v="N2"/>
    <x v="1"/>
    <s v="H.O non finalisé entre 303 et 202,  Bonne qualité de signal  ,Requête de déconnexion a été envoyé par RBC"/>
    <m/>
    <x v="0"/>
    <m/>
    <s v="H.O Non Finalisé entre 303 et 202"/>
    <s v="dl Rxqual=3"/>
    <s v="dl rx level= -67 dbm"/>
    <s v="NOK"/>
    <s v="OK"/>
    <m/>
    <s v="retransmission des trames HDLC*5"/>
    <m/>
    <m/>
    <m/>
    <m/>
    <m/>
    <m/>
    <m/>
    <m/>
    <m/>
  </r>
  <r>
    <n v="90"/>
    <x v="0"/>
    <x v="44"/>
    <d v="1899-12-30T18:23:37"/>
    <m/>
    <x v="6"/>
    <x v="0"/>
    <n v="1057"/>
    <m/>
    <s v="Tanger/Casa"/>
    <n v="87.715000000000003"/>
    <x v="12"/>
    <s v="N2"/>
    <x v="0"/>
    <s v="H.O complet entre 215 et 216;  Bonne qualité de signal  ,Requête de déconnexion a été envoyé par RBC"/>
    <m/>
    <x v="0"/>
    <s v="rame a été verifié ; vswr 1,73"/>
    <s v="H.O complet entre 215 et 216"/>
    <s v="dl Rxqual=4"/>
    <s v="dl rx level= -64 dbm"/>
    <s v="OK"/>
    <s v="NOK"/>
    <m/>
    <s v="retransmission des trames HDLC*5"/>
    <m/>
    <m/>
    <m/>
    <m/>
    <m/>
    <m/>
    <m/>
    <m/>
    <m/>
  </r>
  <r>
    <n v="91"/>
    <x v="0"/>
    <x v="44"/>
    <d v="1899-12-30T21:31:20"/>
    <n v="2061"/>
    <x v="3"/>
    <x v="0"/>
    <n v="1046"/>
    <n v="35229605039726"/>
    <s v="Tanger/Casa"/>
    <n v="127.875"/>
    <x v="6"/>
    <s v="N2"/>
    <x v="0"/>
    <s v="H.O complet entre 222 et 223,  Bonne qualité de signal  ,Requête de déconnexion a été envoyé par RBC"/>
    <m/>
    <x v="0"/>
    <m/>
    <s v="H.O complet entre 222 et 223"/>
    <s v="dl Rxqual=1"/>
    <s v="dl rx level= -47 dbm"/>
    <s v="OK"/>
    <s v="OK"/>
    <m/>
    <s v="retransmission des trames HDLC*5"/>
    <m/>
    <m/>
    <m/>
    <m/>
    <m/>
    <m/>
    <m/>
    <m/>
    <m/>
  </r>
  <r>
    <n v="92"/>
    <x v="0"/>
    <x v="45"/>
    <d v="1899-12-30T06:24:02"/>
    <n v="1081"/>
    <x v="5"/>
    <x v="1"/>
    <n v="1027"/>
    <n v="35214500045083"/>
    <s v="Casa/Tanger"/>
    <n v="115.893"/>
    <x v="17"/>
    <s v="N2"/>
    <x v="0"/>
    <s v="H.O comple entre 321 et 320,  Bonne qualité de signal  ,Requête de déconnexion a été envoyé par RBC"/>
    <m/>
    <x v="0"/>
    <m/>
    <s v="H.O complet entre 321 et 320"/>
    <s v="dl Rxqual=0"/>
    <s v="dl rx level= -65 dbm"/>
    <s v="OK"/>
    <s v="OK"/>
    <m/>
    <s v="retransmission des trames HDLC*5"/>
    <m/>
    <m/>
    <m/>
    <m/>
    <m/>
    <m/>
    <m/>
    <m/>
    <m/>
  </r>
  <r>
    <n v="93"/>
    <x v="0"/>
    <x v="46"/>
    <d v="1899-12-30T07:28:00"/>
    <n v="1001"/>
    <x v="3"/>
    <x v="1"/>
    <n v="1008"/>
    <n v="35214500045654"/>
    <s v="Casa/Tanger"/>
    <n v="180.38800000000001"/>
    <x v="4"/>
    <s v="N2"/>
    <x v="0"/>
    <s v="H.O comple entre 331 et 330,  Bonne qualité de signal  ,Requête de déconnexion a été envoyé par RBC"/>
    <m/>
    <x v="0"/>
    <m/>
    <s v="H.O complet entre 331 et 330"/>
    <s v="dl Rxqual=0"/>
    <s v="dl rx level= -62dbm"/>
    <s v="OK"/>
    <s v="OK"/>
    <m/>
    <s v="retransmission des trames HDLC*5"/>
    <m/>
    <m/>
    <m/>
    <m/>
    <m/>
    <m/>
    <m/>
    <m/>
    <m/>
  </r>
  <r>
    <n v="94"/>
    <x v="0"/>
    <x v="46"/>
    <d v="1899-12-30T13:04:28"/>
    <n v="1021"/>
    <x v="9"/>
    <x v="1"/>
    <n v="1027"/>
    <n v="35214500045491"/>
    <s v="Casa/Tanger"/>
    <n v="9.0299999999999994"/>
    <x v="2"/>
    <s v="N2"/>
    <x v="0"/>
    <s v="H.O comple entre 204 et 303,  mauvaise qualité de signal  ,Requête de déconnexion a été envoyé par RBC"/>
    <m/>
    <x v="0"/>
    <m/>
    <s v="H.O complet entre 204 et 303"/>
    <s v="dl Rxqual=5"/>
    <s v="dl rx level= -47 dbm"/>
    <s v="OK"/>
    <s v="OK"/>
    <m/>
    <s v="retransmission des trames HDLC*5"/>
    <m/>
    <m/>
    <m/>
    <m/>
    <m/>
    <m/>
    <m/>
    <m/>
    <m/>
  </r>
  <r>
    <n v="95"/>
    <x v="0"/>
    <x v="47"/>
    <d v="1899-12-30T14:35:29"/>
    <n v="2033"/>
    <x v="8"/>
    <x v="0"/>
    <n v="1042"/>
    <n v="5214500045498"/>
    <s v="Tanger/Casa"/>
    <n v="75.84"/>
    <x v="13"/>
    <s v="N2"/>
    <x v="1"/>
    <s v="H.O comple entre 213 et 214,  Bonne qualité de signal  ,Requête de déconnexion a été envoyé par RBC"/>
    <m/>
    <x v="0"/>
    <s v="Dans l'attente de la vérification de la rame"/>
    <s v="H.O complet entre 213 et 214"/>
    <s v="dl Rxqual=4"/>
    <s v="dl rx level= -48 dbm"/>
    <s v="OK"/>
    <s v="OK"/>
    <s v="Mauvais"/>
    <s v="retransmission des trames HDLC*5"/>
    <m/>
    <m/>
    <m/>
    <m/>
    <m/>
    <m/>
    <m/>
    <m/>
    <m/>
  </r>
  <r>
    <n v="96"/>
    <x v="0"/>
    <x v="47"/>
    <d v="1899-12-30T17:34:32"/>
    <n v="1041"/>
    <x v="2"/>
    <x v="1"/>
    <n v="1034"/>
    <n v="35214500043605"/>
    <s v="Casa/Tanger"/>
    <n v="149.01400000000001"/>
    <x v="3"/>
    <s v="N2"/>
    <x v="0"/>
    <s v="H.O Non Finalisé entre 326 et 227,  Bonne qualité de signal  ,Requête de déconnexion a été envoyé par RBC"/>
    <m/>
    <x v="1"/>
    <s v=" _x000a_Analyse des statistiques HO"/>
    <s v="H.O Non Finalisé entre 326 et 227"/>
    <s v="dl Rxqual=2"/>
    <s v="dl rx level= -64 dbm"/>
    <s v="OK"/>
    <s v="OK"/>
    <m/>
    <s v="retransmission des trames HDLC*5"/>
    <m/>
    <m/>
    <m/>
    <m/>
    <m/>
    <m/>
    <m/>
    <m/>
    <m/>
  </r>
  <r>
    <n v="97"/>
    <x v="0"/>
    <x v="48"/>
    <d v="1899-12-30T10:30:09"/>
    <n v="1013"/>
    <x v="3"/>
    <x v="1"/>
    <n v="1008"/>
    <n v="35214500045654"/>
    <s v="Casa/Tanger"/>
    <n v="182.86500000000001"/>
    <x v="31"/>
    <s v="N2"/>
    <x v="0"/>
    <s v="H.O Complet entre 332 et 331,  Bonne qualité de signal  ,Requête de déconnexion a été envoyé par RBC"/>
    <m/>
    <x v="0"/>
    <s v="Vérification de la chaine antennaire durant la s11"/>
    <s v="H.O complet entre 332 et 331"/>
    <s v="dl Rxqual=0"/>
    <s v="dl rx level= -47 dbm"/>
    <s v="OK"/>
    <s v="OK"/>
    <m/>
    <s v="retransmission des trames HDLC*5"/>
    <m/>
    <m/>
    <m/>
    <m/>
    <m/>
    <m/>
    <m/>
    <m/>
    <m/>
  </r>
  <r>
    <n v="98"/>
    <x v="0"/>
    <x v="48"/>
    <d v="1899-12-30T18:30:39"/>
    <n v="1045"/>
    <x v="7"/>
    <x v="1"/>
    <n v="1041"/>
    <n v="35214500045477"/>
    <s v="Casa/Tanger"/>
    <n v="171.53700000000001"/>
    <x v="27"/>
    <s v="N2"/>
    <x v="0"/>
    <s v="H.O Complet entre 330 et 329,  Moyenne qualité de signal  ,Requête de déconnexion a été envoyé par RBC"/>
    <m/>
    <x v="0"/>
    <s v="Replanification de vérification de la rame"/>
    <s v="H.O complet entre 330 et 329"/>
    <s v="dl Rxqual=5"/>
    <s v="dl rx level= -48 dbm"/>
    <s v="OK"/>
    <s v="OK"/>
    <m/>
    <s v="retransmission des trames HDLC*5"/>
    <m/>
    <m/>
    <m/>
    <m/>
    <m/>
    <m/>
    <m/>
    <m/>
    <m/>
  </r>
  <r>
    <n v="99"/>
    <x v="0"/>
    <x v="49"/>
    <d v="1899-12-30T04:43:58"/>
    <n v="2081"/>
    <x v="2"/>
    <x v="0"/>
    <n v="7218"/>
    <n v="35214500045735"/>
    <s v="Tanger/Casa"/>
    <n v="101.587"/>
    <x v="24"/>
    <s v="N2"/>
    <x v="0"/>
    <s v="H.O Complet entre 217 et 218,  Bonne qualité de signal  ,Requête de déconnexion a été envoyé par RBC"/>
    <m/>
    <x v="0"/>
    <s v=" _x000a_Demande de remplacement cab radio"/>
    <s v="H.O complet entre 217 et 218"/>
    <s v="dl Rxqual=0"/>
    <s v="dl rx level= -83 dbm"/>
    <s v="OK"/>
    <s v="OK"/>
    <m/>
    <s v="retransmission des trames HDLC*5"/>
    <m/>
    <m/>
    <m/>
    <m/>
    <m/>
    <m/>
    <m/>
    <m/>
    <m/>
  </r>
  <r>
    <n v="100"/>
    <x v="0"/>
    <x v="49"/>
    <d v="1899-12-30T14:45:17"/>
    <n v="2033"/>
    <x v="2"/>
    <x v="0"/>
    <n v="7217"/>
    <n v="35214500044557"/>
    <s v="Tanger/Casa"/>
    <n v="188.077"/>
    <x v="5"/>
    <s v="N2"/>
    <x v="0"/>
    <s v="H.O Non Finalisé entre 232 et 233,  Bonne qualité de signal  ,Requête de déconnexion a été envoyé par RBC"/>
    <m/>
    <x v="1"/>
    <s v="Demande de remplacement cab radio suite à une puissance dégradée"/>
    <s v="H.O Non Finalisé entre 232 et 233"/>
    <s v="dl Rxqual=0"/>
    <s v="dl rx level= -53 dbm"/>
    <s v="NOK"/>
    <s v="OK"/>
    <m/>
    <s v="retransmission des trames HDLC*5"/>
    <m/>
    <m/>
    <m/>
    <m/>
    <m/>
    <m/>
    <m/>
    <m/>
    <m/>
  </r>
  <r>
    <n v="101"/>
    <x v="0"/>
    <x v="50"/>
    <d v="1899-12-30T05:12:01"/>
    <n v="10071"/>
    <x v="2"/>
    <x v="0"/>
    <n v="7217"/>
    <n v="35214500044557"/>
    <s v="Tanger/Casa"/>
    <n v="35.259"/>
    <x v="25"/>
    <s v="N2"/>
    <x v="0"/>
    <s v="H.O Complet entre 206 et 207,  Bonne qualité de signal  ,Requête de déconnexion a été envoyé par RBC"/>
    <m/>
    <x v="0"/>
    <s v=" _x000a_Demande de remplacement cab radio"/>
    <s v="H.O complet entre 206 et 207"/>
    <s v="dl Rxqual=0"/>
    <s v="dl rx level= -53 dbm"/>
    <s v="OK"/>
    <s v="OK"/>
    <m/>
    <s v="retransmission des trames HDLC*5"/>
    <m/>
    <m/>
    <m/>
    <m/>
    <m/>
    <m/>
    <m/>
    <m/>
    <m/>
  </r>
  <r>
    <n v="102"/>
    <x v="0"/>
    <x v="50"/>
    <d v="1899-12-30T07:34:33"/>
    <n v="2005"/>
    <x v="7"/>
    <x v="0"/>
    <n v="1055"/>
    <n v="35214500036582"/>
    <s v="Tanger/Casa"/>
    <n v="139.48099999999999"/>
    <x v="26"/>
    <s v="N2"/>
    <x v="0"/>
    <s v="H.O Complet entre 324 et 225,  Bonne qualité de signal  ,Requête de déconnexion a été envoyé par RBC"/>
    <m/>
    <x v="0"/>
    <s v=" _x000a_Replanification de vérification de la rame"/>
    <s v="H.O complet entre 324 et 225"/>
    <s v="dl Rxqual=0"/>
    <s v="dl rx level= -79 dbm"/>
    <s v="OK"/>
    <s v="OK"/>
    <m/>
    <s v="retransmission des trames HDLC*5"/>
    <m/>
    <m/>
    <m/>
    <m/>
    <m/>
    <m/>
    <m/>
    <m/>
    <m/>
  </r>
  <r>
    <n v="103"/>
    <x v="0"/>
    <x v="50"/>
    <d v="1899-12-30T17:42:49"/>
    <n v="1041"/>
    <x v="5"/>
    <x v="1"/>
    <m/>
    <n v="35214500045083"/>
    <s v="Casa/Tanger"/>
    <n v="114.607"/>
    <x v="17"/>
    <s v="N2"/>
    <x v="0"/>
    <s v="H.O Complet entre 321 et 320,  Bonne qualité de signal  ,Requête de déconnexion a été envoyé par RBC"/>
    <m/>
    <x v="0"/>
    <s v=" _x000a_Dans l'attente de vérification de la rame"/>
    <s v="H.O complet entre 321 et 320"/>
    <s v="dl Rxqual=0"/>
    <s v="dl rx level= -73 dbm"/>
    <s v="OK"/>
    <s v="OK"/>
    <s v="Mauvais"/>
    <s v="retransmission des trames HDLC*5"/>
    <m/>
    <m/>
    <m/>
    <m/>
    <m/>
    <m/>
    <m/>
    <m/>
    <m/>
  </r>
  <r>
    <n v="104"/>
    <x v="0"/>
    <x v="51"/>
    <d v="1899-12-30T14:31:09"/>
    <n v="2033"/>
    <x v="4"/>
    <x v="0"/>
    <n v="7208"/>
    <n v="35214500004427"/>
    <s v="Tanger/Casa"/>
    <n v="123.901"/>
    <x v="30"/>
    <s v="N2"/>
    <x v="0"/>
    <s v="H.O Complet entre 221 et 222,  Bonne qualité de signal  ,Requête de déconnexion a été envoyé par RBC"/>
    <m/>
    <x v="0"/>
    <s v="Vérification de la chaine antennaire durant la s11"/>
    <s v="H.O complet entre 221 et 222"/>
    <s v="dl Rxqual=0"/>
    <s v="dl rx level= -65 dbm"/>
    <s v="OK"/>
    <s v="OK"/>
    <m/>
    <s v="retransmission des trames HDLC*5"/>
    <m/>
    <m/>
    <m/>
    <m/>
    <m/>
    <m/>
    <m/>
    <m/>
    <m/>
  </r>
  <r>
    <n v="105"/>
    <x v="0"/>
    <x v="52"/>
    <d v="1899-12-30T09:28:57"/>
    <n v="1009"/>
    <x v="1"/>
    <x v="1"/>
    <n v="3062"/>
    <n v="35214500017596"/>
    <s v="Casa/Tanger"/>
    <n v="174.07400000000001"/>
    <x v="27"/>
    <s v="N2"/>
    <x v="0"/>
    <s v="H.O Complet entre 331 et 330,  Mauvaise qualité de signal  ,Requête de déconnexion a été envoyé par RBC"/>
    <m/>
    <x v="1"/>
    <s v="Zone Sous surveillance"/>
    <s v="H.O complet entre 331 et 330"/>
    <s v="dl Rxqual=5"/>
    <s v="dl rx level= -58dbm"/>
    <s v="OK"/>
    <s v="OK"/>
    <s v="Bon"/>
    <s v="retransmission des trames HDLC*5"/>
    <m/>
    <m/>
    <m/>
    <m/>
    <m/>
    <m/>
    <m/>
    <m/>
    <m/>
  </r>
  <r>
    <n v="106"/>
    <x v="0"/>
    <x v="53"/>
    <d v="1899-12-30T16:38:57"/>
    <n v="1037"/>
    <x v="7"/>
    <x v="1"/>
    <n v="1041"/>
    <n v="35214500045477"/>
    <s v="Casa/Tanger"/>
    <n v="127.815"/>
    <x v="6"/>
    <s v="N2"/>
    <x v="0"/>
    <s v="H.O non finalisé entre 223 et 222,  Mauvaise qualité de signal  ,Requête de déconnexion a été envoyé par RBC"/>
    <m/>
    <x v="0"/>
    <s v=" _x000a_Dans l'attente de vérification de la rame"/>
    <s v="H.O non Finalisé entre 223 et 222"/>
    <s v="dl Rxqual=7"/>
    <s v="dl rx level= -95 dbm"/>
    <s v="OK"/>
    <s v="OK"/>
    <m/>
    <s v="retransmission des trames HDLC*5"/>
    <m/>
    <m/>
    <m/>
    <m/>
    <m/>
    <m/>
    <m/>
    <m/>
    <m/>
  </r>
  <r>
    <n v="107"/>
    <x v="0"/>
    <x v="53"/>
    <d v="1899-12-30T17:04:42"/>
    <m/>
    <x v="7"/>
    <x v="1"/>
    <n v="1040"/>
    <n v="35214500045480"/>
    <s v="Casa/Tanger"/>
    <n v="7.3209999999999997"/>
    <x v="2"/>
    <s v="N2"/>
    <x v="1"/>
    <s v="H.O non finalisé entre 203 et 302, Mauvaise qualité de signal  ,Requête de déconnexion a été envoyé par RBC"/>
    <m/>
    <x v="0"/>
    <s v=" _x000a_Dans l'attente de vérification de la rame"/>
    <s v="H.O non Finalisé entre 203 et 302"/>
    <s v="dl Rxqual=7"/>
    <s v="dl rx level= -65 dbm"/>
    <s v="OK"/>
    <s v="OK"/>
    <m/>
    <s v="retransmission des trames HDLC*5"/>
    <m/>
    <m/>
    <m/>
    <m/>
    <m/>
    <m/>
    <m/>
    <m/>
    <m/>
  </r>
  <r>
    <n v="108"/>
    <x v="0"/>
    <x v="54"/>
    <s v=" 15:21:17"/>
    <n v="2037"/>
    <x v="0"/>
    <x v="0"/>
    <n v="1037"/>
    <n v="35214500045488"/>
    <s v="Tanger/Casa"/>
    <n v="75.585999999999999"/>
    <x v="13"/>
    <s v="N2"/>
    <x v="0"/>
    <s v="H.O non finalisé entre 213 et 214,  Mauvaise qualité de signal  ,Requête de déconnexion a été envoyé par RBC"/>
    <m/>
    <x v="1"/>
    <s v="Zone Sous surveillance"/>
    <s v="H.O non finalisé entre 213 et 214"/>
    <s v="dl Rxqual=7"/>
    <s v="dl rx level= -79 dbm"/>
    <s v="OK"/>
    <s v="OK"/>
    <s v="moyen"/>
    <s v="retransmission des trames HDLC*5"/>
    <m/>
    <m/>
    <m/>
    <m/>
    <m/>
    <m/>
    <m/>
    <m/>
    <m/>
  </r>
  <r>
    <n v="109"/>
    <x v="0"/>
    <x v="55"/>
    <d v="1899-12-30T05:01:34"/>
    <n v="10071"/>
    <x v="2"/>
    <x v="0"/>
    <n v="7218"/>
    <n v="35214500045735"/>
    <s v="Tanger/Casa"/>
    <n v="7.3810000000000002"/>
    <x v="2"/>
    <s v="N2"/>
    <x v="0"/>
    <s v="H.O non finalisé entre 202 et 203,  Bonne qualité de signal  ,Requête de déconnexion a été envoyé par RBC"/>
    <m/>
    <x v="1"/>
    <s v="Rame Sous surveillance"/>
    <s v="H.O non finalisé entre 202 et 203"/>
    <s v="dl Rxqual=0"/>
    <s v="dl rx level= -76 dbm"/>
    <s v="OK"/>
    <s v="OK"/>
    <m/>
    <s v="retransmission des trames HDLC*5"/>
    <m/>
    <m/>
    <m/>
    <m/>
    <m/>
    <m/>
    <m/>
    <m/>
    <m/>
  </r>
  <r>
    <n v="110"/>
    <x v="0"/>
    <x v="56"/>
    <d v="1899-12-30T14:04:43"/>
    <n v="1025"/>
    <x v="2"/>
    <x v="1"/>
    <n v="1034"/>
    <n v="35214500043605"/>
    <s v="Casa/Tanger"/>
    <n v="8.9700000000000006"/>
    <x v="2"/>
    <s v="N2"/>
    <x v="0"/>
    <s v="H.O Complet entre 304 et 303,  Bonne qualité de signal  ,Requête de déconnexion a été envoyé par RBC"/>
    <m/>
    <x v="0"/>
    <s v="Rame Sous surveillance"/>
    <s v="H.O complet entre 304 et 303"/>
    <s v="dl Rxqual=2"/>
    <s v="dl rx level= -67 dbm"/>
    <s v="OK"/>
    <s v="OK"/>
    <s v="Mauvais"/>
    <s v="retransmission des trames HDLC*5"/>
    <m/>
    <m/>
    <m/>
    <m/>
    <m/>
    <m/>
    <m/>
    <m/>
    <m/>
  </r>
  <r>
    <n v="111"/>
    <x v="0"/>
    <x v="57"/>
    <d v="1899-12-30T23:44:38"/>
    <n v="10091"/>
    <x v="8"/>
    <x v="1"/>
    <n v="1023"/>
    <n v="35214500045408"/>
    <s v="Casa/Tanger"/>
    <n v="98.921999999999997"/>
    <x v="8"/>
    <s v="N2"/>
    <x v="0"/>
    <s v="H.O Complet entre 319 et 318,  Bonne qualité de signal  ,Requête de déconnexion a été envoyé par RBC"/>
    <m/>
    <x v="0"/>
    <s v="Rame Sous surveillance"/>
    <s v="H.O complet entre 319 et 318"/>
    <s v="dl Rxqual=0"/>
    <s v="dl rx level= -72 dbm"/>
    <s v="OK"/>
    <s v="NOK"/>
    <s v="Mauvais"/>
    <s v="retransmission des trames HDLC*5"/>
    <m/>
    <m/>
    <m/>
    <m/>
    <m/>
    <m/>
    <m/>
    <m/>
    <m/>
  </r>
  <r>
    <n v="112"/>
    <x v="0"/>
    <x v="57"/>
    <d v="1899-12-30T00:05:06"/>
    <m/>
    <x v="8"/>
    <x v="1"/>
    <n v="1022"/>
    <n v="35214500045326"/>
    <s v="Casa/Tanger"/>
    <n v="7.3209999999999997"/>
    <x v="2"/>
    <s v="N2"/>
    <x v="0"/>
    <s v="H.O Complet entre 303 et 302,  Bonne qualité de signal  ,Requête de déconnexion a été envoyé par RBC"/>
    <m/>
    <x v="0"/>
    <s v="Rame Sous surveillance"/>
    <s v="H.O complet entre 303 et 302"/>
    <s v="dl Rxqual=0"/>
    <s v="dl rx level= -61 dbm"/>
    <s v="OK"/>
    <s v="OK"/>
    <s v="Mauvais"/>
    <s v="retransmission des trames HDLC*5"/>
    <m/>
    <m/>
    <m/>
    <m/>
    <m/>
    <m/>
    <m/>
    <m/>
    <m/>
  </r>
  <r>
    <n v="113"/>
    <x v="0"/>
    <x v="58"/>
    <d v="1899-12-30T08:34:37"/>
    <n v="2009"/>
    <x v="4"/>
    <x v="0"/>
    <n v="1058"/>
    <n v="35214500044293"/>
    <s v="Tanger/Casa"/>
    <n v="140.65899999999999"/>
    <x v="26"/>
    <s v="N2"/>
    <x v="0"/>
    <s v="H.O Complet entre 223 et 224,  Bonne qualité de signal  ,Requête de déconnexion a été envoyé par RBC"/>
    <m/>
    <x v="0"/>
    <s v="vérification de la Rame plannififé la semaine 15/04/2024"/>
    <s v="H.O complet entre 223 et 224"/>
    <s v="dl Rxqual=0"/>
    <s v="dl rx level= -72 dbm"/>
    <s v="OK"/>
    <s v="OK"/>
    <s v="Mauvais"/>
    <s v="retransmission des trames HDLC*5"/>
    <m/>
    <m/>
    <m/>
    <m/>
    <m/>
    <m/>
    <m/>
    <m/>
    <m/>
  </r>
  <r>
    <n v="114"/>
    <x v="0"/>
    <x v="58"/>
    <d v="1899-12-30T19:09:11"/>
    <n v="1046"/>
    <x v="3"/>
    <x v="1"/>
    <n v="1007"/>
    <n v="35214500045722"/>
    <s v="Casa/Tanger"/>
    <n v="7.3209999999999997"/>
    <x v="2"/>
    <s v="N2"/>
    <x v="1"/>
    <s v="H.O Complet entre 303 et 302,  mauvaise qualité de signal  ,Requête de déconnexion a été envoyé par RBC"/>
    <m/>
    <x v="0"/>
    <s v="Rame sous surveillance"/>
    <s v="H.O complet entre 303 et 302"/>
    <s v="dl Rxqual=7"/>
    <s v="dl rx level= -61 dbm"/>
    <s v="OK"/>
    <s v="OK"/>
    <s v="Mauvais"/>
    <s v="retransmission des trames HDLC*5"/>
    <m/>
    <m/>
    <m/>
    <m/>
    <m/>
    <m/>
    <m/>
    <m/>
    <m/>
  </r>
  <r>
    <n v="115"/>
    <x v="0"/>
    <x v="58"/>
    <d v="1899-12-30T22:43:42"/>
    <n v="10081"/>
    <x v="3"/>
    <x v="0"/>
    <n v="1047"/>
    <n v="35229605039441"/>
    <s v="Tanger/Casa"/>
    <n v="179.149"/>
    <x v="4"/>
    <s v="N2"/>
    <x v="0"/>
    <s v="H.O Complet entre 230 et 231,  Bonne qualité de signal  ,Requête de déconnexion a été envoyé par RBC"/>
    <m/>
    <x v="5"/>
    <s v="en attente de croisement des traces GRU "/>
    <s v="H.O complet entre 230 et 231"/>
    <s v="dl Rxqual=0"/>
    <s v="dl rx level= -68 dbm"/>
    <s v="OK"/>
    <s v="OK"/>
    <s v="Bon"/>
    <s v="retransmission des trames HDLC*5"/>
    <m/>
    <m/>
    <m/>
    <m/>
    <m/>
    <m/>
    <m/>
    <m/>
    <m/>
  </r>
  <r>
    <n v="116"/>
    <x v="0"/>
    <x v="59"/>
    <d v="1899-12-30T09:04:36"/>
    <n v="2013"/>
    <x v="4"/>
    <x v="0"/>
    <n v="7208"/>
    <n v="35214500004427"/>
    <s v="Tanger/Casa"/>
    <n v="4.7069999999999999"/>
    <x v="2"/>
    <s v="N2"/>
    <x v="1"/>
    <s v="H.O Complet entre 201 et 302,  mauvaise qualité de signal  ,Requête de déconnexion a été envoyé par RBC"/>
    <m/>
    <x v="1"/>
    <s v="Analyse Spéctrale Prévu le 16/04/2024"/>
    <s v="H.O complet entre 201 et 302"/>
    <s v="dl Rxqual=6"/>
    <s v="dl rx level= -48 dbm"/>
    <s v="OK"/>
    <s v="OK"/>
    <s v="Mauvais"/>
    <s v="retransmission des trames HDLC*5"/>
    <m/>
    <m/>
    <m/>
    <m/>
    <m/>
    <m/>
    <m/>
    <m/>
    <m/>
  </r>
  <r>
    <n v="117"/>
    <x v="0"/>
    <x v="60"/>
    <d v="1899-12-30T15:33:49"/>
    <n v="2037"/>
    <x v="5"/>
    <x v="0"/>
    <n v="1024"/>
    <n v="35214500045122"/>
    <s v="Tanger/Casa"/>
    <n v="134.30000000000001"/>
    <x v="10"/>
    <s v="N2"/>
    <x v="1"/>
    <s v="H.O non finalisé entre 323 et 324  bonne qualité de signal  ,Requête de déconnexion a été envoyé par RBC"/>
    <m/>
    <x v="0"/>
    <s v="vérification de la chaine antennaire prévu"/>
    <s v="H.O complet entre 323 et 324"/>
    <s v="dl Rxqual=0"/>
    <s v="dl rx level= -70 dbm"/>
    <s v="OK"/>
    <s v="OK"/>
    <s v="Mauvais"/>
    <s v="retransmission des trames HDLC*5"/>
    <m/>
    <m/>
    <m/>
    <m/>
    <m/>
    <m/>
    <m/>
    <m/>
    <m/>
  </r>
  <r>
    <n v="118"/>
    <x v="0"/>
    <x v="61"/>
    <d v="1899-12-30T17:01:22"/>
    <n v="1038"/>
    <x v="8"/>
    <x v="1"/>
    <n v="1023"/>
    <n v="35214500045408"/>
    <s v="Casa/Tanger"/>
    <n v="26.739000000000001"/>
    <x v="7"/>
    <s v="N2"/>
    <x v="0"/>
    <s v="H.O non finalisé entre 306 et 205  bonne qualité de signal  ,Requête de déconnexion a été envoyé par le MSC"/>
    <m/>
    <x v="0"/>
    <s v="rame SS"/>
    <s v="H.O non Finalisé entre 306 et 205"/>
    <s v="dl Rxqual=3"/>
    <s v="dl rx level= -92 dbm"/>
    <s v="OK"/>
    <s v="OK"/>
    <s v="Mauvais"/>
    <s v="retransmission des trames HDLC*5"/>
    <m/>
    <m/>
    <m/>
    <m/>
    <m/>
    <m/>
    <m/>
    <m/>
    <m/>
  </r>
  <r>
    <n v="119"/>
    <x v="0"/>
    <x v="62"/>
    <d v="1899-12-30T09:05:11"/>
    <n v="1005"/>
    <x v="9"/>
    <x v="1"/>
    <n v="1031"/>
    <n v="35214500045491"/>
    <s v="Casa/Tanger"/>
    <n v="8.9700000000000006"/>
    <x v="2"/>
    <s v="N2"/>
    <x v="0"/>
    <s v="H.O non finalisé entre 204 et  303 bonne qualité de signal  ,Requête de déconnexion a été envoyé par le RBC"/>
    <m/>
    <x v="1"/>
    <s v="analyse Spéctrale Prévu le 16/04/2024"/>
    <s v="H.O non Finalisé entre  204 et 303"/>
    <s v="dl Rxqual=1"/>
    <s v="dl rx level= -72 dbm"/>
    <s v="OK"/>
    <s v="OK"/>
    <s v="Bon"/>
    <s v="retransmission des trames HDLC*5"/>
    <m/>
    <m/>
    <m/>
    <m/>
    <m/>
    <m/>
    <m/>
    <m/>
    <m/>
  </r>
  <r>
    <n v="120"/>
    <x v="0"/>
    <x v="62"/>
    <d v="1899-12-30T18:39:16"/>
    <n v="1045"/>
    <x v="10"/>
    <x v="1"/>
    <n v="1060"/>
    <n v="35214500005339"/>
    <s v="Casa/Tanger"/>
    <n v="127.815"/>
    <x v="6"/>
    <s v="N2"/>
    <x v="0"/>
    <s v="H.O non finalisé entre 223 et 222 Mauvaise qualité de signal  ,Requête de déconnexion a été envoyé par le RBC"/>
    <m/>
    <x v="0"/>
    <s v="rame ss"/>
    <s v="H.O non Finalisé entre  223 et 222"/>
    <s v="dl Rxqual=7"/>
    <s v="dl rx level= -84 dbm"/>
    <s v="OK"/>
    <s v="OK"/>
    <s v="Mauvais"/>
    <s v="retransmission des trames HDLC*5"/>
    <m/>
    <m/>
    <m/>
    <m/>
    <m/>
    <m/>
    <m/>
    <m/>
    <m/>
  </r>
  <r>
    <n v="121"/>
    <x v="0"/>
    <x v="62"/>
    <d v="1899-12-30T22:21:45"/>
    <n v="10081"/>
    <x v="10"/>
    <x v="0"/>
    <n v="7198"/>
    <n v="35214500040520"/>
    <s v="Tanger/Casa"/>
    <n v="73.585999999999999"/>
    <x v="13"/>
    <s v="N2"/>
    <x v="0"/>
    <s v="H.O non finalisé entre 213 et 214 Mauvaise qualité de signal  ,Requête de déconnexion a été envoyé par le RBC"/>
    <m/>
    <x v="0"/>
    <s v="rame ss"/>
    <s v="H.O non Finalisé entre  213 et 214"/>
    <s v="dl Rxqual=7"/>
    <s v="dl rx level= -82 dbm"/>
    <s v="OK"/>
    <s v="OK"/>
    <s v="Mauvais"/>
    <s v="retransmission des trames HDLC*5"/>
    <m/>
    <m/>
    <m/>
    <m/>
    <m/>
    <m/>
    <m/>
    <m/>
    <m/>
  </r>
  <r>
    <n v="122"/>
    <x v="0"/>
    <x v="63"/>
    <d v="1899-12-30T17:33:50"/>
    <n v="1041"/>
    <x v="4"/>
    <x v="1"/>
    <n v="1033"/>
    <n v="35214500040707"/>
    <s v="Casa/Tanger"/>
    <n v="177.85"/>
    <x v="4"/>
    <s v="N2"/>
    <x v="0"/>
    <s v="H.O non finalisé entre 330 et 329 Mauvaise qualité de signal  ,Requête de déconnexion a été envoyé par le Bord"/>
    <m/>
    <x v="0"/>
    <m/>
    <s v="H.O non Finalisé entre  330 et 329"/>
    <s v="dl Rxqual=7"/>
    <s v="dl rx level= -50 dbm"/>
    <s v="OK"/>
    <s v="OK"/>
    <s v="Mauvais"/>
    <s v="retransmission des trames HDLC*5"/>
    <m/>
    <m/>
    <m/>
    <m/>
    <m/>
    <m/>
    <m/>
    <m/>
    <m/>
  </r>
  <r>
    <n v="123"/>
    <x v="0"/>
    <x v="64"/>
    <d v="1899-12-30T11:38:04"/>
    <n v="2021"/>
    <x v="6"/>
    <x v="0"/>
    <n v="1057"/>
    <n v="35214500045187"/>
    <s v="Tanger/Casa"/>
    <n v="158.298"/>
    <x v="9"/>
    <s v="N2"/>
    <x v="0"/>
    <s v="H.O Complet entre 226 et 227 Bonne qualité de signal  ,Requête de déconnexion a été envoyé par le RBC"/>
    <m/>
    <x v="0"/>
    <s v="VSWR en attente d'atteindre 1,8 pour lancer une vérification"/>
    <s v="H.O Complet entre  226 et 227"/>
    <s v="dl Rxqual=0"/>
    <s v="dl rx level= -47 dbm"/>
    <s v="OK"/>
    <s v="OK"/>
    <s v="Mauvais"/>
    <s v="retransmission des trames HDLC*5"/>
    <m/>
    <m/>
    <m/>
    <m/>
    <m/>
    <m/>
    <m/>
    <m/>
    <m/>
  </r>
  <r>
    <n v="124"/>
    <x v="0"/>
    <x v="64"/>
    <d v="1899-12-30T16:34:49"/>
    <n v="2041"/>
    <x v="3"/>
    <x v="0"/>
    <n v="1046"/>
    <n v="35214500038730"/>
    <s v="Tanger/Casa"/>
    <n v="134.30000000000001"/>
    <x v="10"/>
    <s v="N2"/>
    <x v="0"/>
    <s v="H.O Complet entre 323 et 324 Bonne qualité de signal  ,Requête de déconnexion a été envoyé par le RBC"/>
    <m/>
    <x v="0"/>
    <m/>
    <s v="H.O Complet entre 323 et 324"/>
    <s v="dl Rxqual=4"/>
    <s v="dl rx level= -58 dbm"/>
    <s v="OK"/>
    <s v="OK"/>
    <s v="Mauvais"/>
    <s v="retransmission des trames HDLC*5"/>
    <m/>
    <m/>
    <m/>
    <m/>
    <m/>
    <m/>
    <m/>
    <m/>
    <m/>
  </r>
  <r>
    <n v="125"/>
    <x v="0"/>
    <x v="64"/>
    <d v="1899-12-30T17:54:43"/>
    <n v="1041"/>
    <x v="8"/>
    <x v="1"/>
    <n v="1023"/>
    <n v="35214500045408"/>
    <s v="Casa/Tanger"/>
    <n v="60.945"/>
    <x v="21"/>
    <s v="N2"/>
    <x v="0"/>
    <s v="H.O Complet entre 211 et 312 Bonne qualité de signal  ,Requête de déconnexion a été envoyé par le RBC"/>
    <m/>
    <x v="0"/>
    <s v="planification de la vérification en cours "/>
    <s v="H.O Complet entre 211 et 312"/>
    <s v="dl Rxqual=0"/>
    <s v="dl rx level= -47 dbm"/>
    <s v="OK"/>
    <s v="OK"/>
    <s v="Mauvais"/>
    <s v="retransmission des trames HDLC*5"/>
    <m/>
    <m/>
    <m/>
    <m/>
    <m/>
    <m/>
    <m/>
    <m/>
    <m/>
  </r>
  <r>
    <n v="126"/>
    <x v="0"/>
    <x v="65"/>
    <d v="1899-12-30T08:47:24"/>
    <n v="15121"/>
    <x v="0"/>
    <x v="1"/>
    <n v="1044"/>
    <n v="35214500045131"/>
    <s v="Casa/Tanger"/>
    <n v="182.86500000000001"/>
    <x v="31"/>
    <s v="N2"/>
    <x v="0"/>
    <s v="H.O Complet entre 332 et 331,  mauvaise qualité de signal  ,Requête de déconnexion a été envoyé par RBC"/>
    <m/>
    <x v="0"/>
    <s v="planification de la vérification en cours "/>
    <s v="H.O complet entre 332 et 331"/>
    <s v="dl Rxqual=5"/>
    <s v="dl rx level= -42 dbm"/>
    <s v="OK"/>
    <s v="OK"/>
    <s v="Mauvais"/>
    <s v="retransmission des trames HDLC*5"/>
    <m/>
    <m/>
    <m/>
    <m/>
    <m/>
    <m/>
    <m/>
    <m/>
    <m/>
  </r>
  <r>
    <n v="127"/>
    <x v="0"/>
    <x v="65"/>
    <d v="1899-12-30T15:23:40"/>
    <n v="2037"/>
    <x v="1"/>
    <x v="0"/>
    <n v="1028"/>
    <n v="35214500045268"/>
    <s v="Tanger/Casa"/>
    <n v="86.238"/>
    <x v="12"/>
    <s v="N2"/>
    <x v="0"/>
    <s v="H.O Complet entre 213 et 214,  bonne qualité de signal  ,Requête de déconnexion a été envoyé par RBC"/>
    <m/>
    <x v="0"/>
    <s v="planification de la vérification en cours "/>
    <s v="H.O complet entre 213 et 214"/>
    <s v="dl Rxqual=4"/>
    <s v="dl rx level= -58 dbm"/>
    <s v="OK"/>
    <s v="OK"/>
    <s v="Mauvais"/>
    <s v="retransmission des trames HDLC*5"/>
    <m/>
    <m/>
    <m/>
    <m/>
    <m/>
    <m/>
    <m/>
    <m/>
    <m/>
  </r>
  <r>
    <n v="128"/>
    <x v="0"/>
    <x v="65"/>
    <d v="1899-12-30T15:29:04"/>
    <n v="2037"/>
    <x v="1"/>
    <x v="0"/>
    <n v="1028"/>
    <n v="35214500045268"/>
    <s v="Tanger/Casa"/>
    <n v="92.561000000000007"/>
    <x v="12"/>
    <s v="N2"/>
    <x v="1"/>
    <s v="H.O Complet entre 215 et 216,  bonne qualité de signal  ,Requête de déconnexion a été envoyé par RBC"/>
    <m/>
    <x v="0"/>
    <m/>
    <s v="H.O complet entre 215 et 216"/>
    <s v="dl Rxqual=0"/>
    <s v="dl rx level= -62 dbm"/>
    <s v="OK"/>
    <s v="OK"/>
    <s v="Mauvais"/>
    <s v="retransmission des trames HDLC*5"/>
    <m/>
    <m/>
    <m/>
    <m/>
    <m/>
    <m/>
    <m/>
    <m/>
    <m/>
  </r>
  <r>
    <n v="129"/>
    <x v="0"/>
    <x v="66"/>
    <d v="1899-12-30T14:05:45"/>
    <n v="1025"/>
    <x v="4"/>
    <x v="1"/>
    <n v="1033"/>
    <n v="35214500040707"/>
    <s v="Casa/Tanger"/>
    <n v="7.3209999999999997"/>
    <x v="2"/>
    <s v="N2"/>
    <x v="1"/>
    <s v="H.O non finalisé entre 303 et 202 Mauvaise qualité de signal  ,Requête de déconnexion a été envoyé par le Bord"/>
    <m/>
    <x v="1"/>
    <s v="analyse Spéctrale Prévu "/>
    <s v="H.O non Finalisé entre  303 et 202"/>
    <s v="dl Rxqual=6"/>
    <s v="dl rx level= -55 dbm"/>
    <s v="OK"/>
    <s v="OK"/>
    <s v="Mauvais"/>
    <s v="retransmission des trames HDLC*4"/>
    <m/>
    <m/>
    <m/>
    <m/>
    <m/>
    <m/>
    <m/>
    <m/>
    <m/>
  </r>
  <r>
    <n v="130"/>
    <x v="0"/>
    <x v="66"/>
    <d v="1899-12-30T15:46:55"/>
    <n v="1033"/>
    <x v="0"/>
    <x v="1"/>
    <n v="1045"/>
    <n v="35214500045098"/>
    <s v="Casa/Tanger"/>
    <n v="94.953999999999994"/>
    <x v="8"/>
    <s v="N2"/>
    <x v="0"/>
    <s v="H.O non finalisé entre 318 et 217 Mauvaise qualité de signal  ,Requête de déconnexion a été envoyé par le Bord"/>
    <m/>
    <x v="0"/>
    <m/>
    <s v="H.O non Finalisé entre  318 et 217"/>
    <s v="dl Rxqual=7"/>
    <s v="dl rx level= -79 dbm"/>
    <s v="OK"/>
    <s v="OK"/>
    <s v="Mauvais"/>
    <s v="retransmission des trames HDLC*4"/>
    <m/>
    <m/>
    <m/>
    <m/>
    <m/>
    <m/>
    <m/>
    <m/>
    <m/>
  </r>
  <r>
    <n v="131"/>
    <x v="0"/>
    <x v="66"/>
    <d v="1899-12-30T22:50:41"/>
    <n v="1061"/>
    <x v="5"/>
    <x v="1"/>
    <n v="1027"/>
    <n v="35214500045083"/>
    <s v="Casa/Tanger"/>
    <n v="76.968000000000004"/>
    <x v="11"/>
    <s v="N2"/>
    <x v="0"/>
    <s v="H.O Complet entre 315 et 314,  bonne qualité de signal  ,Requête de déconnexion a été envoyé par RBC"/>
    <m/>
    <x v="0"/>
    <m/>
    <s v="H.O complet entre 315 et 314"/>
    <s v="dl Rxqual=0"/>
    <s v="dl rx level= -67 dbm"/>
    <s v="OK"/>
    <s v="OK"/>
    <s v="Mauvais"/>
    <s v="retransmission des trames HDLC*5"/>
    <m/>
    <m/>
    <m/>
    <m/>
    <m/>
    <m/>
    <m/>
    <m/>
    <m/>
  </r>
  <r>
    <n v="132"/>
    <x v="0"/>
    <x v="67"/>
    <d v="1899-12-30T08:13:33"/>
    <n v="10075"/>
    <x v="3"/>
    <x v="1"/>
    <n v="1008"/>
    <n v="35214500045654"/>
    <s v="Casa/Tanger"/>
    <n v="127.815"/>
    <x v="6"/>
    <s v="N2"/>
    <x v="0"/>
    <s v="H.O Complet entre 224 et 323,  bonne qualité de signal  ,Requête de déconnexion a été envoyé par RBC"/>
    <m/>
    <x v="0"/>
    <s v="Vérification plannifié la semaine du 22"/>
    <s v="H.O complet entre 224 et 323"/>
    <s v="dl Rxqual=1"/>
    <s v="dl rx level= -77 dbm"/>
    <s v="OK"/>
    <s v="OK"/>
    <s v="Mauvais"/>
    <s v="retransmission des trames HDLC*5"/>
    <m/>
    <m/>
    <m/>
    <m/>
    <m/>
    <m/>
    <m/>
    <m/>
    <m/>
  </r>
  <r>
    <n v="133"/>
    <x v="0"/>
    <x v="67"/>
    <d v="1899-12-30T12:16:54"/>
    <n v="2025"/>
    <x v="7"/>
    <x v="0"/>
    <n v="1055"/>
    <n v="35214500036582"/>
    <s v="Tanger/Casa"/>
    <n v="52.289000000000001"/>
    <x v="29"/>
    <s v="N2"/>
    <x v="0"/>
    <s v="H.O non finalisé entre 309 et 210 bonne qualité de signal  ,Requête de déconnexion a été envoyé par le Bord"/>
    <m/>
    <x v="0"/>
    <s v="planification de la vérification en cours "/>
    <s v="H.O non Finalisé entre  309 et 210"/>
    <s v="dl Rxqual=0"/>
    <s v="dl rx level= -66 dbm"/>
    <s v="OK"/>
    <s v="OK"/>
    <s v="Mauvais"/>
    <s v="retransmission des trames HDLC*4"/>
    <m/>
    <m/>
    <m/>
    <m/>
    <m/>
    <m/>
    <m/>
    <m/>
    <m/>
  </r>
  <r>
    <n v="134"/>
    <x v="0"/>
    <x v="67"/>
    <d v="1899-12-30T17:34:56"/>
    <n v="2045"/>
    <x v="9"/>
    <x v="0"/>
    <n v="1052"/>
    <n v="35214500043740"/>
    <s v="Tanger/Casa"/>
    <n v="133.07400000000001"/>
    <x v="10"/>
    <s v="N2"/>
    <x v="0"/>
    <s v="H.O non finalisé entre 323 et 224 mauvaise qualité de signal  ,Requête de déconnexion a été envoyé par RBC"/>
    <m/>
    <x v="0"/>
    <m/>
    <s v="H.O non Finalisé entre  323 et 324"/>
    <s v="dl Rxqual=6"/>
    <s v="dl rx level= -63 dbm"/>
    <s v="OK"/>
    <s v="OK"/>
    <s v="Mauvais"/>
    <s v="retransmission des trames HDLC*5"/>
    <m/>
    <m/>
    <m/>
    <m/>
    <m/>
    <m/>
    <m/>
    <m/>
    <m/>
  </r>
  <r>
    <n v="135"/>
    <x v="0"/>
    <x v="67"/>
    <d v="1899-12-30T18:40:59"/>
    <n v="2049"/>
    <x v="7"/>
    <x v="0"/>
    <n v="1055"/>
    <n v="35214500036582"/>
    <s v="Tanger/Casa"/>
    <n v="175.37299999999999"/>
    <x v="4"/>
    <s v="N2"/>
    <x v="0"/>
    <s v="H.O Complet entre 229 et 230  bonne qualité de signal  ,Requête de déconnexion a été envoyé par RBC"/>
    <m/>
    <x v="0"/>
    <s v="planification de la vérification en cours "/>
    <s v="H.O complet entre 224 et 323"/>
    <s v="dl Rxqual=0"/>
    <s v="dl rx level= -62 dbm"/>
    <s v="OK"/>
    <s v="NOK"/>
    <s v="moyen"/>
    <s v="retransmission des trames HDLC*5"/>
    <m/>
    <m/>
    <m/>
    <m/>
    <m/>
    <m/>
    <m/>
    <m/>
    <m/>
  </r>
  <r>
    <n v="136"/>
    <x v="0"/>
    <x v="67"/>
    <d v="1899-12-30T20:34:43"/>
    <n v="1053"/>
    <x v="2"/>
    <x v="1"/>
    <n v="1034"/>
    <n v="35214500036582"/>
    <s v="Casa/Tanger"/>
    <n v="154.82400000000001"/>
    <x v="18"/>
    <s v="N2"/>
    <x v="0"/>
    <s v="H.O Complet entre 328 et 327  bonne qualité de signal  ,Requête de déconnexion a été envoyé par RBC"/>
    <m/>
    <x v="0"/>
    <m/>
    <s v="H.O complet entre 328 et 327"/>
    <s v="dl Rxqual=0"/>
    <s v="dl rx level= -62 dbm"/>
    <s v="OK"/>
    <s v="OK"/>
    <s v="Mauvais"/>
    <s v="retransmission des trames HDLC*5"/>
    <m/>
    <m/>
    <m/>
    <m/>
    <m/>
    <m/>
    <m/>
    <m/>
    <m/>
  </r>
  <r>
    <n v="137"/>
    <x v="0"/>
    <x v="68"/>
    <d v="1899-12-30T15:17:13"/>
    <n v="2037"/>
    <x v="0"/>
    <x v="0"/>
    <n v="1037"/>
    <n v="35214500045488"/>
    <s v="Tanger/Casa"/>
    <n v="53.600999999999999"/>
    <x v="29"/>
    <s v="N2"/>
    <x v="0"/>
    <s v="H.O Complet entre 309 et 210  bonne qualité de signal  ,Requête de déconnexion a été envoyé par RBC"/>
    <m/>
    <x v="0"/>
    <s v="Planification de la vérification en cours "/>
    <s v="H.O complet entre 309 et 210"/>
    <s v="dl Rxqual=1"/>
    <s v="dl rx level= -70 dbm"/>
    <s v="OK"/>
    <s v="OK"/>
    <s v="Mauvais"/>
    <s v="retransmission des trames HDLC*5"/>
    <m/>
    <m/>
    <m/>
    <m/>
    <m/>
    <m/>
    <m/>
    <m/>
    <m/>
  </r>
  <r>
    <n v="138"/>
    <x v="0"/>
    <x v="69"/>
    <d v="1899-12-30T16:45:36"/>
    <m/>
    <x v="5"/>
    <x v="0"/>
    <n v="1025"/>
    <n v="35214500045073"/>
    <s v="Tanger/Casa"/>
    <n v="186.315"/>
    <x v="19"/>
    <s v="N2"/>
    <x v="0"/>
    <s v="H.O Complet entre 231 et 232  bonne qualité de signal  ,Requête de déconnexion a été envoyé par RBC"/>
    <m/>
    <x v="0"/>
    <s v="Planification de la vérification en cours "/>
    <s v="H.O complet entre 231 et 232"/>
    <s v="dl Rxqual=0"/>
    <s v="dl rx level= -54 dbm"/>
    <s v="OK"/>
    <s v="OK"/>
    <s v="Mauvais"/>
    <s v="retransmission des trames HDLC*5"/>
    <m/>
    <m/>
    <m/>
    <m/>
    <m/>
    <m/>
    <m/>
    <m/>
    <m/>
  </r>
  <r>
    <n v="139"/>
    <x v="0"/>
    <x v="70"/>
    <d v="1899-12-30T07:16:54"/>
    <n v="10075"/>
    <x v="10"/>
    <x v="1"/>
    <n v="1025"/>
    <n v="35214500045073"/>
    <s v="Casa/Tanger"/>
    <n v="125.206"/>
    <x v="6"/>
    <s v="N2"/>
    <x v="1"/>
    <s v="H.O Complet entre 223 et 322  bonne qualité de signal  ,Requête de déconnexion a été envoyé par RBC"/>
    <m/>
    <x v="6"/>
    <s v="en attendant croisement des traces JRU"/>
    <s v="H.O complet entre 223 et 322"/>
    <s v="dl Rxqual=0"/>
    <s v="dl rx level= -78 dbm"/>
    <s v="OK"/>
    <s v="OK"/>
    <s v="Mauvais"/>
    <s v="retransmission des trames HDLC*5"/>
    <m/>
    <m/>
    <m/>
    <m/>
    <m/>
    <m/>
    <m/>
    <m/>
    <m/>
  </r>
  <r>
    <n v="140"/>
    <x v="0"/>
    <x v="71"/>
    <d v="1899-12-30T04:43:47"/>
    <n v="2081"/>
    <x v="3"/>
    <x v="0"/>
    <n v="1047"/>
    <n v="35214500038727"/>
    <s v="Tanger/Casa"/>
    <n v="98.981999999999999"/>
    <x v="8"/>
    <s v="N2"/>
    <x v="0"/>
    <s v="H.O Complet entre 217 et 218  bonne qualité de signal  ,Requête de déconnexion a été envoyé par RBC"/>
    <m/>
    <x v="0"/>
    <s v="verification de la chaine antennaire"/>
    <s v="H.O complet entre 217 et 218"/>
    <s v="dl Rxqual=0"/>
    <s v="dl rx level= -79 dbm"/>
    <s v="OK"/>
    <s v="OK"/>
    <s v="Mauvais"/>
    <s v="retransmission des trames HDLC*5"/>
    <m/>
    <m/>
    <m/>
    <m/>
    <m/>
    <m/>
    <m/>
    <m/>
    <m/>
  </r>
  <r>
    <n v="141"/>
    <x v="0"/>
    <x v="71"/>
    <d v="1899-12-30T07:09:12"/>
    <n v="2005"/>
    <x v="3"/>
    <x v="0"/>
    <n v="1047"/>
    <n v="35214500038727"/>
    <s v="Tanger/Casa"/>
    <n v="14.99"/>
    <x v="22"/>
    <s v="N2"/>
    <x v="0"/>
    <s v="Ho complet entre  203 et 204 bonne qualité de signal  ,Requête de déconnexion a été envoyé par RBC"/>
    <m/>
    <x v="0"/>
    <s v="verification de la chaine antennaire"/>
    <s v="Ho complet entre  203 et 204"/>
    <s v="dl Rxqual=0"/>
    <s v="dl rx level= -84 dbm"/>
    <s v="OK"/>
    <s v="OK"/>
    <m/>
    <s v="retransmission des trames HDLC*5"/>
    <m/>
    <m/>
    <m/>
    <m/>
    <m/>
    <m/>
    <m/>
    <m/>
    <m/>
  </r>
  <r>
    <n v="142"/>
    <x v="0"/>
    <x v="72"/>
    <d v="1899-12-30T13:42:25"/>
    <n v="1025"/>
    <x v="1"/>
    <x v="1"/>
    <n v="3063"/>
    <n v="35214500046055"/>
    <s v="Casa/Tanger"/>
    <n v="118.562"/>
    <x v="17"/>
    <s v="N2"/>
    <x v="0"/>
    <s v="Ho Complet entre 321 et 320 bonne qualité de signal  ,Requête de déconnexion a été envoyé par RBC"/>
    <m/>
    <x v="0"/>
    <s v="Rame Sous surveillance"/>
    <s v="Ho Complet entre 321 et 320"/>
    <s v="dl Rxqual=0"/>
    <s v="dl rx level= -59 dbm"/>
    <s v="OK"/>
    <s v="OK"/>
    <m/>
    <s v="retransmission des trames HDLC*5"/>
    <m/>
    <m/>
    <m/>
    <m/>
    <m/>
    <m/>
    <m/>
    <m/>
    <m/>
  </r>
  <r>
    <n v="143"/>
    <x v="0"/>
    <x v="73"/>
    <d v="1899-12-30T18:21:50"/>
    <n v="2049"/>
    <x v="5"/>
    <x v="0"/>
    <n v="1025"/>
    <n v="35214500045073"/>
    <s v="Tanger/Casa"/>
    <n v="73.585999999999999"/>
    <x v="13"/>
    <s v="N2"/>
    <x v="0"/>
    <s v="Ho non complet entre  213 et 214 mauvaise qualité de signal  ,Requête de déconnexion a été envoyé par RBC"/>
    <m/>
    <x v="2"/>
    <s v="Planification de la vérification en cours "/>
    <s v="Ho non complet entre  213 et 214"/>
    <s v="dl Rxqual=7"/>
    <s v="dl rx level= -77 dbm"/>
    <s v="OK"/>
    <s v="OK"/>
    <m/>
    <s v="retransmission des trames HDLC*5"/>
    <m/>
    <m/>
    <m/>
    <m/>
    <m/>
    <m/>
    <m/>
    <m/>
    <m/>
  </r>
  <r>
    <n v="144"/>
    <x v="0"/>
    <x v="74"/>
    <d v="1899-12-30T12:50:34"/>
    <n v="1021"/>
    <x v="8"/>
    <x v="1"/>
    <n v="1022"/>
    <n v="35214500045326"/>
    <s v="Casa/Tanger"/>
    <n v="73.525999999999996"/>
    <x v="13"/>
    <s v="N2"/>
    <x v="0"/>
    <s v="Ho complet entre  314 et 213 mauvaise qualité de signal  ,Requête de déconnexion a été envoyé par RBC"/>
    <m/>
    <x v="1"/>
    <s v="Statistique HO zone 13-14 "/>
    <s v="Ho complet entre  314 et 213"/>
    <s v="dl Rxqual=5"/>
    <s v="dl rx level= -49 dbm"/>
    <s v="OK"/>
    <s v="OK"/>
    <m/>
    <s v="retransmission des trames HDLC*5"/>
    <m/>
    <m/>
    <m/>
    <m/>
    <m/>
    <m/>
    <m/>
    <m/>
    <m/>
  </r>
  <r>
    <n v="145"/>
    <x v="0"/>
    <x v="75"/>
    <d v="1899-12-30T20:04:18"/>
    <n v="1049"/>
    <x v="7"/>
    <x v="1"/>
    <n v="1040"/>
    <s v="-"/>
    <s v="Casa/Tanger"/>
    <n v="7.3209999999999997"/>
    <x v="2"/>
    <s v="N2"/>
    <x v="0"/>
    <s v="H.O non finalisé entre 303 et 302 Mauvaise qualité de signal  ,Requête de déconnexion a été envoyé par RBC"/>
    <m/>
    <x v="2"/>
    <s v="Attente analyse spectrale"/>
    <s v="H.O non Finalisé entre  303 et 302"/>
    <s v="dl Rxqual=7"/>
    <s v="dl rx level= -68 dbm"/>
    <s v="OK"/>
    <s v="OK"/>
    <s v="Mauvais"/>
    <s v="retransmission des trames HDLC*5"/>
    <m/>
    <m/>
    <m/>
    <m/>
    <m/>
    <m/>
    <m/>
    <m/>
    <m/>
  </r>
  <r>
    <n v="146"/>
    <x v="0"/>
    <x v="76"/>
    <d v="1899-12-30T10:33:36"/>
    <n v="2018"/>
    <x v="4"/>
    <x v="0"/>
    <n v="1058"/>
    <s v="-"/>
    <s v="Tanger/Casa"/>
    <n v="135.58500000000001"/>
    <x v="10"/>
    <s v="N2"/>
    <x v="0"/>
    <s v="H.O Complet entre 323 et 324  bonne qualité de signal  ,Requête de déconnexion a été envoyé par RBC"/>
    <m/>
    <x v="0"/>
    <s v="verification de la chaine antennaire"/>
    <s v="H.O complet entre 323 et 324"/>
    <s v="dl Rxqual=0"/>
    <s v="dl rx level= -70 dbm"/>
    <s v="OK"/>
    <s v="OK"/>
    <s v="Mauvais"/>
    <s v="retransmission des trames HDLC*5"/>
    <m/>
    <m/>
    <m/>
    <m/>
    <m/>
    <m/>
    <m/>
    <m/>
    <m/>
  </r>
  <r>
    <n v="147"/>
    <x v="0"/>
    <x v="77"/>
    <d v="1899-12-30T08:34:57"/>
    <n v="2009"/>
    <x v="7"/>
    <x v="0"/>
    <n v="1055"/>
    <s v="-"/>
    <s v="Tanger/Casa"/>
    <n v="146.738"/>
    <x v="3"/>
    <s v="N2"/>
    <x v="0"/>
    <s v="H.O Complet entre 225 et 226  bonne qualité de signal  ,Requête de déconnexion a été envoyé par RBC"/>
    <m/>
    <x v="0"/>
    <s v="verification de la chaine antennaire"/>
    <s v="H.O complet entre 225 et 226"/>
    <s v="dl Rxqual=5"/>
    <s v="dl rx level= -72 dbm"/>
    <s v="OK"/>
    <s v="OK"/>
    <s v="moyen"/>
    <s v="retransmission des trames HDLC*5"/>
    <m/>
    <m/>
    <m/>
    <m/>
    <m/>
    <m/>
    <m/>
    <m/>
    <m/>
  </r>
  <r>
    <n v="148"/>
    <x v="0"/>
    <x v="77"/>
    <d v="1899-12-30T15:19:03"/>
    <n v="2037"/>
    <x v="5"/>
    <x v="0"/>
    <n v="1025"/>
    <s v="-"/>
    <s v="Tanger/Casa"/>
    <n v="56.555"/>
    <x v="23"/>
    <s v="N2"/>
    <x v="1"/>
    <s v="H.O Complet entre 209 et 210  bonne qualité de signal  ,Requête de déconnexion a été envoyé par RBC"/>
    <m/>
    <x v="0"/>
    <s v="verification de la chaine antennaire"/>
    <s v="H.O complet entre 209 et 210"/>
    <s v="dl Rxqual=5"/>
    <s v="dl rx level= -54 dbm"/>
    <s v="OK"/>
    <s v="OK"/>
    <s v="Mauvais"/>
    <s v="retransmission des trames HDLC*5"/>
    <m/>
    <m/>
    <m/>
    <m/>
    <m/>
    <m/>
    <m/>
    <m/>
    <m/>
  </r>
  <r>
    <n v="149"/>
    <x v="0"/>
    <x v="78"/>
    <d v="1899-12-30T14:08:39"/>
    <n v="2033"/>
    <x v="4"/>
    <x v="0"/>
    <n v="7208"/>
    <n v="35214500004427"/>
    <s v="Tanger/Casa"/>
    <n v="14.99"/>
    <x v="22"/>
    <s v="N2"/>
    <x v="0"/>
    <s v="H.O Complet entre 303 et 204  bonne qualité de signal  ,Requête de déconnexion a été envoyé par RBC"/>
    <m/>
    <x v="0"/>
    <s v="verification de la chaine antennaire"/>
    <s v="H.O complet entre 303 et 204"/>
    <s v="dl Rxqual=1"/>
    <s v="dl rx level= -47 dbm"/>
    <s v="OK"/>
    <s v="OK"/>
    <s v="Mauvais"/>
    <s v="retransmission des trames HDLC*5"/>
    <m/>
    <m/>
    <m/>
    <m/>
    <m/>
    <m/>
    <m/>
    <m/>
    <m/>
  </r>
  <r>
    <n v="150"/>
    <x v="0"/>
    <x v="79"/>
    <d v="1899-12-30T12:58:13"/>
    <n v="1021"/>
    <x v="0"/>
    <x v="1"/>
    <n v="1045"/>
    <s v="-"/>
    <s v="Casa/Tanger"/>
    <n v="35.015999999999998"/>
    <x v="25"/>
    <s v="N2"/>
    <x v="1"/>
    <s v="H.O Complet entre 208 et 307  bonne qualité de signal  ,Requête de déconnexion a été envoyé par RBC"/>
    <m/>
    <x v="0"/>
    <s v="verification de la chaine antennaire"/>
    <s v="H.O complet entre 208 et 307"/>
    <s v="dl Rxqual=2"/>
    <s v="dl rx level= -67 dbm"/>
    <s v="OK"/>
    <s v="OK"/>
    <s v="Mauvais"/>
    <s v="retransmission des trames HDLC*5"/>
    <m/>
    <m/>
    <m/>
    <m/>
    <m/>
    <m/>
    <m/>
    <m/>
    <m/>
  </r>
  <r>
    <n v="151"/>
    <x v="0"/>
    <x v="79"/>
    <d v="1899-12-30T14:23:13"/>
    <n v="2033"/>
    <x v="8"/>
    <x v="0"/>
    <n v="1043"/>
    <s v="-"/>
    <s v="Tanger/Casa"/>
    <n v="81.777000000000001"/>
    <x v="15"/>
    <s v="N2"/>
    <x v="0"/>
    <s v="H.O Complet entre 214 et 215 bonne qualité de signal ,Requête de déconnexion a été envoyé par RBC"/>
    <m/>
    <x v="0"/>
    <s v="verification de la chaine antennaire"/>
    <s v="H.O complet entre 214 et 215"/>
    <s v="dl Rxqual=5"/>
    <s v="dl rx level= -69 dbm"/>
    <s v="OK"/>
    <s v="OK"/>
    <s v="moyen"/>
    <s v="retransmission des trames HDLC*5"/>
    <m/>
    <m/>
    <m/>
    <m/>
    <m/>
    <m/>
    <m/>
    <m/>
    <m/>
  </r>
  <r>
    <n v="152"/>
    <x v="0"/>
    <x v="80"/>
    <d v="1899-12-30T09:55:29"/>
    <n v="1009"/>
    <x v="2"/>
    <x v="1"/>
    <n v="1035"/>
    <s v="-"/>
    <s v="Casa/Tanger"/>
    <n v="78.155000000000001"/>
    <x v="11"/>
    <s v="N2"/>
    <x v="1"/>
    <s v="H.O Complet entre 315 et 314 bonne qualité de signal ,Requête de déconnexion a été envoyé par RBC"/>
    <m/>
    <x v="0"/>
    <s v="verification de la chaine antennaire"/>
    <s v="H.O complet entre 315 et 314"/>
    <s v="dl Rxqual=0"/>
    <s v="dl rx level= -61 dbm"/>
    <s v="OK"/>
    <s v="OK"/>
    <s v="Mauvais"/>
    <s v="retransmission des trames HDLC*5"/>
    <m/>
    <m/>
    <m/>
    <m/>
    <m/>
    <m/>
    <m/>
    <m/>
    <m/>
  </r>
  <r>
    <n v="153"/>
    <x v="0"/>
    <x v="80"/>
    <d v="1899-12-30T18:40:00"/>
    <n v="1045"/>
    <x v="7"/>
    <x v="1"/>
    <n v="1040"/>
    <s v="-"/>
    <s v="Casa/Tanger"/>
    <n v="122.536"/>
    <x v="30"/>
    <s v="N2"/>
    <x v="0"/>
    <s v="H.O non finalisé entre 222 et 321 Mauvaise qualité de signal  ,Requête de déconnexion a été envoyé par le Bord"/>
    <m/>
    <x v="0"/>
    <s v="verification de la chaine antennaire"/>
    <s v="H.O non Finalisé entre  222 et 321"/>
    <s v="dl Rxqual=7"/>
    <s v="dl rx level= -110 dbm"/>
    <s v="OK"/>
    <s v="OK"/>
    <s v="Mauvais"/>
    <s v="retransmission des trames HDLC*5"/>
    <m/>
    <m/>
    <m/>
    <m/>
    <m/>
    <m/>
    <m/>
    <m/>
    <m/>
  </r>
  <r>
    <n v="154"/>
    <x v="0"/>
    <x v="81"/>
    <d v="1899-12-30T10:31:10"/>
    <n v="1014"/>
    <x v="5"/>
    <x v="1"/>
    <n v="1027"/>
    <s v="-"/>
    <s v="Casa/Tanger"/>
    <n v="165.298"/>
    <x v="28"/>
    <s v="N2"/>
    <x v="0"/>
    <s v="H.O non finalisé entre 328 et 327 Mauvaise qualité de signal  ,Requête de déconnexion a été envoyé par le Bord"/>
    <m/>
    <x v="0"/>
    <s v="verification de la chaine antennaire"/>
    <s v="H.O non Finalisé entre  328 et 327"/>
    <s v="dl Rxqual=7"/>
    <s v="dl rx level= -57 dbm"/>
    <s v="OK"/>
    <s v="NOK"/>
    <s v="moyen"/>
    <s v="retransmission des trames HDLC*5"/>
    <m/>
    <m/>
    <m/>
    <m/>
    <m/>
    <m/>
    <m/>
    <m/>
    <m/>
  </r>
  <r>
    <n v="155"/>
    <x v="0"/>
    <x v="81"/>
    <d v="1899-12-30T10:34:38"/>
    <n v="1014"/>
    <x v="5"/>
    <x v="1"/>
    <n v="1027"/>
    <s v="-"/>
    <s v="Casa/Tanger"/>
    <n v="152.488"/>
    <x v="18"/>
    <s v="N2"/>
    <x v="0"/>
    <s v="H.O non finalisé entre 326 et 325 bonne qualité de signal  ,Requête de déconnexion a été envoyé par le Bord"/>
    <m/>
    <x v="0"/>
    <s v="verification de la chaine antennaire"/>
    <s v="H.O non Finalisé entre  326  et 325"/>
    <s v="dl Rxqual=0"/>
    <s v="dl rx level= -53 dbm"/>
    <s v="OK"/>
    <s v="OK"/>
    <s v="Mauvais"/>
    <s v="pas de retransmission des trames HDLC"/>
    <m/>
    <m/>
    <m/>
    <m/>
    <m/>
    <m/>
    <m/>
    <m/>
    <m/>
  </r>
  <r>
    <n v="156"/>
    <x v="0"/>
    <x v="81"/>
    <d v="1899-12-30T14:04:52"/>
    <n v="1025"/>
    <x v="0"/>
    <x v="1"/>
    <n v="1044"/>
    <s v="-"/>
    <s v="Casa/Tanger"/>
    <n v="7.3209999999999997"/>
    <x v="2"/>
    <s v="N2"/>
    <x v="1"/>
    <s v="H.O Complet entre 303 et 202  Mauvaise qualité de signal  ,Requête de déconnexion a été envoyé par RBC"/>
    <m/>
    <x v="2"/>
    <s v="Attente analyse spectrale"/>
    <s v="H.O Complet entre 303 et 202"/>
    <s v="dl Rxqual=7"/>
    <s v="dl rx level= -75 dbm"/>
    <s v="OK"/>
    <s v="OK"/>
    <s v="Mauvais"/>
    <s v="retransmission des trames HDLC*5"/>
    <m/>
    <m/>
    <m/>
    <m/>
    <m/>
    <m/>
    <m/>
    <m/>
    <m/>
  </r>
  <r>
    <n v="157"/>
    <x v="0"/>
    <x v="81"/>
    <d v="1899-12-30T17:49:48"/>
    <n v="1041"/>
    <x v="8"/>
    <x v="1"/>
    <n v="1022"/>
    <s v="-"/>
    <s v="Casa/Tanger"/>
    <n v="73.525999999999996"/>
    <x v="13"/>
    <s v="N2"/>
    <x v="0"/>
    <s v="H.O Complet entre 323 et 222 bonne qualité de signal ,Requête de déconnexion a été envoyé par RBC"/>
    <m/>
    <x v="0"/>
    <s v="verification de la chaine antennaire"/>
    <s v="H.O Complet entre 323 et 222"/>
    <s v="dl Rxqual=4"/>
    <s v="dl rx level= -47 dbm"/>
    <s v="OK"/>
    <s v="OK"/>
    <s v="Mauvais"/>
    <s v="retransmission des trames HDLC*5"/>
    <m/>
    <m/>
    <m/>
    <m/>
    <m/>
    <m/>
    <m/>
    <m/>
    <m/>
  </r>
  <r>
    <n v="158"/>
    <x v="0"/>
    <x v="81"/>
    <d v="1899-12-30T20:04:14"/>
    <n v="1049"/>
    <x v="4"/>
    <x v="1"/>
    <n v="1033"/>
    <s v="-"/>
    <s v="Casa/Tanger"/>
    <n v="7.3209999999999997"/>
    <x v="2"/>
    <s v="N2"/>
    <x v="1"/>
    <s v="H.O Complet entre 303 et 302 Mauvaise qualité de signal ,Requête de déconnexion a été envoyé par RBC"/>
    <m/>
    <x v="2"/>
    <s v="Attente analyse spectrale"/>
    <s v="H.O Complet entre 303 et 302"/>
    <s v="dl Rxqual=7"/>
    <s v="dl rx level= -72 dbm"/>
    <s v="OK"/>
    <s v="OK"/>
    <s v="Mauvais"/>
    <s v="retransmission des trames HDLC*5"/>
    <m/>
    <m/>
    <m/>
    <m/>
    <m/>
    <m/>
    <m/>
    <m/>
    <m/>
  </r>
  <r>
    <n v="159"/>
    <x v="0"/>
    <x v="82"/>
    <d v="1899-12-30T18:13:24"/>
    <n v="2049"/>
    <x v="10"/>
    <x v="0"/>
    <n v="1033"/>
    <m/>
    <s v="Tanger/Casa"/>
    <n v="31.350999999999999"/>
    <x v="25"/>
    <s v="N2"/>
    <x v="0"/>
    <s v="H.O Complet entre 206 et 207 bonne qualité de signal ,Requête de déconnexion a été envoyé par RBC"/>
    <m/>
    <x v="0"/>
    <s v="verification de la chaine antennaire"/>
    <s v="H.O Complet entre 206 et 207"/>
    <s v="dl Rxqual=1"/>
    <s v="dl rx level= -49 dbm"/>
    <s v="OK"/>
    <s v="OK"/>
    <s v="Mauvais"/>
    <s v="retransmission des trames HDLC*5"/>
    <m/>
    <m/>
    <m/>
    <m/>
    <m/>
    <m/>
    <m/>
    <m/>
    <m/>
  </r>
  <r>
    <n v="160"/>
    <x v="0"/>
    <x v="82"/>
    <d v="1899-12-30T21:39:59"/>
    <n v="1058"/>
    <x v="8"/>
    <x v="1"/>
    <n v="1023"/>
    <m/>
    <s v="Casa/Tanger"/>
    <n v="143.11199999999999"/>
    <x v="26"/>
    <s v="N2"/>
    <x v="1"/>
    <s v="H.O Complet entre 326 et 325 bonne qualité de signal ,Requête de déconnexion a été envoyé par RBC"/>
    <m/>
    <x v="0"/>
    <s v="verification de la chaine antennaire"/>
    <s v="H.O Complet entre 326 et 325"/>
    <s v="dl Rxqual=2"/>
    <s v="dl rx level= -70 dbm"/>
    <s v="OK"/>
    <s v="OK"/>
    <s v="Mauvais"/>
    <s v="retransmission des trames HDLC*5"/>
    <m/>
    <m/>
    <m/>
    <m/>
    <m/>
    <m/>
    <m/>
    <m/>
    <m/>
  </r>
  <r>
    <n v="161"/>
    <x v="0"/>
    <x v="82"/>
    <d v="1899-12-30T20:47:12"/>
    <n v="1054"/>
    <x v="4"/>
    <x v="1"/>
    <n v="1033"/>
    <m/>
    <s v="Casa/Tanger"/>
    <n v="102.89"/>
    <x v="24"/>
    <s v="N2"/>
    <x v="0"/>
    <s v="H.O Complet entre 319 et 318 bonne qualité de signal ,Requête de déconnexion a été envoyé par RBC"/>
    <m/>
    <x v="3"/>
    <m/>
    <s v="H.O Complet entre 319 et 318"/>
    <s v="dl Rxqual=0"/>
    <s v="dl rx level= -51 dbm"/>
    <s v="OK"/>
    <s v="OK"/>
    <s v="Mauvais"/>
    <s v="pas de retransmission des trames HDLC"/>
    <m/>
    <m/>
    <m/>
    <m/>
    <m/>
    <m/>
    <m/>
    <m/>
    <m/>
  </r>
  <r>
    <n v="162"/>
    <x v="0"/>
    <x v="83"/>
    <d v="1899-12-30T17:34:56"/>
    <n v="1042"/>
    <x v="3"/>
    <x v="1"/>
    <n v="1008"/>
    <m/>
    <s v="Casa/Tanger"/>
    <n v="166.529"/>
    <x v="28"/>
    <s v="N2"/>
    <x v="0"/>
    <s v="H.O Complet entre 329 et 328 bonne qualité de signal ,Requête de déconnexion a été envoyé par RBC"/>
    <m/>
    <x v="0"/>
    <s v="verification de la chaine antennaire"/>
    <s v="H.O Complet entre 329 et 328"/>
    <s v="dl Rxqual=0"/>
    <s v="dl rx level= -55 dbm"/>
    <s v="OK"/>
    <s v="OK"/>
    <s v="Mauvais"/>
    <s v="retransmission des trames HDLC*5"/>
    <m/>
    <m/>
    <m/>
    <m/>
    <m/>
    <m/>
    <m/>
    <m/>
    <m/>
  </r>
  <r>
    <n v="163"/>
    <x v="0"/>
    <x v="84"/>
    <d v="1899-12-30T09:29:37"/>
    <n v="1009"/>
    <x v="0"/>
    <x v="1"/>
    <n v="1045"/>
    <m/>
    <s v="Casa/Tanger"/>
    <n v="174.07400000000001"/>
    <x v="27"/>
    <s v="N2"/>
    <x v="0"/>
    <s v="H.O Complet entre 330 et 329 Mauvaise qualité de signal ,Requête de déconnexion a été envoyé par MSC"/>
    <m/>
    <x v="0"/>
    <s v="verification de la chaine antennaire"/>
    <s v="H.O Complet entre 330 et 329"/>
    <s v="dl Rxqual=7"/>
    <s v="dl rx level= -110 dbm"/>
    <s v="OK"/>
    <s v="OK"/>
    <s v="Mauvais"/>
    <s v="retransmission des trames HDLC*5"/>
    <m/>
    <m/>
    <m/>
    <m/>
    <m/>
    <m/>
    <m/>
    <m/>
    <m/>
  </r>
  <r>
    <n v="164"/>
    <x v="0"/>
    <x v="85"/>
    <d v="1899-12-30T08:05:07"/>
    <n v="2009"/>
    <x v="8"/>
    <x v="0"/>
    <n v="1042"/>
    <m/>
    <s v="Tanger/Casa"/>
    <n v="5.93"/>
    <x v="2"/>
    <s v="N2"/>
    <x v="0"/>
    <s v="H.O Complet entre 301 et 302 bonne qualité de signal ,Requête de déconnexion a été envoyé par RBC"/>
    <m/>
    <x v="1"/>
    <s v="action à plannifier "/>
    <s v="H.O Complet entre 301 et 302"/>
    <s v="dl Rxqual=0"/>
    <s v="dl rx level= -49 dbm"/>
    <s v="OK"/>
    <s v="OK"/>
    <s v="Mauvais"/>
    <s v="retransmission des trames HDLC*5"/>
    <m/>
    <m/>
    <m/>
    <m/>
    <m/>
    <m/>
    <m/>
    <m/>
    <m/>
  </r>
  <r>
    <n v="165"/>
    <x v="0"/>
    <x v="85"/>
    <d v="1899-12-30T17:28:44"/>
    <n v="2045"/>
    <x v="10"/>
    <x v="0"/>
    <n v="7198"/>
    <m/>
    <s v="Tanger/Casa"/>
    <n v="112.035"/>
    <x v="17"/>
    <s v="N2"/>
    <x v="0"/>
    <s v="H.O non finalisé 219 et 220 bonne qualité de signal ,Requête de déconnexion a été envoyé par RBC"/>
    <m/>
    <x v="0"/>
    <s v="Rame sous surveillance"/>
    <s v="H.O non finalisé entre 219 et 220"/>
    <s v="dl Rxqual=1"/>
    <s v="dl rx level= -47 dbm"/>
    <s v="OK"/>
    <s v="OK"/>
    <s v="Mauvais"/>
    <s v="retransmission des trames HDLC*5"/>
    <m/>
    <m/>
    <m/>
    <m/>
    <m/>
    <m/>
    <m/>
    <m/>
    <m/>
  </r>
  <r>
    <n v="166"/>
    <x v="0"/>
    <x v="86"/>
    <d v="1899-12-30T16:45:43"/>
    <n v="2045"/>
    <x v="0"/>
    <x v="1"/>
    <n v="1045"/>
    <m/>
    <s v="Casa/Tanger"/>
    <n v="94.953999999999994"/>
    <x v="8"/>
    <s v="N2"/>
    <x v="0"/>
    <s v="H.O Complet entre 318 et 217  bonne qualité de signal ,Requête de déconnexion a été envoyé par RBC"/>
    <m/>
    <x v="0"/>
    <s v="verification de la chaine antennaire"/>
    <s v="H.O Complet entre 318 et 217 "/>
    <s v="dl Rxqual=1"/>
    <s v="dl rx level= -47 dbm"/>
    <s v="OK"/>
    <s v="OK"/>
    <s v="Mauvais"/>
    <s v="retransmission des trames HDLC*5"/>
    <m/>
    <m/>
    <m/>
    <m/>
    <m/>
    <m/>
    <m/>
    <m/>
    <m/>
  </r>
  <r>
    <n v="167"/>
    <x v="0"/>
    <x v="86"/>
    <d v="1899-12-30T17:04:39"/>
    <n v="2045"/>
    <x v="7"/>
    <x v="0"/>
    <n v="1054"/>
    <m/>
    <s v="Tanger/Casa"/>
    <n v="6.13"/>
    <x v="2"/>
    <s v="N2"/>
    <x v="0"/>
    <s v="H.O Complet entre 301 et 302 bonne qualité de signal ,Requête de déconnexion a été envoyé par RBC"/>
    <m/>
    <x v="0"/>
    <s v="verification de la chaine antennaire"/>
    <s v="H.O Complet entre 301 et 202"/>
    <s v="dl Rxqual=2"/>
    <s v="dl rx level= -55 dbm"/>
    <s v="OK"/>
    <s v="OK"/>
    <s v="Mauvais"/>
    <s v="retransmission des trames HDLC*5"/>
    <m/>
    <m/>
    <m/>
    <m/>
    <m/>
    <m/>
    <m/>
    <m/>
    <m/>
  </r>
  <r>
    <n v="168"/>
    <x v="0"/>
    <x v="86"/>
    <d v="1899-12-30T20:59:22"/>
    <n v="1054"/>
    <x v="8"/>
    <x v="1"/>
    <n v="1022"/>
    <m/>
    <s v="Casa/Tanger"/>
    <n v="35.259"/>
    <x v="25"/>
    <s v="N2"/>
    <x v="0"/>
    <s v="H.O Complet entre 208 et 307 bonne qualité de signal ,Requête de déconnexion a été envoyé par RBC"/>
    <m/>
    <x v="0"/>
    <s v="verification de la chaine antennaire"/>
    <s v="H.O Complet entre 208 et 307"/>
    <s v="dl Rxqual=2"/>
    <s v="dl rx level= -61 dbm"/>
    <s v="OK"/>
    <s v="NOK"/>
    <s v="Mauvais"/>
    <s v="retransmission des trames HDLC*5"/>
    <m/>
    <m/>
    <m/>
    <m/>
    <m/>
    <m/>
    <m/>
    <m/>
    <m/>
  </r>
  <r>
    <n v="169"/>
    <x v="0"/>
    <x v="87"/>
    <d v="1899-12-30T07:31:31"/>
    <n v="2005"/>
    <x v="0"/>
    <x v="0"/>
    <n v="1037"/>
    <m/>
    <s v="Tanger/Casa"/>
    <n v="126.51"/>
    <x v="6"/>
    <s v="N2"/>
    <x v="0"/>
    <s v="H.O Complet entre 221 et 222 bonne qualité de signal ,Requête de déconnexion a été envoyé par RBC"/>
    <m/>
    <x v="2"/>
    <s v="Attente vérification de la rame + zone sous surveillance "/>
    <s v="H.O Complet entre 221 et 222"/>
    <s v="dl Rxqual=2"/>
    <s v="dl rx level= -72 dbm"/>
    <s v="OK"/>
    <s v="OK"/>
    <s v="Mauvais"/>
    <s v="retransmission des trames HDLC*5"/>
    <m/>
    <m/>
    <m/>
    <m/>
    <m/>
    <m/>
    <m/>
    <m/>
    <m/>
  </r>
  <r>
    <n v="170"/>
    <x v="0"/>
    <x v="88"/>
    <d v="1899-12-30T04:39:03"/>
    <n v="2081"/>
    <x v="8"/>
    <x v="0"/>
    <n v="1043"/>
    <m/>
    <s v="Tanger/Casa"/>
    <n v="88.911000000000001"/>
    <x v="12"/>
    <s v="N2"/>
    <x v="0"/>
    <s v="H.O non finalisé entre 216 et 217 bonne qualité de signal ,Requête de déconnexion a été envoyé par RBC"/>
    <m/>
    <x v="0"/>
    <s v="en attente d'instoration des filtres "/>
    <s v="H.O non finalisé entre 216 et 217"/>
    <s v="dl Rxqual=0"/>
    <s v="dl rx level= -72 dbm"/>
    <s v="OK"/>
    <s v="OK"/>
    <s v="Mauvais"/>
    <s v="retransmission des trames HDLC*5"/>
    <m/>
    <m/>
    <m/>
    <m/>
    <m/>
    <m/>
    <m/>
    <m/>
    <m/>
  </r>
  <r>
    <n v="171"/>
    <x v="0"/>
    <x v="89"/>
    <d v="1899-12-30T17:28:14"/>
    <n v="2045"/>
    <x v="10"/>
    <x v="0"/>
    <n v="7198"/>
    <m/>
    <s v="Tanger/Casa"/>
    <n v="106.91800000000001"/>
    <x v="1"/>
    <s v="N2"/>
    <x v="0"/>
    <s v="H.O Complet entre 318 et 319 bonne qualité de signal ,Requête de déconnexion a été envoyé par RBC"/>
    <m/>
    <x v="0"/>
    <s v="en attente d'instoration des filtres "/>
    <s v="H.O Complet entre 318 et 319"/>
    <s v="dl Rxqual=0"/>
    <s v="dl rx level= -56 dbm"/>
    <s v="OK"/>
    <s v="OK"/>
    <s v="Mauvais"/>
    <s v="retransmission des trames HDLC*5"/>
    <m/>
    <m/>
    <m/>
    <m/>
    <m/>
    <m/>
    <m/>
    <m/>
    <m/>
  </r>
  <r>
    <n v="172"/>
    <x v="0"/>
    <x v="89"/>
    <d v="1899-12-30T18:23:29"/>
    <n v="1045"/>
    <x v="9"/>
    <x v="1"/>
    <n v="1030"/>
    <m/>
    <s v="Casa/Tanger"/>
    <n v="202.125"/>
    <x v="5"/>
    <s v="N2"/>
    <x v="0"/>
    <s v="H.O Complet entre 234 et 233 mauvaise qualité de signal ,Requête de déconnexion a été envoyé par RBC"/>
    <m/>
    <x v="2"/>
    <s v="en attente d'instoration des filtres /chantier d'optimisation en cours"/>
    <s v="H.O Complet entre 234 et 233"/>
    <s v="dl Rxqual=7"/>
    <s v="dl rx level= -69 dbm"/>
    <s v="OK"/>
    <s v="OK"/>
    <s v="Mauvais"/>
    <s v="retransmission des trames HDLC*5"/>
    <m/>
    <m/>
    <m/>
    <m/>
    <m/>
    <m/>
    <m/>
    <m/>
    <m/>
  </r>
  <r>
    <n v="173"/>
    <x v="0"/>
    <x v="90"/>
    <d v="1899-12-30T11:25:29"/>
    <n v="1018"/>
    <x v="2"/>
    <x v="1"/>
    <n v="1035"/>
    <m/>
    <s v="Casa/Tanger"/>
    <n v="188.05500000000001"/>
    <x v="5"/>
    <s v="N2"/>
    <x v="0"/>
    <s v="H.O non finalisé entre 230 et 232 mauvaise qualité de signal ,Requête de déconnexion a été envoyé par le Bord"/>
    <m/>
    <x v="2"/>
    <s v="en attente d'instoration des filtres /chantier d'optimisation sur le GSM-R 34"/>
    <s v="H.O non finalisé entre 230 et 232"/>
    <s v="dl Rxqual=7"/>
    <s v="dl rx level= -87 dbm"/>
    <s v="OK"/>
    <s v="OK"/>
    <s v="moyen"/>
    <s v="retransmission des trames HDLC*5"/>
    <m/>
    <m/>
    <m/>
    <m/>
    <m/>
    <m/>
    <m/>
    <m/>
    <m/>
  </r>
  <r>
    <n v="174"/>
    <x v="0"/>
    <x v="91"/>
    <d v="1899-12-30T08:35:55"/>
    <n v="1005"/>
    <x v="1"/>
    <x v="1"/>
    <n v="1035"/>
    <m/>
    <s v="Casa/Tanger"/>
    <n v="155.96199999999999"/>
    <x v="18"/>
    <s v="N2"/>
    <x v="0"/>
    <s v="H.O non finalisé entre 328 et 327 bonne qualité de signal ,Requête de déconnexion a été envoyé par RBC"/>
    <m/>
    <x v="0"/>
    <s v="en attente d'instoration des filtres "/>
    <s v="H.O non finalisé entre 328 et 327"/>
    <s v="dl Rxqual=3"/>
    <s v="dl rx level= -68 dbm"/>
    <s v="OK"/>
    <s v="OK"/>
    <s v="Mauvais"/>
    <s v="retransmission des trames HDLC*5"/>
    <m/>
    <m/>
    <m/>
    <m/>
    <m/>
    <m/>
    <m/>
    <m/>
    <m/>
  </r>
  <r>
    <n v="175"/>
    <x v="0"/>
    <x v="91"/>
    <d v="1899-12-30T17:22:40"/>
    <n v="2045"/>
    <x v="2"/>
    <x v="0"/>
    <n v="7217"/>
    <m/>
    <s v="Tanger/Casa"/>
    <n v="79.281999999999996"/>
    <x v="11"/>
    <s v="N2"/>
    <x v="1"/>
    <s v="H.O Complet entre 214 et 215 bonne qualité de signal ,Requête de déconnexion a été envoyé par RBC"/>
    <m/>
    <x v="0"/>
    <s v="en attente rapport du conducteur "/>
    <s v="H.O Complet entre 214 et 215"/>
    <s v="dl Rxqual=0"/>
    <s v="dl rx level= -56 dbm"/>
    <s v="OK"/>
    <s v="NOK"/>
    <s v="Mauvais"/>
    <s v="retransmission des trames HDLC*5"/>
    <m/>
    <m/>
    <m/>
    <m/>
    <m/>
    <m/>
    <m/>
    <m/>
    <m/>
  </r>
  <r>
    <n v="176"/>
    <x v="0"/>
    <x v="92"/>
    <d v="1899-12-30T06:11:05"/>
    <n v="1081"/>
    <x v="5"/>
    <x v="1"/>
    <n v="1027"/>
    <m/>
    <s v="Casa/Tanger"/>
    <n v="151.35"/>
    <x v="18"/>
    <s v="N2"/>
    <x v="1"/>
    <s v="H.O Complet entre 327 et 326 bonne qualité de signal ,Requête de déconnexion a été envoyé par RBC"/>
    <m/>
    <x v="0"/>
    <s v="en attente d'instoration des filtres "/>
    <s v="H.O Complet entre 327 et 326"/>
    <s v="dl Rxqual=0"/>
    <s v="dl rx level= -48 dbm"/>
    <s v="OK"/>
    <s v="OK"/>
    <s v="Mauvais"/>
    <s v="retransmission des trames HDLC*5"/>
    <m/>
    <m/>
    <m/>
    <m/>
    <m/>
    <m/>
    <m/>
    <m/>
    <m/>
  </r>
  <r>
    <n v="177"/>
    <x v="0"/>
    <x v="93"/>
    <d v="1899-12-30T09:31:37"/>
    <n v="1006"/>
    <x v="5"/>
    <x v="1"/>
    <n v="1027"/>
    <m/>
    <s v="Casa/Tanger"/>
    <n v="53.540999999999997"/>
    <x v="29"/>
    <s v="N2"/>
    <x v="0"/>
    <s v="H.O Complet entre 311 et 310 bonne qualité de signal ,Requête de déconnexion a été envoyé par RBC"/>
    <m/>
    <x v="0"/>
    <s v="en attente d'instoration des filtres "/>
    <s v="H.O Complet entre 311 et 310"/>
    <s v="dl Rxqual=2"/>
    <s v="dl rx level= -89 dbm"/>
    <s v="OK"/>
    <s v="OK"/>
    <s v="Mauvais"/>
    <s v="retransmission des trames HDLC*5"/>
    <m/>
    <m/>
    <m/>
    <m/>
    <m/>
    <m/>
    <m/>
    <m/>
    <m/>
  </r>
  <r>
    <n v="178"/>
    <x v="0"/>
    <x v="93"/>
    <d v="1899-12-30T13:43:39"/>
    <n v="1025"/>
    <x v="0"/>
    <x v="1"/>
    <n v="1044"/>
    <m/>
    <s v="Casa/Tanger"/>
    <n v="151.35"/>
    <x v="18"/>
    <s v="N2"/>
    <x v="0"/>
    <s v="H.O Complet entre 327 et 326 bonne qualité de signal ,Requête de déconnexion a été envoyé par RBC"/>
    <m/>
    <x v="0"/>
    <s v="en attente d'instoration des filtres "/>
    <s v="H.O Complet entre 327 et 326"/>
    <s v="dl Rxqual=0"/>
    <s v="dl rx level= -48 dbm"/>
    <s v="OK"/>
    <s v="OK"/>
    <s v="Mauvais"/>
    <s v="retransmission des trames HDLC*5"/>
    <m/>
    <m/>
    <m/>
    <m/>
    <m/>
    <m/>
    <m/>
    <m/>
    <m/>
  </r>
  <r>
    <n v="179"/>
    <x v="0"/>
    <x v="93"/>
    <d v="1899-12-30T20:14:19"/>
    <n v="1049"/>
    <x v="4"/>
    <x v="1"/>
    <n v="1033"/>
    <m/>
    <s v="Casa/Tanger"/>
    <n v="7.3209999999999997"/>
    <x v="2"/>
    <s v="N2"/>
    <x v="1"/>
    <s v="H.O non finalisé entre 202 et 303 mauvaise qualité de signal ,Requête de déconnexion a été envoyé par RBC"/>
    <m/>
    <x v="2"/>
    <s v="en attente d'instoration des filtres "/>
    <s v="H.O non finalisé entre 202 et 203"/>
    <s v="dl Rxqual=6"/>
    <s v="dl rx level= -49 dbm"/>
    <s v="OK"/>
    <s v="OK"/>
    <s v="Mauvais"/>
    <s v="retransmission des trames HDLC*5"/>
    <m/>
    <m/>
    <m/>
    <m/>
    <m/>
    <m/>
    <m/>
    <m/>
    <m/>
  </r>
  <r>
    <n v="180"/>
    <x v="0"/>
    <x v="93"/>
    <d v="1899-12-30T20:33:40"/>
    <n v="1053"/>
    <x v="0"/>
    <x v="1"/>
    <n v="1044"/>
    <m/>
    <s v="Casa/Tanger"/>
    <n v="177.85"/>
    <x v="4"/>
    <s v="N2"/>
    <x v="0"/>
    <s v="H.O non finalisé entre 231 et 232 mauvaise qualité de signal ,Requête de déconnexion a été envoyé par RBC"/>
    <m/>
    <x v="2"/>
    <s v="en attente d'instoration des filtres "/>
    <s v="H.O non finalisé entre 231 et 332"/>
    <s v="dl Rxqual=7"/>
    <s v="dl rx level= -65 dbm"/>
    <s v="OK"/>
    <s v="OK"/>
    <s v="Mauvais"/>
    <s v="retransmission des trames HDLC*5"/>
    <m/>
    <m/>
    <m/>
    <m/>
    <m/>
    <m/>
    <m/>
    <m/>
    <m/>
  </r>
  <r>
    <n v="181"/>
    <x v="0"/>
    <x v="93"/>
    <d v="1899-12-30T23:07:23"/>
    <n v="1053"/>
    <x v="10"/>
    <x v="1"/>
    <n v="1060"/>
    <m/>
    <s v="Casa/Tanger"/>
    <n v="7.3209999999999997"/>
    <x v="2"/>
    <s v="N2"/>
    <x v="1"/>
    <s v="H.O non finalisé entre 303 et 202 mauvaise qualité de signal ,Requête de déconnexion a été envoyé par RBC"/>
    <m/>
    <x v="2"/>
    <s v="en attente d'instoration des filtres "/>
    <s v="H.O non finalisé entre 303 et 202"/>
    <s v="dl Rxqual=7"/>
    <s v="dl rx level= -54 dbm"/>
    <s v="OK"/>
    <s v="OK"/>
    <s v="Mauvais"/>
    <s v="retransmission des trames HDLC*5"/>
    <m/>
    <m/>
    <m/>
    <m/>
    <m/>
    <m/>
    <m/>
    <m/>
    <m/>
  </r>
  <r>
    <n v="182"/>
    <x v="0"/>
    <x v="94"/>
    <d v="1899-12-30T13:43:39"/>
    <n v="1053"/>
    <x v="2"/>
    <x v="0"/>
    <n v="7218"/>
    <m/>
    <s v="Tanger/Casa"/>
    <n v="6.13"/>
    <x v="2"/>
    <s v="N2"/>
    <x v="1"/>
    <s v="H.O finalisé entre 302 et 203 Bonne qualité de signal ,Requête de déconnexion a été envoyé à travers la BTS"/>
    <m/>
    <x v="2"/>
    <s v="en attente d'instoration des filtres "/>
    <s v="H.O Complet entre 302 et 203"/>
    <s v="dl Rxqual=0"/>
    <s v="dl rx level= -71 dbm"/>
    <s v="OK"/>
    <s v="OK"/>
    <s v="Mauvais"/>
    <s v="retransmission des trames HDLC*5"/>
    <m/>
    <m/>
    <m/>
    <m/>
    <m/>
    <m/>
    <m/>
    <m/>
    <m/>
  </r>
  <r>
    <n v="183"/>
    <x v="0"/>
    <x v="94"/>
    <d v="1899-12-30T14:05:17"/>
    <n v="2033"/>
    <x v="3"/>
    <x v="0"/>
    <n v="1046"/>
    <m/>
    <s v="Tanger/Casa"/>
    <n v="6.13"/>
    <x v="2"/>
    <s v="N2"/>
    <x v="1"/>
    <s v="H.O non finalisé entre 302 et 203 mauvaise qualité de signal ,Requête de déconnexion a été envoyé par RBC"/>
    <m/>
    <x v="2"/>
    <s v="en attente d'instoration des filtres "/>
    <s v="H.O non finalisé entre 302 et 203"/>
    <s v="dl Rxqual=7"/>
    <s v="dl rx level= -52 dbm"/>
    <s v="OK"/>
    <s v="OK"/>
    <s v="Mauvais"/>
    <s v="retransmission des trames HDLC*5"/>
    <m/>
    <m/>
    <m/>
    <m/>
    <m/>
    <m/>
    <m/>
    <m/>
    <m/>
  </r>
  <r>
    <n v="184"/>
    <x v="0"/>
    <x v="94"/>
    <d v="1899-12-30T21:05:26"/>
    <n v="2061"/>
    <x v="3"/>
    <x v="0"/>
    <n v="1046"/>
    <m/>
    <s v="Tanger/Casa"/>
    <n v="6.13"/>
    <x v="2"/>
    <s v="N2"/>
    <x v="1"/>
    <s v="H.O finalisé entre 202 et 303 mauvaise qualité de signal ,Requête de déconnexion a été envoyé par RBC"/>
    <m/>
    <x v="2"/>
    <s v="en attente d'instoration des filtres "/>
    <s v="H.O non finalisé entre 302 et 203"/>
    <s v="dl Rxqual=7"/>
    <s v="dl rx level= -52 dbm"/>
    <s v="OK"/>
    <s v="OK"/>
    <s v="Mauvais"/>
    <s v="retransmission des trames HDLC*5"/>
    <m/>
    <m/>
    <m/>
    <m/>
    <m/>
    <m/>
    <m/>
    <m/>
    <m/>
  </r>
  <r>
    <n v="185"/>
    <x v="0"/>
    <x v="95"/>
    <d v="1899-12-30T12:05:07"/>
    <n v="2025"/>
    <x v="2"/>
    <x v="0"/>
    <n v="7217"/>
    <m/>
    <s v="Tanger/Casa"/>
    <n v="6.13"/>
    <x v="2"/>
    <s v="N2"/>
    <x v="1"/>
    <s v="H.O non finalisé entre 301 et 302 mauvaise qualité de signal ,Requête de déconnexion a été envoyé par RBC"/>
    <m/>
    <x v="0"/>
    <s v="en attente décision de remplacement CAB Radio"/>
    <s v="H.O non finalisé entre 301 et 302"/>
    <s v="dl Rxqual=7"/>
    <s v="dl rx level= -55 dbm"/>
    <s v="OK"/>
    <s v="OK"/>
    <s v="Mauvais"/>
    <s v="retransmission des trames HDLC*5"/>
    <m/>
    <m/>
    <m/>
    <m/>
    <m/>
    <m/>
    <m/>
    <m/>
    <m/>
  </r>
  <r>
    <n v="186"/>
    <x v="0"/>
    <x v="96"/>
    <d v="1899-12-30T07:35:12"/>
    <n v="2005"/>
    <x v="1"/>
    <x v="0"/>
    <n v="1029"/>
    <m/>
    <s v="Tanger/Casa"/>
    <n v="144.32599999999999"/>
    <x v="3"/>
    <s v="N2"/>
    <x v="1"/>
    <s v="H.O finalisé entre 224 et 225 bonne qualité de signal ,Requête de déconnexion a été envoyé par RBC"/>
    <m/>
    <x v="0"/>
    <s v="en attente décision de remplacement CAB Radio"/>
    <s v="H.O Complet entre 224 et 225"/>
    <s v="dl Rxqual=0"/>
    <s v="dl rx level= -68 dbm"/>
    <s v="OK"/>
    <s v="OK"/>
    <s v="Mauvais"/>
    <s v="retransmission des trames HDLC*5"/>
    <m/>
    <m/>
    <m/>
    <m/>
    <m/>
    <m/>
    <m/>
    <m/>
    <m/>
  </r>
  <r>
    <n v="187"/>
    <x v="0"/>
    <x v="96"/>
    <d v="1899-12-30T13:55:27"/>
    <n v="1025"/>
    <x v="2"/>
    <x v="1"/>
    <n v="1034"/>
    <m/>
    <s v="Casa/Tanger"/>
    <n v="79.281999999999996"/>
    <x v="11"/>
    <s v="N2"/>
    <x v="0"/>
    <s v="H.O finalisé entre 315 et 314 bonne qualité de signal ,Requête de déconnexion a été envoyé par RBC"/>
    <m/>
    <x v="0"/>
    <s v="en attente décision de remplacement CAB Radio"/>
    <s v="H.O Complet entre 315 et 314"/>
    <s v="dl Rxqual=5"/>
    <s v="dl rx level= -53 dbm"/>
    <s v="OK"/>
    <s v="OK"/>
    <s v="Mauvais"/>
    <s v="retransmission des trames HDLC*5"/>
    <m/>
    <m/>
    <m/>
    <m/>
    <m/>
    <m/>
    <m/>
    <m/>
    <m/>
  </r>
  <r>
    <n v="188"/>
    <x v="0"/>
    <x v="96"/>
    <d v="1899-12-30T13:56:36"/>
    <n v="1025"/>
    <x v="2"/>
    <x v="1"/>
    <n v="1034"/>
    <m/>
    <s v="Casa/Tanger"/>
    <n v="74.712999999999994"/>
    <x v="13"/>
    <s v="N2"/>
    <x v="1"/>
    <s v="H.O finalisé entre 314 et 313 bonne qualité de signal ,Requête de déconnexion a été envoyé par le Bord"/>
    <m/>
    <x v="0"/>
    <s v="en attente décision de remplacement CAB Radio"/>
    <s v="H.O Complet entre 313 et 314"/>
    <s v="dl Rxqual=0"/>
    <s v="dl rx level= -58 dbm"/>
    <s v="OK"/>
    <s v="OK"/>
    <s v="Mauvais"/>
    <s v="pas de retransmission des trames HDLC"/>
    <m/>
    <m/>
    <m/>
    <m/>
    <m/>
    <m/>
    <m/>
    <m/>
    <m/>
  </r>
  <r>
    <n v="189"/>
    <x v="0"/>
    <x v="96"/>
    <d v="1899-12-30T16:34:13"/>
    <n v="1037"/>
    <x v="8"/>
    <x v="1"/>
    <n v="1022"/>
    <m/>
    <s v="Casa/Tanger"/>
    <n v="153.68600000000001"/>
    <x v="18"/>
    <s v="N2"/>
    <x v="1"/>
    <s v="H.O non finalisé entre 327 et 326  qualité de signal moyenne ,Requête de déconnexion a été envoyé par RBC"/>
    <m/>
    <x v="0"/>
    <s v="en attente décision de remplacement CAB Radio"/>
    <s v="H.O non finalisé entre 327 et 326"/>
    <s v="dl Rxqual=5"/>
    <s v="dl rx level= -66 dbm"/>
    <s v="NOK"/>
    <s v="OK"/>
    <s v="Mauvais"/>
    <s v="retransmission des trames HDLC*5"/>
    <m/>
    <m/>
    <m/>
    <m/>
    <m/>
    <m/>
    <m/>
    <m/>
    <m/>
  </r>
  <r>
    <n v="190"/>
    <x v="0"/>
    <x v="96"/>
    <d v="1899-12-30T17:05:35"/>
    <n v="2045"/>
    <x v="10"/>
    <x v="0"/>
    <n v="7206"/>
    <m/>
    <s v="Tanger/Casa"/>
    <n v="6.13"/>
    <x v="2"/>
    <s v="N2"/>
    <x v="0"/>
    <s v="H.O non finalisé entre 201 et 202  mauvaise qualité de signal  ,Requête de déconnexion a été envoyé par RBC"/>
    <m/>
    <x v="0"/>
    <s v="en attente décision de remplacement CAB Radio"/>
    <s v="H.O non finalisé entre 201et 202"/>
    <s v="dl Rxqual=7"/>
    <s v="dl rx level= -52 dbm"/>
    <s v="NOK"/>
    <s v="OK"/>
    <s v="Mauvais"/>
    <s v="retransmission des trames HDLC*5"/>
    <m/>
    <m/>
    <m/>
    <m/>
    <m/>
    <m/>
    <m/>
    <m/>
    <m/>
  </r>
  <r>
    <n v="191"/>
    <x v="0"/>
    <x v="97"/>
    <d v="1899-12-30T09:40:22"/>
    <n v="2013"/>
    <x v="7"/>
    <x v="0"/>
    <n v="1055"/>
    <m/>
    <s v="Tanger/Casa"/>
    <n v="165.298"/>
    <x v="28"/>
    <s v="N2"/>
    <x v="0"/>
    <s v="H.O non finalisé entre 228 et 229 qualité de signal moyenne  ,Requête de déconnexion a été envoyé par RBC"/>
    <m/>
    <x v="0"/>
    <s v="en attente décision de remplacement CAB Radio"/>
    <s v="H.O non finalisé entre 228 et 229"/>
    <s v="dl Rxqual=5"/>
    <s v="dl rx level= -80 dbm"/>
    <s v="NOK"/>
    <s v="OK"/>
    <s v="Mauvais"/>
    <s v="retransmission des trames HDLC*5"/>
    <m/>
    <m/>
    <m/>
    <m/>
    <m/>
    <m/>
    <m/>
    <m/>
    <m/>
  </r>
  <r>
    <n v="192"/>
    <x v="0"/>
    <x v="97"/>
    <d v="1899-12-30T10:38:31"/>
    <n v="2017"/>
    <x v="5"/>
    <x v="0"/>
    <n v="1024"/>
    <m/>
    <s v="Tanger/Casa"/>
    <n v="156.02199999999999"/>
    <x v="18"/>
    <s v="N2"/>
    <x v="0"/>
    <s v="H.O finalisé entre 226 et 327 bonne qualité de signal ,Requête de déconnexion a été envoyé par RBC"/>
    <m/>
    <x v="0"/>
    <s v="en attente décision de remplacement CAB Radio"/>
    <s v="H.O Complet entre 226 et 327"/>
    <s v="dl Rxqual=0"/>
    <s v="dl rx level= -48 dbm"/>
    <s v="OK"/>
    <s v="OK"/>
    <s v="Mauvais"/>
    <s v="retransmission des trames HDLC*5"/>
    <m/>
    <m/>
    <m/>
    <m/>
    <m/>
    <m/>
    <m/>
    <m/>
    <m/>
  </r>
  <r>
    <n v="193"/>
    <x v="0"/>
    <x v="97"/>
    <d v="1899-12-30T19:05:14"/>
    <n v="2053"/>
    <x v="3"/>
    <x v="0"/>
    <n v="1047"/>
    <m/>
    <s v="Tanger/Casa"/>
    <n v="6.13"/>
    <x v="2"/>
    <s v="N2"/>
    <x v="1"/>
    <s v="H.O non finalisé entre 203 et 301  mauvaise qualité de signal  ,Requête de déconnexion a été envoyé par RBC"/>
    <m/>
    <x v="0"/>
    <s v="en attente décision de remplacement CAB Radio"/>
    <s v="H.O non finalisé entre 203 et 301"/>
    <s v="dl Rxqual=7"/>
    <s v="dl rx level= -65 dbm"/>
    <s v="OK"/>
    <s v="OK"/>
    <s v="Mauvais"/>
    <s v="retransmission des trames HDLC*5"/>
    <m/>
    <m/>
    <m/>
    <m/>
    <m/>
    <m/>
    <m/>
    <m/>
    <m/>
  </r>
  <r>
    <n v="194"/>
    <x v="0"/>
    <x v="97"/>
    <d v="1899-12-30T19:37:11"/>
    <n v="2053"/>
    <x v="3"/>
    <x v="0"/>
    <n v="1046"/>
    <m/>
    <s v="Tanger/Casa"/>
    <n v="140.65899999999999"/>
    <x v="26"/>
    <s v="N2"/>
    <x v="0"/>
    <s v="H.O finalisé entre 323 et 324 bonne qualité de signal ,Requête de déconnexion a été envoyé par RBC"/>
    <m/>
    <x v="0"/>
    <s v="en attente décision de remplacement CAB Radio"/>
    <s v="H.O Complet entre 323 et 324"/>
    <s v="dl Rxqual=0"/>
    <s v="dl rx level= -68 dbm"/>
    <s v="OK"/>
    <s v="OK"/>
    <s v="Mauvais"/>
    <s v="retransmission des trames HDLC*5"/>
    <m/>
    <m/>
    <m/>
    <m/>
    <m/>
    <m/>
    <m/>
    <m/>
    <m/>
  </r>
  <r>
    <n v="195"/>
    <x v="0"/>
    <x v="97"/>
    <d v="1899-12-30T21:08:47"/>
    <n v="2061"/>
    <x v="9"/>
    <x v="0"/>
    <n v="1053"/>
    <m/>
    <s v="Tanger/Casa"/>
    <n v="11.28"/>
    <x v="22"/>
    <s v="N2"/>
    <x v="0"/>
    <s v="H.O finalisé entre 202 et 203 bonne qualité de signal ,Requête de déconnexion a été envoyé par RBC"/>
    <m/>
    <x v="0"/>
    <s v="en attente décision de remplacement CAB Radio"/>
    <s v="H.O Complet entre 202 et 203"/>
    <s v="dl Rxqual=0"/>
    <s v="dl rx level= -67 dbm"/>
    <s v="OK"/>
    <s v="OK"/>
    <s v="Mauvais"/>
    <s v="retransmission des trames HDLC*5"/>
    <m/>
    <m/>
    <m/>
    <m/>
    <m/>
    <m/>
    <m/>
    <m/>
    <m/>
  </r>
  <r>
    <n v="196"/>
    <x v="0"/>
    <x v="98"/>
    <d v="1899-12-30T12:40:45"/>
    <n v="1022"/>
    <x v="4"/>
    <x v="1"/>
    <n v="1032"/>
    <m/>
    <s v="Casa/Tanger"/>
    <n v="118.562"/>
    <x v="17"/>
    <s v="N2"/>
    <x v="0"/>
    <s v="H.O finalisé entre 321 et 322 bonne qualité de signal ,Requête de déconnexion a été envoyé par RBC"/>
    <m/>
    <x v="0"/>
    <s v="en attente décision de remplacement CAB Radio"/>
    <s v="H.O Complet entre 321 et 322"/>
    <s v="dl Rxqual=0"/>
    <s v="dl rx level= -63 dbm"/>
    <s v="OK"/>
    <s v="OK"/>
    <s v="Mauvais"/>
    <s v="retransmission des trames HDLC*5"/>
    <m/>
    <m/>
    <m/>
    <m/>
    <m/>
    <m/>
    <m/>
    <m/>
    <m/>
  </r>
  <r>
    <n v="197"/>
    <x v="0"/>
    <x v="98"/>
    <d v="1899-12-30T20:06:36"/>
    <n v="1050"/>
    <x v="10"/>
    <x v="1"/>
    <n v="1061"/>
    <m/>
    <s v="Casa/Tanger"/>
    <n v="47.127000000000002"/>
    <x v="16"/>
    <s v="N2"/>
    <x v="0"/>
    <s v="H.O finalisé entre 309 et 208 bonne qualité de signal ,Requête de déconnexion a été envoyé par RBC"/>
    <m/>
    <x v="0"/>
    <s v="en attente décision de remplacement CAB Radio"/>
    <s v="H.O Complet entre 309 et 208"/>
    <s v="dl Rxqual=0"/>
    <s v="dl rx level= -88 dbm"/>
    <s v="OK"/>
    <s v="OK"/>
    <s v="Mauvais"/>
    <s v="retransmission des trames HDLC*5"/>
    <m/>
    <m/>
    <m/>
    <m/>
    <m/>
    <m/>
    <m/>
    <m/>
    <m/>
  </r>
  <r>
    <n v="198"/>
    <x v="0"/>
    <x v="99"/>
    <d v="1899-12-30T11:16:11"/>
    <n v="2021"/>
    <x v="5"/>
    <x v="0"/>
    <n v="1025"/>
    <m/>
    <s v="Tanger/Casa"/>
    <n v="52.289000000000001"/>
    <x v="29"/>
    <s v="N2"/>
    <x v="0"/>
    <s v="H.O finalisé entre 309 et 310 bonne qualité de signal ,Requête de déconnexion a été envoyé par RBC"/>
    <m/>
    <x v="0"/>
    <s v="en attente décision de remplacement CAB Radio"/>
    <s v="H.O Complet entre 309 et 310"/>
    <s v="dl Rxqual=0"/>
    <s v="dl rx level= -49 dbm"/>
    <s v="OK"/>
    <s v="OK"/>
    <s v="Mauvais"/>
    <s v="retransmission des trames HDLC*5"/>
    <m/>
    <m/>
    <m/>
    <m/>
    <m/>
    <m/>
    <m/>
    <m/>
    <m/>
  </r>
  <r>
    <n v="199"/>
    <x v="0"/>
    <x v="99"/>
    <d v="1899-12-30T23:05:28"/>
    <n v="1061"/>
    <x v="4"/>
    <x v="1"/>
    <n v="1032"/>
    <m/>
    <s v="Casa/Tanger"/>
    <n v="18.89"/>
    <x v="20"/>
    <s v="N2"/>
    <x v="0"/>
    <s v="H.O finalisé entre 305 et 204 bonne qualité de signal ,Requête de déconnexion a été envoyé par RBC"/>
    <m/>
    <x v="0"/>
    <s v="en attente décision de remplacement CAB Radio"/>
    <s v="H.O Complet entre 305 et 204"/>
    <s v="dl Rxqual=0"/>
    <s v="dl rx level= -48 dbm"/>
    <s v="OK"/>
    <s v="OK"/>
    <s v="Mauvais"/>
    <s v="retransmission des trames HDLC*5"/>
    <m/>
    <m/>
    <m/>
    <m/>
    <m/>
    <m/>
    <m/>
    <m/>
    <m/>
  </r>
  <r>
    <n v="200"/>
    <x v="0"/>
    <x v="100"/>
    <d v="1899-12-30T17:35:40"/>
    <n v="2045"/>
    <x v="10"/>
    <x v="0"/>
    <n v="7206"/>
    <m/>
    <s v="Tanger/Casa"/>
    <n v="138.30199999999999"/>
    <x v="26"/>
    <s v="N2"/>
    <x v="0"/>
    <s v="H.O finalisé entre 323 et 324 bonne qualité de signal ,Requête de déconnexion a été envoyé par RBC"/>
    <m/>
    <x v="0"/>
    <s v="en attente décision de remplacement CAB Radio"/>
    <s v="H.O Complet entre 323 et 324"/>
    <s v="dl Rxqual=0"/>
    <s v="dl rx level= -73 dbm"/>
    <s v="OK"/>
    <s v="OK"/>
    <s v="Mauvais"/>
    <s v="retransmission des trames HDLC*5"/>
    <m/>
    <m/>
    <m/>
    <m/>
    <m/>
    <m/>
    <m/>
    <m/>
    <m/>
  </r>
  <r>
    <n v="201"/>
    <x v="0"/>
    <x v="100"/>
    <d v="1899-12-30T19:17:01"/>
    <n v="2053"/>
    <x v="5"/>
    <x v="0"/>
    <n v="1024"/>
    <m/>
    <s v="Tanger/Casa"/>
    <n v="52.289000000000001"/>
    <x v="29"/>
    <s v="N2"/>
    <x v="0"/>
    <s v="H.O finalisé entre 208 et 209 bonne qualité de signal ,Requête de déconnexion a été envoyé par RBC"/>
    <m/>
    <x v="0"/>
    <s v="en attente décision de remplacement CAB Radio"/>
    <s v="H.O Complet entre 208 et 209"/>
    <s v="dl Rxqual=0"/>
    <s v="dl rx level= -57 dbm"/>
    <s v="OK"/>
    <s v="OK"/>
    <s v="Mauvais"/>
    <s v="pas de retransmission des trames HDLC"/>
    <m/>
    <m/>
    <m/>
    <m/>
    <m/>
    <m/>
    <m/>
    <m/>
    <m/>
  </r>
  <r>
    <n v="202"/>
    <x v="0"/>
    <x v="101"/>
    <d v="1899-12-30T15:32:47"/>
    <n v="1043"/>
    <x v="7"/>
    <x v="1"/>
    <n v="1041"/>
    <m/>
    <s v="Casa/Tanger"/>
    <n v="161.72200000000001"/>
    <x v="9"/>
    <s v="N2"/>
    <x v="0"/>
    <s v="H.O finalisé entre 328 et 327 bonne qualité de signal ,Requête de déconnexion a été envoyé par RBC"/>
    <m/>
    <x v="0"/>
    <s v="en attente décision de remplacement CAB Radio"/>
    <s v="H.O Complet entre 328 et 327"/>
    <s v="dl Rxqual=0"/>
    <s v="dl rx level= -51 dbm"/>
    <s v="OK"/>
    <s v="OK"/>
    <s v="Mauvais"/>
    <s v="retransmission des trames HDLC*5"/>
    <m/>
    <m/>
    <m/>
    <m/>
    <m/>
    <m/>
    <m/>
    <m/>
    <m/>
  </r>
  <r>
    <n v="203"/>
    <x v="0"/>
    <x v="101"/>
    <d v="1899-12-30T15:35:33"/>
    <n v="1043"/>
    <x v="7"/>
    <x v="1"/>
    <n v="1040"/>
    <m/>
    <s v="Casa/Tanger"/>
    <n v="152.488"/>
    <x v="18"/>
    <s v="N2"/>
    <x v="0"/>
    <s v="H.O non finalisé entre 226 et 227 bonne qualité de signal ,Requête de déconnexion a été envoyé par RBC"/>
    <m/>
    <x v="0"/>
    <s v="en attente décision de remplacement CAB Radio"/>
    <s v="H.O non finalisé entre 226 et 227"/>
    <s v="dl Rxqual=6"/>
    <s v="dl rx level= -58 dbm"/>
    <s v="OK"/>
    <s v="OK"/>
    <s v="Mauvais"/>
    <s v="retransmission des trames HDLC*5"/>
    <m/>
    <m/>
    <m/>
    <m/>
    <m/>
    <m/>
    <m/>
    <m/>
    <m/>
  </r>
  <r>
    <n v="204"/>
    <x v="0"/>
    <x v="102"/>
    <d v="1899-12-30T18:23:27"/>
    <n v="1045"/>
    <x v="1"/>
    <x v="1"/>
    <n v="3062"/>
    <m/>
    <s v="Casa/Tanger"/>
    <n v="202.125"/>
    <x v="5"/>
    <s v="N2"/>
    <x v="0"/>
    <s v="H.O non finalisé entre 234 et 99 Mauvaise qualité de signal ,Requête de déconnexion a été envoyé par RBC"/>
    <m/>
    <x v="1"/>
    <s v="un chantier d'optimisation est en cours"/>
    <s v="H.O non finalisé entre 234 et 99"/>
    <s v="dl Rxqual=7"/>
    <s v="dl rx level= -64 dbm"/>
    <s v="OK"/>
    <s v="OK"/>
    <s v="Mauvais"/>
    <s v="retransmission des trames HDLC*5"/>
    <m/>
    <m/>
    <m/>
    <m/>
    <m/>
    <m/>
    <m/>
    <m/>
    <m/>
  </r>
  <r>
    <n v="205"/>
    <x v="0"/>
    <x v="102"/>
    <d v="1899-12-30T19:26:51"/>
    <n v="1050"/>
    <x v="10"/>
    <x v="1"/>
    <n v="1061"/>
    <m/>
    <s v="Casa/Tanger"/>
    <n v="185.47"/>
    <x v="19"/>
    <s v="N2"/>
    <x v="0"/>
    <s v="H.O non finalisé entre 331 et 332 bonne qualité de signal ,Requête de déconnexion a été envoyé par le Bord"/>
    <m/>
    <x v="0"/>
    <s v="en attente décision de remplacement CAB Radio"/>
    <s v="H.O non finalisé entre 331 et 332"/>
    <s v="dl Rxqual=0"/>
    <s v="dl rx level= -58 dbm"/>
    <s v="NOK"/>
    <s v="OK"/>
    <s v="Mauvais"/>
    <s v="retransmission des trames HDLC*5"/>
    <m/>
    <m/>
    <m/>
    <m/>
    <m/>
    <m/>
    <m/>
    <m/>
    <m/>
  </r>
  <r>
    <n v="206"/>
    <x v="0"/>
    <x v="103"/>
    <d v="1899-12-30T11:10:51"/>
    <n v="1013"/>
    <x v="5"/>
    <x v="1"/>
    <n v="1026"/>
    <m/>
    <s v="Casa/Tanger"/>
    <n v="7.3209999999999997"/>
    <x v="2"/>
    <s v="N2"/>
    <x v="0"/>
    <s v="H.O non finalisé entre 303 et 202 mauvaise qualité de signal ,Requête de déconnexion a été envoyé par le Bord"/>
    <m/>
    <x v="0"/>
    <s v="en attente décision de remplacement CAB Radio"/>
    <s v="H.O non finalisé entre 303 et 202"/>
    <s v="dl Rxqual=7"/>
    <s v="dl rx level= -58 dbm"/>
    <s v="OK"/>
    <s v="OK"/>
    <s v="Mauvais"/>
    <s v="retransmission des trames HDLC*2"/>
    <m/>
    <m/>
    <m/>
    <m/>
    <m/>
    <m/>
    <m/>
    <m/>
    <m/>
  </r>
  <r>
    <n v="207"/>
    <x v="0"/>
    <x v="104"/>
    <d v="1899-12-30T08:05:37"/>
    <n v="2009"/>
    <x v="10"/>
    <x v="0"/>
    <n v="7208"/>
    <m/>
    <s v="Tanger/Casa"/>
    <n v="6.13"/>
    <x v="2"/>
    <s v="N2"/>
    <x v="0"/>
    <s v="H.O non finalisé entre 302 et 201 mauvaise qualité de signal ,Requête de déconnexion a été envoyé par le Bord"/>
    <m/>
    <x v="0"/>
    <s v="en attente décision de remplacement CAB Radio"/>
    <s v="H.O non finalisé entre 302 et 201"/>
    <s v="dl Rxqual=7"/>
    <s v="dl rx level= -52 dbm"/>
    <s v="OK"/>
    <s v="OK"/>
    <s v="Mauvais"/>
    <s v="retransmission des trames HDLC*4"/>
    <m/>
    <m/>
    <m/>
    <m/>
    <m/>
    <m/>
    <m/>
    <m/>
    <m/>
  </r>
  <r>
    <n v="208"/>
    <x v="0"/>
    <x v="104"/>
    <d v="1899-12-30T14:05:28"/>
    <n v="2033"/>
    <x v="10"/>
    <x v="0"/>
    <n v="7206"/>
    <m/>
    <s v="Tanger/Casa"/>
    <n v="6.13"/>
    <x v="2"/>
    <s v="N2"/>
    <x v="0"/>
    <s v="H.O non finalisé entre 302 et 203 mauvaise qualité de signal ,Requête de déconnexion a été envoyé par le RBC"/>
    <m/>
    <x v="0"/>
    <s v="en attente décision de remplacement CAB Radio"/>
    <s v="H.O non finalisé entre 302 et 203"/>
    <s v="dl Rxqual=7"/>
    <s v="dl rx level= -57 dbm"/>
    <s v="NOK"/>
    <s v="OK"/>
    <s v="Mauvais"/>
    <s v="retransmission des trames HDLC*5"/>
    <m/>
    <m/>
    <m/>
    <m/>
    <m/>
    <m/>
    <m/>
    <m/>
    <m/>
  </r>
  <r>
    <n v="209"/>
    <x v="0"/>
    <x v="105"/>
    <d v="1899-12-30T07:31:00"/>
    <n v="2005"/>
    <x v="7"/>
    <x v="0"/>
    <n v="1055"/>
    <m/>
    <s v="Tanger/Casa"/>
    <n v="121.232"/>
    <x v="30"/>
    <s v="N2"/>
    <x v="0"/>
    <s v="H.O non finalisé entre 321 et 222 bonne qualité de signal ,Requête de déconnexion a été envoyé par le RBC"/>
    <m/>
    <x v="0"/>
    <s v="en attente décision de remplacement CAB Radio"/>
    <s v="H.O non finalisé entre 321 et 222"/>
    <s v="dl Rxqual=0"/>
    <s v="dl rx level= -50 dbm"/>
    <s v="OK"/>
    <s v="OK"/>
    <s v="Mauvais"/>
    <s v="retransmission des trames HDLC*5"/>
    <m/>
    <m/>
    <m/>
    <m/>
    <m/>
    <m/>
    <m/>
    <m/>
    <m/>
  </r>
  <r>
    <n v="210"/>
    <x v="0"/>
    <x v="105"/>
    <d v="1899-12-30T09:03:32"/>
    <n v="1005"/>
    <x v="2"/>
    <x v="1"/>
    <n v="1034"/>
    <m/>
    <s v="Casa/Tanger"/>
    <n v="7.3209999999999997"/>
    <x v="2"/>
    <s v="N2"/>
    <x v="0"/>
    <s v="H.O non finalisé entre 303 et 202 mauvaise qualité de signal ,Requête de déconnexion a été envoyé par le Bord"/>
    <m/>
    <x v="0"/>
    <s v="en attente décision de remplacement CAB Radio"/>
    <s v="H.O non finalisé entre 303 et 202"/>
    <s v="dl Rxqual=7"/>
    <s v="dl rx level= -55 dbm"/>
    <s v="OK"/>
    <s v="OK"/>
    <s v="Mauvais"/>
    <s v="retransmission des trames HDLC*5"/>
    <m/>
    <m/>
    <m/>
    <m/>
    <m/>
    <m/>
    <m/>
    <m/>
    <m/>
  </r>
  <r>
    <n v="211"/>
    <x v="0"/>
    <x v="105"/>
    <d v="1899-12-30T16:04:51"/>
    <n v="2041"/>
    <x v="3"/>
    <x v="0"/>
    <n v="1046"/>
    <m/>
    <s v="Tanger/Casa"/>
    <n v="6.13"/>
    <x v="2"/>
    <s v="N2"/>
    <x v="1"/>
    <s v="H.O non finalisé entre 202 et 201 bonne qualité de signal ,Requête de déconnexion a été envoyé par le RBC"/>
    <m/>
    <x v="0"/>
    <s v="en attente décision de remplacement CAB Radio"/>
    <s v="H.O non finalisé entre 202 et 201"/>
    <s v="dl Rxqual=2"/>
    <s v="dl rx level= -49 dbm"/>
    <s v="NOK"/>
    <s v="OK"/>
    <s v="Mauvais"/>
    <s v="retransmission des trames HDLC*5"/>
    <m/>
    <m/>
    <m/>
    <m/>
    <m/>
    <m/>
    <m/>
    <m/>
    <m/>
  </r>
  <r>
    <n v="212"/>
    <x v="0"/>
    <x v="105"/>
    <d v="1899-12-30T16:30:33"/>
    <m/>
    <x v="3"/>
    <x v="0"/>
    <n v="1047"/>
    <m/>
    <s v="Tanger/Casa"/>
    <n v="114.607"/>
    <x v="17"/>
    <s v="N2"/>
    <x v="0"/>
    <s v="H.O finalisé entre 219 et 220 bonne qualité de signal ,Requête de déconnexion a été envoyé par RBC"/>
    <m/>
    <x v="0"/>
    <s v="en attente décision de remplacement CAB Radio"/>
    <s v="H.O Complet entre 219 et 220"/>
    <s v="dl Rxqual=3"/>
    <s v="dl rx level= -56 dbm"/>
    <s v="OK"/>
    <s v="OK"/>
    <s v="Mauvais"/>
    <s v="retransmission des trames HDLC*5"/>
    <m/>
    <m/>
    <m/>
    <m/>
    <m/>
    <m/>
    <m/>
    <m/>
    <m/>
  </r>
  <r>
    <n v="213"/>
    <x v="0"/>
    <x v="105"/>
    <d v="1899-12-30T23:06:17"/>
    <n v="1061"/>
    <x v="5"/>
    <x v="1"/>
    <n v="1026"/>
    <m/>
    <s v="Casa/Tanger"/>
    <n v="7.3209999999999997"/>
    <x v="2"/>
    <s v="N2"/>
    <x v="0"/>
    <s v="H.O non finalisé entre 202 et 303 mauvaise qualité de signal ,Requête de déconnexion a été envoyé par le RBC"/>
    <m/>
    <x v="0"/>
    <s v="en attente décision de remplacement CAB Radio"/>
    <s v="H.O non finalisé entre 202 et 303"/>
    <s v="dl Rxqual=7"/>
    <s v="dl rx level= -54 dbm"/>
    <s v="OK"/>
    <s v="OK"/>
    <s v="Mauvais"/>
    <s v="retransmission des trames HDLC*5"/>
    <m/>
    <m/>
    <m/>
    <m/>
    <m/>
    <m/>
    <m/>
    <m/>
    <m/>
  </r>
  <r>
    <n v="214"/>
    <x v="0"/>
    <x v="106"/>
    <d v="1899-12-30T14:29:27"/>
    <n v="2033"/>
    <x v="10"/>
    <x v="0"/>
    <n v="7206"/>
    <m/>
    <s v="Tanger/Casa"/>
    <n v="109.495"/>
    <x v="1"/>
    <s v="N2"/>
    <x v="0"/>
    <s v="H.O non finalisé entre 220 et 222 Saut de cellule x21 Mauvaise qualité de signal ,Requête de déconnexion a été envoyé par RBC"/>
    <m/>
    <x v="0"/>
    <s v="en attente décision de remplacement CAB Radio"/>
    <s v="H.O non finalisé entre 220 et 222"/>
    <s v="dl Rxqual=6"/>
    <s v="dl rx level= -59 dbm"/>
    <s v="NOK"/>
    <s v="OK"/>
    <s v="Mauvais"/>
    <s v="retransmission des trames HDLC*5"/>
    <m/>
    <m/>
    <m/>
    <m/>
    <m/>
    <m/>
    <m/>
    <m/>
    <m/>
  </r>
  <r>
    <n v="215"/>
    <x v="0"/>
    <x v="107"/>
    <d v="1899-12-30T15:26:26"/>
    <n v="1033"/>
    <x v="7"/>
    <x v="1"/>
    <n v="1041"/>
    <m/>
    <s v="Casa/Tanger"/>
    <n v="186.87"/>
    <x v="19"/>
    <s v="N2"/>
    <x v="0"/>
    <s v="H.O non finalisé entre 233 et 332 Bonne qualité de signal ,Requête de déconnexion a été envoyé par le Bord"/>
    <m/>
    <x v="0"/>
    <s v="en attente décision de remplacement CAB Radio"/>
    <s v="H.O non finalisé entre 233 et 332"/>
    <s v="dl Rxqual=0"/>
    <s v="dl rx level= -75 dbm"/>
    <s v="NOK"/>
    <s v="OK"/>
    <s v="Mauvais"/>
    <s v="retransmission des trames HDLC*5"/>
    <m/>
    <m/>
    <m/>
    <m/>
    <m/>
    <m/>
    <m/>
    <m/>
    <m/>
  </r>
  <r>
    <n v="216"/>
    <x v="0"/>
    <x v="108"/>
    <d v="1899-12-30T15:50:18"/>
    <n v="1034"/>
    <x v="7"/>
    <x v="1"/>
    <n v="1040"/>
    <m/>
    <s v="Casa/Tanger"/>
    <n v="83.084000000000003"/>
    <x v="15"/>
    <s v="N2"/>
    <x v="0"/>
    <s v="H.O Compler entre 316 et 315 Bonne qualité de signal ,Requête de déconnexion a été envoyé par le RBC"/>
    <m/>
    <x v="0"/>
    <s v="en attente décision de remplacement CAB Radio"/>
    <s v="H.O Compler entre 316 et 315"/>
    <s v="dl Rxqual=0"/>
    <s v="dl rx level= -48 dbm"/>
    <s v="OK"/>
    <s v="OK"/>
    <s v="Mauvais"/>
    <s v="retransmission des trames HDLC*5"/>
    <m/>
    <m/>
    <m/>
    <m/>
    <m/>
    <m/>
    <m/>
    <m/>
    <m/>
  </r>
  <r>
    <n v="217"/>
    <x v="0"/>
    <x v="109"/>
    <d v="1899-12-30T09:31:04"/>
    <n v="2010"/>
    <x v="0"/>
    <x v="1"/>
    <n v="1045"/>
    <m/>
    <s v="Casa/Tanger"/>
    <n v="166.529"/>
    <x v="28"/>
    <s v="N2"/>
    <x v="0"/>
    <s v="H.O Compler entre 330 et 329 Bonne qualité de signal ,Requête de déconnexion a été envoyé par le RBC"/>
    <m/>
    <x v="0"/>
    <s v="en attente décision de remplacement CAB Radio"/>
    <s v="H.O Compler entre 330 et 329"/>
    <s v="dl Rxqual=1"/>
    <s v="dl rx level= -68 dbm"/>
    <s v="OK"/>
    <s v="NOK"/>
    <s v="Mauvais"/>
    <s v="retransmission des trames HDLC*5"/>
    <m/>
    <m/>
    <m/>
    <m/>
    <m/>
    <m/>
    <m/>
    <m/>
    <m/>
  </r>
  <r>
    <n v="218"/>
    <x v="0"/>
    <x v="110"/>
    <d v="1899-12-30T10:06:46"/>
    <n v="2017"/>
    <x v="2"/>
    <x v="0"/>
    <n v="7217"/>
    <m/>
    <s v="Tanger/Casa"/>
    <n v="7.3209999999999997"/>
    <x v="2"/>
    <s v="N2"/>
    <x v="0"/>
    <s v="H.O non finalisé entre 302 et 203 Mauvaise qualité de signal ,Requête de déconnexion a été envoyé par le Bord"/>
    <m/>
    <x v="0"/>
    <s v="en attente décision de remplacement CAB Radio"/>
    <s v="H.O non finalisé entre 302 et 203"/>
    <s v="dl Rxqual=7"/>
    <s v="dl rx level= -52 dbm"/>
    <s v="OK"/>
    <s v="OK"/>
    <m/>
    <s v="retransmission des trames HDLC*5"/>
    <m/>
    <m/>
    <m/>
    <m/>
    <m/>
    <m/>
    <m/>
    <m/>
    <m/>
  </r>
  <r>
    <n v="219"/>
    <x v="0"/>
    <x v="111"/>
    <d v="1899-12-30T09:58:56"/>
    <n v="1009"/>
    <x v="10"/>
    <x v="1"/>
    <n v="1061"/>
    <m/>
    <s v="Casa/Tanger"/>
    <n v="32.625999999999998"/>
    <x v="25"/>
    <s v="N2"/>
    <x v="0"/>
    <s v="H.O non finalisé entre 208 et 307 Bonne qualité de signal ,Requête de déconnexion a été envoyé par le RBC"/>
    <m/>
    <x v="2"/>
    <s v="en attente décision de remplacement CAB Radio / Zone Sous surveillance"/>
    <s v="H.O non finalisé entre 208 et 307 "/>
    <s v="dl Rxqual=0"/>
    <s v="dl rx level= -61 dbm"/>
    <s v="NOK"/>
    <s v="OK"/>
    <s v="Mauvais"/>
    <s v="retransmission des trames HDLC*5"/>
    <m/>
    <m/>
    <m/>
    <m/>
    <m/>
    <m/>
    <m/>
    <m/>
    <m/>
  </r>
  <r>
    <n v="220"/>
    <x v="0"/>
    <x v="112"/>
    <d v="1899-12-30T16:15:20"/>
    <n v="2041"/>
    <x v="8"/>
    <x v="0"/>
    <n v="1043"/>
    <m/>
    <s v="Tanger/Casa"/>
    <n v="48.426000000000002"/>
    <x v="16"/>
    <s v="N2"/>
    <x v="1"/>
    <s v="H.O Complet 208 et 209 bonne qualité de signal ,Requête de déconnexion a été envoyé par RBC"/>
    <m/>
    <x v="0"/>
    <s v="en attente décision de remplacement CAB Radio"/>
    <s v="H.O Complet entre 208 et 209"/>
    <s v="dl Rxqual=0"/>
    <s v="dl rx level= -55 dbm"/>
    <s v="OK"/>
    <s v="OK"/>
    <s v="Mauvais"/>
    <s v="retransmission des trames HDLC*5"/>
    <m/>
    <m/>
    <m/>
    <m/>
    <m/>
    <m/>
    <m/>
    <m/>
    <m/>
  </r>
  <r>
    <n v="221"/>
    <x v="0"/>
    <x v="113"/>
    <s v=" 16:20:40"/>
    <n v="2041"/>
    <x v="8"/>
    <x v="0"/>
    <n v="1042"/>
    <m/>
    <s v="Tanger/Casa"/>
    <n v="53.600999999999999"/>
    <x v="29"/>
    <s v="N2"/>
    <x v="0"/>
    <s v="H.O Complet 209 et 310 bonne qualité de signal ,Requête de déconnexion a été envoyé par Bord"/>
    <m/>
    <x v="0"/>
    <s v="en attente décision de remplacement CAB Radio"/>
    <s v="H.O Complet entre 209 et 310"/>
    <s v="dl Rxqual=0"/>
    <s v="dl rx level= -48 dbm"/>
    <s v="OK"/>
    <s v="OK"/>
    <s v="Mauvais"/>
    <s v="pas de retransmission des trames HDLC"/>
    <m/>
    <m/>
    <m/>
    <m/>
    <m/>
    <m/>
    <m/>
    <m/>
    <m/>
  </r>
  <r>
    <n v="222"/>
    <x v="0"/>
    <x v="114"/>
    <d v="1899-12-30T18:05:37"/>
    <n v="2049"/>
    <x v="9"/>
    <x v="0"/>
    <n v="1053"/>
    <m/>
    <s v="Tanger/Casa"/>
    <n v="6.13"/>
    <x v="2"/>
    <s v="N2"/>
    <x v="0"/>
    <s v="H.O Complet entre 202 et 203 Mauvaise qualité de signal ,Requête de déconnexion a été envoyé par le RBC"/>
    <m/>
    <x v="0"/>
    <s v="en attente décision de remplacement CAB Radio"/>
    <s v="H.O Complet entre 202 et 20"/>
    <s v="dl Rxqual=5"/>
    <s v="dl rx level= -67 dbm"/>
    <s v="OK"/>
    <s v="OK"/>
    <m/>
    <s v="retransmission des trames HDLC*5"/>
    <m/>
    <m/>
    <m/>
    <m/>
    <m/>
    <m/>
    <m/>
    <m/>
    <m/>
  </r>
  <r>
    <n v="223"/>
    <x v="0"/>
    <x v="115"/>
    <d v="1899-12-30T21:24:48"/>
    <n v="2061"/>
    <x v="2"/>
    <x v="0"/>
    <n v="7217"/>
    <m/>
    <s v="Tanger/Casa"/>
    <n v="93.757999999999996"/>
    <x v="8"/>
    <s v="N2"/>
    <x v="0"/>
    <s v="H.O non finalisé entre 216 et 217 Bonne qualité de signal ,Requête de déconnexion a été envoyé par le RBC"/>
    <m/>
    <x v="0"/>
    <s v="en attente décision de remplacement CAB Radio"/>
    <s v="H.O non finalisé entre 216 et 217"/>
    <s v="dl Rxqual=4"/>
    <s v="dl rx level= -74 dbm"/>
    <s v="OK"/>
    <s v="OK"/>
    <s v="Mauvais"/>
    <s v="retransmission des trames HDLC*5"/>
    <m/>
    <m/>
    <m/>
    <m/>
    <m/>
    <m/>
    <m/>
    <m/>
    <m/>
  </r>
  <r>
    <n v="224"/>
    <x v="0"/>
    <x v="116"/>
    <d v="1899-12-30T09:59:56"/>
    <n v="1009"/>
    <x v="2"/>
    <x v="1"/>
    <n v="1035"/>
    <m/>
    <s v="Casa/Tanger"/>
    <n v="25.91"/>
    <x v="7"/>
    <s v="N2"/>
    <x v="0"/>
    <s v="H.O Complet entre 306 et 207 Mauvaise qualité de signal ,Requête de déconnexion a été envoyé par le RBC"/>
    <m/>
    <x v="0"/>
    <s v="en attente décision de remplacement CAB Radio"/>
    <s v="H.O Complet entre 306 et 207"/>
    <s v="dl Rxqual=7"/>
    <s v="dl rx level= -73 dbm"/>
    <s v="NOK"/>
    <s v="OK"/>
    <s v="moyen"/>
    <s v="retransmission des trames HDLC*5"/>
    <m/>
    <m/>
    <m/>
    <m/>
    <m/>
    <m/>
    <m/>
    <m/>
    <m/>
  </r>
  <r>
    <n v="225"/>
    <x v="0"/>
    <x v="117"/>
    <d v="1899-12-30T10:05:16"/>
    <m/>
    <x v="2"/>
    <x v="1"/>
    <n v="1034"/>
    <m/>
    <s v="Casa/Tanger"/>
    <n v="7.3209999999999997"/>
    <x v="2"/>
    <s v="N2"/>
    <x v="0"/>
    <s v="H.O non finalisé entre 303 et 202 mauvaise qualité de signal ,Requête de déconnexion a été envoyé par le Bord"/>
    <m/>
    <x v="0"/>
    <s v="en attente décision de remplacement CAB Radio"/>
    <s v="H.O non finalisé entre 303 et 202"/>
    <s v="dl Rxqual=7"/>
    <s v="dl rx level= -54 dbm"/>
    <s v="OK"/>
    <s v="OK"/>
    <m/>
    <s v="retransmission des trames HDLC*5"/>
    <m/>
    <m/>
    <m/>
    <m/>
    <m/>
    <m/>
    <m/>
    <m/>
    <m/>
  </r>
  <r>
    <n v="226"/>
    <x v="0"/>
    <x v="118"/>
    <s v=" 14:05:00"/>
    <n v="1025"/>
    <x v="8"/>
    <x v="1"/>
    <n v="1022"/>
    <m/>
    <s v="Casa/Tanger"/>
    <n v="7.3209999999999997"/>
    <x v="2"/>
    <s v="N2"/>
    <x v="0"/>
    <s v="H.O non finalisé entre 303 et 202 mauvaise qualité de signal ,Requête de déconnexion a été envoyé par le Bord"/>
    <m/>
    <x v="0"/>
    <s v="en attente décision de remplacement CAB Radio"/>
    <s v="H.O non finalisé entre 303 et 202"/>
    <s v="dl Rxqual=7"/>
    <s v="dl rx level= -55 dbm"/>
    <s v="OK"/>
    <s v="OK"/>
    <m/>
    <s v="retransmission des trames HDLC*5"/>
    <m/>
    <m/>
    <m/>
    <m/>
    <m/>
    <m/>
    <m/>
    <m/>
    <m/>
  </r>
  <r>
    <n v="227"/>
    <x v="0"/>
    <x v="119"/>
    <d v="1899-12-30T20:06:54"/>
    <n v="1049"/>
    <x v="8"/>
    <x v="1"/>
    <n v="1023"/>
    <m/>
    <s v="Casa/Tanger"/>
    <n v="25.91"/>
    <x v="7"/>
    <s v="N2"/>
    <x v="1"/>
    <s v="H.O non finalisé entre 207 et 305 Saut de cellule x06 mauvaise qualité de signal ,Requête de déconnexion a été envoyé par le Bord"/>
    <m/>
    <x v="0"/>
    <s v="en attente décision de remplacement CAB Radio"/>
    <s v="H.O non finalisé entre 207 et 305"/>
    <s v="dl Rxqual=7"/>
    <s v="dl rx level= -93 dbm"/>
    <s v="OK"/>
    <s v="OK"/>
    <s v="moyen"/>
    <s v="retransmission des trames HDLC*5"/>
    <m/>
    <m/>
    <m/>
    <m/>
    <m/>
    <m/>
    <m/>
    <m/>
    <m/>
  </r>
  <r>
    <n v="228"/>
    <x v="0"/>
    <x v="120"/>
    <d v="1899-12-30T05:15:29"/>
    <n v="2081"/>
    <x v="4"/>
    <x v="1"/>
    <n v="7208"/>
    <m/>
    <s v="Casa/Tanger"/>
    <n v="179.149"/>
    <x v="4"/>
    <s v="N2"/>
    <x v="0"/>
    <s v="H.O non finalisé entre 229 et 230 Bonne qualité de signal ,Requête de déconnexion a été envoyé par le RBC"/>
    <m/>
    <x v="0"/>
    <s v="en attente décision de remplacement CAB Radio"/>
    <s v="H.O non finalisé entre 229 et 230"/>
    <s v="dl Rxqual=0"/>
    <s v="dl rx level= -62 dbm"/>
    <s v="OK"/>
    <s v="OK"/>
    <s v="Mauvais"/>
    <s v="retransmission des trames HDLC*5"/>
    <m/>
    <m/>
    <m/>
    <m/>
    <m/>
    <m/>
    <m/>
    <m/>
    <m/>
  </r>
  <r>
    <n v="229"/>
    <x v="0"/>
    <x v="121"/>
    <d v="1899-12-30T10:03:58"/>
    <n v="1009"/>
    <x v="1"/>
    <x v="1"/>
    <n v="3063"/>
    <m/>
    <s v="Casa/Tanger"/>
    <n v="10.125"/>
    <x v="22"/>
    <s v="N2"/>
    <x v="0"/>
    <s v="H.O Complet entre 204 et 303 Bonne qualité de signal ,Requête de déconnexion a été envoyé par le RBC"/>
    <m/>
    <x v="0"/>
    <s v="en attente décision de remplacement CAB Radio"/>
    <s v="H.O Complet entre 204 et 303"/>
    <s v="dl Rxqual=0"/>
    <s v="dl rx level= -48 dbm"/>
    <s v="OK"/>
    <s v="OK"/>
    <s v="Mauvais"/>
    <s v="retransmission des trames HDLC*5"/>
    <m/>
    <m/>
    <m/>
    <m/>
    <m/>
    <m/>
    <m/>
    <m/>
    <m/>
  </r>
  <r>
    <n v="230"/>
    <x v="0"/>
    <x v="122"/>
    <d v="1899-12-30T10:05:37"/>
    <m/>
    <x v="1"/>
    <x v="1"/>
    <n v="3062"/>
    <m/>
    <s v="Casa/Tanger"/>
    <n v="7.3209999999999997"/>
    <x v="2"/>
    <s v="N2"/>
    <x v="0"/>
    <s v="H.O non finalisé entre 202 et 303 mauvaise qualité de signal ,Requête de déconnexion a été envoyé par le Bord"/>
    <m/>
    <x v="0"/>
    <s v="en attente décision de remplacement CAB Radio"/>
    <s v="H.O non finalisé entre 202 et 303"/>
    <s v="dl Rxqual=6"/>
    <s v="dl rx level= -53 dbm"/>
    <s v="NOK"/>
    <s v="OK"/>
    <m/>
    <s v="retransmission des trames HDLC*5"/>
    <m/>
    <m/>
    <m/>
    <m/>
    <m/>
    <m/>
    <m/>
    <m/>
    <m/>
  </r>
  <r>
    <n v="231"/>
    <x v="0"/>
    <x v="123"/>
    <d v="1899-12-30T17:08:44"/>
    <n v="2045"/>
    <x v="2"/>
    <x v="0"/>
    <n v="7218"/>
    <m/>
    <s v="Tanger/Casa"/>
    <n v="16.29"/>
    <x v="22"/>
    <s v="N2"/>
    <x v="0"/>
    <s v="H.O Complet entre 203 et 204 Bonne qualité de signal ,Requête de déconnexion a été envoyé par le RBC"/>
    <m/>
    <x v="0"/>
    <s v="en attente décision de remplacement CAB Radio"/>
    <s v="H.O Complet entre 203 et 204"/>
    <s v="dl Rxqual=0"/>
    <s v="dl rx level= -48 dbm"/>
    <s v="OK"/>
    <s v="OK"/>
    <s v="Mauvais"/>
    <s v="retransmission des trames HDLC*5"/>
    <m/>
    <m/>
    <m/>
    <m/>
    <m/>
    <m/>
    <m/>
    <m/>
    <m/>
  </r>
  <r>
    <n v="232"/>
    <x v="0"/>
    <x v="124"/>
    <d v="1899-12-30T19:04:42"/>
    <m/>
    <x v="4"/>
    <x v="1"/>
    <n v="1033"/>
    <m/>
    <s v="Casa/Tanger"/>
    <n v="7.3209999999999997"/>
    <x v="2"/>
    <s v="N2"/>
    <x v="1"/>
    <s v="H.O non finalisé entre 303 et 202 mauvaise qualité de signal ,Requête de déconnexion a été envoyé par le Bord"/>
    <m/>
    <x v="0"/>
    <s v="en attente décision de remplacement CAB Radio"/>
    <s v="H.O non finalisé entre 303 et 202"/>
    <s v="dl Rxqual=7"/>
    <s v="dl rx level= -54 dbm"/>
    <s v="OK"/>
    <s v="OK"/>
    <m/>
    <s v="retransmission des trames HDLC*5"/>
    <m/>
    <m/>
    <m/>
    <m/>
    <m/>
    <m/>
    <m/>
    <m/>
    <m/>
  </r>
  <r>
    <n v="233"/>
    <x v="0"/>
    <x v="125"/>
    <d v="1899-12-30T22:28:54"/>
    <n v="1061"/>
    <x v="8"/>
    <x v="1"/>
    <n v="1023"/>
    <m/>
    <s v="Casa/Tanger"/>
    <n v="177.85"/>
    <x v="4"/>
    <s v="N2"/>
    <x v="0"/>
    <s v="H.O Complet entre 231 et 332 mauvaise qualité de signal ,Requête de déconnexion a été envoyé par le RBC"/>
    <m/>
    <x v="0"/>
    <s v="en attente décision de remplacement CAB Radio"/>
    <s v="H.O Complet entre 231 et 332"/>
    <s v="dl Rxqual=7"/>
    <s v="dl rx level= -84 dbm"/>
    <s v="OK"/>
    <s v="OK"/>
    <s v="moyen"/>
    <s v="retransmission des trames HDLC*5"/>
    <m/>
    <m/>
    <m/>
    <m/>
    <m/>
    <m/>
    <m/>
    <m/>
    <m/>
  </r>
  <r>
    <n v="234"/>
    <x v="0"/>
    <x v="126"/>
    <d v="1899-12-30T09:26:31"/>
    <n v="2013"/>
    <x v="10"/>
    <x v="0"/>
    <n v="7198"/>
    <m/>
    <s v="Tanger/Casa"/>
    <n v="97.619"/>
    <x v="8"/>
    <s v="N2"/>
    <x v="1"/>
    <s v="H.O Complet entre 217 et 218 Bonne qualité de signal ,Requête de déconnexion a été envoyé par le RBC"/>
    <m/>
    <x v="0"/>
    <s v="en attente décision de remplacement CAB Radio"/>
    <s v="H.O Complet entre 217 et 218"/>
    <s v="dl Rxqual=0"/>
    <s v="dl rx level= -48 dbm"/>
    <s v="OK"/>
    <s v="OK"/>
    <s v="Mauvais"/>
    <s v="retransmission des trames HDLC*5"/>
    <m/>
    <m/>
    <m/>
    <m/>
    <m/>
    <m/>
    <m/>
    <m/>
    <m/>
  </r>
  <r>
    <n v="235"/>
    <x v="0"/>
    <x v="126"/>
    <d v="1899-12-30T11:02:18"/>
    <n v="1013"/>
    <x v="4"/>
    <x v="1"/>
    <n v="1032"/>
    <m/>
    <s v="Casa/Tanger"/>
    <n v="21.55"/>
    <x v="20"/>
    <s v="N2"/>
    <x v="0"/>
    <s v="H.O Complet entre 305 et 304 Bonne qualité de signal ,Requête de déconnexion a été envoyé par le RBC"/>
    <m/>
    <x v="0"/>
    <s v="en attente décision de remplacement CAB Radio"/>
    <s v="H.O Complet entre 305 et 304"/>
    <s v="dl Rxqual=0"/>
    <s v="dl rx level= -61 dbm"/>
    <s v="OK"/>
    <s v="OK"/>
    <s v="Mauvais"/>
    <s v="retransmission des trames HDLC*5"/>
    <m/>
    <m/>
    <m/>
    <m/>
    <m/>
    <m/>
    <m/>
    <m/>
    <m/>
  </r>
  <r>
    <n v="236"/>
    <x v="0"/>
    <x v="126"/>
    <d v="1899-12-30T12:28:20"/>
    <n v="2025"/>
    <x v="4"/>
    <x v="0"/>
    <n v="7208"/>
    <m/>
    <s v="Tanger/Casa"/>
    <n v="108.206"/>
    <x v="1"/>
    <s v="N2"/>
    <x v="0"/>
    <s v="H.O non finalisé entre 219 et 320 mauvaise qualité de signal ,Requête de déconnexion a été envoyé par le Bord"/>
    <m/>
    <x v="0"/>
    <s v="en attente décision de remplacement CAB Radio"/>
    <s v="H.O non finalisé entre 219 et 320"/>
    <s v="dl Rxqual=7"/>
    <s v="dl rx level= -70 dbm"/>
    <s v="OK"/>
    <s v="OK"/>
    <s v="Mauvais"/>
    <s v="pas de retransmission des trames HDLC"/>
    <m/>
    <m/>
    <m/>
    <m/>
    <m/>
    <m/>
    <m/>
    <m/>
    <m/>
  </r>
  <r>
    <n v="237"/>
    <x v="0"/>
    <x v="126"/>
    <d v="1899-12-30T13:01:22"/>
    <n v="1021"/>
    <x v="9"/>
    <x v="1"/>
    <n v="1031"/>
    <m/>
    <s v="Casa/Tanger"/>
    <n v="17.59"/>
    <x v="20"/>
    <s v="N2"/>
    <x v="1"/>
    <s v="H.O Complet entre 305 et 204 Bonne qualité de signal ,Requête de déconnexion a été envoyé par le RBC"/>
    <m/>
    <x v="2"/>
    <s v="en attente décision de remplacement CAB Radio / Zone Sous surveillance"/>
    <s v="H.O Complet entre 305 et 204"/>
    <s v="dl Rxqual=0"/>
    <s v="dl rx level= -52 dbm"/>
    <s v="OK"/>
    <s v="OK"/>
    <s v="Bon"/>
    <s v="retransmission des trames HDLC*5"/>
    <m/>
    <m/>
    <m/>
    <m/>
    <m/>
    <m/>
    <m/>
    <m/>
    <m/>
  </r>
  <r>
    <n v="238"/>
    <x v="0"/>
    <x v="126"/>
    <d v="1899-12-30T21:05:26"/>
    <n v="2061"/>
    <x v="1"/>
    <x v="0"/>
    <n v="1028"/>
    <m/>
    <s v="Tanger/Casa"/>
    <n v="6.13"/>
    <x v="2"/>
    <s v="N2"/>
    <x v="1"/>
    <s v="H.O non finalisé entre 302 et 201 Bonne qualité de signal ,Requête de déconnexion a été envoyé par le Bord"/>
    <m/>
    <x v="0"/>
    <s v="en attente décision de remplacement CAB Radio"/>
    <s v="H.O non finalisé entre 302 et 201"/>
    <s v="dl Rxqual=4"/>
    <s v="dl rx level= -56 dbm"/>
    <s v="OK"/>
    <s v="OK"/>
    <m/>
    <s v="retransmission des trames HDLC*5"/>
    <m/>
    <m/>
    <m/>
    <m/>
    <m/>
    <m/>
    <m/>
    <m/>
    <m/>
  </r>
  <r>
    <n v="239"/>
    <x v="0"/>
    <x v="127"/>
    <d v="1899-12-30T04:35:47"/>
    <s v="                                                                                                                                                                                            "/>
    <x v="9"/>
    <x v="0"/>
    <n v="1052"/>
    <m/>
    <s v="Tanger/Casa"/>
    <n v="79.281999999999996"/>
    <x v="11"/>
    <s v="N2"/>
    <x v="0"/>
    <s v="H.O Complet entre 214 et 215 Bonne qualité de signal ,Requête de déconnexion a été envoyé par le RBC"/>
    <m/>
    <x v="6"/>
    <s v="Dans l'attente de la mise en place des tiroires monomode"/>
    <s v="H.O Complet entre 214 et 215"/>
    <s v="dl Rxqual=0"/>
    <s v="dl rx level= -48 dbm"/>
    <s v="OK"/>
    <s v="OK"/>
    <s v="Mauvais"/>
    <s v="pas de retransmission des trames HDLC"/>
    <m/>
    <m/>
    <m/>
    <m/>
    <m/>
    <m/>
    <m/>
    <m/>
    <m/>
  </r>
  <r>
    <n v="240"/>
    <x v="0"/>
    <x v="127"/>
    <d v="1899-12-30T05:35:47"/>
    <n v="2041"/>
    <x v="9"/>
    <x v="1"/>
    <n v="1053"/>
    <m/>
    <s v="Tanger/Casa"/>
    <n v="80.281999999999996"/>
    <x v="11"/>
    <s v="N2"/>
    <x v="0"/>
    <s v="H.O Complet entre 214 et 215 Bonne qualité de signal ,Requête de déconnexion a été envoyé par le RBC"/>
    <m/>
    <x v="6"/>
    <s v="Dans l'attente de la mise en place des tiroires monomode"/>
    <s v="H.O Complet entre 214 et 216"/>
    <s v="dl Rxqual=1"/>
    <s v="dl rx level= -48 dbm"/>
    <s v="OK"/>
    <s v="OK"/>
    <s v="Mauvais"/>
    <s v="pas de retransmission des trames HDLC"/>
    <m/>
    <m/>
    <m/>
    <m/>
    <m/>
    <m/>
    <m/>
    <m/>
    <m/>
  </r>
  <r>
    <n v="241"/>
    <x v="0"/>
    <x v="128"/>
    <d v="1899-12-30T13:23:49"/>
    <n v="1025"/>
    <x v="0"/>
    <x v="1"/>
    <n v="1044"/>
    <m/>
    <s v="Casa/Tanger"/>
    <n v="202.7"/>
    <x v="5"/>
    <s v="N2"/>
    <x v="1"/>
    <s v="H.O Complet entre 99 et 233 mauvaise qualité de signal ,Requête de déconnexion a été envoyé à travers la BTS"/>
    <m/>
    <x v="2"/>
    <s v="Dans l'attente de la mise en place des tiroires monomode"/>
    <s v="H.O Complet entre 99 et 233"/>
    <s v="dl Rxqual=7"/>
    <s v="dl rx level= -66 dbm"/>
    <s v="OK"/>
    <s v="OK"/>
    <s v="Mauvais"/>
    <s v="retransmission des trames HDLC*5"/>
    <m/>
    <m/>
    <m/>
    <m/>
    <m/>
    <m/>
    <m/>
    <m/>
    <m/>
  </r>
  <r>
    <n v="242"/>
    <x v="0"/>
    <x v="128"/>
    <d v="1899-12-30T17:05:31"/>
    <n v="2045"/>
    <x v="10"/>
    <x v="0"/>
    <n v="7206"/>
    <m/>
    <s v="Tanger/Casa"/>
    <n v="6.13"/>
    <x v="2"/>
    <s v="N2"/>
    <x v="1"/>
    <s v="H.O non finalisé entre 202 et 201 mauvaise qualité de signal ,Requête de déconnexion a été envoyé par le RBC"/>
    <m/>
    <x v="0"/>
    <s v="Dans l'attente de la mise en place des tiroires monomode"/>
    <s v="H.O non finalisé entre 202 et 201"/>
    <s v="dl Rxqual=7"/>
    <s v="dl rx level= -55 dbm"/>
    <s v="OK"/>
    <s v="OK"/>
    <s v="Mauvais"/>
    <s v="retransmission des trames HDLC*5"/>
    <m/>
    <m/>
    <m/>
    <m/>
    <m/>
    <m/>
    <m/>
    <m/>
    <m/>
  </r>
  <r>
    <n v="243"/>
    <x v="0"/>
    <x v="129"/>
    <d v="1899-12-30T16:04:58"/>
    <n v="1033"/>
    <x v="10"/>
    <x v="1"/>
    <n v="1060"/>
    <m/>
    <s v="Casa/Tanger"/>
    <n v="7.3209999999999997"/>
    <x v="2"/>
    <s v="N2"/>
    <x v="0"/>
    <s v="H.O non finalisé entre 302 et 203 mauvaise qualité de signal ,Requête de déconnexion a été envoyé par le RBC"/>
    <m/>
    <x v="0"/>
    <s v="Dans l'attente de la mise en place des tiroires monomode"/>
    <s v="H.O non finalisé entre 302 et 203"/>
    <s v="dl Rxqual=7"/>
    <s v="dl rx level= -55 dbm"/>
    <s v="OK"/>
    <s v="OK"/>
    <s v="Mauvais"/>
    <s v="retransmission des trames HDLC*5"/>
    <m/>
    <m/>
    <m/>
    <m/>
    <m/>
    <m/>
    <m/>
    <m/>
    <m/>
  </r>
  <r>
    <n v="244"/>
    <x v="0"/>
    <x v="129"/>
    <d v="1899-12-30T16:46:46"/>
    <n v="1037"/>
    <x v="0"/>
    <x v="1"/>
    <n v="1045"/>
    <m/>
    <s v="Casa/Tanger"/>
    <n v="94.953999999999994"/>
    <x v="8"/>
    <s v="N2"/>
    <x v="0"/>
    <s v="H.O Complet entre 318 et 217 mauvaise qualité de signal ,Requête de déconnexion a été envoyé par le RBC"/>
    <m/>
    <x v="0"/>
    <s v="Dans l'attente de la mise en place des tiroires monomode"/>
    <s v="H.O Complet entre 318 et 217 "/>
    <s v="dl Rxqual=7"/>
    <s v="dl rx level= -77 dbm"/>
    <s v="OK"/>
    <s v="OK"/>
    <s v="Mauvais"/>
    <s v="retransmission des trames HDLC*5"/>
    <m/>
    <m/>
    <m/>
    <m/>
    <m/>
    <m/>
    <m/>
    <m/>
    <m/>
  </r>
  <r>
    <n v="245"/>
    <x v="0"/>
    <x v="129"/>
    <d v="1899-12-30T17:07:25"/>
    <n v="1038"/>
    <x v="0"/>
    <x v="1"/>
    <n v="1044"/>
    <m/>
    <s v="Casa/Tanger"/>
    <n v="7.3209999999999997"/>
    <x v="2"/>
    <s v="N2"/>
    <x v="0"/>
    <s v="H.O non finalisé entre 303 et 202 mauvaise qualité de signal ,Requête de déconnexion a été envoyé par le Bord"/>
    <m/>
    <x v="0"/>
    <s v="Dans l'attente de la mise en place des tiroires monomode"/>
    <s v="H.O non finalisé entre 303 et 202"/>
    <s v="dl Rxqual=7"/>
    <s v="dl rx level= -57 dbm"/>
    <s v="OK"/>
    <s v="OK"/>
    <s v="Mauvais"/>
    <s v="retransmission des trames HDLC*5"/>
    <m/>
    <m/>
    <m/>
    <m/>
    <m/>
    <m/>
    <m/>
    <m/>
    <m/>
  </r>
  <r>
    <n v="246"/>
    <x v="0"/>
    <x v="129"/>
    <d v="1899-12-30T18:06:17"/>
    <n v="2049"/>
    <x v="2"/>
    <x v="0"/>
    <n v="7217"/>
    <m/>
    <s v="Tanger/Casa"/>
    <n v="6.13"/>
    <x v="2"/>
    <s v="N2"/>
    <x v="0"/>
    <s v="H.O non finalisé entre 202 et 303 mauvaise qualité de signal ,Requête de déconnexion a été envoyé par le RBC"/>
    <m/>
    <x v="0"/>
    <s v="Dans l'attente de la mise en place des tiroires monomode"/>
    <s v="H.O non finalisé entre 202 et 303"/>
    <s v="dl Rxqual=7"/>
    <s v="dl rx level= -52 dbm"/>
    <s v="OK"/>
    <s v="OK"/>
    <s v="Mauvais"/>
    <s v="retransmission des trames HDLC*5"/>
    <m/>
    <m/>
    <m/>
    <m/>
    <m/>
    <m/>
    <m/>
    <m/>
    <m/>
  </r>
  <r>
    <n v="247"/>
    <x v="0"/>
    <x v="130"/>
    <d v="1899-12-30T09:05:31"/>
    <n v="1005"/>
    <x v="9"/>
    <x v="1"/>
    <n v="1030"/>
    <m/>
    <s v="Casa/Tanger"/>
    <n v="7.3209999999999997"/>
    <x v="2"/>
    <s v="N2"/>
    <x v="0"/>
    <s v="H.O non finalisé entre 303 et 202 mauvaise qualité de signal ,Requête de déconnexion a été envoyé par le Bord"/>
    <m/>
    <x v="0"/>
    <s v="Dans l'attente de la mise en place des tiroires monomode"/>
    <s v="H.O non finalisé entre 303 et 202"/>
    <s v="dl Rxqual=7"/>
    <s v="dl rx level= -59 dbm"/>
    <s v="OK"/>
    <s v="OK"/>
    <s v="Mauvais"/>
    <s v="retransmission des trames HDLC*4"/>
    <m/>
    <m/>
    <m/>
    <m/>
    <m/>
    <m/>
    <m/>
    <m/>
    <m/>
  </r>
  <r>
    <n v="248"/>
    <x v="0"/>
    <x v="130"/>
    <d v="1899-12-30T10:05:40"/>
    <n v="1009"/>
    <x v="0"/>
    <x v="1"/>
    <n v="1044"/>
    <m/>
    <s v="Casa/Tanger"/>
    <n v="7.3209999999999997"/>
    <x v="2"/>
    <s v="N2"/>
    <x v="0"/>
    <s v="H.O non finalisé entre 303 et 202 mauvaise qualité de signal ,Requête de déconnexion a été envoyé par le Bord"/>
    <m/>
    <x v="0"/>
    <s v="Dans l'attente de la mise en place des tiroires monomode"/>
    <s v="H.O non finalisé entre 303 et 202"/>
    <s v="dl Rxqual=7"/>
    <s v="dl rx level= -57 dbm"/>
    <s v="OK"/>
    <s v="OK"/>
    <s v="Mauvais"/>
    <s v="retransmission des trames HDLC*5"/>
    <m/>
    <m/>
    <m/>
    <m/>
    <m/>
    <m/>
    <m/>
    <m/>
    <m/>
  </r>
  <r>
    <n v="249"/>
    <x v="0"/>
    <x v="130"/>
    <d v="1899-12-30T19:04:41"/>
    <n v="2053"/>
    <x v="10"/>
    <x v="0"/>
    <n v="1045"/>
    <m/>
    <s v="Tanger/Casa"/>
    <n v="6.13"/>
    <x v="2"/>
    <s v="N2"/>
    <x v="1"/>
    <s v="H.O non finalisé entre 202 et 303 bonne qualité de signal ,Requête de déconnexion a été envoyé par le Bord"/>
    <m/>
    <x v="0"/>
    <s v="Dans l'attente de la mise en place des tiroires monomode"/>
    <s v="H.O non finalisé entre 202 et 303"/>
    <s v="dl Rxqual=4"/>
    <s v="dl rx level= -52 dbm"/>
    <s v="OK"/>
    <s v="OK"/>
    <s v="Mauvais"/>
    <s v="retransmission des trames HDLC*5"/>
    <m/>
    <m/>
    <m/>
    <m/>
    <m/>
    <m/>
    <m/>
    <m/>
    <m/>
  </r>
  <r>
    <n v="250"/>
    <x v="0"/>
    <x v="131"/>
    <d v="1899-12-30T07:07:18"/>
    <n v="1081"/>
    <x v="9"/>
    <x v="0"/>
    <n v="1030"/>
    <m/>
    <s v="Tanger/Casa"/>
    <n v="7.3209999999999997"/>
    <x v="2"/>
    <s v="N2"/>
    <x v="0"/>
    <s v="H.O Complet entre 303 et 302 mauvaise qualité de signal ,Requête de déconnexion a été envoyé par le RBC"/>
    <m/>
    <x v="0"/>
    <s v="Dans l'attente de la mise en place des tiroires monomode"/>
    <s v="H.O Complet entre 303 et 302"/>
    <s v="dl Rxqual=7"/>
    <s v="dl rx level= -67 dbm"/>
    <s v="OK"/>
    <s v="OK"/>
    <s v="Mauvais"/>
    <s v="retransmission des trames HDLC*5"/>
    <m/>
    <m/>
    <m/>
    <m/>
    <m/>
    <m/>
    <m/>
    <m/>
    <m/>
  </r>
  <r>
    <n v="251"/>
    <x v="0"/>
    <x v="131"/>
    <d v="1899-12-30T09:06:21"/>
    <n v="1005"/>
    <x v="8"/>
    <x v="1"/>
    <n v="1022"/>
    <m/>
    <s v="Casa/Tanger"/>
    <n v="7.3209999999999997"/>
    <x v="2"/>
    <s v="N2"/>
    <x v="0"/>
    <s v="H.O Complet entre 303 et 302 mauvaise qualité de signal ,Requête de déconnexion a été envoyé par le RBC"/>
    <m/>
    <x v="0"/>
    <s v="Dans l'attente de la mise en place des tiroires monomode"/>
    <s v="H.O Complet entre 303 et 302"/>
    <s v="dl Rxqual=7"/>
    <s v="dl rx level= -74 dbm"/>
    <s v="OK"/>
    <s v="OK"/>
    <s v="Mauvais"/>
    <s v="retransmission des trames HDLC*5"/>
    <m/>
    <m/>
    <m/>
    <m/>
    <m/>
    <m/>
    <m/>
    <m/>
    <m/>
  </r>
  <r>
    <n v="252"/>
    <x v="0"/>
    <x v="131"/>
    <d v="1899-12-30T23:04:35"/>
    <n v="1061"/>
    <x v="3"/>
    <x v="1"/>
    <n v="1007"/>
    <m/>
    <s v="Casa/Tanger"/>
    <n v="7.3209999999999997"/>
    <x v="2"/>
    <s v="N2"/>
    <x v="1"/>
    <s v="H.O non finalisé entre 303 et 202 mauvaise qualité de signal ,Requête de déconnexion a été envoyé par le Bord"/>
    <m/>
    <x v="0"/>
    <s v="Dans l'attente de la mise en place des tiroires monomode"/>
    <s v="H.O non finalisé entre 303 et 202"/>
    <s v="dl Rxqual=7"/>
    <s v="dl rx level= -56 dbm"/>
    <s v="OK"/>
    <s v="OK"/>
    <s v="Mauvais"/>
    <s v="retransmission des trames HDLC*5"/>
    <m/>
    <m/>
    <m/>
    <m/>
    <m/>
    <m/>
    <m/>
    <m/>
    <m/>
  </r>
  <r>
    <n v="253"/>
    <x v="0"/>
    <x v="132"/>
    <s v=" 08:11:12"/>
    <n v="2009"/>
    <x v="9"/>
    <x v="0"/>
    <n v="1052"/>
    <m/>
    <s v="Tanger/Casa"/>
    <n v="21.55"/>
    <x v="20"/>
    <s v="N2"/>
    <x v="0"/>
    <s v="H.O non finalisé entre 303 et 205 Bonne qualité de signal ,Requête de déconnexion a été envoyé par le RBC"/>
    <m/>
    <x v="0"/>
    <s v="Dans l'attente de la mise en place des tiroires monomode"/>
    <s v="H.O non finalisé entre 303 et 205"/>
    <s v="dl Rxqual=0"/>
    <s v="dl rx level= -64 dbm"/>
    <s v="OK"/>
    <s v="OK"/>
    <s v="Mauvais"/>
    <s v="retransmission des trames HDLC*5"/>
    <m/>
    <m/>
    <m/>
    <m/>
    <m/>
    <m/>
    <m/>
    <m/>
    <m/>
  </r>
  <r>
    <n v="254"/>
    <x v="0"/>
    <x v="132"/>
    <s v=" 19:39:07"/>
    <n v="1050"/>
    <x v="10"/>
    <x v="1"/>
    <n v="1061"/>
    <m/>
    <s v="Casa/Tanger"/>
    <n v="127.815"/>
    <x v="6"/>
    <s v="N2"/>
    <x v="0"/>
    <s v="H.O Complet entre 324 et 223 mauvaise qualité de signal ,Requête de déconnexion a été envoyé par le RBC"/>
    <m/>
    <x v="0"/>
    <s v="Dans l'attente de la mise en place des tiroires monomode"/>
    <s v="H.O Complet entre 324 et 223"/>
    <s v="dl Rxqual=7"/>
    <s v="dl rx level= -85 dbm"/>
    <s v="OK"/>
    <s v="OK"/>
    <s v="Mauvais"/>
    <s v="retransmission des trames HDLC*5"/>
    <m/>
    <m/>
    <m/>
    <m/>
    <m/>
    <m/>
    <m/>
    <m/>
    <m/>
  </r>
  <r>
    <n v="255"/>
    <x v="0"/>
    <x v="133"/>
    <d v="1899-12-30T18:46:54"/>
    <n v="1046"/>
    <x v="1"/>
    <x v="1"/>
    <n v="3062"/>
    <m/>
    <s v="Casa/Tanger"/>
    <n v="90.108000000000004"/>
    <x v="12"/>
    <s v="N2"/>
    <x v="0"/>
    <s v="H.O non finalisé entre 322 et 321 Bonne qualité de signal ,Requête de déconnexion a été envoyé par le RBC"/>
    <m/>
    <x v="0"/>
    <s v="Dans l'attente de la mise en place des tiroires monomode"/>
    <s v="H.O non finalisé entre 322 et 321"/>
    <s v="dl Rxqual=2"/>
    <s v="dl rx level= -61 dbm"/>
    <s v="OK"/>
    <s v="OK"/>
    <s v="moyen"/>
    <s v="retransmission des trames HDLC*5"/>
    <m/>
    <m/>
    <m/>
    <m/>
    <m/>
    <m/>
    <m/>
    <m/>
    <m/>
  </r>
  <r>
    <n v="256"/>
    <x v="0"/>
    <x v="134"/>
    <d v="1899-12-30T17:04:10"/>
    <n v="1045"/>
    <x v="4"/>
    <x v="1"/>
    <n v="1033"/>
    <m/>
    <s v="Casa/Tanger"/>
    <n v="7.3209999999999997"/>
    <x v="2"/>
    <s v="N2"/>
    <x v="0"/>
    <s v="H.O Complet entre 303 et 302 Bonne qualité de signal ,Requête de déconnexion a été envoyé par le RBC"/>
    <m/>
    <x v="0"/>
    <s v="Dans l'attente de la mise en place des tiroires monomode"/>
    <s v="H.O Complet entre 303 et 202"/>
    <s v="dl Rxqual=0"/>
    <s v="dl rx level= -49 dbm"/>
    <s v="OK"/>
    <s v="OK"/>
    <s v="Mauvais"/>
    <s v="retransmission des trames HDLC*5"/>
    <m/>
    <m/>
    <m/>
    <m/>
    <m/>
    <m/>
    <m/>
    <m/>
    <m/>
  </r>
  <r>
    <n v="257"/>
    <x v="0"/>
    <x v="134"/>
    <d v="1899-12-30T20:51:48"/>
    <n v="1053"/>
    <x v="9"/>
    <x v="1"/>
    <n v="1031"/>
    <m/>
    <s v="Casa/Tanger"/>
    <n v="65.513999999999996"/>
    <x v="21"/>
    <s v="N2"/>
    <x v="0"/>
    <s v="H.O non finalisé entre 312 et 311 Bonne qualité de signal ,Requête de déconnexion a été envoyé par le RBC"/>
    <m/>
    <x v="1"/>
    <s v="En attente les resultats du drive test "/>
    <s v="H.O non finalisé entre 312 et 211"/>
    <s v="dl Rxqual=0"/>
    <s v="dl rx level= -81 dbm"/>
    <s v="NOK"/>
    <s v="OK"/>
    <s v="Bon"/>
    <s v="retransmission des trames HDLC*5"/>
    <m/>
    <m/>
    <m/>
    <m/>
    <m/>
    <m/>
    <m/>
    <m/>
    <m/>
  </r>
  <r>
    <n v="258"/>
    <x v="0"/>
    <x v="135"/>
    <d v="1899-12-30T15:58:27"/>
    <n v="1034"/>
    <x v="1"/>
    <x v="1"/>
    <n v="3062"/>
    <m/>
    <s v="Casa/Tanger"/>
    <n v="26.739000000000001"/>
    <x v="7"/>
    <s v="N2"/>
    <x v="1"/>
    <s v="H.O Complet entre 307 et 306 Bonne qualité de signal ,Requête de déconnexion a été envoyé par le RBC"/>
    <m/>
    <x v="0"/>
    <s v="Dans l'attente de la mise en place des tiroires monomode"/>
    <s v="H.O Complet entre 307 et 306"/>
    <s v="dl Rxqual=0"/>
    <s v="dl rx level= -48 dbm"/>
    <s v="OK"/>
    <s v="OK"/>
    <s v="Mauvais"/>
    <s v="retransmission des trames HDLC*5"/>
    <m/>
    <m/>
    <m/>
    <m/>
    <m/>
    <m/>
    <m/>
    <m/>
    <m/>
  </r>
  <r>
    <n v="259"/>
    <x v="0"/>
    <x v="136"/>
    <d v="1899-12-30T19:08:01"/>
    <n v="1046"/>
    <x v="11"/>
    <x v="1"/>
    <n v="1020"/>
    <m/>
    <s v="Casa/Tanger"/>
    <n v="7.3209999999999997"/>
    <x v="2"/>
    <s v="N2"/>
    <x v="0"/>
    <s v="H.O Complet entre 303 et 302 Bonne qualité de signal ,Requête de déconnexion a été envoyé par le RBC"/>
    <m/>
    <x v="0"/>
    <s v="Dans l'attente de la mise en place des tiroires monomode"/>
    <s v="H.O Complet entre 303 et 302"/>
    <s v="dl Rxqual=4"/>
    <s v="dl rx level= -57 dbm"/>
    <s v="OK"/>
    <s v="OK"/>
    <s v="Mauvais"/>
    <s v="retransmission des trames HDLC*5"/>
    <m/>
    <m/>
    <m/>
    <m/>
    <m/>
    <m/>
    <m/>
    <m/>
    <m/>
  </r>
  <r>
    <n v="260"/>
    <x v="0"/>
    <x v="136"/>
    <d v="1899-12-30T19:59:06"/>
    <n v="1049"/>
    <x v="4"/>
    <x v="1"/>
    <n v="1033"/>
    <m/>
    <s v="Casa/Tanger"/>
    <n v="31.350999999999999"/>
    <x v="25"/>
    <s v="N2"/>
    <x v="1"/>
    <s v="H.O Complet entre 307 et 306 Bonne qualité de signal ,Requête de déconnexion a été envoyé par le RBC"/>
    <m/>
    <x v="0"/>
    <s v="Dans l'attente de la mise en place des tiroires monomode"/>
    <s v="H.O Complet entre 307 et 306"/>
    <s v="dl Rxqual=0"/>
    <s v="dl rx level= -48 dbm"/>
    <s v="OK"/>
    <s v="OK"/>
    <s v="Mauvais"/>
    <s v="pas de retransmission des trames HDLC"/>
    <m/>
    <m/>
    <m/>
    <m/>
    <m/>
    <m/>
    <m/>
    <m/>
    <m/>
  </r>
  <r>
    <n v="261"/>
    <x v="0"/>
    <x v="137"/>
    <d v="1899-12-30T07:22:20"/>
    <n v="2005"/>
    <x v="10"/>
    <x v="0"/>
    <n v="7198"/>
    <m/>
    <s v="Tanger/Casa"/>
    <n v="78.155000000000001"/>
    <x v="11"/>
    <s v="N2"/>
    <x v="1"/>
    <s v="H.O finalisé entre 214 et 215 bonne qualité de signal, Requête de déconnexion a été envoyé à travers la BTS"/>
    <m/>
    <x v="0"/>
    <s v="Dans l'attente de la mise en place des tiroires monomode"/>
    <s v="H.O finalisé entre 214 et 215"/>
    <s v="dl Rxqual=0"/>
    <s v="dl rx level= -53 dbm"/>
    <s v="OK"/>
    <s v="OK"/>
    <s v="Mauvais"/>
    <s v="pas de retransmission des trames HDLC"/>
    <m/>
    <m/>
    <m/>
    <m/>
    <m/>
    <m/>
    <m/>
    <m/>
    <m/>
  </r>
  <r>
    <n v="262"/>
    <x v="0"/>
    <x v="137"/>
    <d v="1899-12-30T11:57:16"/>
    <n v="1017"/>
    <x v="10"/>
    <x v="1"/>
    <n v="1060"/>
    <m/>
    <s v="Casa/Tanger"/>
    <n v="48.426000000000002"/>
    <x v="16"/>
    <s v="N2"/>
    <x v="0"/>
    <s v="H.O non finalisé entre 309 et 308  bonne qualité de signal, Requête de déconnexion a été envoyé par le RBC"/>
    <m/>
    <x v="2"/>
    <s v="Zone Sous Surveillance / attente de la mise en place des tiroires monomode"/>
    <s v="H.O non finalisé entre 309 et 308 "/>
    <s v="dl Rxqual=0"/>
    <s v="dl rx level= -83 dbm"/>
    <s v="OK"/>
    <s v="OK"/>
    <s v="Mauvais"/>
    <s v="retransmission des trames HDLC*5"/>
    <m/>
    <m/>
    <m/>
    <m/>
    <m/>
    <m/>
    <m/>
    <m/>
    <m/>
  </r>
  <r>
    <n v="263"/>
    <x v="0"/>
    <x v="137"/>
    <d v="1899-12-30T12:07:07"/>
    <n v="1017"/>
    <x v="10"/>
    <x v="1"/>
    <n v="1060"/>
    <m/>
    <s v="Casa/Tanger"/>
    <n v="7.3209999999999997"/>
    <x v="2"/>
    <s v="N2"/>
    <x v="1"/>
    <s v="H.O non finalisé entre 303 et 202  bonne qualité de signal, Requête de déconnexion a été envoyé par le RBC"/>
    <m/>
    <x v="0"/>
    <s v="Dans l'attente de la mise en place des tiroires monomode"/>
    <s v="H.O non finalisé entre 303 et 202 "/>
    <s v="dl Rxqual=7"/>
    <s v="dl rx level= -57 dbm"/>
    <s v="OK"/>
    <s v="OK"/>
    <s v="Mauvais"/>
    <s v="retransmission des trames HDLC*5"/>
    <m/>
    <m/>
    <m/>
    <m/>
    <m/>
    <m/>
    <m/>
    <m/>
    <m/>
  </r>
  <r>
    <n v="264"/>
    <x v="0"/>
    <x v="138"/>
    <d v="1899-12-30T08:46:25"/>
    <n v="1005"/>
    <x v="4"/>
    <x v="1"/>
    <n v="1032"/>
    <m/>
    <s v="Casa/Tanger"/>
    <n v="94.953999999999994"/>
    <x v="8"/>
    <s v="N2"/>
    <x v="0"/>
    <s v="H.O Complet entre 318 et 217 Mauvaise qualité de signal ,Requête de déconnexion a été envoyé par le BORD"/>
    <m/>
    <x v="0"/>
    <s v="Dans l'attente de la mise en place des tiroires monomode"/>
    <s v="H.O Complet entre 318 et 217"/>
    <s v="dl Rxqual=7"/>
    <s v="dl rx level= -75 dbm"/>
    <s v="OK"/>
    <s v="OK"/>
    <s v="Mauvais"/>
    <s v="pas de retransmission des trames HDLC"/>
    <m/>
    <m/>
    <m/>
    <m/>
    <m/>
    <m/>
    <m/>
    <m/>
    <m/>
  </r>
  <r>
    <n v="265"/>
    <x v="0"/>
    <x v="138"/>
    <d v="1899-12-30T14:05:46"/>
    <n v="1035"/>
    <x v="8"/>
    <x v="1"/>
    <n v="1022"/>
    <m/>
    <s v="Casa/Tanger"/>
    <n v="7.3209999999999997"/>
    <x v="2"/>
    <s v="N2"/>
    <x v="0"/>
    <s v="H.O non finalisé entre 303 et 202  Mauvaise qualité de signal, Requête de déconnexion a été envoyé par le BORD"/>
    <m/>
    <x v="0"/>
    <s v="Dans l'attente de la mise en place des tiroires monomode"/>
    <s v="H.O non finalisé entre 303 et 202 "/>
    <s v="dl Rxqual=7"/>
    <s v="dl rx level= -56 dbm"/>
    <s v="OK"/>
    <s v="OK"/>
    <s v="Mauvais"/>
    <s v="pas de retransmission des trames HDLC"/>
    <m/>
    <m/>
    <m/>
    <m/>
    <m/>
    <m/>
    <m/>
    <m/>
    <m/>
  </r>
  <r>
    <n v="266"/>
    <x v="0"/>
    <x v="138"/>
    <d v="1899-12-30T19:08:41"/>
    <n v="1045"/>
    <x v="11"/>
    <x v="1"/>
    <n v="1020"/>
    <m/>
    <s v="Casa/Tanger"/>
    <n v="7.3209999999999997"/>
    <x v="2"/>
    <s v="N2"/>
    <x v="1"/>
    <s v="H.O non finalisé entre 303 et 202  Mauvaise qualité de signal, Requête de déconnexion a été envoyé par le BORD"/>
    <m/>
    <x v="0"/>
    <s v="Dans l'attente de la mise en place des tiroires monomode"/>
    <s v="H.O non finalisé entre 303 et 202 "/>
    <s v="dl Rxqual=7"/>
    <s v="dl rx level= -59 dbm"/>
    <s v="OK"/>
    <s v="OK"/>
    <s v="Mauvais"/>
    <s v="retransmission des trames HDLC*5"/>
    <m/>
    <m/>
    <m/>
    <m/>
    <m/>
    <m/>
    <m/>
    <m/>
    <m/>
  </r>
  <r>
    <n v="267"/>
    <x v="0"/>
    <x v="139"/>
    <d v="1899-12-30T16:06:28"/>
    <n v="1034"/>
    <x v="4"/>
    <x v="1"/>
    <n v="1032"/>
    <m/>
    <s v="Casa/Tanger"/>
    <n v="7.3209999999999997"/>
    <x v="2"/>
    <s v="N2"/>
    <x v="1"/>
    <s v="H.O non finalisé entre 303 et 202  Mauvaise qualité de signal, Requête de déconnexion a été envoyé par le MSC"/>
    <m/>
    <x v="0"/>
    <s v="Dans l'attente de la mise en place des tiroires monomode"/>
    <s v="H.O non finalisé entre 303 et 202 "/>
    <s v="dl Rxqual=7"/>
    <s v="dl rx level= -54 dbm"/>
    <s v="OK"/>
    <s v="OK"/>
    <s v="Mauvais"/>
    <s v="Pas de Retransmission des trames HDLC "/>
    <m/>
    <m/>
    <m/>
    <m/>
    <m/>
    <m/>
    <m/>
    <m/>
    <m/>
  </r>
  <r>
    <n v="268"/>
    <x v="0"/>
    <x v="139"/>
    <d v="1899-12-30T23:02:35"/>
    <n v="1061"/>
    <x v="1"/>
    <x v="1"/>
    <n v="3062"/>
    <m/>
    <s v="Casa/Tanger"/>
    <n v="32.625999999999998"/>
    <x v="25"/>
    <s v="N2"/>
    <x v="0"/>
    <s v="H.O  finalisée entre  308 et 307 qualité /niveau de signal : dl rx-qual=2 , dl rx level = -65 dbm. ,Requête de déconnexion a été envoyé par le RBC"/>
    <m/>
    <x v="2"/>
    <s v="En attente les resultats du drive test "/>
    <s v="H.O non finalisé entre 308et 307"/>
    <s v="dl Rxqual=2"/>
    <s v="dl rx level= -65 dbm"/>
    <s v="OK"/>
    <s v="OK"/>
    <s v="Mauvais"/>
    <s v="Pas de Retransmission des trames HDLC "/>
    <m/>
    <m/>
    <m/>
    <m/>
    <m/>
    <m/>
    <m/>
    <m/>
    <m/>
  </r>
  <r>
    <n v="269"/>
    <x v="0"/>
    <x v="140"/>
    <d v="1899-12-30T23:46:51"/>
    <n v="1061"/>
    <x v="4"/>
    <x v="1"/>
    <n v="1020"/>
    <m/>
    <s v="Casa/Tanger"/>
    <n v="94.953999999999994"/>
    <x v="8"/>
    <s v="N2"/>
    <x v="0"/>
    <s v="H.O non finalisé entre  318 et 217qualité /niveau de signal : dl rx-qual=6 , dl rx level = -81dbm. ,Requête de déconnexion a été envoyée par le MSC"/>
    <m/>
    <x v="2"/>
    <s v="En attente les resultats du drive test "/>
    <s v="Ho non finalisé entre  318 et 217"/>
    <s v="dl Rxqual=6"/>
    <s v="dl rx level= -81 dbm"/>
    <s v="OK"/>
    <s v="OK"/>
    <s v="Mauvais"/>
    <s v="retransmission des trames HDLC*5"/>
    <m/>
    <m/>
    <m/>
    <m/>
    <m/>
    <m/>
    <m/>
    <m/>
    <m/>
  </r>
  <r>
    <n v="270"/>
    <x v="0"/>
    <x v="141"/>
    <d v="1899-12-30T23:05:00"/>
    <n v="1062"/>
    <x v="2"/>
    <x v="1"/>
    <n v="1034"/>
    <m/>
    <s v="Casa/Tanger"/>
    <n v="7.3209999999999997"/>
    <x v="2"/>
    <s v="N2"/>
    <x v="1"/>
    <s v="H.O non finalisé entre 303 et 202  qualité /niveau de signal : dl rx-qual=7 , dl rx level = -59 dbm. ,Requête de déconnexion a été envoyée par le MSC"/>
    <m/>
    <x v="0"/>
    <s v="Dans l'attente de la mise en place des tiroires monomode"/>
    <s v="H.O non finalisé entre 303 et 202"/>
    <s v="dl Rxqual=7"/>
    <s v="dl rx level= -65 dbm"/>
    <s v="OK"/>
    <s v="OK"/>
    <s v="Mauvais"/>
    <s v="retransmission des trames HDLC*5"/>
    <m/>
    <m/>
    <m/>
    <m/>
    <m/>
    <m/>
    <m/>
    <m/>
    <m/>
  </r>
  <r>
    <n v="271"/>
    <x v="0"/>
    <x v="142"/>
    <d v="1899-12-30T16:05:23"/>
    <n v="1033"/>
    <x v="1"/>
    <x v="1"/>
    <n v="3063"/>
    <m/>
    <s v="Casa/Tanger"/>
    <n v="7.3209999999999997"/>
    <x v="2"/>
    <s v="N2"/>
    <x v="0"/>
    <s v="H.O non finalisé entre 303 et 202  qualité /niveau de signal : dl rx-qual=7 , dl rx level = -65 dbm. ,Requête de déconnexion a été envoyée par le MSC"/>
    <m/>
    <x v="0"/>
    <s v="Dans l'attente de la mise en place des tiroires monomode"/>
    <s v="H.O non finalisé entre 303 et 202"/>
    <s v="dl Rxqual=7"/>
    <s v="dl rx level= -59 dbm"/>
    <s v="OK"/>
    <s v="OK"/>
    <s v="Mauvais"/>
    <s v="retransmission des trames HDLC*5"/>
    <m/>
    <m/>
    <m/>
    <m/>
    <m/>
    <m/>
    <m/>
    <m/>
    <m/>
  </r>
  <r>
    <n v="272"/>
    <x v="0"/>
    <x v="142"/>
    <d v="1899-12-30T19:06:30"/>
    <n v="1045"/>
    <x v="11"/>
    <x v="1"/>
    <n v="1020"/>
    <m/>
    <s v="Casa/Tanger"/>
    <n v="7.3209999999999997"/>
    <x v="2"/>
    <s v="N2"/>
    <x v="1"/>
    <s v="H.O Complete entre 303 et 202  qualité /niveau de signal : dl rx-qual=0 , dl rx level = -50 dbm. ,Requête de déconnexion a été envoyée par le RBC"/>
    <m/>
    <x v="0"/>
    <s v="Dans l'attente de la mise en place des tiroires monomode"/>
    <s v="H.O : Complet  entre 303 et 302 "/>
    <s v="dl Rxqual=0"/>
    <s v="dl rx level= -50 dbm"/>
    <s v="OK"/>
    <s v="OK"/>
    <s v="Mauvais"/>
    <s v="retransmission des trames HDLC*5"/>
    <m/>
    <m/>
    <m/>
    <m/>
    <m/>
    <m/>
    <m/>
    <m/>
    <m/>
  </r>
  <r>
    <n v="273"/>
    <x v="0"/>
    <x v="142"/>
    <d v="1899-12-30T21:04:18"/>
    <n v="1053"/>
    <x v="8"/>
    <x v="1"/>
    <n v="1022"/>
    <m/>
    <s v="Casa/Tanger"/>
    <n v="7.3209999999999997"/>
    <x v="2"/>
    <s v="N2"/>
    <x v="1"/>
    <s v="H.O non finalisé entre 303 et 202  qualité /niveau de signal : dl rx-qual=7 , dl rx level = -57 dbm. ,Requête de déconnexion a été envoyée par le MSC"/>
    <m/>
    <x v="0"/>
    <s v="Dans l'attente de la mise en place des tiroires monomode"/>
    <s v="H.O non finalisé entre 303 et 202"/>
    <s v="dl Rxqual=7"/>
    <s v="dl rx level= -59 dbm"/>
    <s v="OK"/>
    <s v="OK"/>
    <s v="Mauvais"/>
    <s v="retransmission des trames HDLC*5"/>
    <m/>
    <m/>
    <m/>
    <m/>
    <m/>
    <m/>
    <m/>
    <m/>
    <m/>
  </r>
  <r>
    <n v="274"/>
    <x v="0"/>
    <x v="143"/>
    <d v="1899-12-30T15:05:16"/>
    <n v="2037"/>
    <x v="3"/>
    <x v="0"/>
    <n v="1046"/>
    <m/>
    <s v="Tanger/Casa"/>
    <n v="6.13"/>
    <x v="2"/>
    <s v="N2"/>
    <x v="0"/>
    <s v="H.O non finalisé entre 302et 303  qualité /niveau de signal : dl rx-qual=7 , dl rx level = -55dbm. ,Requête de déconnexion a été envoyée par le RBC"/>
    <m/>
    <x v="0"/>
    <s v="Dans l'attente de la mise en place des tiroires monomode"/>
    <s v="H.O non finalisé entre 302 et 303"/>
    <s v="dl Rxqual=7"/>
    <s v="dl rx level= -55dbm"/>
    <s v="OK"/>
    <s v="OK"/>
    <s v="Mauvais"/>
    <s v="retransmission des trames HDLC*5"/>
    <m/>
    <m/>
    <m/>
    <m/>
    <m/>
    <m/>
    <m/>
    <m/>
    <m/>
  </r>
  <r>
    <n v="275"/>
    <x v="0"/>
    <x v="143"/>
    <d v="1899-12-30T19:05:57"/>
    <n v="1045"/>
    <x v="8"/>
    <x v="1"/>
    <n v="1022"/>
    <m/>
    <s v="Casa/Tanger"/>
    <n v="7.3209999999999997"/>
    <x v="2"/>
    <s v="N2"/>
    <x v="0"/>
    <s v="H.O Complete entre 303 et 302  qualité /niveau de signal : dl rx-qual=7 , dl rx level = -66 dbm. ,Requête de déconnexion a été envoyée par le RBC"/>
    <m/>
    <x v="0"/>
    <s v="Dans l'attente de la mise en place des tiroires monomode"/>
    <s v="H.O : Complet  entre 303 et 302 "/>
    <s v="dl Rxqual=7"/>
    <s v="dl rx level= -66dbm"/>
    <s v="OK"/>
    <s v="OK"/>
    <s v="Mauvais"/>
    <s v="retransmission des trames HDLC*5"/>
    <m/>
    <m/>
    <m/>
    <m/>
    <m/>
    <m/>
    <m/>
    <m/>
    <m/>
  </r>
  <r>
    <n v="276"/>
    <x v="0"/>
    <x v="144"/>
    <d v="1899-12-30T16:29:40"/>
    <n v="1038"/>
    <x v="2"/>
    <x v="1"/>
    <n v="1034"/>
    <m/>
    <s v="Casa/Tanger"/>
    <n v="176.61199999999999"/>
    <x v="4"/>
    <s v="N2"/>
    <x v="0"/>
    <s v="H.O non finalisé entre 330 et 229 qualité /niveau de signal : dl rx-qual=0 , dl rx level = -60 dbm. ,Requête de déconnexion a été envoyée par le RBC"/>
    <m/>
    <x v="0"/>
    <s v="Dans l'attente de la mise en place des tiroires monomode"/>
    <s v="H.O non finalisé entre 330 et 229"/>
    <s v="dl Rxqual=0"/>
    <s v="dl rx level= -60dbm"/>
    <s v="OK"/>
    <s v="OK"/>
    <s v="Mauvais"/>
    <s v="retransmission des trames HDLC*5"/>
    <m/>
    <m/>
    <m/>
    <m/>
    <m/>
    <m/>
    <m/>
    <m/>
    <m/>
  </r>
  <r>
    <n v="277"/>
    <x v="0"/>
    <x v="145"/>
    <d v="1899-12-30T12:06:26"/>
    <n v="1017"/>
    <x v="3"/>
    <x v="1"/>
    <n v="1007"/>
    <m/>
    <s v="Casa/Tanger"/>
    <n v="7.3209999999999997"/>
    <x v="2"/>
    <s v="N2"/>
    <x v="1"/>
    <s v="H.O Complete entre 303 et 302  qualité /niveau de signal : dl rx-qual=7 , dl rx level = -68dbm. ,Requête de déconnexion a été envoyée par le RBC"/>
    <m/>
    <x v="0"/>
    <s v="Dans l'attente de la mise en place des tiroires monomode"/>
    <s v="H.O : Complet  entre 303 et 302 "/>
    <s v="dl Rxqual=7"/>
    <s v="dl rx level= -68dbm"/>
    <s v="OK"/>
    <s v="OK"/>
    <s v="Mauvais"/>
    <s v="retransmission des trames HDLC*5"/>
    <m/>
    <m/>
    <m/>
    <m/>
    <m/>
    <m/>
    <m/>
    <m/>
    <m/>
  </r>
  <r>
    <n v="278"/>
    <x v="0"/>
    <x v="145"/>
    <d v="1899-12-30T14:29:28"/>
    <n v="1036"/>
    <x v="0"/>
    <x v="0"/>
    <n v="1008"/>
    <m/>
    <s v="Tanger/Casa"/>
    <n v="109.495"/>
    <x v="1"/>
    <s v="N2"/>
    <x v="0"/>
    <s v="H.O non finalisé entre 219 et 320  qualité /niveau de signal : dl rx-qual=7 , dl rx level = -62dbm. ,Requête de déconnexion a été envoyée par le RBC"/>
    <m/>
    <x v="0"/>
    <s v="Dans l'attente de la mise en place des tiroires monomode"/>
    <s v="H.O non finalisé entre 219 et 320"/>
    <s v="dl Rxqual=7"/>
    <s v="dl rx level= -62dbm"/>
    <s v="OK"/>
    <s v="OK"/>
    <s v="Mauvais"/>
    <s v="retransmission des trames HDLC*5"/>
    <m/>
    <m/>
    <m/>
    <m/>
    <m/>
    <m/>
    <m/>
    <m/>
    <m/>
  </r>
  <r>
    <n v="279"/>
    <x v="0"/>
    <x v="145"/>
    <d v="1899-12-30T19:06:01"/>
    <n v="1045"/>
    <x v="8"/>
    <x v="1"/>
    <n v="1022"/>
    <m/>
    <s v="Casa/Tanger"/>
    <n v="7.3209999999999997"/>
    <x v="2"/>
    <s v="N2"/>
    <x v="0"/>
    <s v="H.O Complete entre 303 et 302  qualité /niveau de signal : dl rx-qual=7 , dl rx level = -57dbm. ,Requête de déconnexion a été envoyée par le MSC"/>
    <m/>
    <x v="2"/>
    <s v="Dans l'attente de la mise en place des tiroires monomode / Attente Analyse spectrale "/>
    <s v="H.O : Complet  entre 303 et 302 "/>
    <s v="dl Rxqual=7"/>
    <s v="dl rx level= -57dbm"/>
    <s v="OK"/>
    <s v="OK"/>
    <s v="Mauvais"/>
    <s v="retransmission des trames HDLC*5"/>
    <m/>
    <m/>
    <m/>
    <m/>
    <m/>
    <m/>
    <m/>
    <m/>
    <m/>
  </r>
  <r>
    <n v="280"/>
    <x v="0"/>
    <x v="146"/>
    <d v="1899-12-30T22:40:04"/>
    <n v="1061"/>
    <x v="3"/>
    <x v="1"/>
    <n v="1007"/>
    <m/>
    <s v="Casa/Tanger"/>
    <n v="127.815"/>
    <x v="6"/>
    <s v="N2"/>
    <x v="0"/>
    <s v="H.O Non finalise entre 223 et 324  qualité /niveau de signal : dl rx-qual=7 , dl rx level = -82 dbm. ,Requête de déconnexion a été envoyée par le RBC"/>
    <m/>
    <x v="0"/>
    <s v="Dans l'attente de la mise en place des tiroires monomode"/>
    <s v="H.O : Non finalise entre 223 et 324"/>
    <s v="dl Rxqual=7"/>
    <s v="dl rx level= -82dbm"/>
    <s v="OK"/>
    <s v="OK"/>
    <s v="Mauvais"/>
    <s v="retransmission des trames HDLC*5"/>
    <m/>
    <m/>
    <m/>
    <m/>
    <m/>
    <m/>
    <m/>
    <m/>
    <m/>
  </r>
  <r>
    <n v="281"/>
    <x v="0"/>
    <x v="146"/>
    <d v="1899-12-30T23:30:07"/>
    <n v="10091"/>
    <x v="11"/>
    <x v="1"/>
    <n v="1020"/>
    <m/>
    <s v="Casa/Tanger"/>
    <n v="177.85"/>
    <x v="4"/>
    <s v="N2"/>
    <x v="0"/>
    <s v="H.O Non finalise entre 231 et 232  qualité /niveau de signal : dl rx-qual=5 , dl rx level = -75 dbm. ,Requête de déconnexion a été envoyée par le RBC"/>
    <m/>
    <x v="0"/>
    <s v="Dans l'attente de la mise en place des tiroires monomode /"/>
    <s v="H.O : Non finalise entre 231 et 232"/>
    <s v="dl Rxqual=5"/>
    <s v="dl rx level= -75dbm"/>
    <s v="OK"/>
    <s v="OK"/>
    <s v="Mauvais"/>
    <s v="retransmission des trames HDLC*5"/>
    <m/>
    <m/>
    <m/>
    <m/>
    <m/>
    <m/>
    <m/>
    <m/>
    <m/>
  </r>
  <r>
    <n v="282"/>
    <x v="0"/>
    <x v="147"/>
    <d v="1899-12-30T10:25:20"/>
    <n v="1009"/>
    <x v="11"/>
    <x v="1"/>
    <n v="1072"/>
    <m/>
    <s v="Casa/Tanger"/>
    <n v="7.3209999999999997"/>
    <x v="2"/>
    <s v="N2"/>
    <x v="0"/>
    <s v="H.O non finalisé entre 303 et 202  qualité /niveau de signal : dl rx-qual=7 , dl rx level = -58 dbm. ,Requête de déconnexion a été envoyée par le MSC"/>
    <m/>
    <x v="0"/>
    <s v="Dans l'attente de la mise en place des tiroires monomode"/>
    <s v="H.O : Non finalise entre 303 et 202"/>
    <s v="dl Rxqual=7"/>
    <s v="dl rx level= -58dbm"/>
    <s v="OK"/>
    <s v="OK"/>
    <s v="Mauvais"/>
    <s v="retransmission des trames HDLC*5"/>
    <m/>
    <m/>
    <m/>
    <m/>
    <m/>
    <m/>
    <m/>
    <m/>
    <m/>
  </r>
  <r>
    <n v="283"/>
    <x v="0"/>
    <x v="147"/>
    <d v="1899-12-30T20:27:29"/>
    <n v="1021"/>
    <x v="2"/>
    <x v="1"/>
    <n v="1034"/>
    <m/>
    <s v="Casa/Tanger"/>
    <n v="202.125"/>
    <x v="5"/>
    <s v="N2"/>
    <x v="0"/>
    <s v="H.O non finalisé entre 234 et 233  qualité /niveau de signal : dl rx-qual=7 , dl rx level = -63 dbm. ,Requête de déconnexion a été envoyée par le MSC"/>
    <m/>
    <x v="2"/>
    <s v="Dans l'attente de la mise en place des tiroires monomode / Attente Analyse spectrale"/>
    <s v="H.O : Non finalise entre 234 et 233"/>
    <s v="dl Rxqual=7"/>
    <s v="dl rx level= -63dbm"/>
    <s v="OK"/>
    <s v="OK"/>
    <s v="moyen"/>
    <s v="retransmission des trames HDLC*5"/>
    <m/>
    <m/>
    <m/>
    <m/>
    <m/>
    <m/>
    <m/>
    <m/>
    <m/>
  </r>
  <r>
    <n v="284"/>
    <x v="0"/>
    <x v="147"/>
    <d v="1899-12-30T21:28:06"/>
    <n v="2057"/>
    <x v="2"/>
    <x v="0"/>
    <n v="7217"/>
    <m/>
    <s v="Tanger/Casa"/>
    <n v="106.206"/>
    <x v="1"/>
    <s v="N2"/>
    <x v="0"/>
    <s v="H.O non finalisé entre 219 et 320  qualité /niveau de signal : dl rx-qual=6 , dl rx level = -70 dbm. ,Requête de déconnexion a été envoyée par le MSC"/>
    <m/>
    <x v="2"/>
    <s v="Dans l'attente de la mise en place des tiroires monomode / Attente Analyse spectrale "/>
    <s v="H.O : Non finalise entre 219 et 320"/>
    <s v="dl Rxqual=6"/>
    <s v="dl rx level= -70dbm"/>
    <s v="NOK"/>
    <s v="OK"/>
    <s v="Mauvais"/>
    <s v="retransmission des trames HDLC*5"/>
    <m/>
    <m/>
    <m/>
    <m/>
    <m/>
    <m/>
    <m/>
    <m/>
    <m/>
  </r>
  <r>
    <n v="285"/>
    <x v="0"/>
    <x v="147"/>
    <d v="1899-12-30T12:23:51"/>
    <n v="2061"/>
    <x v="0"/>
    <x v="0"/>
    <n v="1036"/>
    <m/>
    <s v="Tanger/Casa"/>
    <n v="109.495"/>
    <x v="1"/>
    <s v="N2"/>
    <x v="0"/>
    <s v="H.O non finalisé entre 220 et 219 qualité /niveau de signal : dl rx-qual=7 , dl rx level = -62 dbm. ,Requête de déconnexion a été envoyée par le RBC"/>
    <m/>
    <x v="2"/>
    <s v="Dans l'attente de la mise en place des tiroires monomode / chantier optimisation en cours "/>
    <s v="H.O : Non finalise entre 220 et 219"/>
    <s v="dl Rxqual=7"/>
    <s v="dl rx level= -62dbm"/>
    <s v="OK"/>
    <s v="OK"/>
    <s v="Mauvais"/>
    <s v="retransmission des trames HDLC*5"/>
    <m/>
    <m/>
    <m/>
    <m/>
    <m/>
    <m/>
    <m/>
    <m/>
    <m/>
  </r>
  <r>
    <n v="286"/>
    <x v="0"/>
    <x v="148"/>
    <d v="1899-12-30T13:09:56"/>
    <n v="1021"/>
    <x v="2"/>
    <x v="1"/>
    <n v="1034"/>
    <m/>
    <s v="Casa/Tanger"/>
    <n v="7.3209999999999997"/>
    <x v="2"/>
    <s v="N2"/>
    <x v="0"/>
    <s v="H.O non finalisé entre 303 et 202 qualité /niveau de signal : dl rx-qual=7 , dl rx level = -54 dbm. ,Requête de déconnexion a été envoyée par le MSC"/>
    <m/>
    <x v="0"/>
    <s v="Dans l'attente de la mise en place des tiroires monomode"/>
    <s v="H.O : Non finalise entre 303 et 202"/>
    <s v="dl Rxqual=7"/>
    <s v="dl rx level= -54dbm"/>
    <s v="OK"/>
    <s v="OK"/>
    <s v="Mauvais"/>
    <s v="retransmission des trames HDLC*5"/>
    <m/>
    <m/>
    <m/>
    <m/>
    <m/>
    <m/>
    <m/>
    <m/>
    <m/>
  </r>
  <r>
    <n v="287"/>
    <x v="0"/>
    <x v="148"/>
    <d v="1899-12-30T17:03:52"/>
    <n v="1038"/>
    <x v="2"/>
    <x v="1"/>
    <n v="1033"/>
    <m/>
    <s v="Casa/Tanger"/>
    <n v="8.9700000000000006"/>
    <x v="2"/>
    <s v="N2"/>
    <x v="0"/>
    <s v="H.O Complete entre 304 et 303 qualité /niveau de signal : dl rx-qual=0 , dl rx level = -60 dbm. ,Requête de déconnexion a été envoyée par le RBC"/>
    <m/>
    <x v="0"/>
    <s v="Dans l'attente de la mise en place des tiroires monomode"/>
    <s v="H.O : Complet  entre 304 et 303"/>
    <s v="dl Rxqual=0"/>
    <s v="dl rx level= -60 dbm"/>
    <s v="OK"/>
    <s v="OK"/>
    <s v="Mauvais"/>
    <s v="retransmission des trames HDLC*5"/>
    <m/>
    <m/>
    <m/>
    <m/>
    <m/>
    <m/>
    <m/>
    <m/>
    <m/>
  </r>
  <r>
    <n v="288"/>
    <x v="0"/>
    <x v="148"/>
    <d v="1899-12-30T23:04:25"/>
    <n v="1061"/>
    <x v="4"/>
    <x v="1"/>
    <n v="1033"/>
    <m/>
    <s v="Casa/Tanger"/>
    <n v="13.712999999999999"/>
    <x v="22"/>
    <s v="N2"/>
    <x v="1"/>
    <s v="H.O non finalisé entre 303 et 202 qualité /niveau de signal : dl rx-qual=7 , dl rx level = -62 dbm. ,Requête de déconnexion a été envoyée par le MSC"/>
    <m/>
    <x v="0"/>
    <s v="Dans l'attente de la mise en place des tiroires monomode"/>
    <s v="H.O : Non finalise entre 303 et 202"/>
    <s v="dl Rxqual=7"/>
    <s v="dl rx level= -62 dbm"/>
    <s v="OK"/>
    <s v="OK"/>
    <s v="Mauvais"/>
    <s v="retransmission des trames HDLC*5"/>
    <m/>
    <m/>
    <m/>
    <m/>
    <m/>
    <m/>
    <m/>
    <m/>
    <m/>
  </r>
  <r>
    <n v="289"/>
    <x v="0"/>
    <x v="149"/>
    <d v="1899-12-30T06:11:41"/>
    <n v="2001"/>
    <x v="4"/>
    <x v="0"/>
    <n v="1058"/>
    <m/>
    <s v="Tanger/Casa"/>
    <n v="25.91"/>
    <x v="7"/>
    <s v="N2"/>
    <x v="0"/>
    <s v="H.O non finalisé entre 205 et 206 qualité /niveau de signal : dl rx-qual=0 , dl rx level = -96 dbm. ,Requête de déconnexion a été envoyée par le MSC"/>
    <m/>
    <x v="1"/>
    <s v="attente plan d'action optimisation "/>
    <s v="H.O : Non finalise entre 205 et 206"/>
    <s v="dl Rxqual=0"/>
    <s v="dl rx level= 96 dbm"/>
    <s v="NOK"/>
    <s v="OK"/>
    <s v="moyen"/>
    <s v="retransmission des trames HDLC*5"/>
    <m/>
    <m/>
    <m/>
    <m/>
    <m/>
    <m/>
    <m/>
    <m/>
    <m/>
  </r>
  <r>
    <n v="290"/>
    <x v="0"/>
    <x v="149"/>
    <d v="1899-12-30T20:46:46"/>
    <n v="1054"/>
    <x v="11"/>
    <x v="1"/>
    <n v="1072"/>
    <m/>
    <s v="Casa/Tanger"/>
    <n v="94.953999999999994"/>
    <x v="8"/>
    <s v="N2"/>
    <x v="0"/>
    <s v="H.O non finalisé entre 318 et 217 qualité /niveau de signal : dl rx-qual=7 , dl rx level = -75 dbm. ,Requête de déconnexion a été envoyée par le MSC"/>
    <m/>
    <x v="2"/>
    <s v="Dans l'attente de la mise en place des tiroires monomode / Attente Analyse spectrale"/>
    <s v="H.O : Non finalise entre 318 et 217"/>
    <s v="dl Rxqual=7"/>
    <s v="dl rx level= 75 dbm"/>
    <s v="OK"/>
    <s v="OK"/>
    <s v="Mauvais"/>
    <s v="retransmission des trames HDLC*5"/>
    <m/>
    <m/>
    <m/>
    <m/>
    <m/>
    <m/>
    <m/>
    <m/>
    <m/>
  </r>
  <r>
    <n v="291"/>
    <x v="0"/>
    <x v="150"/>
    <d v="1899-12-30T17:05:06"/>
    <n v="2045"/>
    <x v="10"/>
    <x v="0"/>
    <n v="7206"/>
    <m/>
    <s v="Tanger/Casa"/>
    <n v="6.13"/>
    <x v="2"/>
    <s v="N2"/>
    <x v="0"/>
    <s v="H.O non finalisé entre 301 et 202 qualité /niveau de signal : dl rx-qual=7 , dl rx level = -54 dbm. ,Requête de déconnexion a été envoyée par le RBC"/>
    <m/>
    <x v="0"/>
    <s v="Dans l'attente de la mise en place des tiroires monomode"/>
    <s v="H.O : Non finalise entre 301 et 202"/>
    <s v="dl Rxqual=7"/>
    <s v="dl rx level= -54 dbm"/>
    <s v="OK"/>
    <s v="OK"/>
    <s v="Mauvais"/>
    <s v="retransmission des trames HDLC*5"/>
    <m/>
    <m/>
    <m/>
    <m/>
    <m/>
    <m/>
    <m/>
    <m/>
    <m/>
  </r>
  <r>
    <n v="292"/>
    <x v="0"/>
    <x v="150"/>
    <d v="1899-12-30T18:41:36"/>
    <n v="2049"/>
    <x v="9"/>
    <x v="0"/>
    <n v="1052"/>
    <m/>
    <s v="Tanger/Casa"/>
    <n v="176.61199999999999"/>
    <x v="4"/>
    <s v="N2"/>
    <x v="0"/>
    <s v="H.O Complet entre 229 et 230 qualité /niveau de signal : dl rx-qual=6 , dl rx level = -64 dbm. ,Requête de déconnexion a été envoyée par le RBC"/>
    <m/>
    <x v="5"/>
    <s v="Analyse approfondie en cours"/>
    <s v="H.O : Complet entre 229 et 230"/>
    <s v="dl Rxqual=6"/>
    <s v="dl rx level= -64 dbm"/>
    <s v="NOK"/>
    <s v="OK"/>
    <s v="Mauvais"/>
    <s v="retransmission des trames HDLC*5"/>
    <m/>
    <m/>
    <m/>
    <m/>
    <m/>
    <m/>
    <m/>
    <m/>
    <m/>
  </r>
  <r>
    <n v="293"/>
    <x v="0"/>
    <x v="150"/>
    <d v="1899-12-30T21:05:47"/>
    <n v="2061"/>
    <x v="3"/>
    <x v="0"/>
    <n v="1046"/>
    <m/>
    <s v="Tanger/Casa"/>
    <n v="6.13"/>
    <x v="2"/>
    <s v="N2"/>
    <x v="1"/>
    <s v="H.O non finalisé entre 202 et 303 qualité /niveau de signal : dl rx-qual=7 , dl rx level = -52 dbm. ,Requête de déconnexion a été envoyée par le MSC"/>
    <m/>
    <x v="0"/>
    <s v="Dans l'attente de la mise en place des tiroires monomode"/>
    <s v="H.O : Non finalise entre 202 et 303"/>
    <s v="dl Rxqual=7"/>
    <s v="dl rx level= -52 dbm"/>
    <s v="OK"/>
    <s v="OK"/>
    <s v="Mauvais"/>
    <s v="retransmission des trames HDLC*5"/>
    <m/>
    <m/>
    <m/>
    <m/>
    <m/>
    <m/>
    <m/>
    <m/>
    <m/>
  </r>
  <r>
    <n v="294"/>
    <x v="0"/>
    <x v="151"/>
    <d v="1899-12-30T08:04:59"/>
    <n v="2005"/>
    <x v="9"/>
    <x v="0"/>
    <n v="1053"/>
    <m/>
    <s v="Tanger/Casa"/>
    <n v="169.06"/>
    <x v="27"/>
    <s v="N2"/>
    <x v="0"/>
    <s v="H.O non finalisé entre 228 et 229 qualité /niveau de signal : dl rx-qual=4 , dl rx level = -79 dbm. ,Requête de déconnexion a été envoyée par le RBC"/>
    <m/>
    <x v="5"/>
    <s v="Attente Croisement des donnees"/>
    <s v="H.O : non finalisé entre 228 et 229"/>
    <s v="dl Rxqual=4"/>
    <s v="dl rx level= -79 dbm"/>
    <s v="OK"/>
    <s v="OK"/>
    <s v="Mauvais"/>
    <s v="retransmission des trames HDLC*5"/>
    <m/>
    <m/>
    <m/>
    <m/>
    <m/>
    <m/>
    <m/>
    <m/>
    <m/>
  </r>
  <r>
    <n v="295"/>
    <x v="0"/>
    <x v="151"/>
    <d v="1899-12-30T09:06:01"/>
    <n v="1001"/>
    <x v="4"/>
    <x v="1"/>
    <n v="1033"/>
    <m/>
    <s v="Casa/Tanger"/>
    <n v="7.3209999999999997"/>
    <x v="2"/>
    <s v="N2"/>
    <x v="0"/>
    <s v="H.O non finalisé entre 303 et 202 qualité /niveau de signal : dl rx-qual=7 , dl rx level = -54 dbm. ,Requête de déconnexion a été envoyée par le MSC"/>
    <m/>
    <x v="0"/>
    <s v="Dans l'attente de la mise en place des tiroires monomode"/>
    <s v="H.O : non finalisé entre 303 et 2023"/>
    <s v="dl Rxqual=7"/>
    <s v="dl rx level= -54 dbm"/>
    <s v="OK"/>
    <s v="OK"/>
    <s v="Mauvais"/>
    <s v="retransmission des trames HDLC*5"/>
    <m/>
    <m/>
    <m/>
    <m/>
    <m/>
    <m/>
    <m/>
    <m/>
    <m/>
  </r>
  <r>
    <n v="296"/>
    <x v="0"/>
    <x v="151"/>
    <d v="1899-12-30T14:03:52"/>
    <n v="1005"/>
    <x v="3"/>
    <x v="1"/>
    <n v="1008"/>
    <m/>
    <s v="Casa/Tanger"/>
    <n v="75.84"/>
    <x v="13"/>
    <s v="N2"/>
    <x v="0"/>
    <s v="H.O non finalisé entre 315 et 314 qualité /niveau de signal : dl rx-qual=3 , dl rx level = -68 dbm. ,Requête de déconnexion a été envoyée par le RBC"/>
    <m/>
    <x v="5"/>
    <s v="Attente Croisement des donnees"/>
    <s v="H.O : COMPLET entre 315 et 314"/>
    <s v="dl Rxqual=3"/>
    <s v="dl rx level= -68 dbm"/>
    <s v="OK"/>
    <s v="OK"/>
    <s v="Mauvais"/>
    <s v="retransmission des trames HDLC*5"/>
    <m/>
    <m/>
    <m/>
    <m/>
    <m/>
    <m/>
    <m/>
    <m/>
    <m/>
  </r>
  <r>
    <n v="297"/>
    <x v="0"/>
    <x v="151"/>
    <d v="1899-12-30T08:50:07"/>
    <n v="1006"/>
    <x v="3"/>
    <x v="1"/>
    <n v="1007"/>
    <m/>
    <s v="Casa/Tanger"/>
    <n v="7.3209999999999997"/>
    <x v="2"/>
    <s v="N2"/>
    <x v="1"/>
    <s v="H.O non finalisé entre 303 et 302 qualité /niveau de signal : dl rx-qual=7 , dl rx level = -58 dbm. ,Requête de déconnexion a été envoyée par le RBC"/>
    <m/>
    <x v="0"/>
    <s v="Dans l'attente de la mise en place des tiroires monomode"/>
    <s v="H.O : COMPLET entre 303 et 302"/>
    <s v="dl Rxqual=7"/>
    <s v="dl rx level= -58 dbm"/>
    <s v="OK"/>
    <s v="OK"/>
    <s v="Mauvais"/>
    <s v="retransmission des trames HDLC*5"/>
    <m/>
    <m/>
    <m/>
    <m/>
    <m/>
    <m/>
    <m/>
    <m/>
    <m/>
  </r>
  <r>
    <n v="298"/>
    <x v="0"/>
    <x v="151"/>
    <d v="1899-12-30T07:42:12"/>
    <n v="1025"/>
    <x v="4"/>
    <x v="1"/>
    <n v="1033"/>
    <m/>
    <s v="Casa/Tanger"/>
    <n v="7.3209999999999997"/>
    <x v="2"/>
    <s v="N2"/>
    <x v="1"/>
    <s v="H.O non finalisé entre 303 et 302 qualité /niveau de signal : dl rx-qual=0 , dl rx level = -60 dbm. ,Requête de déconnexion a été envoyée par le MSC"/>
    <m/>
    <x v="0"/>
    <s v="Dans l'attente de la mise en place des tiroires monomode"/>
    <s v="H.O : non finalisé entre 303 et 302"/>
    <s v="dl Rxqual=0"/>
    <s v="dl rx level= -60 dbm"/>
    <s v="OK"/>
    <s v="OK"/>
    <s v="Mauvais"/>
    <s v="retransmission des trames HDLC*5"/>
    <m/>
    <m/>
    <m/>
    <m/>
    <m/>
    <m/>
    <m/>
    <m/>
    <m/>
  </r>
  <r>
    <n v="299"/>
    <x v="0"/>
    <x v="151"/>
    <d v="1899-12-30T20:24:12"/>
    <n v="1053"/>
    <x v="4"/>
    <x v="1"/>
    <n v="1033"/>
    <m/>
    <s v="Casa/Tanger"/>
    <n v="200.542"/>
    <x v="5"/>
    <s v="N2"/>
    <x v="1"/>
    <s v="H.O non finalisé entre 234 et 233 qualité /niveau de signal : dl rx-qual=7 , dl rx level = -68 dbm. ,Requête de déconnexion a été envoyée par le MSC"/>
    <m/>
    <x v="2"/>
    <s v="Dans l'attente de la mise en place des tiroires monomode"/>
    <s v="H.O : non finalisé entre 234 et 233"/>
    <s v="dl Rxqual=7"/>
    <s v="dl rx level= -68 dbm"/>
    <s v="OK"/>
    <s v="OK"/>
    <s v="Mauvais"/>
    <s v="retransmission des trames HDLC*5"/>
    <m/>
    <m/>
    <m/>
    <m/>
    <m/>
    <m/>
    <m/>
    <m/>
    <m/>
  </r>
  <r>
    <n v="300"/>
    <x v="0"/>
    <x v="152"/>
    <d v="1899-12-30T07:07:33"/>
    <n v="2005"/>
    <x v="8"/>
    <x v="0"/>
    <n v="1043"/>
    <m/>
    <s v="Tanger/Casa"/>
    <n v="9.0299999999999994"/>
    <x v="2"/>
    <s v="N2"/>
    <x v="1"/>
    <s v="H.O non finalisé entre 202 et 203 qualité /niveau de signal : dl rx-qual=0 , dl rx level = -48 dbm. ,Requête de déconnexion a été envoyée par le RBC"/>
    <m/>
    <x v="0"/>
    <s v="Dans l'attente de la mise en place des tiroires monomode"/>
    <s v="H.O : non finalisé entre 202 et 203"/>
    <s v="dl Rxqual=0"/>
    <s v="dl rx level= -48 dbm"/>
    <s v="OK"/>
    <s v="OK"/>
    <s v="Mauvais"/>
    <s v="retransmission des trames HDLC*5"/>
    <m/>
    <m/>
    <m/>
    <m/>
    <m/>
    <m/>
    <m/>
    <m/>
    <m/>
  </r>
  <r>
    <n v="301"/>
    <x v="0"/>
    <x v="152"/>
    <d v="1899-12-30T08:04:56"/>
    <n v="2009"/>
    <x v="2"/>
    <x v="0"/>
    <n v="7218"/>
    <m/>
    <s v="Tanger/Casa"/>
    <n v="6.13"/>
    <x v="2"/>
    <s v="N2"/>
    <x v="1"/>
    <s v="H.O non finalisé entre 201 et 202 qualité /niveau de signal : dl rx-qual=2 , dl rx level = -61 dbm. ,Requête de déconnexion a été envoyée par le RBC"/>
    <m/>
    <x v="0"/>
    <s v="Dans l'attente de la mise en place des tiroires monomode"/>
    <s v="H.O : non finalisé entre 201 et 202"/>
    <s v="dl Rxqual=2"/>
    <s v="dl rx level= -61 dbm"/>
    <s v="OK"/>
    <s v="OK"/>
    <s v="Mauvais"/>
    <s v="retransmission des trames HDLC*5"/>
    <m/>
    <m/>
    <m/>
    <m/>
    <m/>
    <m/>
    <m/>
    <m/>
    <m/>
  </r>
  <r>
    <n v="302"/>
    <x v="0"/>
    <x v="152"/>
    <d v="1899-12-30T09:35:17"/>
    <n v="2013"/>
    <x v="0"/>
    <x v="0"/>
    <n v="1037"/>
    <m/>
    <s v="Tanger/Casa"/>
    <n v="145.6"/>
    <x v="3"/>
    <s v="N2"/>
    <x v="0"/>
    <s v="H.O non finalisé entre 224 et 225 qualité /niveau de signal : dl rx-qual=7 , dl rx level = -110 dbm. ,Requête de déconnexion a été envoyée par le RBC"/>
    <m/>
    <x v="5"/>
    <s v="Attente Croisement des donnees"/>
    <s v="H.O : non finalisé entre 224 et 225"/>
    <s v="dl Rxqual=7"/>
    <s v="dl rx level= -110 dbm"/>
    <s v="NOK"/>
    <s v="OK"/>
    <s v="Mauvais"/>
    <s v="retransmission des trames HDLC*5"/>
    <m/>
    <m/>
    <m/>
    <m/>
    <m/>
    <m/>
    <m/>
    <m/>
    <m/>
  </r>
  <r>
    <n v="303"/>
    <x v="0"/>
    <x v="152"/>
    <d v="1899-12-30T12:05:13"/>
    <n v="2025"/>
    <x v="11"/>
    <x v="0"/>
    <n v="1048"/>
    <m/>
    <s v="Tanger/Casa"/>
    <n v="6.13"/>
    <x v="2"/>
    <s v="N2"/>
    <x v="1"/>
    <s v="H.O non finalisé entre 302 et 201 qualité /niveau de signal : dl rx-qual=7 , dl rx level = -55 dbm. ,Requête de déconnexion a été envoyée par le RBC"/>
    <m/>
    <x v="0"/>
    <s v="Dans l'attente de la mise en place des tiroires monomode"/>
    <s v="H.O : non finalisé entre 302 et 201"/>
    <s v="dl Rxqual=7"/>
    <s v="dl rx level= -60 dbm"/>
    <s v="OK"/>
    <s v="OK"/>
    <s v="Mauvais"/>
    <s v="retransmission des trames HDLC*5"/>
    <m/>
    <m/>
    <m/>
    <m/>
    <m/>
    <m/>
    <m/>
    <m/>
    <m/>
  </r>
  <r>
    <n v="304"/>
    <x v="0"/>
    <x v="152"/>
    <d v="1899-12-30T15:05:27"/>
    <n v="2037"/>
    <x v="8"/>
    <x v="0"/>
    <n v="1043"/>
    <m/>
    <s v="Tanger/Casa"/>
    <n v="6.13"/>
    <x v="2"/>
    <s v="N2"/>
    <x v="0"/>
    <s v="H.O non finalisé entre 302 et 203 qualité /niveau de signal : dl rx-qual=4 , dl rx level = -53 dbm. ,Requête de déconnexion a été envoyée par le RBC"/>
    <m/>
    <x v="0"/>
    <s v="Dans l'attente de la mise en place des tiroires monomode"/>
    <s v="H.O : non finalisé entre 302 et 203"/>
    <s v="dl Rxqual=4"/>
    <s v="dl rx level= -53 dbm"/>
    <s v="OK"/>
    <s v="OK"/>
    <s v="Mauvais"/>
    <s v="retransmission des trames HDLC*5"/>
    <m/>
    <m/>
    <m/>
    <m/>
    <m/>
    <m/>
    <m/>
    <m/>
    <m/>
  </r>
  <r>
    <n v="305"/>
    <x v="0"/>
    <x v="152"/>
    <d v="1899-12-30T19:38:51"/>
    <n v="1050"/>
    <x v="8"/>
    <x v="1"/>
    <n v="1022"/>
    <m/>
    <s v="Casa/Tanger"/>
    <n v="134.30000000000001"/>
    <x v="10"/>
    <s v="N2"/>
    <x v="0"/>
    <s v="H.O complete entre 224 et 323 qualité /niveau de signal : dl rx-qual=0 , dl rx level = -50 dbm. ,Requête de déconnexion a été envoyée par le RBC"/>
    <m/>
    <x v="5"/>
    <s v="Attente Croisement des donnees"/>
    <s v="H.O : complet entre 224 et 323"/>
    <s v="dl Rxqual=0"/>
    <s v="dl rx level= -50 dbm"/>
    <s v="OK"/>
    <s v="OK"/>
    <s v="Mauvais"/>
    <s v="retransmission des trames HDLC*5"/>
    <m/>
    <m/>
    <m/>
    <m/>
    <m/>
    <m/>
    <m/>
    <m/>
    <m/>
  </r>
  <r>
    <n v="306"/>
    <x v="0"/>
    <x v="152"/>
    <d v="1899-12-30T20:10:48"/>
    <n v="2057"/>
    <x v="2"/>
    <x v="0"/>
    <n v="7217"/>
    <m/>
    <s v="Tanger/Casa"/>
    <n v="11.23"/>
    <x v="22"/>
    <s v="N2"/>
    <x v="0"/>
    <s v="H.O  complete entre 303 et 204 qualité /niveau de signal : dl rx-qual=0 , dl rx level = -60 dbm. ,Requête de déconnexion a été envoyée par le RBC"/>
    <m/>
    <x v="5"/>
    <s v="Attente Croisement des donnees"/>
    <s v="H.O : complet entre 303 et 204"/>
    <s v="dl Rxqual=0"/>
    <s v="dl rx level= -60 dbm"/>
    <s v="OK"/>
    <s v="OK"/>
    <s v="Mauvais"/>
    <s v="retransmission des trames HDLC*5"/>
    <m/>
    <m/>
    <m/>
    <m/>
    <m/>
    <m/>
    <m/>
    <m/>
    <m/>
  </r>
  <r>
    <n v="307"/>
    <x v="0"/>
    <x v="152"/>
    <d v="1899-12-30T21:34:53"/>
    <n v="2061"/>
    <x v="8"/>
    <x v="0"/>
    <n v="1042"/>
    <m/>
    <s v="Tanger/Casa"/>
    <n v="134.30000000000001"/>
    <x v="10"/>
    <s v="N2"/>
    <x v="0"/>
    <s v="H.O  complete entre 323 et 324 qualité /niveau de signal : dl rx-qual=0 , dl rx level = -62 dbm. ,Requête de déconnexion a été envoyée par le RBC"/>
    <m/>
    <x v="5"/>
    <s v="Attente Croisement des donnees"/>
    <s v="H.O : complet entre 323 et 324"/>
    <s v="dl Rxqual=0"/>
    <s v="dl rx level= -62 dbm"/>
    <s v="OK"/>
    <s v="OK"/>
    <s v="Mauvais"/>
    <s v="retransmission des trames HDLC*5"/>
    <m/>
    <m/>
    <m/>
    <m/>
    <m/>
    <m/>
    <m/>
    <m/>
    <m/>
  </r>
  <r>
    <n v="308"/>
    <x v="0"/>
    <x v="153"/>
    <d v="1899-12-30T08:13:09"/>
    <n v="2009"/>
    <x v="3"/>
    <x v="0"/>
    <n v="1047"/>
    <m/>
    <s v="Tanger/Casa"/>
    <n v="33.960999999999999"/>
    <x v="25"/>
    <s v="N2"/>
    <x v="0"/>
    <s v="H.O  complete entre 206 et 207 qualité /niveau de signal : dl rx-qual=2 , dl rx level = -60 dbm. ,Requête de déconnexion a été envoyée par le RBC"/>
    <m/>
    <x v="5"/>
    <s v="Attente Croisement des donnees"/>
    <s v="H.O : complet entre 206 et 207"/>
    <s v="dl Rxqual=2"/>
    <s v="dl rx level= -62 dbm"/>
    <s v="OK"/>
    <s v="OK"/>
    <s v="Mauvais"/>
    <s v="Pas Retransmission des trames HDLC*5"/>
    <m/>
    <m/>
    <m/>
    <m/>
    <m/>
    <m/>
    <m/>
    <m/>
    <m/>
  </r>
  <r>
    <n v="309"/>
    <x v="0"/>
    <x v="153"/>
    <d v="1899-12-30T09:27:41"/>
    <n v="2013"/>
    <x v="11"/>
    <x v="0"/>
    <n v="1048"/>
    <m/>
    <s v="Tanger/Casa"/>
    <n v="113.321"/>
    <x v="17"/>
    <s v="N2"/>
    <x v="0"/>
    <s v="H.O  non finalisé  entre 219 et 220 qualité /niveau de signal : dl rx-qual=6 , dl rx level = -58 dbm. ,Requête de déconnexion a été envoyée par le RBC"/>
    <m/>
    <x v="1"/>
    <s v="En attente de lanalyse spectrale"/>
    <s v="H.O : complet entre 219 et 220"/>
    <s v="dl Rxqual=6"/>
    <s v="dl rx level= -58 dbm"/>
    <s v="OK"/>
    <s v="OK"/>
    <s v="Mauvais"/>
    <s v="retransmission des trames HDLC*5"/>
    <m/>
    <m/>
    <m/>
    <m/>
    <m/>
    <m/>
    <m/>
    <m/>
    <m/>
  </r>
  <r>
    <n v="310"/>
    <x v="0"/>
    <x v="153"/>
    <d v="1899-12-30T13:04:17"/>
    <n v="1021"/>
    <x v="3"/>
    <x v="1"/>
    <n v="1007"/>
    <m/>
    <s v="Casa/Tanger"/>
    <n v="7.3209999999999997"/>
    <x v="2"/>
    <s v="N2"/>
    <x v="1"/>
    <s v="H.O  non finalisé  entre  303et 202 qualité /niveau de signal : dl rx-qual=7 , dl rx level = -57 dbm. ,Requête de déconnexion a été envoyée par le MSC"/>
    <m/>
    <x v="0"/>
    <s v="Dans l'attente de la mise en place des tiroires monomode"/>
    <s v="H.O : non finalisé entre 303 et 202"/>
    <s v="dl Rxqual=7"/>
    <s v="dl rx level= -57 dbm"/>
    <s v="OK"/>
    <s v="OK"/>
    <s v="Mauvais"/>
    <s v="retransmission des trames HDLC*4"/>
    <m/>
    <m/>
    <m/>
    <m/>
    <m/>
    <m/>
    <m/>
    <m/>
    <m/>
  </r>
  <r>
    <n v="311"/>
    <x v="0"/>
    <x v="153"/>
    <d v="1899-12-30T17:06:24"/>
    <n v="1038"/>
    <x v="8"/>
    <x v="1"/>
    <n v="1022"/>
    <m/>
    <s v="Casa/Tanger"/>
    <n v="7.3209999999999997"/>
    <x v="2"/>
    <s v="N2"/>
    <x v="0"/>
    <s v="H.O  non finalisé  entre  303et 202 qualité /niveau de signal : dl rx-qual=7 , dl rx level = -70 dbm. ,Requête de déconnexion a été envoyée par le RBC"/>
    <m/>
    <x v="0"/>
    <s v="Dans l'attente de la mise en place des tiroires monomode"/>
    <s v="H.O : non finalisé entre 303 et 202"/>
    <s v="dl Rxqual=7"/>
    <s v="dl rx level= -70 dbm"/>
    <s v="OK"/>
    <s v="OK"/>
    <s v="Mauvais"/>
    <s v="retransmission des trames HDLC*5"/>
    <m/>
    <m/>
    <m/>
    <m/>
    <m/>
    <m/>
    <m/>
    <m/>
    <m/>
  </r>
  <r>
    <n v="312"/>
    <x v="0"/>
    <x v="153"/>
    <d v="1899-12-30T17:44:01"/>
    <n v="2045"/>
    <x v="2"/>
    <x v="0"/>
    <n v="7217"/>
    <m/>
    <s v="Tanger/Casa"/>
    <n v="182.92500000000001"/>
    <x v="31"/>
    <s v="N2"/>
    <x v="0"/>
    <s v="H.O  non finalisé  entre  230 et 231 qualité /niveau de signal : dl rx-qual=0 , dl rx level = -48 dbm. ,Requête de déconnexion a été envoyée par le RBC"/>
    <m/>
    <x v="0"/>
    <s v="Dans l'attente de la mise en place des tiroires monomode"/>
    <s v="H.O : Complet entre 230 et 231"/>
    <s v="dl Rxqual=0"/>
    <s v="dl rx level= -48 dbm"/>
    <s v="OK"/>
    <s v="OK"/>
    <s v="Mauvais"/>
    <s v="retransmission des trames HDLC*5"/>
    <m/>
    <m/>
    <m/>
    <m/>
    <m/>
    <m/>
    <m/>
    <m/>
    <m/>
  </r>
  <r>
    <n v="313"/>
    <x v="0"/>
    <x v="153"/>
    <d v="1899-12-30T18:04:29"/>
    <n v="1042"/>
    <x v="4"/>
    <x v="1"/>
    <n v="1032"/>
    <m/>
    <s v="Casa/Tanger"/>
    <n v="7.3209999999999997"/>
    <x v="2"/>
    <s v="N2"/>
    <x v="0"/>
    <s v="H.O  non finalisé  entre  303et 202 qualité /niveau de signal : dl rx-qual=3 , dl rx level = -63 dbm. ,Requête de déconnexion a été envoyée par le MSC"/>
    <m/>
    <x v="0"/>
    <s v="Dans l'attente de la mise en place des tiroires monomode"/>
    <s v="H.O : non finalisé entre 303 et 202"/>
    <s v="dl Rxqual=3"/>
    <s v="dl rx level= -63 dbm"/>
    <s v="OK"/>
    <s v="OK"/>
    <s v="Mauvais"/>
    <s v="retransmission des trames HDLC*4"/>
    <m/>
    <m/>
    <m/>
    <m/>
    <m/>
    <m/>
    <m/>
    <m/>
    <m/>
  </r>
  <r>
    <n v="314"/>
    <x v="0"/>
    <x v="153"/>
    <d v="1899-12-30T21:39:38"/>
    <n v="2061"/>
    <x v="1"/>
    <x v="0"/>
    <n v="1029"/>
    <m/>
    <s v="Tanger/Casa"/>
    <n v="162.89500000000001"/>
    <x v="9"/>
    <s v="N2"/>
    <x v="0"/>
    <s v="H.O  complete entre 227 et 228 qualité /niveau de signal : dl rx-qual=0 , dl rx level = -48 dbm. ,Requête de déconnexion a été envoyée par le RBC"/>
    <m/>
    <x v="5"/>
    <s v="Attente Croisement des donnees"/>
    <s v="H.O : complet entre 227 et 228"/>
    <s v="dl Rxqual=0"/>
    <s v="dl rx level= -48 dbm"/>
    <s v="OK"/>
    <s v="OK"/>
    <s v="Mauvais"/>
    <s v="retransmission des trames HDLC*5"/>
    <m/>
    <m/>
    <m/>
    <m/>
    <m/>
    <m/>
    <m/>
    <m/>
    <m/>
  </r>
  <r>
    <n v="315"/>
    <x v="0"/>
    <x v="154"/>
    <d v="1899-12-30T14:05:18"/>
    <n v="2025"/>
    <x v="8"/>
    <x v="1"/>
    <n v="1022"/>
    <m/>
    <s v="Casa/Tanger"/>
    <n v="7.3209999999999997"/>
    <x v="2"/>
    <s v="N2"/>
    <x v="0"/>
    <s v="H.O  non finalisé   entre 303et 202 qualité /niveau de signal : dl rx-qual=7 , dl rx level = -59 dbm. ,Requête de déconnexion a été envoyée par le Bord"/>
    <m/>
    <x v="0"/>
    <s v="Dans l'attente de la mise en place des tiroires monomode"/>
    <s v="H.O : non finalisé entre 303 et 202"/>
    <s v="dl Rxqual=7"/>
    <s v="dl rx level= -59 dbm"/>
    <s v="OK"/>
    <s v="OK"/>
    <s v="Mauvais"/>
    <s v="Pas Retransmission des trames HDLC*5"/>
    <m/>
    <m/>
    <m/>
    <m/>
    <m/>
    <m/>
    <m/>
    <m/>
    <m/>
  </r>
  <r>
    <n v="316"/>
    <x v="0"/>
    <x v="154"/>
    <d v="1899-12-30T17:05:23"/>
    <n v="2045"/>
    <x v="1"/>
    <x v="0"/>
    <n v="1028"/>
    <m/>
    <s v="Tanger/Casa"/>
    <n v="6.13"/>
    <x v="2"/>
    <s v="N2"/>
    <x v="0"/>
    <s v="H.O  non finalisé  entre 202et 303 qualité /niveau de signal : dl rx-qual=3 , dl rx level = -55 dbm. ,Requête de déconnexion a été envoyée par le Bord"/>
    <m/>
    <x v="0"/>
    <s v="Dans l'attente de la mise en place des tiroires monomode"/>
    <s v="H.O : non finalisé entre 202 et 303"/>
    <s v="dl Rxqual=3"/>
    <s v="dl rx level= -55 dbm"/>
    <s v="OK"/>
    <s v="OK"/>
    <s v="Mauvais"/>
    <s v="Pas Retransmission des trames HDLC*5"/>
    <m/>
    <m/>
    <m/>
    <m/>
    <m/>
    <m/>
    <m/>
    <m/>
    <m/>
  </r>
  <r>
    <n v="317"/>
    <x v="0"/>
    <x v="154"/>
    <d v="1899-12-30T18:59:01"/>
    <n v="1045"/>
    <x v="4"/>
    <x v="1"/>
    <n v="1033"/>
    <m/>
    <s v="Casa/Tanger"/>
    <n v="36.558"/>
    <x v="14"/>
    <s v="N2"/>
    <x v="1"/>
    <s v="H.O  complete entre 308et 307 qualité /niveau de signal : dl rx-qual=3 , dl rx level = -64 dbm. ,Requête de déconnexion a été envoyée par le RBC"/>
    <m/>
    <x v="0"/>
    <s v="Dans l'attente de la mise en place des tiroires monomode"/>
    <s v="H.O : Complet entre 308 et 307"/>
    <s v="dl Rxqual=3"/>
    <s v="dl rx level= -64 dbm"/>
    <s v="OK"/>
    <s v="OK"/>
    <s v="Mauvais"/>
    <s v="Pas Retransmission des trames HDLC*5"/>
    <m/>
    <m/>
    <m/>
    <m/>
    <m/>
    <m/>
    <m/>
    <m/>
    <m/>
  </r>
  <r>
    <n v="318"/>
    <x v="0"/>
    <x v="154"/>
    <d v="1899-12-30T20:04:54"/>
    <n v="2057"/>
    <x v="4"/>
    <x v="0"/>
    <n v="7208"/>
    <m/>
    <s v="Tanger/Casa"/>
    <n v="6.13"/>
    <x v="2"/>
    <s v="N2"/>
    <x v="1"/>
    <s v="H.O  non finalisé  entre 202et 303 qualité /niveau de signal : dl rx-qual=7 , dl rx level = -52 dbm. ,Requête de déconnexion a été envoyée par RBC"/>
    <m/>
    <x v="0"/>
    <s v="Dans l'attente de la mise en place des tiroires monomode"/>
    <s v="H.O : non finalisé entre 202 et 303"/>
    <s v="dl Rxqual=7"/>
    <s v="dl rx level= -52 dbm"/>
    <s v="OK"/>
    <s v="OK"/>
    <s v="Mauvais"/>
    <s v="retransmission des trames HDLC*5"/>
    <m/>
    <m/>
    <m/>
    <m/>
    <m/>
    <m/>
    <m/>
    <m/>
    <m/>
  </r>
  <r>
    <n v="319"/>
    <x v="0"/>
    <x v="154"/>
    <d v="1899-12-30T20:12:36"/>
    <n v="2057"/>
    <x v="4"/>
    <x v="0"/>
    <n v="1058"/>
    <m/>
    <s v="Tanger/Casa"/>
    <n v="21.55"/>
    <x v="20"/>
    <s v="N2"/>
    <x v="1"/>
    <s v="H.O  complete entre 204et 205 qualité /niveau de signal : dl rx-qual=0 , dl rx level = -66 dbm. ,Requête de déconnexion a été envoyée par le RBC"/>
    <m/>
    <x v="5"/>
    <s v="Attente Verification des traces M2000"/>
    <s v="H.O : Complet entre 204 et 205"/>
    <s v="dl Rxqual=0"/>
    <s v="dl rx level= -66 dbm"/>
    <s v="OK"/>
    <s v="OK"/>
    <s v="Mauvais"/>
    <s v="retransmission des trames HDLC*5"/>
    <m/>
    <m/>
    <m/>
    <m/>
    <m/>
    <m/>
    <m/>
    <m/>
    <m/>
  </r>
  <r>
    <n v="320"/>
    <x v="0"/>
    <x v="155"/>
    <d v="1899-12-30T09:08:33"/>
    <n v="2013"/>
    <x v="7"/>
    <x v="0"/>
    <n v="1055"/>
    <m/>
    <s v="Tanger/Casa"/>
    <n v="13.712999999999999"/>
    <x v="22"/>
    <s v="N2"/>
    <x v="1"/>
    <s v="H.O complete entre 303 et 204 qualité /niveau de signal : dl rx-qual=1 , dl rx level = -59 dbm. ,Requête de déconnexion a été envoyée par RBC"/>
    <m/>
    <x v="5"/>
    <s v="Attente Croisement des donnees"/>
    <s v="H.O : Complet entre 303 et 204"/>
    <s v="dl Rxqual=1"/>
    <s v="dl rx level= -59 dbm"/>
    <s v="OK"/>
    <s v="OK"/>
    <s v="moyen"/>
    <s v="retransmission des trames HDLC*5"/>
    <m/>
    <s v="SGHAYER Achraf"/>
    <m/>
    <m/>
    <m/>
    <m/>
    <m/>
    <m/>
    <m/>
  </r>
  <r>
    <n v="321"/>
    <x v="0"/>
    <x v="155"/>
    <d v="1899-12-30T09:25:10"/>
    <n v="2013"/>
    <x v="7"/>
    <x v="0"/>
    <n v="1055"/>
    <m/>
    <s v="Tanger/Casa"/>
    <n v="44.47"/>
    <x v="16"/>
    <s v="N2"/>
    <x v="1"/>
    <s v="H.O complete entre 207 et 208 qualité /niveau de signal : dl rx-qual=3 , dl rx level = -63 dbm. ,Requête de déconnexion a été envoyée par RBC"/>
    <m/>
    <x v="5"/>
    <s v="Necessite analysé ERTMS"/>
    <s v="H.O : Complet entre 207 et 208"/>
    <s v="dl Rxqual=3"/>
    <s v="dl rx level= -63 dbm"/>
    <s v="OK"/>
    <s v="OK"/>
    <s v="moyen"/>
    <s v="retransmission des trames HDLC*5"/>
    <m/>
    <s v="SGHAYER Achraf"/>
    <m/>
    <m/>
    <m/>
    <m/>
    <m/>
    <m/>
    <m/>
  </r>
  <r>
    <n v="322"/>
    <x v="0"/>
    <x v="155"/>
    <d v="1899-12-30T14:05:37"/>
    <n v="2033"/>
    <x v="2"/>
    <x v="0"/>
    <n v="7218"/>
    <m/>
    <s v="Tanger/Casa"/>
    <n v="7.3209999999999997"/>
    <x v="2"/>
    <s v="N2"/>
    <x v="0"/>
    <s v="H.O  non finalisé  entre 202et 301 qualité /niveau de signal : dl rx-qual=6 , dl rx level = -50 dbm. ,Requête de déconnexion a été envoyée par MSC"/>
    <m/>
    <x v="0"/>
    <s v="Dans l'attente de la mise en place des tiroires monomode"/>
    <s v="H.O : non finalisé entre 202 et 301"/>
    <s v="dl Rxqual=6"/>
    <s v="dl rx level= -50 dbm"/>
    <s v="OK"/>
    <s v="OK"/>
    <s v="Mauvais"/>
    <s v="retransmission des trames HDLC*5"/>
    <m/>
    <s v="SGHAYER Achraf"/>
    <m/>
    <m/>
    <m/>
    <m/>
    <m/>
    <m/>
    <m/>
  </r>
  <r>
    <n v="323"/>
    <x v="0"/>
    <x v="155"/>
    <d v="1899-12-30T15:05:05"/>
    <n v="2037"/>
    <x v="3"/>
    <x v="0"/>
    <n v="1046"/>
    <m/>
    <s v="Tanger/Casa"/>
    <n v="7.3209999999999997"/>
    <x v="2"/>
    <s v="N2"/>
    <x v="0"/>
    <s v="H.O  non finalisé  entre 302et 301 qualité /niveau de signal : dl rx-qual=4 , dl rx level = -49 dbm. ,Requête de déconnexion a été envoyée par RBC"/>
    <m/>
    <x v="0"/>
    <s v="Dans l'attente de la mise en place des tiroires monomode"/>
    <s v="H.O : non finalisé entre 302 et 301"/>
    <s v="dl Rxqual=4"/>
    <s v="dl rx level= -49 dbm"/>
    <s v="NOK"/>
    <s v="OK"/>
    <s v="Mauvais"/>
    <s v="retransmission des trames HDLC*5"/>
    <m/>
    <s v="SGHAYER Achraf"/>
    <m/>
    <m/>
    <m/>
    <m/>
    <m/>
    <m/>
    <m/>
  </r>
  <r>
    <n v="324"/>
    <x v="0"/>
    <x v="155"/>
    <d v="1899-12-30T21:04:43"/>
    <n v="2061"/>
    <x v="3"/>
    <x v="0"/>
    <n v="1046"/>
    <m/>
    <s v="Tanger/Casa"/>
    <n v="6.13"/>
    <x v="2"/>
    <s v="N2"/>
    <x v="1"/>
    <s v="H.O  non finalisé  entre 202et 301 qualité /niveau de signal : dl rx-qual=3 , dl rx level = -50 dbm. ,Requête de déconnexion a été envoyée par MSC"/>
    <m/>
    <x v="0"/>
    <s v="Dans l'attente de la mise en place des tiroires monomode"/>
    <s v="H.O : non finalisé entre 202 et 301"/>
    <s v="dl Rxqual=3"/>
    <s v="dl rx level= -50 dbm"/>
    <s v="OK"/>
    <s v="OK"/>
    <s v="Mauvais"/>
    <s v="retransmission des trames HDLC*4"/>
    <m/>
    <s v="ELHAJOUIA Achraf"/>
    <m/>
    <m/>
    <m/>
    <m/>
    <m/>
    <m/>
    <m/>
  </r>
  <r>
    <n v="325"/>
    <x v="0"/>
    <x v="156"/>
    <d v="1899-12-30T17:05:59"/>
    <n v="2045"/>
    <x v="10"/>
    <x v="0"/>
    <n v="7206"/>
    <m/>
    <s v="Tanger/Casa"/>
    <n v="6.13"/>
    <x v="2"/>
    <s v="N2"/>
    <x v="0"/>
    <s v="H.O  non finalisé  entre 201et 302 qualité /niveau de signal : dl rx-qual=7, dl rx level = -58 dbm. ,Requête de déconnexion a été envoyée par RBC"/>
    <m/>
    <x v="0"/>
    <s v="Dans l'attente de la mise en place des tiroires monomode"/>
    <s v="H.O : non finalisé entre 201 et 302"/>
    <s v="dl Rxqual=7"/>
    <s v="dl rx level= -58 dbm"/>
    <s v="NOK"/>
    <s v="OK"/>
    <s v="Mauvais"/>
    <s v="retransmission des trames HDLC*5"/>
    <m/>
    <s v="ISMALI ALAOUI Hamza"/>
    <m/>
    <m/>
    <m/>
    <m/>
    <m/>
    <m/>
    <m/>
  </r>
  <r>
    <n v="326"/>
    <x v="0"/>
    <x v="157"/>
    <d v="1899-12-30T12:05:39"/>
    <n v="2025"/>
    <x v="11"/>
    <x v="0"/>
    <n v="1048"/>
    <n v="35214500046078"/>
    <s v="Tanger/Casa"/>
    <n v="6.13"/>
    <x v="2"/>
    <s v="N2"/>
    <x v="1"/>
    <s v="Plusieurs ping pong HO entre le 202 et la 301, le dernier HO entre 202 et 301 a fini par un echec /niveau de signal : dl rx-qual=7, dl rx level = -55 dbm, Requête de déconnexion a été envoyée par le bord due au mauvaises conditions radio"/>
    <m/>
    <x v="0"/>
    <s v="Dans l'attente de la mise en place des tiroires monomode"/>
    <s v="H.O : non finalisé entre 202 et 301"/>
    <s v="dl Rxqual=7"/>
    <s v="dl rx level= -55 dbm"/>
    <s v="NOK"/>
    <s v="OK"/>
    <s v="Mauvais"/>
    <s v="retransmission des trames HDLC*4"/>
    <m/>
    <s v="HIANI Adnane"/>
    <m/>
    <m/>
    <m/>
    <m/>
    <m/>
    <m/>
    <m/>
  </r>
  <r>
    <n v="327"/>
    <x v="0"/>
    <x v="157"/>
    <d v="1899-12-30T16:35:32"/>
    <n v="1037"/>
    <x v="11"/>
    <x v="1"/>
    <n v="1072"/>
    <n v="35214500045424"/>
    <s v="Casa/Tanger"/>
    <n v="145.54"/>
    <x v="3"/>
    <s v="N2"/>
    <x v="0"/>
    <s v="H.O  Complet  entre 326et 325 qualité /niveau de signal : dl rx-qual=0, dl rx level = -50 dbm. ,Requête de déconnexion a été envoyée par RBC"/>
    <m/>
    <x v="5"/>
    <s v="Attente Croisement des donnees"/>
    <s v="H.O : Complet entre 326 et 325"/>
    <s v="dl Rxqual=0"/>
    <s v="dl rx level= -50 dbm"/>
    <s v="OK"/>
    <s v="OK"/>
    <s v="Mauvais"/>
    <s v="retransmission des trames HDLC*5"/>
    <m/>
    <s v="ISMALI ALAOUI Hamza"/>
    <m/>
    <m/>
    <m/>
    <m/>
    <m/>
    <m/>
    <m/>
  </r>
  <r>
    <n v="328"/>
    <x v="0"/>
    <x v="157"/>
    <d v="1899-12-30T20:05:23"/>
    <n v="2057"/>
    <x v="3"/>
    <x v="0"/>
    <n v="1046"/>
    <n v="35214500038730"/>
    <s v="Tanger/Casa"/>
    <n v="6.13"/>
    <x v="2"/>
    <s v="N2"/>
    <x v="1"/>
    <s v="H.O  non finalisé  entre 202et 303 qualité /niveau de signal : dl rx-qual=7 , dl rx level = -52 dbm. ,Requête de déconnexion a été envoyée par MSC"/>
    <m/>
    <x v="0"/>
    <s v="Dans l'attente de la mise en place des tiroires monomode"/>
    <s v="H.O : non finalisé entre 202 et 303"/>
    <s v="dl Rxqual=7"/>
    <s v="dl rx level= -52 dbm"/>
    <s v="NOK"/>
    <s v="OK"/>
    <s v="Mauvais"/>
    <s v="retransmission des trames HDLC*5"/>
    <m/>
    <s v="ISMALI ALAOUI Hamza"/>
    <m/>
    <m/>
    <m/>
    <m/>
    <m/>
    <m/>
    <m/>
  </r>
  <r>
    <n v="329"/>
    <x v="0"/>
    <x v="158"/>
    <d v="1899-12-30T14:15:47"/>
    <n v="2033"/>
    <x v="7"/>
    <x v="0"/>
    <n v="1055"/>
    <n v="35214500036582"/>
    <s v="Tanger/Casa"/>
    <n v="44.47"/>
    <x v="16"/>
    <s v="N2"/>
    <x v="0"/>
    <s v="H.O  complet  entre 207et 208 qualité /niveau de signal : dl rx-qual=1 , dl rx level = -53 dbm. ,Requête de déconnexion a été envoyée par RBC"/>
    <m/>
    <x v="6"/>
    <s v="En attente de pousser les analyses coté Bord /RBC"/>
    <s v="H.O : complet entre 207 et 208"/>
    <s v="dl Rxqual=1"/>
    <s v="dl rx level= -53 dbm"/>
    <s v="OK"/>
    <s v="OK"/>
    <s v="Mauvais"/>
    <s v="retransmission des trames HDLC*5"/>
    <m/>
    <s v="ISMALI ALAOUI Hamza"/>
    <m/>
    <m/>
    <m/>
    <m/>
    <m/>
    <m/>
    <m/>
  </r>
  <r>
    <n v="330"/>
    <x v="0"/>
    <x v="158"/>
    <d v="1899-12-30T17:05:44"/>
    <n v="2045"/>
    <x v="1"/>
    <x v="0"/>
    <n v="1029"/>
    <n v="35214500045449"/>
    <s v="Tanger/Casa"/>
    <n v="6.13"/>
    <x v="2"/>
    <s v="N2"/>
    <x v="0"/>
    <s v="H.O  complet  entre 202et 303 qualité /niveau de signal : dl rx-qual=5 , dl rx level = -75 dbm. ,Requête de déconnexion a été envoyée par RBC"/>
    <m/>
    <x v="0"/>
    <s v="En attente de mise en place des tiroires filtrés"/>
    <s v="H.O : complet entre 202 et 303"/>
    <s v="dl Rxqual=5"/>
    <s v="dl rx level= -75 dbm"/>
    <s v="OK"/>
    <s v="OK"/>
    <s v="Mauvais"/>
    <s v="retransmission des trames HDLC*5"/>
    <m/>
    <s v="ISMALI ALAOUI Hamza"/>
    <m/>
    <m/>
    <m/>
    <m/>
    <m/>
    <m/>
    <m/>
  </r>
  <r>
    <n v="331"/>
    <x v="0"/>
    <x v="158"/>
    <d v="1899-12-30T20:09:00"/>
    <n v="1050"/>
    <x v="2"/>
    <x v="1"/>
    <n v="1035"/>
    <n v="35214500046011"/>
    <s v="Casa/Tanger"/>
    <n v="7.3209999999999997"/>
    <x v="2"/>
    <s v="N2"/>
    <x v="0"/>
    <s v="H.O  non finalisé entre 301et 202 qualité /niveau de signal : dl rx-qual=6 , dl rx level = -81dbm. ,Requête de déconnexion a été envoyée par RBC"/>
    <m/>
    <x v="0"/>
    <s v="En attente de mise en place des tiroires filtrés"/>
    <s v="H.O : non finalisé entre 301 et 202"/>
    <s v="dl Rxqual=6"/>
    <s v="dl rx level= -81 dbm"/>
    <s v="OK"/>
    <s v="OK"/>
    <s v="Mauvais"/>
    <s v="retransmission des trames HDLC*5"/>
    <m/>
    <s v="Fahd OUSSALH"/>
    <m/>
    <m/>
    <m/>
    <m/>
    <m/>
    <m/>
    <m/>
  </r>
  <r>
    <n v="332"/>
    <x v="0"/>
    <x v="158"/>
    <d v="1899-12-30T21:05:04"/>
    <n v="2061"/>
    <x v="2"/>
    <x v="0"/>
    <n v="7217"/>
    <n v="35214500044557"/>
    <s v="Tanger/Casa"/>
    <n v="6.13"/>
    <x v="2"/>
    <s v="N2"/>
    <x v="1"/>
    <s v="H.O  non finalisé   entre 301et 202 qualité /niveau de signal : dl rx-qual=7 , dl rx level = -53dbm. ,Requête de déconnexion a été envoyée par RBC"/>
    <m/>
    <x v="0"/>
    <s v="En attente de mise en place des tiroires filtrés"/>
    <s v="H.O : non finalisé entre 301 et 202"/>
    <s v="dl Rxqual=7"/>
    <s v="dl rx level= -53 dbm"/>
    <s v="NOK"/>
    <s v="OK"/>
    <s v="Mauvais"/>
    <s v="retransmission des trames HDLC*5"/>
    <m/>
    <s v="Fahd OUSSALH"/>
    <m/>
    <m/>
    <m/>
    <m/>
    <m/>
    <m/>
    <m/>
  </r>
  <r>
    <n v="333"/>
    <x v="0"/>
    <x v="159"/>
    <d v="1899-12-30T17:32:53"/>
    <n v="2045"/>
    <x v="0"/>
    <x v="0"/>
    <n v="1037"/>
    <n v="35214500045488"/>
    <s v="Tanger/Casa"/>
    <n v="123.901"/>
    <x v="30"/>
    <s v="N2"/>
    <x v="0"/>
    <s v="H.O  complet  entre 321et 322 qualité /niveau de signal : dl rx-qual=0 , dl rx level = -48dbm. ,Requête de déconnexion a été envoyée par RBC"/>
    <m/>
    <x v="6"/>
    <s v="En attente de pousser les analyses coté Bord /RBC"/>
    <s v="H.O : complet entre 321 et 322"/>
    <s v="dl Rxqual=0"/>
    <s v="dl rx level= -48 dbm"/>
    <s v="OK"/>
    <s v="OK"/>
    <s v="Mauvais"/>
    <s v="retransmission des trames HDLC*5"/>
    <m/>
    <s v="ELHAJOUIA Achraf"/>
    <m/>
    <m/>
    <m/>
    <m/>
    <m/>
    <m/>
    <m/>
  </r>
  <r>
    <n v="334"/>
    <x v="0"/>
    <x v="160"/>
    <d v="1899-12-30T07:35:39"/>
    <n v="1065"/>
    <x v="1"/>
    <x v="1"/>
    <n v="3062"/>
    <n v="35214500017596"/>
    <s v="Casa/Tanger"/>
    <n v="78.155000000000001"/>
    <x v="11"/>
    <s v="N2"/>
    <x v="0"/>
    <s v="H.O  complet  entre 315 et 314 qualité /niveau de signal : dl rx-qual=0 , dl rx level = -52dbm. ,Requête de déconnexion a été envoyée par RBC"/>
    <m/>
    <x v="6"/>
    <s v="En attente de pousser les analyses coté Bord /RBC"/>
    <s v="H.O : complet entre 315 et 314"/>
    <s v="dl Rxqual=0"/>
    <s v="dl rx level= -52 dbm"/>
    <s v="OK"/>
    <s v="OK"/>
    <s v="Mauvais"/>
    <s v="retransmission des trames HDLC*5"/>
    <m/>
    <s v="Saad Elhabib"/>
    <m/>
    <m/>
    <m/>
    <m/>
    <m/>
    <m/>
    <m/>
  </r>
  <r>
    <n v="335"/>
    <x v="0"/>
    <x v="160"/>
    <d v="1899-12-30T15:26:56"/>
    <n v="2037"/>
    <x v="8"/>
    <x v="0"/>
    <n v="1043"/>
    <n v="35214500045200"/>
    <s v="Tanger/Casa"/>
    <n v="101.587"/>
    <x v="24"/>
    <s v="N2"/>
    <x v="0"/>
    <s v="H.O  non finalisé   entre 218et 219 qualité /niveau de signal : dl rx-qual=0 , dl rx level = -64dbm. ,Requête de déconnexion a été envoyée par RBC"/>
    <m/>
    <x v="2"/>
    <s v="En attente de mise en place des tiroires filtrés/Attente vérification par l'équipe SOR"/>
    <s v="H.O : non finalisé entre 218 et 219"/>
    <s v="dl Rxqual=0"/>
    <s v="dl rx level= -64 dbm"/>
    <s v="NOK"/>
    <s v="OK"/>
    <s v="Mauvais"/>
    <s v="retransmission des trames HDLC*5"/>
    <m/>
    <s v="ELHAJOUIA Achraf"/>
    <m/>
    <m/>
    <m/>
    <m/>
    <m/>
    <m/>
    <m/>
  </r>
  <r>
    <n v="336"/>
    <x v="0"/>
    <x v="160"/>
    <d v="1899-12-30T22:06:04"/>
    <n v="10081"/>
    <x v="2"/>
    <x v="0"/>
    <n v="7217"/>
    <n v="35214500044557"/>
    <s v="Tanger/Casa"/>
    <n v="6.13"/>
    <x v="2"/>
    <s v="N2"/>
    <x v="1"/>
    <s v="H.O  recule non finalisé  entre 202 et 201 qualité /niveau de signal : dl rx-qual=5 , dl rx level = -52dbm. ,Requête de déconnexion a été envoyée par RBC"/>
    <m/>
    <x v="0"/>
    <s v="En attente de mise en place des tiroires filtrés"/>
    <s v="H.O : non finalisé entre 202 et 201"/>
    <s v="dl Rxqual=5"/>
    <s v="dl rx level= -52 dbm"/>
    <s v="NOK"/>
    <s v="OK"/>
    <s v="Mauvais"/>
    <s v="retransmission des trames HDLC*5"/>
    <m/>
    <s v="Fahd OUSSALH"/>
    <m/>
    <m/>
    <m/>
    <m/>
    <m/>
    <m/>
    <m/>
  </r>
  <r>
    <n v="337"/>
    <x v="0"/>
    <x v="161"/>
    <d v="1899-12-30T08:28:09"/>
    <n v="2009"/>
    <x v="0"/>
    <x v="0"/>
    <n v="1036"/>
    <n v="35214500044557"/>
    <s v="Tanger/Casa"/>
    <n v="109.5"/>
    <x v="1"/>
    <s v="N2"/>
    <x v="1"/>
    <s v="H.O  non finalisé   entre 220 et 322  qualité /niveau de signal : dl rx-qual=7 , dl rx level = -68dbm. ,Requête de déconnexion a été envoyée par RBC"/>
    <m/>
    <x v="2"/>
    <s v="En attente de mise en place des tiroires filtrés/Attente vérification par l'équipe SOR"/>
    <s v="H.O : non finalisé entre 220 et 322"/>
    <s v="dl Rxqual=7"/>
    <s v="dl rx level= -68 dbm"/>
    <s v="OK"/>
    <s v="OK"/>
    <s v="Mauvais"/>
    <s v="retransmission des trames HDLC*5"/>
    <m/>
    <s v="Saad Elhabib"/>
    <m/>
    <m/>
    <m/>
    <m/>
    <m/>
    <m/>
    <m/>
  </r>
  <r>
    <n v="338"/>
    <x v="0"/>
    <x v="161"/>
    <d v="1899-12-30T15:32:14"/>
    <n v="2037"/>
    <x v="3"/>
    <x v="0"/>
    <n v="1047"/>
    <n v="35214500038727"/>
    <s v="Tanger/Casa"/>
    <n v="126.51"/>
    <x v="6"/>
    <s v="N2"/>
    <x v="0"/>
    <s v="H.O  non finalisé   entre 222 et 323  qualité /niveau de signal : dl rx-qual=0 , dl rx level = -77dbm. ,Requête de déconnexion a été envoyée par Bord"/>
    <m/>
    <x v="2"/>
    <s v="En attente de mise en place des tiroires filtrés/Attente vérification par l'équipe SOR"/>
    <s v="H.O : non finalisé entre 222 et 323"/>
    <s v="dl Rxqual=0"/>
    <s v="dl rx level= -77 dbm"/>
    <s v="OK"/>
    <s v="OK"/>
    <s v="Mauvais"/>
    <s v="retransmission des trames HDLC*5"/>
    <m/>
    <s v="ELHAJOUIA Achraf"/>
    <m/>
    <m/>
    <m/>
    <m/>
    <m/>
    <m/>
    <m/>
  </r>
  <r>
    <n v="339"/>
    <x v="0"/>
    <x v="161"/>
    <d v="1899-12-30T20:29:35"/>
    <n v="2057"/>
    <x v="0"/>
    <x v="0"/>
    <n v="1037"/>
    <n v="35214500045488"/>
    <s v="Tanger/Casa"/>
    <n v="117.258"/>
    <x v="17"/>
    <s v="N2"/>
    <x v="0"/>
    <s v="H.O  non finalisé   entre 220 et 321  qualité /niveau de signal : dl rx-qual=0 , dl rx level = -63dbm. ,Requête de déconnexion a été envoyée par Bord"/>
    <m/>
    <x v="2"/>
    <s v="En attente de mise en place des tiroires filtrés/Attente vérification par l'équipe SOR"/>
    <s v="H.O : non finalisé entre 220 et 321"/>
    <s v="dl Rxqual=0"/>
    <s v="dl rx level= -63 dbm"/>
    <s v="OK"/>
    <s v="OK"/>
    <s v="Mauvais"/>
    <s v="retransmission des trames HDLC*4"/>
    <m/>
    <s v="ELHAJOUIA Achraf"/>
    <m/>
    <m/>
    <m/>
    <m/>
    <m/>
    <m/>
    <m/>
  </r>
  <r>
    <n v="340"/>
    <x v="0"/>
    <x v="161"/>
    <d v="1899-12-30T21:05:17"/>
    <n v="2061"/>
    <x v="3"/>
    <x v="0"/>
    <n v="1046"/>
    <n v="35214500038730"/>
    <s v="Tanger/Casa"/>
    <n v="6.13"/>
    <x v="2"/>
    <s v="N2"/>
    <x v="0"/>
    <s v="H.O  non finalisé   entre 302 et 203  qualité /niveau de signal : dl rx-qual=7 , dl rx level = -55dbm. ,Requête de déconnexion a été envoyée par RBC"/>
    <m/>
    <x v="0"/>
    <s v="En attente de mise en place des tiroires filtrés"/>
    <s v="H.O : non finalisé entre 302 et 303"/>
    <s v="dl Rxqual=7"/>
    <s v="dl rx level= -55 dbm"/>
    <s v="OK"/>
    <s v="OK"/>
    <s v="Mauvais"/>
    <s v="retransmission des trames HDLC*5"/>
    <m/>
    <s v="HARIRI Bahaeddine"/>
    <m/>
    <m/>
    <m/>
    <m/>
    <m/>
    <m/>
    <m/>
  </r>
  <r>
    <n v="341"/>
    <x v="0"/>
    <x v="162"/>
    <d v="1899-12-30T11:50:46"/>
    <n v="1017"/>
    <x v="11"/>
    <x v="1"/>
    <n v="1072"/>
    <n v="35214500045424"/>
    <s v="Casa/Tanger"/>
    <n v="94.953999999999994"/>
    <x v="8"/>
    <s v="N2"/>
    <x v="0"/>
    <s v="H.O  non finalisé   entre 318 et 317 qualité /niveau de signal : dl rx-qual=5 , dl rx level = -83dbm. ,Requête de déconnexion a été envoyée par RBC"/>
    <m/>
    <x v="1"/>
    <s v="Zone sous surveillance "/>
    <s v="H.O : non finalisé entre 318 et 317"/>
    <s v="dl Rxqual=5"/>
    <s v="dl rx level= -83 dbm"/>
    <s v="OK"/>
    <s v="OK"/>
    <s v="Mauvais"/>
    <s v="retransmission des trames HDLC*5"/>
    <m/>
    <s v="ELHAJOUIA Achraf"/>
    <m/>
    <m/>
    <m/>
    <m/>
    <m/>
    <m/>
    <m/>
  </r>
  <r>
    <n v="342"/>
    <x v="0"/>
    <x v="162"/>
    <d v="1899-12-30T16:05:16"/>
    <n v="2041"/>
    <x v="11"/>
    <x v="0"/>
    <n v="1049"/>
    <n v="35214500046076"/>
    <s v="Tanger/Casa"/>
    <n v="6.13"/>
    <x v="2"/>
    <s v="N2"/>
    <x v="0"/>
    <s v="H.O  complet  entre 202 et 203  qualité /niveau de signal : dl rx-qual=5 , dl rx level = -68dbm. ,Requête de déconnexion a été envoyée par RBC"/>
    <m/>
    <x v="0"/>
    <s v="En attente de mise en place des tiroires filtrés"/>
    <s v="H.O : complet entre 202 et 203"/>
    <s v="dl Rxqual=5"/>
    <s v="dl rx level= -68 dbm"/>
    <s v="OK"/>
    <s v="OK"/>
    <s v="Mauvais"/>
    <s v="retransmission des trames HDLC*5"/>
    <m/>
    <s v="ELHAJOUIA Achraf"/>
    <m/>
    <m/>
    <m/>
    <m/>
    <m/>
    <m/>
    <m/>
  </r>
  <r>
    <n v="343"/>
    <x v="0"/>
    <x v="162"/>
    <d v="1899-12-30T17:04:55"/>
    <n v="2045"/>
    <x v="10"/>
    <x v="0"/>
    <n v="7206"/>
    <n v="35214500026718"/>
    <s v="Tanger/Casa"/>
    <n v="6.13"/>
    <x v="2"/>
    <s v="N2"/>
    <x v="1"/>
    <s v="H.O  non finalisé   entre 202 et 301 qualité /niveau de signal : dl rx-qual=7 , dl rx level = -54dbm. ,Requête de déconnexion a été envoyée par le Bord"/>
    <m/>
    <x v="0"/>
    <s v="En attente de mise en place des tiroires filtrés"/>
    <s v="H.O : non finalisé entre 202 et 301"/>
    <s v="dl Rxqual=7"/>
    <s v="dl rx level= -54 dbm"/>
    <s v="OK"/>
    <s v="OK"/>
    <s v="Mauvais"/>
    <s v="retransmission des trames HDLC*4"/>
    <m/>
    <s v="ELHAJOUIA Achraf"/>
    <m/>
    <m/>
    <m/>
    <m/>
    <m/>
    <m/>
    <m/>
  </r>
  <r>
    <n v="344"/>
    <x v="0"/>
    <x v="163"/>
    <d v="1899-12-30T14:05:29"/>
    <n v="2033"/>
    <x v="11"/>
    <x v="0"/>
    <n v="1048"/>
    <n v="35214500046078"/>
    <s v="Tanger/Casa"/>
    <n v="6.13"/>
    <x v="2"/>
    <s v="N2"/>
    <x v="0"/>
    <s v="H.O  non finalisé   entre  302 et 203 qualité /niveau de signal : dl rx-qual=7 , dl rx level = -54dbm. ,Requête de déconnexion a été envoyée par le Bord"/>
    <m/>
    <x v="0"/>
    <s v="En attente de mise en place des tiroires filtrés"/>
    <s v="H.O : non finalisé entre 302 et 203"/>
    <s v="dl Rxqual=7"/>
    <s v="dl rx level= -54 dbm"/>
    <s v="OK"/>
    <s v="NOK"/>
    <s v="Mauvais"/>
    <s v="retransmission des trames HDLC*5"/>
    <m/>
    <s v="Noura MOUSSAOUI"/>
    <m/>
    <m/>
    <m/>
    <m/>
    <m/>
    <m/>
    <m/>
  </r>
  <r>
    <n v="345"/>
    <x v="0"/>
    <x v="163"/>
    <d v="1899-12-30T16:14:36"/>
    <n v="1033"/>
    <x v="5"/>
    <x v="1"/>
    <n v="1027"/>
    <n v="35214500045083"/>
    <s v="Casa/Tanger"/>
    <n v="7.3209999999999997"/>
    <x v="2"/>
    <s v="N2"/>
    <x v="0"/>
    <s v="H.O  complet  entre 202 et 303  qualité /niveau de signal : dl rx-qual=0 , dl rx level = -79dbm. ,Requête de déconnexion a été envoyée par RBC"/>
    <m/>
    <x v="0"/>
    <s v="En attente de mise en place des tiroires filtrés"/>
    <s v="H.O : complet entre 202 et 303"/>
    <s v="dl Rxqual=0"/>
    <s v="dl rx level= -79 dbm"/>
    <s v="OK"/>
    <s v="OK"/>
    <s v="Mauvais"/>
    <s v="retransmission des trames HDLC*5"/>
    <m/>
    <s v="ELHAJOUIA Achraf"/>
    <m/>
    <m/>
    <m/>
    <m/>
    <m/>
    <m/>
    <m/>
  </r>
  <r>
    <n v="346"/>
    <x v="0"/>
    <x v="163"/>
    <d v="1899-12-30T20:23:22"/>
    <n v="2057"/>
    <x v="11"/>
    <x v="0"/>
    <n v="1049"/>
    <n v="35214500046076"/>
    <s v="Tanger/Casa"/>
    <n v="86.238"/>
    <x v="12"/>
    <s v="N2"/>
    <x v="1"/>
    <s v="H.O  complet  entre 215 et 316  qualité /niveau de signal : dl rx-qual=0 , dl rx level = -61dbm. ,Requête de déconnexion a été envoyée par RBC"/>
    <m/>
    <x v="6"/>
    <s v="En attente de pousser les analyses coté Bord /RBC"/>
    <s v="H.O : complet entre 215 et 316"/>
    <s v="dl Rxqual=0"/>
    <s v="dl rx level= -61 dbm"/>
    <s v="OK"/>
    <s v="OK"/>
    <s v="Mauvais"/>
    <s v="retransmission des trames HDLC*5"/>
    <m/>
    <s v="ELHAJOUIA Achraf"/>
    <m/>
    <m/>
    <m/>
    <m/>
    <m/>
    <m/>
    <m/>
  </r>
  <r>
    <n v="347"/>
    <x v="0"/>
    <x v="164"/>
    <d v="1899-12-30T08:07:11"/>
    <n v="1001"/>
    <x v="5"/>
    <x v="1"/>
    <n v="1026"/>
    <n v="35214500045329"/>
    <s v="Casa/Tanger"/>
    <n v="10.125"/>
    <x v="22"/>
    <s v="N2"/>
    <x v="1"/>
    <s v="H.O  complet  entre 304 et 303  qualité /niveau de signal : dl rx-qual=0 , dl rx level = -48dbm. ,Requête de déconnexion a été envoyée par RBC"/>
    <m/>
    <x v="1"/>
    <s v="Zone sous surveillance par équipe NOC GSMR"/>
    <s v="H.O : complet entre 304 et 303"/>
    <s v="dl Rxqual=0"/>
    <s v="dl rx level= -48 dbm"/>
    <s v="NOK"/>
    <s v="OK"/>
    <s v="Mauvais"/>
    <s v="pas de retransmission des trames HDLC"/>
    <m/>
    <s v="Nassim NAJIM"/>
    <m/>
    <m/>
    <m/>
    <m/>
    <m/>
    <m/>
    <m/>
  </r>
  <r>
    <n v="348"/>
    <x v="0"/>
    <x v="164"/>
    <d v="1899-12-30T20:04:47"/>
    <n v="2057"/>
    <x v="3"/>
    <x v="0"/>
    <n v="1046"/>
    <n v="35214500038730"/>
    <s v="Tanger/Casa"/>
    <n v="6.13"/>
    <x v="2"/>
    <s v="N2"/>
    <x v="1"/>
    <s v="H.O  non finalisé   entre 202 et 301 qualité /niveau de signal : dl rx-qual=0 , dl rx level = -51dbm. ,Requête de déconnexion a été envoyée par le Bord"/>
    <m/>
    <x v="0"/>
    <s v="En attente de mise en place des tiroires filtrés"/>
    <s v="H.O : non finalisé entre 202 et 301"/>
    <s v="dl Rxqual=0"/>
    <s v="dl rx level= -51 dbm"/>
    <s v="NOK"/>
    <s v="OK"/>
    <s v="Mauvais"/>
    <s v="pas de retransmission des trames HDLC"/>
    <m/>
    <s v="Fahd OUSSALH"/>
    <m/>
    <m/>
    <m/>
    <m/>
    <m/>
    <m/>
    <m/>
  </r>
  <r>
    <n v="349"/>
    <x v="0"/>
    <x v="164"/>
    <d v="1899-12-30T21:42:48"/>
    <n v="2061"/>
    <x v="0"/>
    <x v="0"/>
    <n v="1036"/>
    <n v="35214500045461"/>
    <s v="Tanger/Casa"/>
    <n v="177.85"/>
    <x v="4"/>
    <s v="N2"/>
    <x v="1"/>
    <s v="H.O  complet   entre 229 et 230 qualité /niveau de signal : dl rx-qual=0 , dl rx level = -61dbm. ,Requête de déconnexion a été envoyée par le RBC"/>
    <m/>
    <x v="6"/>
    <s v="En attente de pousser les analyses coté Bord /RBC"/>
    <s v="H.O : complet entre 229 et 230"/>
    <s v="dl Rxqual=0"/>
    <s v="dl rx level= -61 dbm"/>
    <s v="OK"/>
    <s v="OK"/>
    <s v="Mauvais"/>
    <s v="retransmission des trames HDLC*5"/>
    <m/>
    <s v="HARIRI Bahaeddine"/>
    <m/>
    <m/>
    <m/>
    <m/>
    <m/>
    <m/>
    <m/>
  </r>
  <r>
    <n v="350"/>
    <x v="0"/>
    <x v="165"/>
    <d v="1899-12-30T12:05:33"/>
    <n v="2025"/>
    <x v="4"/>
    <x v="0"/>
    <n v="7208"/>
    <n v="35214500004427"/>
    <s v="Tanger/Casa"/>
    <n v="6.13"/>
    <x v="2"/>
    <s v="N2"/>
    <x v="0"/>
    <s v="H.O  complet   entre 202 et 303 qualité /niveau de signal : dl rx-qual=6 , dl rx level = -51dbm. ,Requête de déconnexion a été envoyée par le RBC"/>
    <m/>
    <x v="0"/>
    <s v="En attente de mise en place des tiroires filtrés"/>
    <s v="H.O : complet entre 202 et 303"/>
    <s v="dl Rxqual=6"/>
    <s v="dl rx level= -51 dbm"/>
    <s v="NOK"/>
    <s v="OK"/>
    <s v="Mauvais"/>
    <s v="retransmission des trames HDLC*5"/>
    <m/>
    <s v="Nassim NAJIM"/>
    <m/>
    <m/>
    <m/>
    <m/>
    <m/>
    <m/>
    <m/>
  </r>
  <r>
    <n v="351"/>
    <x v="0"/>
    <x v="165"/>
    <d v="1899-12-30T15:19:49"/>
    <n v="2037"/>
    <x v="8"/>
    <x v="0"/>
    <n v="1042"/>
    <n v="35214500045498"/>
    <s v="Tanger/Casa"/>
    <n v="60.945"/>
    <x v="21"/>
    <s v="N2"/>
    <x v="0"/>
    <s v="H.O  complet   entre 210 et 211 qualité /niveau de signal : dl rx-qual=0, dl rx level = -48dbm. ,Requête de déconnexion a été envoyée par le RBC"/>
    <m/>
    <x v="6"/>
    <s v="En attente de pousser les analyses coté Bord/RBC"/>
    <s v="H.O : complet entre 210 et 211"/>
    <s v="dl Rxqual=0"/>
    <s v="dl rx level= -48 dbm"/>
    <s v="OK"/>
    <s v="OK"/>
    <s v="Mauvais"/>
    <s v="retransmission des trames HDLC*5"/>
    <m/>
    <s v="Fahd OUSSALH"/>
    <m/>
    <m/>
    <m/>
    <m/>
    <m/>
    <m/>
    <m/>
  </r>
  <r>
    <n v="352"/>
    <x v="0"/>
    <x v="165"/>
    <d v="1899-12-30T18:54:32"/>
    <n v="2046"/>
    <x v="1"/>
    <x v="1"/>
    <n v="1042"/>
    <n v="35214500046055"/>
    <s v="Casa/Tanger"/>
    <n v="59.758000000000003"/>
    <x v="23"/>
    <s v="N2"/>
    <x v="0"/>
    <s v="H.O  complet   entre 312 et 311 qualité /niveau de signal : dl rx-qual=0, dl rx level = -74dbm. ,Requête de déconnexion a été envoyée par le RBC"/>
    <m/>
    <x v="1"/>
    <s v="Zone sous surveillance par équipe NOC GSMR"/>
    <s v="H.O : complet entre 312 et 311"/>
    <s v="dl Rxqual=0"/>
    <s v="dl rx level= -74 dbm"/>
    <s v="OK"/>
    <s v="NOK"/>
    <s v="moyen"/>
    <s v="retransmission des trames HDLC*5"/>
    <m/>
    <s v="Fahd OUSSALH"/>
    <m/>
    <m/>
    <m/>
    <m/>
    <m/>
    <m/>
    <m/>
  </r>
  <r>
    <n v="353"/>
    <x v="0"/>
    <x v="165"/>
    <d v="1899-12-30T20:05:45"/>
    <n v="2057"/>
    <x v="9"/>
    <x v="0"/>
    <n v="3740"/>
    <n v="35214500044497"/>
    <s v="Tanger/Casa"/>
    <n v="6.13"/>
    <x v="2"/>
    <s v="N2"/>
    <x v="1"/>
    <s v="H.O  non finalisé   entre 302et 203 qualité /niveau de signal : dl rx-qual=6 , dl rx level = -54dbm. ,Requête de déconnexion a été envoyée par le RBC"/>
    <m/>
    <x v="0"/>
    <s v="En attente de mise en place des tiroires filtrés"/>
    <s v="H.O : non finalisé entre 302 et 203"/>
    <s v="dl Rxqual=6"/>
    <s v="dl rx level= -54 dbm"/>
    <s v="NOK"/>
    <s v="OK"/>
    <s v="Mauvais"/>
    <s v="retransmission des trames HDLC*5"/>
    <m/>
    <s v="Fahd OUSSALH"/>
    <m/>
    <m/>
    <m/>
    <m/>
    <m/>
    <m/>
    <m/>
  </r>
  <r>
    <n v="354"/>
    <x v="0"/>
    <x v="165"/>
    <d v="1899-12-30T21:06:22"/>
    <n v="1054"/>
    <x v="5"/>
    <x v="1"/>
    <n v="1053"/>
    <n v="35214500045329"/>
    <s v="Casa/Tanger"/>
    <n v="7.3209999999999997"/>
    <x v="2"/>
    <s v="N2"/>
    <x v="0"/>
    <s v="H.O  non finalisé   entre 303et 202 qualité /niveau de signal : dl rx-qual=6 , dl rx level = -53dbm. ,Requête de déconnexion a été envoyée par le RBC"/>
    <m/>
    <x v="0"/>
    <s v="En attente de mise en place des tiroires filtrés"/>
    <s v="H.O : non finalisé entre 303 et 202"/>
    <s v="dl Rxqual=6"/>
    <s v="dl rx level= -54 dbm"/>
    <s v="OK"/>
    <s v="OK"/>
    <s v="Mauvais"/>
    <s v="retransmission des trames HDLC*5"/>
    <m/>
    <s v="HARIRI Bahaeddine"/>
    <m/>
    <m/>
    <m/>
    <m/>
    <m/>
    <m/>
    <m/>
  </r>
  <r>
    <n v="355"/>
    <x v="0"/>
    <x v="165"/>
    <d v="1899-12-30T21:29:59"/>
    <n v="2061"/>
    <x v="8"/>
    <x v="0"/>
    <n v="1043"/>
    <n v="35214500045498"/>
    <s v="Tanger/Casa"/>
    <n v="113.321"/>
    <x v="17"/>
    <s v="N2"/>
    <x v="0"/>
    <s v="H.O  non finalisé  entre 220 et 219 qualité /niveau de signal : dl rx-qual=6 , dl rx level = -64dbm. ,Requête de déconnexion a été envoyée par le RBC"/>
    <m/>
    <x v="2"/>
    <s v="Chaine antennaire degradé / Attente planification analyse spectrale"/>
    <s v="H.O : recul non finalisé entre 220 et 219"/>
    <s v="dl Rxqual=6"/>
    <s v="dl rx level= -64 dbm"/>
    <s v="NOK"/>
    <s v="OK"/>
    <s v="Mauvais"/>
    <s v="retransmission des trames HDLC*5"/>
    <m/>
    <s v="HARIRI Bahaeddine"/>
    <m/>
    <m/>
    <m/>
    <m/>
    <m/>
    <m/>
    <m/>
  </r>
  <r>
    <n v="356"/>
    <x v="0"/>
    <x v="166"/>
    <d v="1899-12-30T12:20:42"/>
    <n v="2025"/>
    <x v="5"/>
    <x v="0"/>
    <n v="1024"/>
    <n v="35214500045122"/>
    <s v="Tanger/Casa"/>
    <n v="75.84"/>
    <x v="13"/>
    <s v="N2"/>
    <x v="1"/>
    <s v="H.O  Complet  entre 213 et 214 qualité /niveau de signal : dl rx-qual=0 , dl rx level = -48dbm. ,Requête de déconnexion a été envoyée par le RBC"/>
    <m/>
    <x v="6"/>
    <s v="En attente de pousser les analyses coté Bord/RBC"/>
    <s v="H.O : Complet entre 213 et 214"/>
    <s v="dl Rxqual=0"/>
    <s v="dl rx level= -48 dbm"/>
    <s v="OK"/>
    <s v="OK"/>
    <s v="Mauvais"/>
    <s v="retransmission des trames HDLC*5"/>
    <m/>
    <s v="ELHAJOUIA Achraf"/>
    <m/>
    <m/>
    <m/>
    <m/>
    <m/>
    <m/>
    <m/>
  </r>
  <r>
    <n v="357"/>
    <x v="0"/>
    <x v="166"/>
    <d v="1899-12-30T12:59:02"/>
    <n v="2025"/>
    <x v="5"/>
    <x v="0"/>
    <n v="1025"/>
    <n v="35214500045073"/>
    <s v="Tanger/Casa"/>
    <n v="185.82499999999999"/>
    <x v="19"/>
    <s v="N2"/>
    <x v="0"/>
    <s v="H.O  non finalisé   entre 231 et 232 qualité /niveau de signal : dl rx-qual=0 , dl rx level = -54dbm. ,Requête de déconnexion a été envoyée par le RBC"/>
    <m/>
    <x v="1"/>
    <s v="Chantier d'optimisation en cours"/>
    <s v="H.O : non finalisé entre 231 et 232"/>
    <s v="dl Rxqual=0"/>
    <s v="dl rx level= -54 dbm"/>
    <s v="NOK"/>
    <s v="OK"/>
    <s v="Mauvais"/>
    <s v="retransmission des trames HDLC*5"/>
    <m/>
    <s v="ELHAJOUIA Achraf"/>
    <m/>
    <m/>
    <m/>
    <m/>
    <m/>
    <m/>
    <m/>
  </r>
  <r>
    <n v="358"/>
    <x v="0"/>
    <x v="167"/>
    <d v="1899-12-30T07:34:59"/>
    <n v="10075"/>
    <x v="10"/>
    <x v="1"/>
    <n v="1061"/>
    <n v="35214500042751"/>
    <s v="Casa/Tanger"/>
    <n v="74.712999999999994"/>
    <x v="13"/>
    <s v="N2"/>
    <x v="0"/>
    <s v="H.O  Complet  entre 314et 313 qualité /niveau de signal : dl rx-qual=0 , dl rx level = -48dbm. ,Requête de déconnexion a été envoyée par le RBC"/>
    <m/>
    <x v="6"/>
    <s v="En attente de pousser les analyses coté Bord/RBC"/>
    <s v="H.O : Complet entre 314 et 313"/>
    <s v="dl Rxqual=0"/>
    <s v="dl rx level= -48 dbm"/>
    <s v="OK"/>
    <s v="OK"/>
    <s v="Mauvais"/>
    <s v="retransmission des trames HDLC*5"/>
    <m/>
    <s v="ELHAJOUIA Achraf"/>
    <m/>
    <m/>
    <m/>
    <m/>
    <m/>
    <m/>
    <m/>
  </r>
  <r>
    <n v="359"/>
    <x v="0"/>
    <x v="167"/>
    <d v="1899-12-30T08:46:30"/>
    <n v="1005"/>
    <x v="2"/>
    <x v="1"/>
    <n v="1035"/>
    <n v="35214500046011"/>
    <s v="Casa/Tanger"/>
    <n v="94.953999999999994"/>
    <x v="8"/>
    <s v="N2"/>
    <x v="0"/>
    <s v="H.O  non finalisé   entre 318 et 217 qualité /niveau de signal : dl rx-qual=7 , dl rx level = -75dbm. ,Requête de déconnexion a été envoyée par le MSC"/>
    <m/>
    <x v="0"/>
    <s v="En attente de pousser les analyses coté Bord"/>
    <s v="H.O : non finalisé entre 318 et 217"/>
    <s v="dl Rxqual=7"/>
    <s v="dl rx level= -75 dbm"/>
    <s v="OK"/>
    <s v="OK"/>
    <s v="Mauvais"/>
    <s v="retransmission des trames HDLC*5"/>
    <m/>
    <s v="ELHAJOUIA Achraf"/>
    <m/>
    <m/>
    <m/>
    <m/>
    <m/>
    <m/>
    <m/>
  </r>
  <r>
    <n v="360"/>
    <x v="0"/>
    <x v="167"/>
    <d v="1899-12-30T09:26:50"/>
    <n v="2013"/>
    <x v="10"/>
    <x v="0"/>
    <n v="7206"/>
    <n v="35214500026718"/>
    <s v="Tanger/Casa"/>
    <n v="108.206"/>
    <x v="1"/>
    <s v="N2"/>
    <x v="0"/>
    <s v="H.O  non finalisé   entre 219 et 320 qualité /niveau de signal : dl rx-qual=7 , dl rx level = -71dbm. ,Requête de déconnexion a été envoyée par le MSC"/>
    <m/>
    <x v="2"/>
    <s v="Attente de planification d'un analyse spectrale/En attente de pousser les analyses coté Bord"/>
    <s v="H.O : non finalisé entre 219 et 320"/>
    <s v="dl Rxqual=7"/>
    <s v="dl rx level= -71 dbm"/>
    <s v="OK"/>
    <s v="OK"/>
    <s v="Mauvais"/>
    <s v="retransmission des trames HDLC*4"/>
    <m/>
    <s v="ELHAJOUIA Achraf"/>
    <m/>
    <m/>
    <m/>
    <m/>
    <m/>
    <m/>
    <m/>
  </r>
  <r>
    <n v="361"/>
    <x v="0"/>
    <x v="167"/>
    <d v="1899-12-30T11:01:11"/>
    <n v="1013"/>
    <x v="3"/>
    <x v="1"/>
    <n v="1008"/>
    <n v="35214500045654"/>
    <s v="Casa/Tanger"/>
    <n v="25.91"/>
    <x v="7"/>
    <s v="N2"/>
    <x v="0"/>
    <s v="H.O  non finalisé   entre 207 et 205 qualité /niveau de signal : dl rx-qual=6 , dl rx level = -93dbm. ,Requête de déconnexion a été envoyée par le RBC"/>
    <m/>
    <x v="2"/>
    <s v="Zone sous surveillance par équipe NOC GSMR"/>
    <s v="H.O : non finalisé entre 207 et 205"/>
    <s v="dl Rxqual=6"/>
    <s v="dl rx level= -93 dbm"/>
    <s v="OK"/>
    <s v="OK"/>
    <s v="Mauvais"/>
    <s v="retransmission des trames HDLC*5"/>
    <m/>
    <s v="ELHAJOUIA Achraf"/>
    <m/>
    <m/>
    <m/>
    <m/>
    <m/>
    <m/>
    <m/>
  </r>
  <r>
    <n v="362"/>
    <x v="0"/>
    <x v="167"/>
    <d v="1899-12-30T11:26:46"/>
    <n v="2021"/>
    <x v="9"/>
    <x v="0"/>
    <n v="1053"/>
    <n v="35214500044497"/>
    <s v="Tanger/Casa"/>
    <n v="104.253"/>
    <x v="24"/>
    <s v="N2"/>
    <x v="0"/>
    <s v="H.O  Complet  entre 218et 219 qualité /niveau de signal : dl rx-qual=0 , dl rx level = -48dbm. ,Requête de déconnexion a été envoyée par le RBC"/>
    <m/>
    <x v="6"/>
    <s v="En attente de pousser les analyses coté Bord/RBC"/>
    <s v="H.O : Complet entre 218 et 219"/>
    <s v="dl Rxqual=0"/>
    <s v="dl rx level= -48 dbm"/>
    <s v="OK"/>
    <s v="OK"/>
    <s v="Mauvais"/>
    <s v="retransmission des trames HDLC*5"/>
    <m/>
    <s v="ELHAJOUIA Achraf"/>
    <m/>
    <m/>
    <m/>
    <m/>
    <m/>
    <m/>
    <m/>
  </r>
  <r>
    <n v="363"/>
    <x v="0"/>
    <x v="167"/>
    <d v="1899-12-30T18:26:16"/>
    <n v="1249"/>
    <x v="3"/>
    <x v="0"/>
    <n v="1046"/>
    <n v="35214500038730"/>
    <s v="Tanger/Casa"/>
    <n v="91.364999999999995"/>
    <x v="12"/>
    <s v="N2"/>
    <x v="0"/>
    <s v="H.O  Complet  entre 316 et 217 qualité /niveau de signal : dl rx-qual=0 , dl rx level = -47dbm. ,Requête de déconnexion a été envoyée par le RBC"/>
    <m/>
    <x v="6"/>
    <s v="En attente de pousser les analyses coté Bord/RBC"/>
    <s v="H.O : Complet entre 316 et 217"/>
    <s v="dl Rxqual=0"/>
    <s v="dl rx level= -47 dbm"/>
    <s v="OK"/>
    <s v="OK"/>
    <s v="Mauvais"/>
    <s v="retransmission des trames HDLC*5"/>
    <m/>
    <s v="Fahd OUSSALH"/>
    <m/>
    <m/>
    <m/>
    <m/>
    <m/>
    <m/>
    <m/>
  </r>
  <r>
    <n v="364"/>
    <x v="0"/>
    <x v="167"/>
    <d v="1899-12-30T19:28:29"/>
    <n v="2053"/>
    <x v="4"/>
    <x v="0"/>
    <n v="7208"/>
    <n v="35214500004427"/>
    <s v="Tanger/Casa"/>
    <n v="109.495"/>
    <x v="1"/>
    <s v="N2"/>
    <x v="0"/>
    <s v="H.O  non finalisé   entre 219 et 320 qualité /niveau de signal : dl rx-qual=7 , dl rx level = -110dbm. ,Requête de déconnexion a été envoyée par le RBC"/>
    <m/>
    <x v="2"/>
    <s v="Chaine antennaire degradé / Attente planification analyse spectrale"/>
    <s v="H.O : non finalisé entre 219 et 320"/>
    <s v="dl Rxqual=7"/>
    <s v="dl rx level= -110 dbm"/>
    <s v="OK"/>
    <s v="OK"/>
    <s v="Mauvais"/>
    <s v="retransmission des trames HDLC*5"/>
    <m/>
    <s v="Fahd OUSSALH"/>
    <m/>
    <m/>
    <m/>
    <m/>
    <m/>
    <m/>
    <m/>
  </r>
  <r>
    <n v="365"/>
    <x v="0"/>
    <x v="167"/>
    <d v="1899-12-30T20:23:56"/>
    <n v="1053"/>
    <x v="5"/>
    <x v="1"/>
    <n v="1026"/>
    <n v="35214500045329"/>
    <s v="Tanger/Casa"/>
    <n v="202.125"/>
    <x v="5"/>
    <s v="N2"/>
    <x v="0"/>
    <s v="H.O  Complet  entre 233et 234 qualité /niveau de signal : dl rx-qual=7 , dl rx level = -63dbm. ,Requête de déconnexion a été envoyée par le RBC"/>
    <m/>
    <x v="1"/>
    <s v="chantier d'optimisation en cours"/>
    <s v="H.O : Complet entre 316 et 217"/>
    <s v="dl Rxqual=7"/>
    <s v="dl rx level= -63 dbm"/>
    <s v="OK"/>
    <s v="OK"/>
    <s v="Mauvais"/>
    <s v="retransmission des trames HDLC*5"/>
    <m/>
    <s v="Fahd OUSSALH"/>
    <m/>
    <m/>
    <m/>
    <m/>
    <m/>
    <m/>
    <m/>
  </r>
  <r>
    <n v="366"/>
    <x v="0"/>
    <x v="167"/>
    <d v="1899-12-30T21:02:30"/>
    <n v="1054"/>
    <x v="5"/>
    <x v="1"/>
    <n v="1026"/>
    <n v="35214500045329"/>
    <s v="Casa/Tanger"/>
    <n v="18.89"/>
    <x v="20"/>
    <s v="N2"/>
    <x v="0"/>
    <s v="HO complet entre 305 et 304_x000a_qualité /niveau de signal : dl rx-qual=0 , dl rx level = -48 dbm_x000a_,Requête de déconnexion a été envoyée par le RBC"/>
    <m/>
    <x v="2"/>
    <s v="chaine antennaire dégradé, besoin de vérification de la chaine /Zone sous surveillance par équipe NOC GSMR"/>
    <s v="HO complet entre 305 et 304"/>
    <s v="dl Rxqual=0"/>
    <s v="dl rx level= -48 dbm"/>
    <s v="OK"/>
    <s v="OK"/>
    <s v="Mauvais"/>
    <s v="pas de retransmission des trames HDLC"/>
    <m/>
    <s v="Saad Elhabib"/>
    <m/>
    <m/>
    <m/>
    <m/>
    <m/>
    <m/>
    <m/>
  </r>
  <r>
    <n v="367"/>
    <x v="0"/>
    <x v="167"/>
    <d v="1899-12-30T21:04:15"/>
    <n v="1054"/>
    <x v="5"/>
    <x v="1"/>
    <n v="1027"/>
    <n v="35214500045083"/>
    <s v="Casa/Tanger"/>
    <n v="12.496"/>
    <x v="22"/>
    <s v="N2"/>
    <x v="1"/>
    <s v="Etat H.O : HO complet entre 304 et 303_x000a_qualité /niveau de signal : dl rx-qual=0 , dl rx level = -73 dbm_x000a_,Requête de déconnexion a été envoyée par le RBC"/>
    <m/>
    <x v="0"/>
    <s v="En attente de mise en place des tiroires filtrés"/>
    <s v="HO complet entre 304 et 303"/>
    <s v="dl Rxqual=0"/>
    <s v="dl rx level= -73 dbm"/>
    <s v="OK"/>
    <s v="OK"/>
    <s v="Mauvais"/>
    <s v="retransmission des trames HDLC*5"/>
    <m/>
    <s v="Saad Elhabib"/>
    <m/>
    <m/>
    <m/>
    <m/>
    <m/>
    <m/>
    <m/>
  </r>
  <r>
    <n v="368"/>
    <x v="0"/>
    <x v="167"/>
    <d v="1899-12-30T21:26:16"/>
    <n v="1057"/>
    <x v="9"/>
    <x v="1"/>
    <n v="1031"/>
    <n v="35214500045491"/>
    <s v="Casa/Tanger"/>
    <n v="185.47"/>
    <x v="19"/>
    <s v="N2"/>
    <x v="0"/>
    <s v="Etat H.O : HO Failure entre 332 et 331_x000a_ qualité /niveau de signal : dl rx-qual=4 , dl rx level = -59 dbm_x000a_,Requête de déconnexion a été envoyée par le RBC"/>
    <m/>
    <x v="0"/>
    <s v="En attente de mise en place des tiroires filtrés"/>
    <s v="HO Failure entre 332 et 331"/>
    <s v="dl Rxqual=4"/>
    <s v="dl rx level= -59 dbm"/>
    <s v="NOK"/>
    <s v="OK"/>
    <s v="Mauvais"/>
    <s v="retransmission des trames HDLC*5"/>
    <m/>
    <s v="Saad Elhabib"/>
    <m/>
    <m/>
    <m/>
    <m/>
    <m/>
    <m/>
    <m/>
  </r>
  <r>
    <n v="369"/>
    <x v="0"/>
    <x v="167"/>
    <d v="1899-12-30T22:31:16"/>
    <n v="1061"/>
    <x v="11"/>
    <x v="1"/>
    <n v="1020"/>
    <n v="35214500045491"/>
    <s v="Casa/Tanger"/>
    <n v="202.125"/>
    <x v="5"/>
    <s v="N2"/>
    <x v="0"/>
    <s v="Etat H.O : HO Failure entre 233 et 99_x000a_ qualité /niveau de signal : dl rx-qual=7 , dl rx level = -63 dbm_x000a_,Requête de déconnexion a été envoyée par le RBC"/>
    <m/>
    <x v="2"/>
    <s v="En attente de mise en place des tiroires filtrés/Attente de vérificationPar l'équipe SOR"/>
    <s v="HO Failure entre 233 et 99"/>
    <s v="dl Rxqual=7"/>
    <s v="dl rx level= -63dbm"/>
    <s v="OK"/>
    <s v="OK"/>
    <s v="Mauvais"/>
    <s v="retransmission des trames HDLC*5"/>
    <m/>
    <s v="Saad Elhabib"/>
    <m/>
    <m/>
    <m/>
    <m/>
    <m/>
    <m/>
    <m/>
  </r>
  <r>
    <n v="370"/>
    <x v="0"/>
    <x v="168"/>
    <d v="1899-12-30T08:08:36"/>
    <n v="2009"/>
    <x v="9"/>
    <x v="0"/>
    <n v="1052"/>
    <n v="35214500045491"/>
    <s v="Tanger/Casa"/>
    <n v="12.496"/>
    <x v="22"/>
    <s v="N2"/>
    <x v="0"/>
    <s v="Etat H.O : HO Complet entre 303 et 204_x000a_ qualité /niveau de signal : dl rx-qual=0 , dl rx level = -56 dbm_x000a_,Requête de déconnexion a été envoyée par le RBC"/>
    <m/>
    <x v="0"/>
    <s v="En attente de mise en place des tiroires filtrés"/>
    <s v="HO Failure entre 303 et 204"/>
    <s v="dl Rxqual=0"/>
    <s v="dl rx level= -56dbm"/>
    <s v="OK"/>
    <s v="OK"/>
    <s v="Mauvais"/>
    <s v="retransmission des trames HDLC*5"/>
    <m/>
    <s v="Nassim NAJIM"/>
    <m/>
    <m/>
    <m/>
    <m/>
    <m/>
    <m/>
    <m/>
  </r>
  <r>
    <n v="371"/>
    <x v="0"/>
    <x v="168"/>
    <d v="1899-12-30T20:04:49"/>
    <n v="2057"/>
    <x v="3"/>
    <x v="0"/>
    <n v="1046"/>
    <n v="35214500045491"/>
    <s v="Tanger/Casa"/>
    <n v="6.13"/>
    <x v="2"/>
    <s v="N2"/>
    <x v="0"/>
    <s v="Etat H.O : HO non finalisé entre 202 et 303_x000a_ qualité /niveau de signal : dl rx-qual=7, dl rx level = -52 dbm_x000a_,Requête de déconnexion a été envoyée par le RBC"/>
    <m/>
    <x v="0"/>
    <s v="En attente de mise en place des tiroires filtrés"/>
    <s v="HO Failure entre 202 et 303"/>
    <s v="dl Rxqual=7"/>
    <s v="dl rx level= -52dbm"/>
    <s v="OK"/>
    <s v="OK"/>
    <s v="Mauvais"/>
    <s v="retransmission des trames HDLC*5"/>
    <m/>
    <s v="ISMALI ALAOUI Hamza"/>
    <m/>
    <m/>
    <m/>
    <m/>
    <m/>
    <m/>
    <m/>
  </r>
  <r>
    <n v="372"/>
    <x v="0"/>
    <x v="169"/>
    <d v="1899-12-30T12:19:07"/>
    <n v="2025"/>
    <x v="11"/>
    <x v="0"/>
    <n v="1048"/>
    <n v="35214500045491"/>
    <s v="Tanger/Casa"/>
    <n v="58.71"/>
    <x v="23"/>
    <s v="N2"/>
    <x v="0"/>
    <s v="Etat H.O : HO non finalisé entre 210 et 211_x000a_ qualité /niveau de signal : dl rx-qual=0, dl rx level = -63 dbm_x000a_,Requête de déconnexion a été envoyée par le RBC"/>
    <m/>
    <x v="0"/>
    <s v="En attente de mise en place des tiroires filtrés"/>
    <s v="HO Failure entre 210 et 211"/>
    <s v="dl Rxqual=0"/>
    <s v="dl rx level= -63dbm"/>
    <s v="NOK"/>
    <s v="OK"/>
    <s v="Mauvais"/>
    <s v="retransmission des trames HDLC*5"/>
    <m/>
    <s v="Nassim NAJIM"/>
    <m/>
    <m/>
    <m/>
    <m/>
    <m/>
    <m/>
    <m/>
  </r>
  <r>
    <n v="373"/>
    <x v="0"/>
    <x v="169"/>
    <d v="1899-12-30T12:21:45"/>
    <n v="2025"/>
    <x v="11"/>
    <x v="0"/>
    <n v="1049"/>
    <n v="35214500045491"/>
    <s v="Tanger/Casa"/>
    <n v="68.956000000000003"/>
    <x v="0"/>
    <s v="N2"/>
    <x v="0"/>
    <s v="Etat H.O : HO non finalisé entre 212 et 213_x000a_ qualité /niveau de signal : dl rx-qual=4, dl rx level = -62 dbm_x000a_,Requête de déconnexion a été envoyée par le RBC"/>
    <m/>
    <x v="0"/>
    <s v="En attente de mise en place des tiroires filtrés"/>
    <s v="HO Failure entre 212 et 213"/>
    <s v="dl Rxqual=4"/>
    <s v="dl rx level= -62dbm"/>
    <s v="NOK"/>
    <s v="OK"/>
    <s v="Mauvais"/>
    <s v="retransmission des trames HDLC*5"/>
    <m/>
    <s v="Noura MOUSSAOUI"/>
    <m/>
    <m/>
    <m/>
    <m/>
    <m/>
    <m/>
    <m/>
  </r>
  <r>
    <n v="374"/>
    <x v="0"/>
    <x v="169"/>
    <d v="1899-12-30T14:05:17"/>
    <n v="2033"/>
    <x v="2"/>
    <x v="0"/>
    <n v="7217"/>
    <n v="35214500045491"/>
    <s v="Tanger/Casa"/>
    <n v="6.13"/>
    <x v="2"/>
    <s v="N2"/>
    <x v="0"/>
    <s v="Etat H.O : HO non finalisé entre 202 et 203_x000a_ qualité /niveau de signal : dl rx-qual=7, dl rx level = -54 dbm_x000a_,Requête de déconnexion a été envoyée par le RBC"/>
    <m/>
    <x v="0"/>
    <s v="En attente de mise en place des tiroires filtrés"/>
    <s v="HO Failure entre 202 et 203"/>
    <s v="dl Rxqual=7"/>
    <s v="dl rx level= -54dbm"/>
    <s v="NOK"/>
    <s v="OK"/>
    <s v="Mauvais"/>
    <s v="retransmission des trames HDLC*5"/>
    <m/>
    <s v="Nassim NAJIM"/>
    <m/>
    <m/>
    <m/>
    <m/>
    <m/>
    <m/>
    <m/>
  </r>
  <r>
    <n v="375"/>
    <x v="0"/>
    <x v="169"/>
    <d v="1899-12-30T18:04:44"/>
    <n v="2049"/>
    <x v="11"/>
    <x v="0"/>
    <n v="1048"/>
    <n v="35214500045491"/>
    <s v="Tanger/Casa"/>
    <n v="6.13"/>
    <x v="2"/>
    <s v="N2"/>
    <x v="0"/>
    <s v="Etat H.O : HO non finalisé entre 202 et 203_x000a_ qualité /niveau de signal : dl rx-qual=7, dl rx level = -54 dbm_x000a_,Requête de déconnexion a été envoyée par le RBC"/>
    <m/>
    <x v="0"/>
    <s v="En attente de mise en place des tiroires filtrés"/>
    <s v="HO Failure entre 202 et 203"/>
    <s v="dl Rxqual=7"/>
    <s v="dl rx level= -52dbm"/>
    <s v="OK"/>
    <s v="OK"/>
    <s v="Mauvais"/>
    <s v="retransmission des trames HDLC*5"/>
    <m/>
    <s v="HARIRI Bahaeddine"/>
    <m/>
    <m/>
    <m/>
    <m/>
    <m/>
    <m/>
    <m/>
  </r>
  <r>
    <n v="376"/>
    <x v="0"/>
    <x v="170"/>
    <d v="1899-12-30T07:46:13"/>
    <n v="1002"/>
    <x v="5"/>
    <x v="0"/>
    <n v="1026"/>
    <m/>
    <s v="Tanger/Casa"/>
    <n v="90.108000000000004"/>
    <x v="12"/>
    <s v="N2"/>
    <x v="0"/>
    <s v="Etat H.O : HO complet entre 318 et 317_x000a_ qualité /niveau de signal : dl rx-qual=0, dl rx level = -55 dbm_x000a_,Requête de déconnexion a été envoyée par le RBC"/>
    <m/>
    <x v="0"/>
    <s v="En attente de mise en place des tiroires filtrés"/>
    <s v="HO complet entre 318 et 317"/>
    <s v="dl Rxqual=0"/>
    <s v="dl rx level= -55dbm"/>
    <s v="OK"/>
    <s v="NOK"/>
    <s v="Mauvais"/>
    <s v="retransmission des trames HDLC*5"/>
    <m/>
    <s v="ISMALI ALAOUI Hamza"/>
    <m/>
    <m/>
    <m/>
    <m/>
    <m/>
    <m/>
    <m/>
  </r>
  <r>
    <n v="377"/>
    <x v="0"/>
    <x v="170"/>
    <d v="1899-12-30T08:19:30"/>
    <n v="1002"/>
    <x v="2"/>
    <x v="0"/>
    <n v="7217"/>
    <m/>
    <s v="Tanger/Casa"/>
    <n v="66.701999999999998"/>
    <x v="0"/>
    <s v="N2"/>
    <x v="0"/>
    <s v="Etat H.O : HO complet entre 211 et 212_x000a_ qualité /niveau de signal : dl rx-qual=0, dl rx level = -51 dbm_x000a_,Requête de déconnexion a été envoyée par le RBC"/>
    <m/>
    <x v="0"/>
    <s v="En attente de mise en place des tiroires filtrés"/>
    <s v="HO complet entre 211 et 212"/>
    <s v="dl Rxqual=0"/>
    <s v="dl rx level= -51dbm"/>
    <s v="OK"/>
    <s v="OK"/>
    <s v="Mauvais"/>
    <s v="retransmission des trames HDLC*5"/>
    <m/>
    <s v="Nassim NAJIM"/>
    <m/>
    <m/>
    <m/>
    <m/>
    <m/>
    <m/>
    <m/>
  </r>
  <r>
    <n v="378"/>
    <x v="0"/>
    <x v="170"/>
    <d v="1899-12-30T16:07:23"/>
    <n v="1034"/>
    <x v="1"/>
    <x v="1"/>
    <n v="3062"/>
    <m/>
    <s v="Casa/Tanger"/>
    <n v="7.3209999999999997"/>
    <x v="2"/>
    <s v="N2"/>
    <x v="0"/>
    <s v="Etat H.O : HO non finalisé entre 202 et 303_x000a_ qualité /niveau de signal : dl rx-qual=7, dl rx level = -54 dbm_x000a_,Requête de déconnexion a été envoyée par le RBC"/>
    <m/>
    <x v="0"/>
    <s v="En attente de mise en place des tiroires filtrés"/>
    <s v="HO Failure entre 202 et 303"/>
    <s v="dl Rxqual=7"/>
    <s v="dl rx level= -54dbm"/>
    <s v="OK"/>
    <s v="OK"/>
    <s v="Mauvais"/>
    <s v="retransmission des trames HDLC*5"/>
    <m/>
    <s v="HARIRI Bahaeddine"/>
    <m/>
    <m/>
    <m/>
    <m/>
    <m/>
    <m/>
    <m/>
  </r>
  <r>
    <n v="379"/>
    <x v="0"/>
    <x v="170"/>
    <d v="1899-12-30T17:46:37"/>
    <n v="2042"/>
    <x v="11"/>
    <x v="1"/>
    <n v="1072"/>
    <m/>
    <s v="Casa/Tanger"/>
    <n v="94.953999999999994"/>
    <x v="8"/>
    <s v="N2"/>
    <x v="0"/>
    <s v="Etat H.O : finalisé entre 317 et 318_x000a_ qualité /niveau de signal : dl rx-qual=0, dl rx level = -110 dbm_x000a_,Requête de déconnexion a été envoyée par le RBC"/>
    <m/>
    <x v="1"/>
    <s v="Attente planification analyse spectrale"/>
    <s v="HO complet entre 317 et 318"/>
    <s v="dl Rxqual=0"/>
    <s v="dl rx level= -110dbm"/>
    <s v="OK"/>
    <s v="OK"/>
    <s v="Mauvais"/>
    <s v="retransmission des trames HDLC*5"/>
    <m/>
    <s v="HARIRI Bahaeddine"/>
    <m/>
    <m/>
    <m/>
    <m/>
    <m/>
    <m/>
    <m/>
  </r>
  <r>
    <n v="380"/>
    <x v="0"/>
    <x v="170"/>
    <d v="1899-12-30T19:57:43"/>
    <n v="1050"/>
    <x v="5"/>
    <x v="1"/>
    <n v="1027"/>
    <m/>
    <s v="Casa/Tanger"/>
    <n v="32.625999999999998"/>
    <x v="25"/>
    <s v="N2"/>
    <x v="0"/>
    <s v="Etat H.O : finalisé entre 308 et 307_x000a_ qualité /niveau de signal : dl rx-qual=1, dl rx level = -60 dbm_x000a_,Requête de déconnexion a été envoyée par le RBC"/>
    <m/>
    <x v="0"/>
    <s v="En attente de mise en place des tiroires filtrés"/>
    <s v="HO complet entre 308 et 307"/>
    <s v="dl Rxqual=1"/>
    <s v="dl rx level= -60dbm"/>
    <s v="OK"/>
    <s v="OK"/>
    <s v="Mauvais"/>
    <s v="retransmission des trames HDLC*5"/>
    <m/>
    <s v="HARIRI Bahaeddine"/>
    <m/>
    <m/>
    <m/>
    <m/>
    <m/>
    <m/>
    <m/>
  </r>
  <r>
    <n v="381"/>
    <x v="0"/>
    <x v="170"/>
    <d v="1899-12-30T20:21:54"/>
    <n v="2053"/>
    <x v="2"/>
    <x v="0"/>
    <n v="7218"/>
    <n v="35214500045735"/>
    <s v="Tanger/Casa"/>
    <n v="73.585999999999999"/>
    <x v="13"/>
    <s v="N2"/>
    <x v="0"/>
    <s v="Etat H.O : finalisé entre 212 et 213_x000a_ qualité /niveau de signal : dl rx-qual=7, dl rx level = -71 dbm_x000a_,Requête de déconnexion a été envoyée par le RBC"/>
    <m/>
    <x v="2"/>
    <s v="En attente de mise en place des tiroires filtrés/Attente de vérificationPar l'équipe SOR"/>
    <s v="HO complet entre 212 et 213"/>
    <s v="dl Rxqual=7"/>
    <s v="dl rx level= -71dbm"/>
    <s v="NOK"/>
    <s v="OK"/>
    <s v="Mauvais"/>
    <s v="retransmission des trames HDLC*5"/>
    <m/>
    <s v="Saad Elhabib"/>
    <m/>
    <m/>
    <m/>
    <m/>
    <m/>
    <m/>
    <m/>
  </r>
  <r>
    <n v="382"/>
    <x v="0"/>
    <x v="171"/>
    <d v="1899-12-30T14:05:51"/>
    <n v="2033"/>
    <x v="9"/>
    <x v="0"/>
    <n v="1052"/>
    <n v="35214500045735"/>
    <s v="Tanger/Casa"/>
    <n v="6.13"/>
    <x v="2"/>
    <s v="N2"/>
    <x v="0"/>
    <s v="Etat H.O : non finalisé entre 302 et 301_x000a_ qualité /niveau de signal : dl rx-qual=7, dl rx level = -56 dbm_x000a_,Requête de déconnexion a été envoyée par le RBC"/>
    <m/>
    <x v="0"/>
    <s v="En attente de mise en place des tiroires filtrés"/>
    <s v="HO Failure entre 302 et 301"/>
    <s v="dl Rxqual=7"/>
    <s v="dl rx level= -56dbm"/>
    <s v="NOK"/>
    <s v="OK"/>
    <s v="moyen"/>
    <s v="retransmission des trames HDLC*5"/>
    <m/>
    <m/>
    <m/>
    <m/>
    <m/>
    <m/>
    <m/>
    <m/>
    <m/>
  </r>
  <r>
    <n v="383"/>
    <x v="0"/>
    <x v="171"/>
    <d v="1899-12-30T21:20:58"/>
    <n v="2061"/>
    <x v="2"/>
    <x v="0"/>
    <n v="7218"/>
    <m/>
    <s v="Tanger/Casa"/>
    <n v="73.585999999999999"/>
    <x v="13"/>
    <s v="N2"/>
    <x v="0"/>
    <s v="Etat H.O : Complete entre 213 et 214_x000a_ qualité /niveau de signal : dl rx-qual=7, dl rx level = -74 dbm_x000a_,Requête de déconnexion a été envoyée par le RBC"/>
    <m/>
    <x v="0"/>
    <m/>
    <s v="HO complet entre 213 et 214"/>
    <s v="dl Rxqual=7"/>
    <s v="dl rx level= -74dbm"/>
    <s v="OK"/>
    <s v="OK"/>
    <s v="Mauvais"/>
    <s v="retransmission des trames HDLC*5"/>
    <m/>
    <s v="ELHAJOUIA Achraf"/>
    <m/>
    <m/>
    <m/>
    <m/>
    <m/>
    <m/>
    <m/>
  </r>
  <r>
    <n v="384"/>
    <x v="0"/>
    <x v="171"/>
    <d v="1899-12-30T21:28:57"/>
    <n v="1057"/>
    <x v="1"/>
    <x v="1"/>
    <n v="3062"/>
    <m/>
    <s v="Casa/Tanger"/>
    <n v="177.85"/>
    <x v="4"/>
    <s v="N2"/>
    <x v="0"/>
    <s v="Etat H.O : non finalisé entre 231 et 329_x000a_ qualité /niveau de signal : dl rx-qual=7, dl rx level = -74 dbm_x000a_,Requête de déconnexion a été envoyée par le Bord "/>
    <m/>
    <x v="0"/>
    <s v="En attente de mise en place des tiroires filtrés"/>
    <s v="HO Failure entre 231 et 329"/>
    <s v="dl Rxqual=7"/>
    <s v="dl rx level= -74dbm"/>
    <s v="OK"/>
    <s v="OK"/>
    <s v="Mauvais"/>
    <s v="retransmission des trames HDLC*5"/>
    <m/>
    <s v="ELHAJOUIA Achraf"/>
    <m/>
    <m/>
    <m/>
    <m/>
    <m/>
    <m/>
    <m/>
  </r>
  <r>
    <n v="385"/>
    <x v="0"/>
    <x v="171"/>
    <d v="1899-12-30T23:03:44"/>
    <n v="1061"/>
    <x v="7"/>
    <x v="1"/>
    <n v="1041"/>
    <m/>
    <s v="Casa/Tanger"/>
    <n v="94.953999999999994"/>
    <x v="8"/>
    <s v="N2"/>
    <x v="0"/>
    <s v="Etat H.O : non finalisé entre 318 et 317_x000a_ qualité /niveau de signal : dl rx-qual=7, dl rx level = -80 dbm_x000a_,Requête de déconnexion a été envoyée par le RBC "/>
    <m/>
    <x v="0"/>
    <m/>
    <s v="HO Failure entre 318 et 317"/>
    <s v="dl Rxqual=7"/>
    <s v="dl rx level= -80dbm"/>
    <s v="OK"/>
    <s v="OK"/>
    <s v="Mauvais"/>
    <s v="retransmission des trames HDLC*5"/>
    <m/>
    <s v="ELHAJOUIA Achraf"/>
    <m/>
    <m/>
    <m/>
    <m/>
    <m/>
    <m/>
    <m/>
  </r>
  <r>
    <n v="386"/>
    <x v="0"/>
    <x v="172"/>
    <s v=" 08:27:28"/>
    <n v="2009"/>
    <x v="11"/>
    <x v="0"/>
    <n v="1048"/>
    <m/>
    <s v="Tanger/Casa"/>
    <n v="108.206"/>
    <x v="1"/>
    <s v="N2"/>
    <x v="0"/>
    <s v="Etat H.O : non finalisé entre 219 et 320_x000a_ qualité /niveau de signal : dl rx-qual=7, dl rx level = -70 dbm_x000a_,Requête de déconnexion a été envoyée par le Bord "/>
    <m/>
    <x v="0"/>
    <s v="Attente de pousser les analyses coté Bord"/>
    <s v="HO Failure entre 219 et 320"/>
    <s v="dl Rxqual=7"/>
    <s v="dl rx level= -70dbm"/>
    <s v="OK"/>
    <s v="OK"/>
    <s v="Mauvais"/>
    <s v="retransmission des trames HDLC*5"/>
    <m/>
    <s v="Noura MOUSSAOUI"/>
    <m/>
    <m/>
    <m/>
    <m/>
    <m/>
    <m/>
    <m/>
  </r>
  <r>
    <n v="387"/>
    <x v="0"/>
    <x v="172"/>
    <s v=" 08:33:05"/>
    <n v="1005"/>
    <x v="2"/>
    <x v="1"/>
    <n v="1034"/>
    <m/>
    <s v="Casa/Tanger"/>
    <n v="155.96199999999999"/>
    <x v="18"/>
    <s v="N2"/>
    <x v="0"/>
    <s v="Etat H.O :complet entre 328 et 327_x000a_ qualité /niveau de signal : dl rx-qual=0, dl rx level = -48 dbm_x000a_,Requête de déconnexion a été envoyée par le RBC"/>
    <m/>
    <x v="0"/>
    <s v="En attente de mise en place des tiroires filtrés"/>
    <s v="HO complet entre 328 et 327"/>
    <s v="dl Rxqual=0"/>
    <s v="dl rx level= -48dbm"/>
    <s v="OK"/>
    <s v="OK"/>
    <s v="Mauvais"/>
    <s v="retransmission des trames HDLC*5"/>
    <m/>
    <s v="Noura MOUSSAOUI"/>
    <m/>
    <m/>
    <m/>
    <m/>
    <m/>
    <m/>
    <m/>
  </r>
  <r>
    <n v="388"/>
    <x v="0"/>
    <x v="172"/>
    <d v="1899-12-30T10:04:40"/>
    <n v="2017"/>
    <x v="2"/>
    <x v="0"/>
    <n v="1035"/>
    <m/>
    <s v="Tanger/Casa"/>
    <n v="6.13"/>
    <x v="2"/>
    <s v="N2"/>
    <x v="1"/>
    <s v="Etat H.O :complet entre 201 et 202_x000a_ qualité /niveau de signal : dl rx-qual=0, dl rx level = -54 dbm_x000a_,Requête de déconnexion a été envoyée par le RBC"/>
    <m/>
    <x v="0"/>
    <s v="En attente de mise en place des tiroires filtrés"/>
    <s v="HO complet entre 201 et 202"/>
    <s v="dl Rxqual=0"/>
    <s v="dl rx level= -54dbm"/>
    <s v="OK"/>
    <s v="OK"/>
    <s v="Mauvais"/>
    <s v="retransmission des trames HDLC*5"/>
    <m/>
    <s v="Nassim NAJIM"/>
    <m/>
    <m/>
    <m/>
    <m/>
    <m/>
    <m/>
    <m/>
  </r>
  <r>
    <n v="389"/>
    <x v="0"/>
    <x v="172"/>
    <d v="1899-12-30T14:04:18"/>
    <n v="1025"/>
    <x v="3"/>
    <x v="1"/>
    <n v="1036"/>
    <m/>
    <s v="Casa/Tanger"/>
    <n v="7.3209999999999997"/>
    <x v="2"/>
    <s v="N2"/>
    <x v="0"/>
    <s v="Etat H.O : non finalisé entre 303 et  201_x000a_ qualité /niveau de signal : dl rx-qual=7, dl rx level = -81dbm_x000a_,Requête de déconnexion a été envoyée par le Bord"/>
    <m/>
    <x v="0"/>
    <s v="En attente de mise en place des tiroires filtrés"/>
    <s v="HO Failure entre 303 et 201"/>
    <s v="dl Rxqual=7"/>
    <s v="dl rx level= -81 dbm"/>
    <s v="OK"/>
    <s v="OK"/>
    <s v="Mauvais"/>
    <s v="retransmission des trames HDLC*5"/>
    <m/>
    <s v="Nassim NAJIM"/>
    <m/>
    <m/>
    <m/>
    <m/>
    <m/>
    <m/>
    <m/>
  </r>
  <r>
    <n v="390"/>
    <x v="0"/>
    <x v="172"/>
    <d v="1899-12-30T19:05:03"/>
    <n v="2053"/>
    <x v="2"/>
    <x v="0"/>
    <n v="7217"/>
    <m/>
    <s v="Tanger/Casa"/>
    <n v="6.13"/>
    <x v="2"/>
    <s v="N2"/>
    <x v="1"/>
    <s v="Etat H.O : non finalisé entre 202 et  303_x000a_ qualité /niveau de signal : dl rx-qual=7, dl rx level = -52dbm_x000a_,Requête de déconnexion a été envoyée par le RBC"/>
    <m/>
    <x v="0"/>
    <s v="En attente de mise en place des tiroires filtrés"/>
    <s v="HO Failure entre 202 et 303"/>
    <s v="dl Rxqual=7"/>
    <s v="dl rx level= -52 dbm"/>
    <s v="NOK"/>
    <s v="OK"/>
    <s v="Mauvais"/>
    <s v="retransmission des trames HDLC*5"/>
    <m/>
    <s v="HARIRI Bahaeddine"/>
    <m/>
    <m/>
    <m/>
    <m/>
    <m/>
    <m/>
    <m/>
  </r>
  <r>
    <n v="391"/>
    <x v="0"/>
    <x v="172"/>
    <d v="1899-12-30T20:05:04"/>
    <n v="2057"/>
    <x v="1"/>
    <x v="0"/>
    <n v="1028"/>
    <m/>
    <s v="Tanger/Casa"/>
    <n v="6.13"/>
    <x v="2"/>
    <s v="N2"/>
    <x v="1"/>
    <s v="Etat H.O : non finalisé entre 202 et  201_x000a_ qualité /niveau de signal : dl rx-qual=5, dl rx level = -55dbm_x000a_,Requête de déconnexion a été envoyée par le RBC"/>
    <m/>
    <x v="0"/>
    <s v="En attente de mise en place des tiroires filtrés"/>
    <s v="HO Failure entre 202 et 201"/>
    <s v="dl Rxqual=5"/>
    <s v="dl rx level= -55 dbm"/>
    <s v="NOK"/>
    <s v="OK"/>
    <s v="Mauvais"/>
    <s v="retransmission des trames HDLC*5"/>
    <m/>
    <s v="HARIRI Bahaeddine"/>
    <m/>
    <m/>
    <m/>
    <m/>
    <m/>
    <m/>
    <m/>
  </r>
  <r>
    <n v="392"/>
    <x v="0"/>
    <x v="172"/>
    <d v="1899-12-30T20:37:44"/>
    <n v="1053"/>
    <x v="11"/>
    <x v="1"/>
    <n v="1072"/>
    <m/>
    <s v="Casa/Tanger"/>
    <n v="134.30000000000001"/>
    <x v="10"/>
    <s v="N2"/>
    <x v="0"/>
    <s v="Etat H.O : non finalisé entre 224 et  323_x000a_ qualité /niveau de signal : dl rx-qual=6, dl rx level = -75dbm_x000a_,Requête de déconnexion a été envoyée par le MSC"/>
    <m/>
    <x v="0"/>
    <s v="Attente de pousser les analyses coté Bord"/>
    <s v="HO Failure entre 224 et 323"/>
    <s v="dl Rxqual=6"/>
    <s v="dl rx level= -75 dbm"/>
    <s v="OK"/>
    <s v="OK"/>
    <s v="Mauvais"/>
    <s v="retransmission des trames HDLC*5"/>
    <m/>
    <s v="ELHAJOUIA Achraf"/>
    <m/>
    <m/>
    <m/>
    <m/>
    <m/>
    <m/>
    <m/>
  </r>
  <r>
    <n v="393"/>
    <x v="0"/>
    <x v="173"/>
    <d v="1899-12-30T12:59:46"/>
    <n v="1022"/>
    <x v="0"/>
    <x v="1"/>
    <n v="1044"/>
    <m/>
    <s v="Casa/Tanger"/>
    <n v="25.85"/>
    <x v="7"/>
    <s v="N2"/>
    <x v="0"/>
    <s v="Etat H.O : non finalisé entre 207 et  205_x000a_ qualité /niveau de signal : dl rx-qual=7, dl rx level = -86dbm_x000a_,Requête de déconnexion a été envoyée par le RBC"/>
    <m/>
    <x v="2"/>
    <s v="En attente de pousser les analyses coté Bord/Attente de vérification Par l'équipe SOR"/>
    <s v="HO Failure entre 207 et 205"/>
    <s v="dl Rxqual=7"/>
    <s v="dl rx level= -86 dbm"/>
    <s v="OK"/>
    <s v="OK"/>
    <s v="Mauvais"/>
    <s v="retransmission des trames HDLC*5"/>
    <m/>
    <s v="ISMALI ALAOUI Hamza"/>
    <m/>
    <m/>
    <m/>
    <m/>
    <m/>
    <m/>
    <m/>
  </r>
  <r>
    <n v="394"/>
    <x v="0"/>
    <x v="173"/>
    <d v="1899-12-30T17:05:01"/>
    <n v="2045"/>
    <x v="1"/>
    <x v="0"/>
    <n v="1028"/>
    <m/>
    <s v="Tanger/Casa"/>
    <n v="6.13"/>
    <x v="2"/>
    <s v="N2"/>
    <x v="0"/>
    <s v="Etat H.O : non finalisé entre 202 et  303_x000a_ qualité /niveau de signal : dl rx-qual=3, dl rx level = -56dbm_x000a_,Requête de déconnexion a été envoyée par le MSC"/>
    <m/>
    <x v="0"/>
    <s v="En attente de mise en place des tiroires filtrés"/>
    <s v="HO Failure entre 202 et 303"/>
    <s v="dl Rxqual=3"/>
    <s v="dl rx level= -56 dbm"/>
    <s v="OK"/>
    <s v="OK"/>
    <s v="Mauvais"/>
    <s v="retransmission des trames HDLC*5"/>
    <m/>
    <s v="HARIRI Bahaeddine"/>
    <m/>
    <m/>
    <m/>
    <m/>
    <m/>
    <m/>
    <m/>
  </r>
  <r>
    <n v="395"/>
    <x v="0"/>
    <x v="173"/>
    <d v="1899-12-30T20:33:18"/>
    <n v="2057"/>
    <x v="8"/>
    <x v="0"/>
    <n v="1042"/>
    <m/>
    <s v="Tanger/Casa"/>
    <n v="130.48400000000001"/>
    <x v="10"/>
    <s v="N2"/>
    <x v="0"/>
    <s v="Etat H.O : Complete entre 222 et  323_x000a_ qualité /niveau de signal : dl rx-qual=0, dl rx level = -50dbm_x000a_,Requête de déconnexion a été envoyée par le RBC"/>
    <m/>
    <x v="6"/>
    <s v="En attente de pousser les analyses coté Bord/RBC"/>
    <s v="HO Complete entre 222 et 323"/>
    <s v="dl Rxqual=0"/>
    <s v="dl rx level= -50 dbm"/>
    <s v="OK"/>
    <s v="OK"/>
    <s v="Mauvais"/>
    <s v="retransmission des trames HDLC*5"/>
    <m/>
    <s v="ELHAJOUIA Achraf"/>
    <m/>
    <m/>
    <m/>
    <m/>
    <m/>
    <m/>
    <m/>
  </r>
  <r>
    <n v="396"/>
    <x v="0"/>
    <x v="173"/>
    <d v="1899-12-30T21:05:26"/>
    <n v="2061"/>
    <x v="5"/>
    <x v="0"/>
    <n v="1024"/>
    <m/>
    <s v="Tanger/Casa"/>
    <n v="6.13"/>
    <x v="2"/>
    <s v="N2"/>
    <x v="0"/>
    <s v="Etat H.O : non recule finalisé entre 202 et  201_x000a_ qualité /niveau de signal : dl rx-qual=7, dl rx level = -53dbm_x000a_,Requête de déconnexion a été envoyée par le RBC"/>
    <m/>
    <x v="0"/>
    <s v="En attente de mise en place des tiroires filtrés"/>
    <s v="HO Failure entre 202 et 201"/>
    <s v="dl Rxqual=7"/>
    <s v="dl rx level= -53 dbm"/>
    <s v="NOK"/>
    <s v="OK"/>
    <s v="Mauvais"/>
    <s v="retransmission des trames HDLC*5"/>
    <m/>
    <s v="ELHAJOUIA Achraf"/>
    <m/>
    <m/>
    <m/>
    <m/>
    <m/>
    <m/>
    <m/>
  </r>
  <r>
    <n v="397"/>
    <x v="0"/>
    <x v="174"/>
    <d v="1899-12-30T14:05:25"/>
    <n v="2033"/>
    <x v="5"/>
    <x v="0"/>
    <n v="1022"/>
    <n v="35214500045122"/>
    <s v="Tanger/Casa"/>
    <n v="6.13"/>
    <x v="2"/>
    <s v="N2"/>
    <x v="1"/>
    <s v="Etat H.O : non finalisé entre 301 et 202_x000a_ qualité /niveau de signal : dl rx-qual= 7, dl rx level = -56 dbm_x000a_,Requête de déconnexion a été envoyée par le RBC"/>
    <m/>
    <x v="0"/>
    <s v="En attente de mise en place des tiroires filtrés"/>
    <s v="HO Failure entre 301 et 202"/>
    <s v="dl Rxqual=7"/>
    <s v="dl rx level= -56 dbm"/>
    <s v="OK"/>
    <s v="OK"/>
    <s v="Mauvais"/>
    <s v="retransmission des trames HDLC*5"/>
    <m/>
    <s v="Saad Elhabib"/>
    <m/>
    <m/>
    <m/>
    <m/>
    <m/>
    <m/>
    <m/>
  </r>
  <r>
    <n v="398"/>
    <x v="0"/>
    <x v="174"/>
    <d v="1899-12-30T17:05:06"/>
    <n v="2045"/>
    <x v="9"/>
    <x v="0"/>
    <n v="1052"/>
    <n v="35214500043740"/>
    <s v="Tanger/Casa"/>
    <n v="6.13"/>
    <x v="2"/>
    <s v="N2"/>
    <x v="0"/>
    <s v="Etat H.O : non finalisé entre 301 et 303 _x000a_ qualité /niveau de signal : dl rx-qual= 7, dl rx level = -53 dbm_x000a_,Requête de déconnexion a été envoyée par le RBC"/>
    <m/>
    <x v="0"/>
    <s v="En attente de mise en place des tiroires filtrés"/>
    <s v="HO Failure entre 301 et 303 "/>
    <s v="dl Rxqual=7"/>
    <s v="dl rx level= -53 dbm"/>
    <s v="NOK"/>
    <s v="OK"/>
    <s v="Mauvais"/>
    <s v="retransmission des trames HDLC*5"/>
    <m/>
    <s v="Saad Elhabib"/>
    <m/>
    <m/>
    <m/>
    <m/>
    <m/>
    <m/>
    <m/>
  </r>
  <r>
    <n v="399"/>
    <x v="0"/>
    <x v="174"/>
    <d v="1899-12-30T18:39:49"/>
    <n v="1045"/>
    <x v="10"/>
    <x v="1"/>
    <n v="1060"/>
    <n v="35214500043740"/>
    <s v="Casa/Tanger"/>
    <n v="140.65899999999999"/>
    <x v="26"/>
    <s v="N2"/>
    <x v="0"/>
    <s v=" Etat H.O : finalisé entre 226 et 325 _x000a_ qualité /niveau de signal : dl RxQual=0, dl rx level = -71 dbm_x000a_,Requête de déconnexion a été envoyée par le RBC"/>
    <m/>
    <x v="6"/>
    <s v="En attente de pousser les analyses coté Bord/RBC"/>
    <s v="HO Complete entre 226 et 325"/>
    <s v="dl Rxqual=0"/>
    <s v="dl rx level= -71 dbm"/>
    <s v="OK"/>
    <s v="OK"/>
    <s v="Mauvais"/>
    <s v="retransmission des trames HDLC*5"/>
    <m/>
    <s v="Saad Elhabib"/>
    <m/>
    <m/>
    <m/>
    <m/>
    <m/>
    <m/>
    <m/>
  </r>
  <r>
    <n v="400"/>
    <x v="0"/>
    <x v="174"/>
    <d v="1899-12-30T19:05:06"/>
    <n v="2053"/>
    <x v="0"/>
    <x v="0"/>
    <n v="1036"/>
    <n v="35214500043740"/>
    <s v="Tanger/Casa"/>
    <n v="6.13"/>
    <x v="2"/>
    <s v="N2"/>
    <x v="1"/>
    <s v="Etat H.O : non finalisé entre 202 et 303_x000a_ qualité /niveau de signal : dl rx-qual= 4, dl rx level = -50 dbm_x000a_,Requête de déconnexion a été envoyée par le Bord"/>
    <m/>
    <x v="0"/>
    <s v="En attente de mise en place des tiroires filtrés"/>
    <s v="HO Failure entre 202 et 303 "/>
    <s v="dl Rxqual=4"/>
    <s v="dl rx level= -50 dbm"/>
    <s v="NOK"/>
    <s v="OK"/>
    <s v="Mauvais"/>
    <s v="pas de retransmission des trames HDLC"/>
    <m/>
    <s v="Saad Elhabib"/>
    <m/>
    <m/>
    <m/>
    <m/>
    <m/>
    <m/>
    <m/>
  </r>
  <r>
    <n v="401"/>
    <x v="0"/>
    <x v="175"/>
    <d v="1899-12-30T16:20:53"/>
    <n v="2041"/>
    <x v="1"/>
    <x v="0"/>
    <n v="1029"/>
    <n v="35214500043740"/>
    <s v="Tanger/Casa"/>
    <n v="73.585999999999999"/>
    <x v="13"/>
    <s v="N2"/>
    <x v="0"/>
    <s v=" Etat H.O : finalisé entre 213 et 214 _x000a_* qualité /niveau de signal : dl RxQual=7, dl rx level = -76 dbm_x000a_,Requête de déconnexion a été envoyée par le RBC"/>
    <m/>
    <x v="2"/>
    <s v="En attente de pousser les analyses coté Bord/Attente de vérification Par l'équipe SOR"/>
    <s v="HO Complete entre 213 et 214"/>
    <s v="dl Rxqual=7"/>
    <s v="dl rx level= -76 dbm"/>
    <s v="OK"/>
    <s v="OK"/>
    <s v="Mauvais"/>
    <s v="retransmission des trames HDLC*5"/>
    <m/>
    <s v="Saad Elhabib"/>
    <m/>
    <m/>
    <m/>
    <m/>
    <m/>
    <m/>
    <m/>
  </r>
  <r>
    <n v="402"/>
    <x v="0"/>
    <x v="175"/>
    <d v="1899-12-30T20:28:12"/>
    <n v="2057"/>
    <x v="0"/>
    <x v="0"/>
    <n v="1037"/>
    <m/>
    <s v="Tanger/Casa"/>
    <n v="108.206"/>
    <x v="1"/>
    <s v="N2"/>
    <x v="0"/>
    <s v=" Etat H.O : NON finalisé entre 219 et 320_x000a_* qualité /niveau de signal : dl RxQual=5, dl rx level = -80 dbm_x000a_,Requête de déconnexion a été envoyée par le MSC"/>
    <m/>
    <x v="2"/>
    <s v="Attente de planification d'un analyse spectrale/En attente de pousser les analyses coté Bord"/>
    <s v="HO Failure entre 219 et 320 "/>
    <s v="dl Rxqual=5"/>
    <s v="dl rx level= -80 dbm"/>
    <s v="OK"/>
    <s v="OK"/>
    <s v="Mauvais"/>
    <s v="retransmission des trames HDLC*4"/>
    <m/>
    <s v="ELHAJOUIA Achraf"/>
    <m/>
    <m/>
    <m/>
    <m/>
    <m/>
    <m/>
    <m/>
  </r>
  <r>
    <n v="403"/>
    <x v="0"/>
    <x v="175"/>
    <d v="1899-12-30T22:45:05"/>
    <n v="1061"/>
    <x v="11"/>
    <x v="1"/>
    <n v="1072"/>
    <m/>
    <s v="Casa/Tanger"/>
    <n v="94.953999999999994"/>
    <x v="8"/>
    <s v="N2"/>
    <x v="0"/>
    <s v=" Etat H.O : NON finalisé entre 219 et 217_x000a_* qualité /niveau de signal : dl RxQual=6, dl rx level = -83 dbm_x000a_,Requête de déconnexion a été envoyée par le RBC"/>
    <m/>
    <x v="2"/>
    <s v="Attente de planification d'un analyse spectrale/En attente de pousser les analyses coté Bord"/>
    <s v="HO Failure entre 219 et 217"/>
    <s v="dl Rxqual=6"/>
    <s v="dl rx level= -83 dbm"/>
    <s v="OK"/>
    <s v="OK"/>
    <s v="Mauvais"/>
    <s v="retransmission des trames HDLC*5"/>
    <m/>
    <s v="ELHAJOUIA Achraf"/>
    <m/>
    <m/>
    <m/>
    <m/>
    <m/>
    <m/>
    <m/>
  </r>
  <r>
    <n v="404"/>
    <x v="0"/>
    <x v="176"/>
    <d v="1899-12-30T07:21:12"/>
    <n v="2005"/>
    <x v="3"/>
    <x v="0"/>
    <n v="1047"/>
    <m/>
    <s v="Tanger/Casa"/>
    <n v="73.585999999999999"/>
    <x v="13"/>
    <s v="N2"/>
    <x v="0"/>
    <s v=" Etat H.O : NON finalisé entre 213 et 214_x000a_* qualité /niveau de signal : dl RxQual=7, dl rx level = -64 dbm_x000a_,Requête de déconnexion a été envoyée par le RBC"/>
    <m/>
    <x v="2"/>
    <s v="En attente de pousser les analyses coté Bord/Attente de vérification Par l'équipe SOR"/>
    <s v="HO Failure entre 213 et 214"/>
    <s v="dl Rxqual=7"/>
    <s v="dl rx level= -64 dbm"/>
    <s v="OK"/>
    <s v="OK"/>
    <s v="Mauvais"/>
    <s v="retransmission des trames HDLC*5"/>
    <m/>
    <s v="ELHAJOUIA Achraf"/>
    <m/>
    <m/>
    <m/>
    <m/>
    <m/>
    <m/>
    <m/>
  </r>
  <r>
    <n v="405"/>
    <x v="0"/>
    <x v="176"/>
    <d v="1899-12-30T08:55:25"/>
    <n v="1005"/>
    <x v="0"/>
    <x v="1"/>
    <n v="1044"/>
    <m/>
    <s v="Casa/Tanger"/>
    <n v="51.036999999999999"/>
    <x v="29"/>
    <s v="N2"/>
    <x v="0"/>
    <s v=" Etat H.O : NON finalisé entre 310 et 309_x000a_* qualité /niveau de signal : dl RxQual=0 dl rx level = -48dbm_x000a_,Requête de déconnexion a été envoyée par le RBC"/>
    <m/>
    <x v="0"/>
    <s v="En attente de pousser les analyses coté Bord"/>
    <s v="HO Failure entre 310 et 309"/>
    <s v="dl Rxqual=7"/>
    <s v="dl rx level= -48 dbm"/>
    <s v="OK"/>
    <s v="NOK"/>
    <s v="Mauvais"/>
    <s v="retransmission des trames HDLC*5"/>
    <m/>
    <s v="Nassim NAJIM"/>
    <m/>
    <m/>
    <m/>
    <m/>
    <m/>
    <m/>
    <m/>
  </r>
  <r>
    <n v="406"/>
    <x v="0"/>
    <x v="176"/>
    <d v="1899-12-30T12:29:48"/>
    <n v="1022"/>
    <x v="8"/>
    <x v="1"/>
    <n v="1022"/>
    <m/>
    <s v="Casa/Tanger"/>
    <n v="177.85"/>
    <x v="4"/>
    <s v="N2"/>
    <x v="0"/>
    <s v=" Etat H.O : NON finalisé entre 231 et 329_x000a_* qualité /niveau de signal : dl RxQual=7 dl rx level = -74dbm_x000a_,Requête de déconnexion a été envoyée par le Bord"/>
    <m/>
    <x v="0"/>
    <s v="En attente de pousser les analyses coté Bord"/>
    <s v="HO Failure entre 231 et 329"/>
    <s v="dl Rxqual=7"/>
    <s v="dl rx level= -74 dbm"/>
    <s v="OK"/>
    <s v="NOK"/>
    <s v="Mauvais"/>
    <s v="retransmission des trames HDLC*5"/>
    <m/>
    <s v="Nassim NAJIM"/>
    <m/>
    <m/>
    <m/>
    <m/>
    <m/>
    <m/>
    <m/>
  </r>
  <r>
    <n v="407"/>
    <x v="0"/>
    <x v="176"/>
    <s v=" 14:05:46 "/>
    <n v="2033"/>
    <x v="10"/>
    <x v="0"/>
    <n v="7206"/>
    <m/>
    <s v="Tanger/Casa"/>
    <n v="6.13"/>
    <x v="2"/>
    <s v="N2"/>
    <x v="0"/>
    <s v=" Etat H.O : NON finalisé entre 302 et 303_x000a_* qualité /niveau de signal : dl RxQual=6 dl rx level = -56dbm_x000a_,Requête de déconnexion a été envoyée par le RBC"/>
    <m/>
    <x v="0"/>
    <s v="En attente de mise en place des tiroires filtrés"/>
    <s v="HO Failure entre 302 et 303"/>
    <s v="dl Rxqual=6"/>
    <s v="dl rx level= -56 dbm"/>
    <s v="OK"/>
    <s v="OK"/>
    <s v="Mauvais"/>
    <s v="retransmission des trames HDLC*5"/>
    <m/>
    <s v="Nassim NAJIM"/>
    <m/>
    <m/>
    <m/>
    <m/>
    <m/>
    <m/>
    <m/>
  </r>
  <r>
    <n v="408"/>
    <x v="0"/>
    <x v="176"/>
    <s v=" 18:28:34 "/>
    <n v="2049"/>
    <x v="11"/>
    <x v="0"/>
    <n v="1048"/>
    <m/>
    <s v="Tanger/Casa"/>
    <n v="109.495"/>
    <x v="1"/>
    <s v="N2"/>
    <x v="0"/>
    <s v="Etat H.O : non finalisé entre 220 et 321_x000a_ qualité /niveau de signal : dl rx-qual= 6, dl rx level = -64 dbm_x000a_,Requête de déconnexion a été envoyée par le Bord"/>
    <m/>
    <x v="2"/>
    <s v="Attente de planification d'un analyse spectrale/En attente de pousser les analyses coté Bord"/>
    <s v="HO Failure entre 220 et 321"/>
    <s v="dl Rxqual=6"/>
    <s v="dl rx level= -64 dbm"/>
    <s v="NOK"/>
    <s v="OK"/>
    <s v="Mauvais"/>
    <s v="retransmission des trames HDLC*5"/>
    <m/>
    <s v="Saad Elhabib"/>
    <m/>
    <m/>
    <m/>
    <m/>
    <m/>
    <m/>
    <m/>
  </r>
  <r>
    <n v="409"/>
    <x v="0"/>
    <x v="176"/>
    <s v=" 21:27:54 "/>
    <n v="2061"/>
    <x v="3"/>
    <x v="0"/>
    <n v="1046"/>
    <m/>
    <s v="Tanger/Casa"/>
    <n v="108.206"/>
    <x v="1"/>
    <s v="N2"/>
    <x v="0"/>
    <s v="Etat H.O : Non finalisé entre 219 et 320_x000a_ qualité /niveau de signal : dl rx-qual= 7, dl rx level = -68 dbm_x000a_,Requête de déconnexion a été envoyée par le Bord"/>
    <m/>
    <x v="2"/>
    <s v="Attente de planification d'un analyse spectrale/En attente de pousser les analyses coté Bord"/>
    <s v="HO Failure entre 219 et 320"/>
    <s v="dl Rxqual=7"/>
    <s v="dl rx level= -68 dbm"/>
    <s v="OK"/>
    <s v="OK"/>
    <s v="Mauvais"/>
    <s v=" Retransmission des trames HDLC*5"/>
    <m/>
    <s v="Fahd OUSSALH"/>
    <m/>
    <m/>
    <m/>
    <m/>
    <m/>
    <m/>
    <m/>
  </r>
  <r>
    <n v="410"/>
    <x v="0"/>
    <x v="176"/>
    <s v=" 22:27:22 "/>
    <n v="2061"/>
    <x v="11"/>
    <x v="1"/>
    <n v="1072"/>
    <m/>
    <s v="Casa/Tanger"/>
    <n v="198.98400000000001"/>
    <x v="5"/>
    <s v="N2"/>
    <x v="0"/>
    <s v="Etat H.O :  finalisé entre 234 et 233_x000a_ qualité /niveau de signal : dl rx-qual= 0, dl rx level = -54 dbm_x000a_,Requête de déconnexion a été envoyée par le Bord"/>
    <m/>
    <x v="0"/>
    <s v="En attente de pousser les analyses coté Bord"/>
    <s v="HO Complete entre 234 et 233"/>
    <s v="dl Rxqual=0"/>
    <s v="dl rx level= -54 dbm"/>
    <s v="OK"/>
    <s v="OK"/>
    <s v="Mauvais"/>
    <s v="Pas Retransmission des trames HDLC"/>
    <m/>
    <s v="Fahd OUSSALH"/>
    <m/>
    <m/>
    <m/>
    <m/>
    <m/>
    <m/>
    <m/>
  </r>
  <r>
    <n v="411"/>
    <x v="0"/>
    <x v="176"/>
    <s v=" 23:18:16 "/>
    <n v="2061"/>
    <x v="11"/>
    <x v="1"/>
    <n v="1072"/>
    <m/>
    <s v="Casa/Tanger"/>
    <n v="7.3209999999999997"/>
    <x v="2"/>
    <s v="N2"/>
    <x v="1"/>
    <s v="Etat H.O : NON finalisé entre 303et 202_x000a_ qualité /niveau de signal : dl rx-qual= 2, dl rx level = -72 dbm_x000a_,Requête de déconnexion a été envoyée par le RBC"/>
    <m/>
    <x v="0"/>
    <s v="En attente de mise en place des tiroires filtrés"/>
    <s v="HO Failure entre 303 et 202"/>
    <s v="dl Rxqual=2"/>
    <s v="dl rx level= -72 dbm"/>
    <s v="OK"/>
    <s v="OK"/>
    <s v="Mauvais"/>
    <s v=" Retransmission des trames HDLC*5"/>
    <m/>
    <s v="Fahd OUSSALH"/>
    <m/>
    <m/>
    <m/>
    <m/>
    <m/>
    <m/>
    <m/>
  </r>
  <r>
    <n v="412"/>
    <x v="0"/>
    <x v="177"/>
    <s v=" 07:21:25 "/>
    <n v="2005"/>
    <x v="2"/>
    <x v="0"/>
    <n v="7218"/>
    <m/>
    <s v="Tanger/Casa"/>
    <n v="73.588999999999999"/>
    <x v="13"/>
    <s v="N2"/>
    <x v="0"/>
    <s v="Etat H.O :  finalisé entre 212et 213_x000a_ qualité /niveau de signal : dl rx-qual= 6, dl rx level = -68 dbm_x000a_,Requête de déconnexion a été envoyée par le RBC"/>
    <m/>
    <x v="2"/>
    <s v="chaine antennaire dégradé, besoin de vérification de la chaine /Zone sous surveillance par équipe NOC GSMR"/>
    <s v="HO Complete entre 212 et 213"/>
    <s v="dl Rxqual=6"/>
    <s v="dl rx level= -68 dbm"/>
    <s v="OK"/>
    <s v="OK"/>
    <s v="Mauvais"/>
    <s v=" Retransmission des trames HDLC*5"/>
    <m/>
    <s v="Fahd OUSSALH"/>
    <m/>
    <m/>
    <m/>
    <m/>
    <m/>
    <m/>
    <m/>
  </r>
  <r>
    <n v="413"/>
    <x v="0"/>
    <x v="177"/>
    <s v=" 10:21:27"/>
    <n v="2017"/>
    <x v="8"/>
    <x v="0"/>
    <n v="1043"/>
    <m/>
    <s v="Tanger/Casa"/>
    <n v="73.585999999999999"/>
    <x v="13"/>
    <s v="N2"/>
    <x v="0"/>
    <s v="Etat H.O :  finalisé entre 213 et 214_x000a_ qualité /niveau de signal : dl rx-qual= 7, dl rx level = -78 dbm_x000a_,Requête de déconnexion a été envoyée par le RBC"/>
    <m/>
    <x v="0"/>
    <s v="En attente de pousser les analyses coté Bord"/>
    <s v="HO Complete entre 213 et 214"/>
    <s v="dl Rxqual=7"/>
    <s v="dl rx level= -78 dbm"/>
    <s v="OK"/>
    <s v="OK"/>
    <s v="Mauvais"/>
    <s v=" Retransmission des trames HDLC*5"/>
    <m/>
    <s v="HAMZAOUI Youssef"/>
    <m/>
    <m/>
    <m/>
    <m/>
    <m/>
    <m/>
    <m/>
  </r>
  <r>
    <n v="414"/>
    <x v="0"/>
    <x v="177"/>
    <s v=" 10:42:39"/>
    <n v="2017"/>
    <x v="8"/>
    <x v="0"/>
    <n v="1042"/>
    <m/>
    <s v="Tanger/Casa"/>
    <n v="172.83600000000001"/>
    <x v="27"/>
    <s v="N2"/>
    <x v="0"/>
    <s v="Etat H.O : NON finalisé entre 229 et 230_x000a_ qualité /niveau de signal : dl rx-qual= 0, dl rx level = -58 dbm_x000a_,Requête de déconnexion a été envoyée par le RBC"/>
    <m/>
    <x v="0"/>
    <s v="En attente de pousser les analyses coté Bord"/>
    <s v="HO Failure entre 229 et 230"/>
    <s v="dl Rxqual=0"/>
    <s v="dl rx level= -58 dbm"/>
    <s v="NOK"/>
    <s v="OK"/>
    <s v="Mauvais"/>
    <s v=" Retransmission des trames HDLC*5"/>
    <m/>
    <s v="Noura MOUSSAOUI"/>
    <m/>
    <m/>
    <m/>
    <m/>
    <m/>
    <m/>
    <m/>
  </r>
  <r>
    <n v="415"/>
    <x v="0"/>
    <x v="177"/>
    <s v=" 13:03:25"/>
    <n v="1022"/>
    <x v="5"/>
    <x v="1"/>
    <n v="1027"/>
    <m/>
    <s v="Casa/Tanger"/>
    <n v="11.22"/>
    <x v="22"/>
    <s v="N2"/>
    <x v="0"/>
    <s v="Etat H.O :Complet entre 204 et 303_x000a_ qualité /niveau de signal : dl rx-qual= 0, dl rx level = -48 dbm_x000a_,Requête de déconnexion a été envoyée par le RBC"/>
    <m/>
    <x v="0"/>
    <s v="En attente de pousser les analyses coté Bord"/>
    <s v="HO Complete entre 204 et 303"/>
    <s v="dl Rxqual=0"/>
    <s v="dl rx level= -48 dbm"/>
    <s v="OK"/>
    <s v="OK"/>
    <s v="Mauvais"/>
    <s v=" Retransmission des trames HDLC*5"/>
    <m/>
    <s v="Nassim NAJIM"/>
    <m/>
    <m/>
    <m/>
    <m/>
    <m/>
    <m/>
    <m/>
  </r>
  <r>
    <n v="416"/>
    <x v="0"/>
    <x v="177"/>
    <d v="1899-12-30T20:08:29"/>
    <n v="2057"/>
    <x v="7"/>
    <x v="0"/>
    <n v="1055"/>
    <m/>
    <s v="Tanger/Casa"/>
    <n v="14.99"/>
    <x v="22"/>
    <s v="N2"/>
    <x v="0"/>
    <s v="Etat H.O : Complet  entre 303 et 204_x000a_*qualité /niveau de signal : dl rx-qual=0, dl rx level = -48 dbm_x000a_,Requête de déconnexion a été envoyée par le RBC"/>
    <m/>
    <x v="0"/>
    <s v="En attente de pousser les analyses coté Bord"/>
    <s v="HO Complete entre 303 et 204"/>
    <s v="dl Rxqual=0"/>
    <s v="dl rx level= -48 dbm"/>
    <s v="OK"/>
    <s v="OK"/>
    <s v="Mauvais"/>
    <s v=" Retransmission des trames HDLC*5"/>
    <m/>
    <s v="Saad Elhabib"/>
    <m/>
    <m/>
    <m/>
    <m/>
    <m/>
    <m/>
    <m/>
  </r>
  <r>
    <n v="417"/>
    <x v="0"/>
    <x v="177"/>
    <d v="1899-12-30T20:39:50"/>
    <n v="1053"/>
    <x v="2"/>
    <x v="1"/>
    <n v="1034"/>
    <m/>
    <s v="Casa/Tanger"/>
    <n v="179.089"/>
    <x v="4"/>
    <s v="N2"/>
    <x v="0"/>
    <s v="Etat H.O : Complet  entre 231 et 229_x000a_*qualité /niveau de signal : dl rx-qual=7, dl rx level = -71 dbm_x000a_,Requête de déconnexion a été envoyée par le RBC"/>
    <m/>
    <x v="2"/>
    <s v="chaine antennaire dégradé, besoin de vérification de la chaine /Zone sous surveillance par équipe NOC GSMR"/>
    <s v="HO Complete entre 231 et 229"/>
    <s v="dl Rxqual=7"/>
    <s v="dl rx level= -71 dbm"/>
    <s v="OK"/>
    <s v="OK"/>
    <s v="Mauvais"/>
    <s v=" Retransmission des trames HDLC*5"/>
    <m/>
    <s v="Saad Elhabib"/>
    <m/>
    <m/>
    <m/>
    <m/>
    <m/>
    <m/>
    <m/>
  </r>
  <r>
    <n v="418"/>
    <x v="0"/>
    <x v="177"/>
    <d v="1899-12-30T21:34:09"/>
    <n v="2061"/>
    <x v="5"/>
    <x v="1"/>
    <n v="1024"/>
    <m/>
    <s v="Casa/Tanger"/>
    <n v="140.65899999999999"/>
    <x v="26"/>
    <s v="N2"/>
    <x v="0"/>
    <s v="Etat H.O : Complet  entre 323 et 224_x000a_*qualité /niveau de signal : dl rx-qual=5, dl rx level = -72 dbm_x000a_,Requête de déconnexion a été envoyée par le RBC"/>
    <m/>
    <x v="2"/>
    <s v="chaine antennaire dégradé, besoin de vérification de la chaine /Zone sous surveillance par équipe NOC GSMR"/>
    <s v="HO Complete entre 323 et 224"/>
    <s v="dl Rxqual=5"/>
    <s v="dl rx level= -72 dbm"/>
    <s v="OK"/>
    <s v="OK"/>
    <s v="Mauvais"/>
    <s v=" Retransmission des trames HDLC*5"/>
    <m/>
    <s v="Fahd OUSSALH"/>
    <m/>
    <m/>
    <m/>
    <m/>
    <m/>
    <m/>
    <m/>
  </r>
  <r>
    <n v="419"/>
    <x v="0"/>
    <x v="177"/>
    <d v="1899-12-30T21:41:52"/>
    <n v="1058"/>
    <x v="9"/>
    <x v="1"/>
    <n v="1031"/>
    <m/>
    <s v="Casa/Tanger"/>
    <n v="127.815"/>
    <x v="6"/>
    <s v="N2"/>
    <x v="0"/>
    <s v="Etat H.O : Non fénalisé  entre 223 et 222_x000a_*qualité /niveau de signal : dl rx-qual=7, dl rx level = -81 dbm_x000a_,Requête de déconnexion a été envoyée par le RBC"/>
    <m/>
    <x v="2"/>
    <s v="chaine antennaire dégradé, besoin de vérification de la chaine /Zone sous surveillance par équipe NOC GSMR"/>
    <s v="HO Failure entre 223 et 222"/>
    <s v="dl Rxqual=7"/>
    <s v="dl rx level= -81 dbm"/>
    <s v="OK"/>
    <s v="OK"/>
    <s v="Mauvais"/>
    <s v=" Retransmission des trames HDLC*5"/>
    <m/>
    <s v="Fahd OUSSALH"/>
    <m/>
    <m/>
    <m/>
    <m/>
    <m/>
    <m/>
    <m/>
  </r>
  <r>
    <n v="420"/>
    <x v="0"/>
    <x v="177"/>
    <d v="1899-12-30T22:48:26"/>
    <n v="1061"/>
    <x v="0"/>
    <x v="1"/>
    <n v="1044"/>
    <m/>
    <s v="Casa/Tanger"/>
    <n v="97.619"/>
    <x v="8"/>
    <s v="N2"/>
    <x v="0"/>
    <s v="Etat H.O : Complet  entre 319 et 318_x000a_*qualité /niveau de signal : dl rx-qual=0, dl rx level = -57 dbm_x000a_,Requête de déconnexion a été envoyée par le RBC"/>
    <m/>
    <x v="0"/>
    <s v="En attente de pousser les analyses coté Bord"/>
    <s v="HO Complete entre 319 et 318_x000a_"/>
    <s v="dl Rxqual=0"/>
    <s v="dl rx level= -57 dbm"/>
    <s v="OK"/>
    <s v="OK"/>
    <s v="Mauvais"/>
    <s v=" Retransmission des trames HDLC*5"/>
    <m/>
    <s v="Fahd OUSSALH"/>
    <m/>
    <m/>
    <m/>
    <m/>
    <m/>
    <m/>
    <m/>
  </r>
  <r>
    <n v="421"/>
    <x v="0"/>
    <x v="178"/>
    <d v="1899-12-30T09:41:51"/>
    <n v="1010"/>
    <x v="7"/>
    <x v="1"/>
    <n v="1041"/>
    <m/>
    <s v="Casa/Tanger"/>
    <n v="131.78899999999999"/>
    <x v="10"/>
    <s v="N2"/>
    <x v="0"/>
    <s v="Etat H.O : Complet  entre 324 et 323_x000a_*qualité /niveau de signal : dl rx-qual=0, dl rx level = -51 dbm_x000a_,Requête de déconnexion a été envoyée par le RBC"/>
    <m/>
    <x v="0"/>
    <s v="En attente de pousser les analyses coté Bord"/>
    <s v="HO Complete entre 324 et 323_x000a_"/>
    <s v="dl Rxqual=0"/>
    <s v="dl rx level= -51 dbm"/>
    <s v="OK"/>
    <s v="OK"/>
    <s v="Mauvais"/>
    <s v=" Retransmission des trames HDLC*5"/>
    <m/>
    <s v="HAMZAOUI Youssef"/>
    <m/>
    <m/>
    <m/>
    <m/>
    <m/>
    <m/>
    <m/>
  </r>
  <r>
    <n v="422"/>
    <x v="0"/>
    <x v="178"/>
    <d v="1899-12-30T10:09:10"/>
    <n v="1010"/>
    <x v="7"/>
    <x v="1"/>
    <n v="1040"/>
    <m/>
    <s v="Casa/Tanger"/>
    <n v="7.3209999999999997"/>
    <x v="2"/>
    <s v="N2"/>
    <x v="0"/>
    <s v="Etat H.O : Non finalisé entre 303 et 302_x000a_*qualité /niveau de signal : dl rx-qual=7, dl rx level = -61 dbm_x000a_,Requête de déconnexion a été envoyée par le RBC"/>
    <m/>
    <x v="0"/>
    <s v="En attente de mise en place des tiroires filtrés"/>
    <s v="HO Failure entre 303 et 302"/>
    <s v="dl Rxqual=7"/>
    <s v="dl rx level= -61 dbm"/>
    <s v="OK"/>
    <s v="OK"/>
    <s v="Mauvais"/>
    <s v=" Retransmission des trames HDLC*5"/>
    <m/>
    <s v="Noura MOUSSAOUI"/>
    <m/>
    <m/>
    <m/>
    <m/>
    <m/>
    <m/>
    <m/>
  </r>
  <r>
    <n v="423"/>
    <x v="0"/>
    <x v="178"/>
    <d v="1899-12-30T17:55:30"/>
    <n v="1042"/>
    <x v="10"/>
    <x v="1"/>
    <n v="1061"/>
    <m/>
    <s v="Casa/Tanger"/>
    <n v="83.084000000000003"/>
    <x v="15"/>
    <s v="N2"/>
    <x v="0"/>
    <s v="Etat H.O : Complet entre 216 et 315_x000a_* qualité /niveau de signal : dl rx-qual=0, dl rx level = -50 dbm_x000a_,Requête de déconnexion a été envoyée par le RBC"/>
    <m/>
    <x v="0"/>
    <s v="En attente de pousser les analyses coté Bord"/>
    <s v="HO Complete entre 216 et 315"/>
    <s v="dl Rxqual=0"/>
    <s v="dl rx level= -50 dbm"/>
    <s v="OK"/>
    <s v="OK"/>
    <s v="Mauvais"/>
    <s v=" Retransmission des trames HDLC*5"/>
    <m/>
    <s v="Saad Elhabib"/>
    <m/>
    <m/>
    <m/>
    <m/>
    <m/>
    <m/>
    <m/>
  </r>
  <r>
    <n v="424"/>
    <x v="0"/>
    <x v="178"/>
    <d v="1899-12-30T18:35:54"/>
    <n v="1045"/>
    <x v="9"/>
    <x v="1"/>
    <n v="1031"/>
    <m/>
    <s v="Casa/Tanger"/>
    <n v="177.85"/>
    <x v="4"/>
    <s v="N2"/>
    <x v="0"/>
    <s v="Etat H.O : Performed entre 330 et 331 avec downLink quality_x000a_* qualité /niveau de signal : dl rx-qual=7, dl rx level = -75 dbm_x000a_,Requête de déconnexion a été envoyée par le RBC"/>
    <m/>
    <x v="2"/>
    <s v="chaine antennaire dégradé, besoin de vérification de la chaine /Zone sous surveillance par équipe NOC GSMR"/>
    <s v="HO Performed entre 330 et 331"/>
    <s v="dl Rxqual=7"/>
    <s v="dl rx level= -75 dbm"/>
    <s v="NOK"/>
    <s v="OK"/>
    <s v="Mauvais"/>
    <s v=" Retransmission des trames HDLC*5"/>
    <m/>
    <s v="Saad Elhabib"/>
    <m/>
    <m/>
    <m/>
    <m/>
    <m/>
    <m/>
    <m/>
  </r>
  <r>
    <n v="425"/>
    <x v="0"/>
    <x v="179"/>
    <s v="06:11:52 "/>
    <n v="1081"/>
    <x v="9"/>
    <x v="1"/>
    <n v="1031"/>
    <m/>
    <s v="Casa/Tanger"/>
    <n v="149.01400000000001"/>
    <x v="3"/>
    <s v="N2"/>
    <x v="0"/>
    <s v="Etat H.O : Complet  entre 327et 326_x000a_*qualité /niveau de signal : dl rx-qual=0, dl rx level = -77 dbm_x000a_,Requête de déconnexion a été envoyée par le RBC"/>
    <m/>
    <x v="0"/>
    <s v="chaine antennaire dégradé, besoin de vérification de la chaine , Besoin de vérification de la chaine antennaire "/>
    <s v="HO Complete entre 327 et 326_x000a_"/>
    <s v="dl Rxqual=0"/>
    <s v="dl rx level= -77 dbm"/>
    <s v="OK"/>
    <s v="OK"/>
    <s v="Mauvais"/>
    <s v=" Retransmission des trames HDLC*5"/>
    <m/>
    <s v="Fahd OUSSALH"/>
    <m/>
    <m/>
    <m/>
    <m/>
    <m/>
    <m/>
    <m/>
  </r>
  <r>
    <n v="426"/>
    <x v="0"/>
    <x v="179"/>
    <s v=" 12:05:18"/>
    <n v="2025"/>
    <x v="2"/>
    <x v="0"/>
    <n v="7217"/>
    <m/>
    <s v="Tanger/Casa"/>
    <n v="6.13"/>
    <x v="2"/>
    <s v="N2"/>
    <x v="0"/>
    <s v="Etat H.O : Non finalisé  entre 202 et 303_x000a_*qualité /niveau de signal : dl rx-qual=3, dl rx level = -50 dbm_x000a_,Requête de déconnexion a été envoyée par le BORD"/>
    <m/>
    <x v="0"/>
    <s v="En attente de mise en place des tiroires filtrés"/>
    <s v="HO Failure entre 202 et 303 "/>
    <s v="dl Rxqual=3"/>
    <s v="dl rx level= -50 dbm"/>
    <s v="OK"/>
    <s v="OK"/>
    <s v="Mauvais"/>
    <s v=" Retransmission des trames HDLC*5"/>
    <m/>
    <s v="Noura MOUSSAOUI"/>
    <m/>
    <m/>
    <m/>
    <m/>
    <m/>
    <m/>
    <m/>
  </r>
  <r>
    <n v="427"/>
    <x v="0"/>
    <x v="179"/>
    <s v=" 18:05:01"/>
    <n v="2049"/>
    <x v="2"/>
    <x v="0"/>
    <n v="7217"/>
    <m/>
    <s v="Tanger/Casa"/>
    <n v="6.13"/>
    <x v="2"/>
    <s v="N2"/>
    <x v="1"/>
    <s v="Etat H.O : Non finalisé  entre 202 et 301_x000a_*qualité /niveau de signal : dl rx-qual=7, dl rx level = -54 dbm_x000a_,Requête de déconnexion a été envoyée par le RBC "/>
    <m/>
    <x v="0"/>
    <s v="En attente de mise en place des tiroires filtrés"/>
    <s v="HO Failure entre 202 et 301"/>
    <s v="dl Rxqual=7"/>
    <s v="dl rx level= -54 dbm"/>
    <s v="OK"/>
    <s v="OK"/>
    <s v="Mauvais"/>
    <s v=" Retransmission des trames HDLC*5"/>
    <m/>
    <s v="ELHAJOUIA Achraf"/>
    <m/>
    <m/>
    <m/>
    <m/>
    <m/>
    <m/>
    <m/>
  </r>
  <r>
    <n v="428"/>
    <x v="0"/>
    <x v="179"/>
    <s v=" 19:28:00"/>
    <n v="2053"/>
    <x v="8"/>
    <x v="0"/>
    <n v="1042"/>
    <m/>
    <s v="Tanger/Casa"/>
    <n v="109.495"/>
    <x v="1"/>
    <s v="N2"/>
    <x v="0"/>
    <s v="Etat H.O : Non finalisé  entre 320 et 321_x000a_*qualité /niveau de signal : dl rx-qual=6, dl rx level = -65 dbm_x000a_,Requête de déconnexion a été envoyée par le RBC "/>
    <m/>
    <x v="2"/>
    <s v="chaine antennaire dégradé, besoin de vérification de la chaine /Zone sous surveillance par équipe NOC GSMR"/>
    <s v="HO Failure entre 320 et 321"/>
    <s v="dl Rxqual=6"/>
    <s v="dl rx level= -65 dbm"/>
    <s v="NOK"/>
    <s v="OK"/>
    <s v="Mauvais"/>
    <s v=" Retransmission des trames HDLC*5"/>
    <m/>
    <s v="ELHAJOUIA Achraf"/>
    <m/>
    <m/>
    <m/>
    <m/>
    <m/>
    <m/>
    <m/>
  </r>
  <r>
    <n v="429"/>
    <x v="0"/>
    <x v="179"/>
    <s v=" 22:40:11"/>
    <n v="1061"/>
    <x v="2"/>
    <x v="1"/>
    <n v="1035"/>
    <m/>
    <s v="Casa/Tanger"/>
    <n v="122.536"/>
    <x v="30"/>
    <s v="N2"/>
    <x v="0"/>
    <s v="Etat H.O : Non finalisé  entre 322 et 321_x000a_*qualité /niveau de signal : dl rx-qual=2, dl rx level = -78 dbm_x000a_,Requête de déconnexion a été envoyée par le RBC "/>
    <m/>
    <x v="0"/>
    <s v="En attente de pousser les analyses coté Bord"/>
    <s v="HO Failure entre 322 et 321"/>
    <s v="dl Rxqual=2"/>
    <s v="dl rx level= -78 dbm"/>
    <s v="OK"/>
    <s v="OK"/>
    <s v="Mauvais"/>
    <s v=" Retransmission des trames HDLC*5"/>
    <m/>
    <s v="Fahd OUSSALH"/>
    <m/>
    <m/>
    <m/>
    <m/>
    <m/>
    <m/>
    <m/>
  </r>
  <r>
    <n v="430"/>
    <x v="0"/>
    <x v="180"/>
    <d v="1899-12-30T07:29:57"/>
    <n v="2005"/>
    <x v="2"/>
    <x v="0"/>
    <n v="7218"/>
    <m/>
    <s v="Tanger/Casa"/>
    <n v="118.562"/>
    <x v="17"/>
    <s v="N2"/>
    <x v="1"/>
    <s v=" Etat H.O :  finalisé entre 220 et 221_x000a_* qualité /niveau de signal : dl rx-qual=1, dl rx level = -65 dbm_x000a_,Requête de déconnexion a été envoyée par le RBC "/>
    <m/>
    <x v="6"/>
    <s v="En attente de pousser les analyses coté Bord/RBC"/>
    <s v="HO Complete entre 220 et 221_x000a_"/>
    <s v="dl Rxqual=1"/>
    <s v="dl rx level= -65 dbm"/>
    <s v="OK"/>
    <s v="OK"/>
    <s v="Mauvais"/>
    <s v=" Retransmission des trames HDLC*5"/>
    <m/>
    <s v="Fahd OUSSALH"/>
    <m/>
    <m/>
    <m/>
    <m/>
    <m/>
    <m/>
    <m/>
  </r>
  <r>
    <n v="431"/>
    <x v="0"/>
    <x v="180"/>
    <d v="1899-12-30T10:04:44"/>
    <n v="2017"/>
    <x v="8"/>
    <x v="0"/>
    <n v="1042"/>
    <m/>
    <s v="Tanger/Casa"/>
    <n v="6.13"/>
    <x v="2"/>
    <s v="N2"/>
    <x v="0"/>
    <s v=" Etat H.O :  non finalisé entre 202 et 303_x000a_* qualité /niveau de signal : dl rx-qual=3, dl rx level = -53 dbm_x000a_,Requête de déconnexion a été envoyée par le Bord"/>
    <m/>
    <x v="0"/>
    <s v="En attente de mise en place des tiroires filtrés"/>
    <s v="HO Failure entre 202 et 303"/>
    <s v="dl Rxqual=3"/>
    <s v="dl rx level= -53 dbm"/>
    <s v="OK"/>
    <s v="OK"/>
    <s v="Mauvais"/>
    <s v=" Retransmission des trames HDLC*5"/>
    <m/>
    <s v="Noura MOUSSAOUI"/>
    <m/>
    <m/>
    <m/>
    <m/>
    <m/>
    <m/>
    <m/>
  </r>
  <r>
    <n v="432"/>
    <x v="0"/>
    <x v="180"/>
    <d v="1899-12-30T20:00:59"/>
    <n v="1049"/>
    <x v="9"/>
    <x v="1"/>
    <n v="1031"/>
    <m/>
    <s v="Casa/Tanger"/>
    <n v="17.59"/>
    <x v="20"/>
    <s v="N2"/>
    <x v="0"/>
    <s v=" Etat H.O : Complete  entre 305 et 204_x000a_* qualité /niveau de signal : dl rx-qual=0, dl rx level = -48 dbm_x000a_,Requête de déconnexion a été envoyée par le RBC"/>
    <m/>
    <x v="6"/>
    <s v="En attente de pousser les analyses coté Bord/RBC"/>
    <s v="HO Complete entre 305 et 204_x000a_"/>
    <s v="dl Rxqual=0"/>
    <s v="dl rx level= -48 dbm"/>
    <s v="OK"/>
    <s v="OK"/>
    <s v="Mauvais"/>
    <s v=" Retransmission des trames HDLC*5"/>
    <m/>
    <s v="ELHAJOUIA Achraf"/>
    <m/>
    <m/>
    <m/>
    <m/>
    <m/>
    <m/>
    <m/>
  </r>
  <r>
    <n v="433"/>
    <x v="0"/>
    <x v="181"/>
    <d v="1899-12-30T09:09:22"/>
    <n v="2013"/>
    <x v="9"/>
    <x v="0"/>
    <n v="1052"/>
    <m/>
    <s v="Tanger/Casa"/>
    <n v="17.59"/>
    <x v="20"/>
    <s v="N2"/>
    <x v="0"/>
    <s v=" Etat H.O : finalisé entre 203 et 204_x000a_* qualité /niveau de signal : dl rx-qual=0, dl rx level = -48 dbm_x000a_,Requête de déconnexion a été envoyée par le RBC"/>
    <m/>
    <x v="6"/>
    <s v="En attente de pousser les analyses coté Bord/RBC"/>
    <s v="HO Complete entre 203 et 204_x000a_"/>
    <s v="dl Rxqual=0"/>
    <s v="dl rx level= -48 dbm"/>
    <s v="OK"/>
    <s v="OK"/>
    <s v="Mauvais"/>
    <s v=" Retransmission des trames HDLC*5"/>
    <m/>
    <s v="Saad Elhabib"/>
    <m/>
    <m/>
    <m/>
    <m/>
    <m/>
    <m/>
    <m/>
  </r>
  <r>
    <n v="434"/>
    <x v="0"/>
    <x v="181"/>
    <d v="1899-12-30T17:42:29"/>
    <n v="1041"/>
    <x v="5"/>
    <x v="1"/>
    <n v="1027"/>
    <m/>
    <s v="Casa/Tanger"/>
    <n v="110.783"/>
    <x v="1"/>
    <s v="N2"/>
    <x v="0"/>
    <s v=" Etat H.O : complete  entre 321 et 320_x000a_* qualité /niveau de signal : dl rx-qual=0, dl rx level = -68 dbm_x000a_,Requête de déconnexion a été envoyée par le RBC"/>
    <m/>
    <x v="2"/>
    <s v="chaine antennaire dégradé, besoin de vérification de la chaine /Zone sous surveillance par équipe NOC GSMR"/>
    <s v="HO Complete entre 321 et 320_x000a_"/>
    <s v="dl Rxqual=0"/>
    <s v="dl rx level= -68 dbm"/>
    <s v="OK"/>
    <s v="OK"/>
    <s v="Mauvais"/>
    <s v=" Retransmission des trames HDLC*5"/>
    <m/>
    <s v="ELHAJOUIA Achraf"/>
    <m/>
    <m/>
    <m/>
    <m/>
    <m/>
    <m/>
    <m/>
  </r>
  <r>
    <n v="435"/>
    <x v="0"/>
    <x v="181"/>
    <d v="1899-12-30T18:04:41"/>
    <n v="1041"/>
    <x v="5"/>
    <x v="1"/>
    <n v="1026"/>
    <m/>
    <s v="Casa/Tanger"/>
    <n v="7.3209999999999997"/>
    <x v="2"/>
    <s v="N2"/>
    <x v="0"/>
    <s v=" Etat H.O :  non finalisé entre 202 et 203_x000a_* qualité /niveau de signal : dl rx-qual=6, dl rx level = -54 dbm_x000a_,Requête de déconnexion a été envoyée par le RBC "/>
    <m/>
    <x v="0"/>
    <s v="En attente de mise en place des tiroires filtrés"/>
    <s v="HO Failure entre 202 et 203"/>
    <s v="dl Rxqual=6"/>
    <s v="dl rx level= -54 dbm"/>
    <s v="OK"/>
    <s v="OK"/>
    <s v="Mauvais"/>
    <s v=" Retransmission des trames HDLC*5"/>
    <m/>
    <s v="ELHAJOUIA Achraf"/>
    <m/>
    <m/>
    <m/>
    <m/>
    <m/>
    <m/>
    <m/>
  </r>
  <r>
    <n v="436"/>
    <x v="0"/>
    <x v="181"/>
    <d v="1899-12-30T17:44:26"/>
    <n v="2045"/>
    <x v="2"/>
    <x v="0"/>
    <n v="7218"/>
    <m/>
    <s v="Tanger/Casa"/>
    <n v="179.149"/>
    <x v="4"/>
    <s v="N2"/>
    <x v="0"/>
    <s v=" Etat H.O : complete  entre 230 et 231_x000a_* qualité /niveau de signal : dl rx-qual=0, dl rx level = -58 dbm_x000a_,Requête de déconnexion a été envoyée par le RBC"/>
    <m/>
    <x v="6"/>
    <s v="En attente de pousser les analyses coté Bord/RBC"/>
    <s v="HO Complete entre 230 et 231_x000a_"/>
    <s v="dl Rxqual=0"/>
    <s v="dl rx level= -58 dbm"/>
    <s v="OK"/>
    <s v="OK"/>
    <s v="Mauvais"/>
    <s v=" Retransmission des trames HDLC*5"/>
    <m/>
    <s v="ELHAJOUIA Achraf"/>
    <m/>
    <m/>
    <m/>
    <m/>
    <m/>
    <m/>
    <m/>
  </r>
  <r>
    <n v="437"/>
    <x v="0"/>
    <x v="181"/>
    <d v="1899-12-30T22:05:53"/>
    <n v="10081"/>
    <x v="1"/>
    <x v="0"/>
    <n v="1028"/>
    <m/>
    <s v="Tanger/Casa"/>
    <n v="6.13"/>
    <x v="2"/>
    <s v="N2"/>
    <x v="1"/>
    <s v="Etat H.O : Non finalisé entre 301 et 202 (Ping pong entre 202 et 301 )_x000a_* qualité /niveau de signal : dl rx-qual=6, dl rx level = -54 dbm_x000a_,Requête de déconnexion a été envoyée par le RBC"/>
    <m/>
    <x v="0"/>
    <s v="En attente de mise en place des tiroires filtrés"/>
    <s v="Etat H.O : Non finalisé entre 301 et 202 (Ping pong entre 202 et 301 )_x000a_"/>
    <s v="dl Rxqual=6"/>
    <s v="dl rx level= -54 dbm"/>
    <s v="OK"/>
    <s v="OK"/>
    <s v="Mauvais"/>
    <s v=" Retransmission des trames HDLC*5"/>
    <m/>
    <s v="HARIRI Bahaeddine"/>
    <m/>
    <m/>
    <m/>
    <m/>
    <m/>
    <m/>
    <m/>
  </r>
  <r>
    <n v="438"/>
    <x v="0"/>
    <x v="182"/>
    <d v="1899-12-30T04:35:06"/>
    <n v="2081"/>
    <x v="5"/>
    <x v="0"/>
    <n v="2028"/>
    <m/>
    <s v="Tanger/Casa"/>
    <n v="79.281999999999996"/>
    <x v="11"/>
    <s v="N2"/>
    <x v="0"/>
    <s v=" Etat H.O : complete  entre 214 et 215_x000a_* qualité /niveau de signal : dl rx-qual=0, dl rx level = -48 dbm_x000a_,Requête de déconnexion a été envoyée par le RBC"/>
    <m/>
    <x v="3"/>
    <s v="En attente de pousser les analyses coté Bord/RBC"/>
    <s v=" H.O complete entre 214 et 215"/>
    <s v="dl Rxqual=0"/>
    <s v="dl rx level= -48 dbm"/>
    <s v="OK"/>
    <s v="OK"/>
    <s v="Mauvais"/>
    <s v=" Retransmission des trames HDLC*5"/>
    <m/>
    <s v="HARIRI Bahaeddine"/>
    <m/>
    <m/>
    <m/>
    <m/>
    <m/>
    <m/>
    <m/>
  </r>
  <r>
    <n v="439"/>
    <x v="0"/>
    <x v="182"/>
    <d v="1899-12-30T06:10:11"/>
    <n v="1081"/>
    <x v="5"/>
    <x v="1"/>
    <n v="1026"/>
    <m/>
    <s v="Casa/Tanger"/>
    <n v="152.488"/>
    <x v="18"/>
    <s v="N2"/>
    <x v="0"/>
    <s v=" Etat H.O : non finalisé entre 326 et 327_x000a_* qualité /niveau de signal : dl rx-qual=7, dl rx level = -61 dbm_x000a_,Requête de déconnexion a été envoyée par le RBC"/>
    <m/>
    <x v="0"/>
    <s v="En attente de mise en place du tirroir radio filtré, besoin de verification de la chaine antennaire"/>
    <s v=" H.O non finalisé entre 326 et 327"/>
    <s v="dl Rxqual=7"/>
    <s v="dl rx level= -61 dbm"/>
    <s v="NOK"/>
    <s v="OK"/>
    <s v="Mauvais"/>
    <s v=" Retransmission des trames HDLC*5"/>
    <m/>
    <s v="HAMZAOUI Youssef"/>
    <m/>
    <m/>
    <m/>
    <m/>
    <m/>
    <m/>
    <m/>
  </r>
  <r>
    <n v="440"/>
    <x v="0"/>
    <x v="182"/>
    <d v="1899-12-30T16:59:07"/>
    <n v="1037"/>
    <x v="4"/>
    <x v="1"/>
    <n v="1033"/>
    <m/>
    <s v="Casa/Tanger"/>
    <n v="30.015999999999998"/>
    <x v="25"/>
    <s v="N2"/>
    <x v="1"/>
    <s v=" Etat H.O : complete  entre 307 et 306_x000a_* qualité /niveau de signal : dl rx-qual=0, dl rx level = -48 dbm_x000a_,Requête de déconnexion a été envoyée par le RBC"/>
    <m/>
    <x v="1"/>
    <s v="Zone sous surveillance par équipe NOC GSMR"/>
    <s v=" H.O complete entre 307 et 306"/>
    <s v="dl Rxqual=0"/>
    <s v="dl rx level= -48 dbm"/>
    <s v="OK"/>
    <s v="OK"/>
    <s v="Mauvais"/>
    <s v="Pas Retransmission des trames HDLC"/>
    <m/>
    <s v="ELHAJOUIA Achraf"/>
    <m/>
    <m/>
    <m/>
    <m/>
    <m/>
    <m/>
    <m/>
  </r>
  <r>
    <n v="441"/>
    <x v="0"/>
    <x v="182"/>
    <d v="1899-12-30T17:42:23"/>
    <n v="1041"/>
    <x v="0"/>
    <x v="1"/>
    <n v="1045"/>
    <m/>
    <s v="Casa/Tanger"/>
    <n v="130.48400000000001"/>
    <x v="10"/>
    <s v="N2"/>
    <x v="0"/>
    <s v=" Etat H.O : complete  entre 224 et 323_x000a_* qualité /niveau de signal : dl rx-qual=0, dl rx level = -48 dbm_x000a_,Requête de déconnexion a été envoyée par le RBC"/>
    <m/>
    <x v="6"/>
    <s v="En attente de pousser les analyses coté Bord/RBC"/>
    <s v=" H.O complete entre 224 et 323"/>
    <s v="dl Rxqual=0"/>
    <s v="dl rx level= -48 dbm"/>
    <s v="OK"/>
    <s v="OK"/>
    <s v="Mauvais"/>
    <s v=" Retransmission des trames HDLC*5"/>
    <m/>
    <s v="ELHAJOUIA Achraf"/>
    <m/>
    <m/>
    <m/>
    <m/>
    <m/>
    <m/>
    <m/>
  </r>
  <r>
    <n v="442"/>
    <x v="0"/>
    <x v="182"/>
    <d v="1899-12-30T20:07:18"/>
    <n v="1049"/>
    <x v="11"/>
    <x v="1"/>
    <n v="1020"/>
    <m/>
    <s v="Casa/Tanger"/>
    <n v="10.125"/>
    <x v="22"/>
    <s v="N2"/>
    <x v="1"/>
    <s v=" Etat H.O : complete  entre 303 et 202_x000a_* qualité /niveau de signal : dl rx-qual=2, dl rx level = -61 dbm_x000a_,Requête de déconnexion a été envoyée par le RBC"/>
    <m/>
    <x v="1"/>
    <s v="chaine antennaire dégradé, besoin de vérification de la chaine "/>
    <s v=" H.O complete entre 303 et 202"/>
    <s v="dl Rxqual=2"/>
    <s v="dl rx level= -61 dbm"/>
    <s v="OK"/>
    <s v="OK"/>
    <s v="Mauvais"/>
    <s v="Pas Retransmission des trames HDLC"/>
    <m/>
    <s v="ELHAJOUIA Achraf"/>
    <m/>
    <m/>
    <m/>
    <m/>
    <m/>
    <m/>
    <m/>
  </r>
  <r>
    <n v="443"/>
    <x v="0"/>
    <x v="183"/>
    <d v="1899-12-30T09:06:08"/>
    <n v="1005"/>
    <x v="7"/>
    <x v="1"/>
    <n v="1040"/>
    <m/>
    <s v="Casa/Tanger"/>
    <n v="7.3209999999999997"/>
    <x v="2"/>
    <s v="N2"/>
    <x v="0"/>
    <s v=" Etat H.O : Complete avec dowlink quality entre 303 et 202_x000a_* qualité /niveau de signal : dl rx-qual=7, dl rx level = -70 dbm_x000a_,Requête de déconnexion a été envoyée par le RBC"/>
    <m/>
    <x v="0"/>
    <s v="En attente de mise en place des tiroires filtrés"/>
    <s v=" H.O complete entre 303 et 202"/>
    <s v="dl Rxqual=7"/>
    <s v="dl rx level= -70 dbm"/>
    <s v="NOK"/>
    <s v="OK"/>
    <s v="Mauvais"/>
    <s v=" Retransmission des trames HDLC*5"/>
    <m/>
    <s v="Saad Elhabib"/>
    <m/>
    <m/>
    <m/>
    <m/>
    <m/>
    <m/>
    <m/>
  </r>
  <r>
    <n v="444"/>
    <x v="0"/>
    <x v="183"/>
    <d v="1899-12-30T16:42:53"/>
    <n v="1037"/>
    <x v="8"/>
    <x v="1"/>
    <n v="1023"/>
    <m/>
    <s v="Casa/Tanger"/>
    <n v="108.206"/>
    <x v="1"/>
    <s v="N2"/>
    <x v="1"/>
    <s v=" Etat H.O : Complete  entre 320 et 319_x000a_* qualité /niveau de signal : dl rx-qual=0, dl rx level = -49 dbm_x000a_,Requête de déconnexion a été envoyée par le RBC                                                                        Justification du premier arrêt : la requête de déconnexion a été envoyée à 16:42:53 et le premier message TPR envoyé depuis le bord vers le RBC après la reconnexion était à 16:43:51 (dépassement de 40 secondes entre la requête de déconnexion et le premier message train position report , ce qui a généré l’envoi d’un AUI depuis le RBC, suivi d’un arrêt du train).   "/>
    <m/>
    <x v="2"/>
    <s v="Attente de vérificationPar l'équipe SOR"/>
    <s v=" H.O complete entre 320 et 319"/>
    <s v="dl Rxqual=0"/>
    <s v="dl rx level= -49 dbm"/>
    <s v="OK"/>
    <s v="OK"/>
    <s v="Mauvais"/>
    <s v=" Retransmission des trames HDLC*5"/>
    <m/>
    <s v="ELHAJOUIA Achraf"/>
    <m/>
    <m/>
    <m/>
    <m/>
    <m/>
    <m/>
    <m/>
  </r>
  <r>
    <n v="445"/>
    <x v="0"/>
    <x v="183"/>
    <d v="1899-12-30T17:05:12"/>
    <n v="1037"/>
    <x v="8"/>
    <x v="1"/>
    <n v="1023"/>
    <m/>
    <s v="Casa/Tanger"/>
    <n v="67.828999999999994"/>
    <x v="0"/>
    <s v="N2"/>
    <x v="1"/>
    <s v=" Etat H.O : Complete  entre 313 et 312_x000a_* qualité /niveau de signal : dl rx-qual=0, dl rx level = -48 dbm_x000a_,Requête de déconnexion a été envoyée par le RBC                                                                      Justification du deuxième arrêt : un AUC non acquitté par le Bord a entraîné l’envoi d’un AUI depuis le RBC après la reconnexion de la rame, provoquant ainsi l’arrêt du train."/>
    <m/>
    <x v="6"/>
    <s v="En attente de pousser les analyses coté Bord/RBC"/>
    <s v=" H.O complete entre 313 et 312"/>
    <s v="dl Rxqual=0"/>
    <s v="dl rx level= -48 dbm"/>
    <s v="OK"/>
    <s v="OK"/>
    <s v="Mauvais"/>
    <s v=" Retransmission des trames HDLC*5"/>
    <m/>
    <s v="ELHAJOUIA Achraf"/>
    <m/>
    <m/>
    <m/>
    <m/>
    <m/>
    <m/>
    <m/>
  </r>
  <r>
    <n v="446"/>
    <x v="0"/>
    <x v="183"/>
    <d v="1899-12-30T20:05:11"/>
    <n v="2057"/>
    <x v="4"/>
    <x v="0"/>
    <n v="7208"/>
    <m/>
    <s v="Tanger/Casa"/>
    <n v="6.13"/>
    <x v="2"/>
    <s v="N2"/>
    <x v="1"/>
    <s v=" Etat H.O : Non finalisé   entre 302 et 203_x000a_* qualité /niveau de signal : dl rx-qual=4, dl rx level = -51 dbm_x000a_,Requête de déconnexion a été envoyée par le RBC          "/>
    <m/>
    <x v="0"/>
    <s v="En attente de mise en place des tiroires filtrés "/>
    <s v=" H.O non finalisé entre 302 et 203"/>
    <s v="dl Rxqual=4"/>
    <s v="dl rx level= -51 dbm"/>
    <s v="OK"/>
    <s v="OK"/>
    <s v="Mauvais"/>
    <s v=" Retransmission des trames HDLC*5"/>
    <m/>
    <s v="ELHAJOUIA Achraf"/>
    <m/>
    <m/>
    <m/>
    <m/>
    <m/>
    <m/>
    <m/>
  </r>
  <r>
    <n v="447"/>
    <x v="0"/>
    <x v="183"/>
    <d v="1899-12-30T22:58:40"/>
    <n v="1062"/>
    <x v="8"/>
    <x v="1"/>
    <n v="1023"/>
    <m/>
    <s v="Casa/Tanger"/>
    <n v="26.739000000000001"/>
    <x v="7"/>
    <s v="N2"/>
    <x v="1"/>
    <s v=" Etat H.O : avec recule Non finalisé   entre 207 et 308_x000a_* qualité /niveau de signal : dl rx-qual=7, dl rx level = -83 dbm_x000a_,Requête de déconnexion a été envoyée par le RBC                                                                   Justification du deuxième arrêt : un AUC non acquitté par le Bord a entraîné l’envoi d’un AUI depuis le RBC après la reconnexion de la rame, provoquant ainsi l’arrêt du train."/>
    <m/>
    <x v="2"/>
    <s v="chaine antennaire dégradé, besoin de vérification de la chaine /Zone sous surveillance par équipe NOC GSMR"/>
    <s v=" H.O : avec recule Non finalisé   entre 207 et 308"/>
    <s v="dl Rxqual=7"/>
    <s v="dl rx level= -83 dbm"/>
    <s v="OK"/>
    <s v="OK"/>
    <s v="Mauvais"/>
    <s v=" Retransmission des trames HDLC*5"/>
    <m/>
    <s v="HARIRI Bahaeddine"/>
    <m/>
    <m/>
    <m/>
    <m/>
    <m/>
    <m/>
    <m/>
  </r>
  <r>
    <n v="448"/>
    <x v="0"/>
    <x v="184"/>
    <d v="1899-12-30T07:38:55"/>
    <n v="1001"/>
    <x v="0"/>
    <x v="1"/>
    <n v="1045"/>
    <m/>
    <s v="Casa/Tanger"/>
    <n v="129.18"/>
    <x v="10"/>
    <s v="N2"/>
    <x v="0"/>
    <s v=" Etat H.O : complete  entre 323 et 324_x000a_* qualité /niveau de signal : dl rx-qual=0, dl rx level = -48 dbm_x000a_,Requête de déconnexion a été envoyée par le RBC"/>
    <m/>
    <x v="6"/>
    <s v="En attente de mise en place des tiroires filtrés /Zone sous surveillance par équipe NOC GSMR"/>
    <s v=" H.O complete entre 323 et 324"/>
    <s v="dl Rxqual=0"/>
    <s v="dl rx level= -48 dbm"/>
    <s v="OK"/>
    <s v="OK"/>
    <s v="Mauvais"/>
    <s v=" Retransmission des trames HDLC*5"/>
    <m/>
    <s v="HAMZAOUI Youssef"/>
    <m/>
    <m/>
    <m/>
    <m/>
    <m/>
    <m/>
    <m/>
  </r>
  <r>
    <n v="449"/>
    <x v="0"/>
    <x v="184"/>
    <d v="1899-12-30T18:48:29"/>
    <n v="1046"/>
    <x v="2"/>
    <x v="1"/>
    <n v="1035"/>
    <m/>
    <s v="Casa/Tanger"/>
    <n v="94.953999999999994"/>
    <x v="8"/>
    <s v="N2"/>
    <x v="0"/>
    <s v=" Etat H.O : Non finalisé entre 318 et 217_x000a_* qualité /niveau de signal : dl rx-qual=7, dl rx level = -85 dbm_x000a_,Requête de déconnexion a été envoyée par le Bord"/>
    <m/>
    <x v="0"/>
    <s v="étant donné que la rame 1205 se déconnecter cette année beaucoup de fois (30 déconnexion jusqu'à présent )nous recommendons de vérifier la chaine antennaire "/>
    <s v=" H.O non finalisé entre 318 et 217"/>
    <s v="dl Rxqual=7"/>
    <s v="dl rx level= -85 dbm"/>
    <s v="OK"/>
    <s v="OK"/>
    <s v="Mauvais"/>
    <s v=" Pas de Retransmission des trames HDLC"/>
    <m/>
    <s v="Fahd OUSSALH"/>
    <m/>
    <m/>
    <m/>
    <m/>
    <m/>
    <m/>
    <m/>
  </r>
  <r>
    <n v="450"/>
    <x v="0"/>
    <x v="184"/>
    <d v="1899-12-30T19:58:46"/>
    <n v="1049"/>
    <x v="7"/>
    <x v="1"/>
    <n v="1049"/>
    <m/>
    <s v="Casa/Tanger"/>
    <n v="32.625999999999998"/>
    <x v="25"/>
    <s v="N2"/>
    <x v="0"/>
    <s v=" Etat H.O : complete  entre 307 et 306_x000a_* qualité /niveau de signal : dl rx-qual=0, dl rx level = -60 dbm_x000a_,Requête de déconnexion a été envoyée par le RBC"/>
    <m/>
    <x v="0"/>
    <s v="En attente de mise en place des tiroires filtrés"/>
    <s v=" H.O complete entre 307 et 306"/>
    <s v="dl Rxqual=0"/>
    <s v="dl rx level= -60 dbm"/>
    <s v="OK"/>
    <s v="OK"/>
    <s v="Mauvais"/>
    <s v="retransmission des trames HDLC*5"/>
    <m/>
    <s v="Fahd OUSSALH"/>
    <m/>
    <m/>
    <m/>
    <m/>
    <m/>
    <m/>
    <m/>
  </r>
  <r>
    <n v="451"/>
    <x v="0"/>
    <x v="184"/>
    <d v="1899-12-30T20:04:46"/>
    <n v="2057"/>
    <x v="9"/>
    <x v="0"/>
    <n v="1052"/>
    <m/>
    <s v="Tanger/Casa"/>
    <n v="6.13"/>
    <x v="2"/>
    <s v="N2"/>
    <x v="0"/>
    <s v=" Etat H.O : Non finalisé  entre 302 et 203_x000a_* qualité /niveau de signal : dl rx-qual=7, dl rx level = -54 dbm_x000a_,Requête de déconnexion a été envoyée par le Bord"/>
    <m/>
    <x v="0"/>
    <s v="En attente de mise en place des tiroires filtrés"/>
    <s v=" H.O non finalisé entre 302 et 203"/>
    <s v="dl Rxqual=7"/>
    <s v="dl rx level= -54 dbm"/>
    <s v="OK"/>
    <s v="OK"/>
    <s v="Mauvais"/>
    <s v="pas de retransmission des trames HDLC"/>
    <m/>
    <s v="Fahd OUSSALH"/>
    <m/>
    <m/>
    <m/>
    <m/>
    <m/>
    <m/>
    <m/>
  </r>
  <r>
    <n v="452"/>
    <x v="0"/>
    <x v="185"/>
    <d v="1899-12-30T08:39:47"/>
    <n v="1005"/>
    <x v="5"/>
    <x v="1"/>
    <n v="1027"/>
    <m/>
    <s v="Casa/Tanger"/>
    <n v="127.815"/>
    <x v="6"/>
    <s v="N2"/>
    <x v="0"/>
    <s v=" Etat H.O : Non finalisé  entre 223 et 322_x000a_* qualité /niveau de signal : dl rx-qual=7, dl rx level = -87 dbm_x000a_,Requête de déconnexion a été envoyée par le Bord"/>
    <m/>
    <x v="0"/>
    <s v="En attente de mise en place des tiroires filtrés "/>
    <s v=" H.O Non finalisé entre 223 et 322 "/>
    <s v="dl Rxqual=7"/>
    <s v="dl rx level= -87 dbm"/>
    <s v="OK"/>
    <s v="OK"/>
    <s v="Mauvais"/>
    <s v=" Pas de Retransmission des trames HDLC"/>
    <m/>
    <s v="Noura MOUSSAOUI"/>
    <m/>
    <m/>
    <m/>
    <m/>
    <m/>
    <m/>
    <m/>
  </r>
  <r>
    <n v="453"/>
    <x v="0"/>
    <x v="185"/>
    <s v=" 09:05:49"/>
    <n v="1005"/>
    <x v="5"/>
    <x v="1"/>
    <n v="1026"/>
    <m/>
    <s v="Casa/Tanger"/>
    <n v="7.3209999999999997"/>
    <x v="2"/>
    <s v="N2"/>
    <x v="1"/>
    <s v=" Etat H.O : Non finalisé  entre 202 et 201_x000a_* qualité /niveau de signal : dl rx-qual=7, dl rx level = -57 dbm_x000a_,Requête de déconnexion a été envoyée par le RBC"/>
    <m/>
    <x v="0"/>
    <s v="En attente de mise en place des tiroires filtrés "/>
    <s v=" H.O Non finalisé entre 202 et 201"/>
    <s v="dl Rxqual=7"/>
    <s v="dl rx level= -57 dbm"/>
    <s v="NOK"/>
    <s v="OK"/>
    <s v="Mauvais"/>
    <s v="retransmission des trames HDLC*5"/>
    <m/>
    <s v="HAMZAOUI Youssef"/>
    <m/>
    <m/>
    <m/>
    <m/>
    <m/>
    <m/>
    <m/>
  </r>
  <r>
    <n v="454"/>
    <x v="0"/>
    <x v="185"/>
    <d v="1899-12-30T09:44:52"/>
    <n v="2013"/>
    <x v="0"/>
    <x v="0"/>
    <n v="1037"/>
    <m/>
    <s v="Tanger/Casa"/>
    <n v="185.82499999999999"/>
    <x v="19"/>
    <s v="N2"/>
    <x v="1"/>
    <s v=" Etat H.O : complete  entre 231 et 232_x000a_* qualité /niveau de signal : dl rx-qual=0, dl rx level = -55 dbm_x000a_,Requête de déconnexion a été envoyée par le Bord"/>
    <m/>
    <x v="0"/>
    <s v="En attente de mise en place des tiroires filtrés "/>
    <s v=" H.O complete entre 231 et 232"/>
    <s v="dl Rxqual=0"/>
    <s v="dl rx level= -55  dbm"/>
    <s v="OK"/>
    <s v="OK"/>
    <s v="Mauvais"/>
    <s v=" Pas de Retransmission des trames HDLC"/>
    <m/>
    <s v="HAMZAOUI Youssef"/>
    <m/>
    <m/>
    <m/>
    <m/>
    <m/>
    <m/>
    <m/>
  </r>
  <r>
    <n v="455"/>
    <x v="0"/>
    <x v="185"/>
    <d v="1899-12-30T12:05:36"/>
    <n v="2025"/>
    <x v="4"/>
    <x v="0"/>
    <n v="7208"/>
    <m/>
    <s v="Tanger/Casa"/>
    <n v="6.13"/>
    <x v="2"/>
    <s v="N2"/>
    <x v="1"/>
    <s v=" Etat H.O :  Non finalisé entre 302 et 203_x000a_* qualité /niveau de signal : dl rx-qual=6, dl rx level = -53 dbm_x000a_,Requête de déconnexion a été envoyée par le RBC"/>
    <m/>
    <x v="0"/>
    <s v="En attente de mise en place des tiroires filtrés "/>
    <s v=" H.O Non finalisé entre 302 et 203"/>
    <s v="dl Rxqual=6"/>
    <s v="dl rx level= -53  dbm"/>
    <s v="NOK"/>
    <s v="OK"/>
    <s v="Mauvais"/>
    <s v="retransmission des trames HDLC*5"/>
    <m/>
    <s v="Noura MOUSSAOUI"/>
    <m/>
    <m/>
    <m/>
    <m/>
    <m/>
    <m/>
    <m/>
  </r>
  <r>
    <n v="456"/>
    <x v="0"/>
    <x v="185"/>
    <d v="1899-12-30T13:07:10"/>
    <n v="2021"/>
    <x v="7"/>
    <x v="1"/>
    <n v="1041"/>
    <m/>
    <s v="Casa/Tanger"/>
    <n v="7.3209999999999997"/>
    <x v="2"/>
    <s v="N2"/>
    <x v="1"/>
    <s v=" Etat H.O : complete  entre 202 et 303_x000a_* qualité /niveau de signal : dl rx-qual=0, dl rx level = -77 dbm_x000a_,Requête de déconnexion a été envoyée par le RBC"/>
    <m/>
    <x v="0"/>
    <s v="En attente de mise en place des tiroires filtrés "/>
    <s v=" H.O complete entre 202 et 303"/>
    <s v="dl Rxqual=0"/>
    <s v="dl rx level= -77  dbm"/>
    <s v="OK"/>
    <s v="OK"/>
    <s v="Mauvais"/>
    <s v="retransmission des trames HDLC*5"/>
    <m/>
    <s v="HAMZAOUI Youssef"/>
    <m/>
    <m/>
    <m/>
    <m/>
    <m/>
    <m/>
    <m/>
  </r>
  <r>
    <n v="457"/>
    <x v="0"/>
    <x v="185"/>
    <d v="1899-12-30T21:28:28"/>
    <n v="2061"/>
    <x v="0"/>
    <x v="0"/>
    <n v="1036"/>
    <m/>
    <s v="Tanger/Casa"/>
    <n v="109.495"/>
    <x v="1"/>
    <s v="N2"/>
    <x v="0"/>
    <s v=" Etat H.O : Non finalisé entre 220 et 319_x000a_* qualité /niveau de signal : dl rx-qual=5, dl rx level = -58 dbm_x000a_,Requête de déconnexion a été envoyée par le Bord"/>
    <m/>
    <x v="2"/>
    <s v="En attente de mise en place des tiroires filtrés "/>
    <s v=" H.O Non finalisé entre 220 et 319"/>
    <s v="dl Rxqual=5"/>
    <s v="dl rx level= -58  dbm"/>
    <s v="OK"/>
    <s v="OK"/>
    <s v="Mauvais"/>
    <s v="retransmission des trames HDLC*4"/>
    <m/>
    <s v="HARIRI Bahaeddine"/>
    <m/>
    <m/>
    <m/>
    <m/>
    <m/>
    <m/>
    <m/>
  </r>
  <r>
    <n v="458"/>
    <x v="0"/>
    <x v="186"/>
    <d v="1899-12-30T16:05:27"/>
    <n v="1034"/>
    <x v="5"/>
    <x v="1"/>
    <n v="1027"/>
    <m/>
    <s v="Casa/Tanger"/>
    <n v="7.3209999999999997"/>
    <x v="2"/>
    <s v="N2"/>
    <x v="1"/>
    <s v=" Etat H.O : complete entre 202 et 303_x000a_* qualité /niveau de signal : dl rx-qual=0, dl rx level = -79 dbm_x000a_,Requête de déconnexion a été envoyée par le RBC"/>
    <m/>
    <x v="0"/>
    <s v="En attente de mise en place des tiroires filtrés "/>
    <s v=" H.O complete entre 202 et 303"/>
    <s v="dl Rxqual=0"/>
    <s v="dl rx level= -79  dbm"/>
    <s v="OK"/>
    <s v="OK"/>
    <s v="Mauvais"/>
    <s v="retransmission des trames HDLC*5"/>
    <m/>
    <s v="Fahd OUSSALH"/>
    <m/>
    <m/>
    <m/>
    <m/>
    <m/>
    <m/>
    <m/>
  </r>
  <r>
    <n v="459"/>
    <x v="0"/>
    <x v="186"/>
    <d v="1899-12-30T21:06:19"/>
    <n v="1053"/>
    <x v="2"/>
    <x v="1"/>
    <n v="1034"/>
    <m/>
    <s v="Casa/Tanger"/>
    <n v="25.85"/>
    <x v="7"/>
    <s v="N2"/>
    <x v="0"/>
    <s v="Etat H.O : non finalisé entre 207 et 305_x000a_* qualité /niveau de signal : dl rx-qual=7, dl rx level = -85dbm_x000a_,Requête de déconnexion a été envoyée par le Bord"/>
    <m/>
    <x v="0"/>
    <s v="En attente de pousser les analyses coté Bord"/>
    <s v=" H.O non finalisé entre 207 et 305"/>
    <s v="dl Rxqual=7"/>
    <s v="dl rx level= -85  dbm"/>
    <s v="OK"/>
    <s v="OK"/>
    <s v="Mauvais"/>
    <s v=" Pas de Retransmission des trames HDLC"/>
    <m/>
    <s v="Saad Elhabib"/>
    <m/>
    <m/>
    <m/>
    <m/>
    <m/>
    <m/>
    <m/>
  </r>
  <r>
    <n v="460"/>
    <x v="0"/>
    <x v="186"/>
    <d v="1899-12-30T22:00:39"/>
    <n v="1057"/>
    <x v="5"/>
    <x v="1"/>
    <n v="1027"/>
    <m/>
    <s v="Casa/Tanger"/>
    <n v="26.739000000000001"/>
    <x v="7"/>
    <s v="N2"/>
    <x v="1"/>
    <s v="Etat H.O : non finalisé entre 207 et 308_x000a_* qualité /niveau de signal : dl rx-qual=7, dl rx level = -92dbm_x000a_,Requête de déconnexion a été envoyée par le Bord"/>
    <m/>
    <x v="0"/>
    <s v="En attente de pousser les analyses coté Bord"/>
    <s v=" H.O non finalisé entre 207 et 308"/>
    <s v="dl Rxqual=7"/>
    <s v="dl rx level= -92  dbm"/>
    <s v="OK"/>
    <s v="OK"/>
    <s v="Mauvais"/>
    <s v="retransmission des trames HDLC*5"/>
    <m/>
    <s v="Saad Elhabib"/>
    <m/>
    <m/>
    <m/>
    <m/>
    <m/>
    <m/>
    <m/>
  </r>
  <r>
    <n v="461"/>
    <x v="0"/>
    <x v="187"/>
    <d v="1899-12-30T08:54:49"/>
    <n v="1005"/>
    <x v="0"/>
    <x v="1"/>
    <n v="1044"/>
    <m/>
    <s v="Casa/Tanger"/>
    <n v="56.555"/>
    <x v="23"/>
    <s v="N2"/>
    <x v="1"/>
    <s v=" Etat H.O : complete  entre 311 et 310_x000a_* qualité /niveau de signal : dl rx-qual=1, dl rx level = -48 dbm_x000a_,Requête de déconnexion a été envoyée par le RBC"/>
    <m/>
    <x v="3"/>
    <s v="En attente de pousser les analyses coté RBC"/>
    <s v=" H.O complete entre 311 et 310"/>
    <s v="dl Rxqual=1"/>
    <s v="dl rx level= -48 dbm"/>
    <s v="OK"/>
    <s v="OK"/>
    <s v="Mauvais"/>
    <s v=" Pas de Retransmission des trames HDLC"/>
    <m/>
    <s v="HAMZAOUI Youssef"/>
    <m/>
    <m/>
    <m/>
    <m/>
    <m/>
    <m/>
    <m/>
  </r>
  <r>
    <n v="462"/>
    <x v="0"/>
    <x v="187"/>
    <d v="1899-12-30T14:05:10"/>
    <n v="2033"/>
    <x v="7"/>
    <x v="0"/>
    <n v="1054"/>
    <m/>
    <s v="Tanger/Casa"/>
    <n v="6.13"/>
    <x v="2"/>
    <s v="N2"/>
    <x v="0"/>
    <s v=" Etat H.O : non finalisé entre 202 et 203_x000a_* qualité /niveau de signal : dl rx-qual=6, dl rx level = -53 dbm_x000a_,Requête de déconnexion a été envoyée par le RBC"/>
    <m/>
    <x v="0"/>
    <s v="En attente de mise en place des tiroires filtrés "/>
    <s v=" H.O non finalisé entre 202 et 203"/>
    <s v="dl Rxqual=6"/>
    <s v="dl rx level= -53 dbm"/>
    <s v="NOK"/>
    <s v="OK"/>
    <s v="Mauvais"/>
    <s v="retransmission des trames HDLC*5"/>
    <m/>
    <s v="Fahd OUSSALH"/>
    <m/>
    <m/>
    <m/>
    <m/>
    <m/>
    <m/>
    <m/>
  </r>
  <r>
    <n v="463"/>
    <x v="0"/>
    <x v="187"/>
    <d v="1899-12-30T16:02:08"/>
    <n v="1033"/>
    <x v="3"/>
    <x v="1"/>
    <n v="1007"/>
    <m/>
    <s v="Casa/Tanger"/>
    <n v="25.91"/>
    <x v="7"/>
    <s v="N2"/>
    <x v="0"/>
    <s v=" Etat H.O : non finalisé entre 207 et 306_x000a_* qualité /niveau de signal : dl rx-qual=6, dl rx level = -94 dbm_x000a_,Requête de déconnexion a été envoyée par le RBC"/>
    <m/>
    <x v="1"/>
    <s v="Zone sous surveillance par équipe NOC GSMR"/>
    <s v=" H.O non finalisé entre 207 et 308"/>
    <s v="dl Rxqual=6"/>
    <s v="dl rx level= -94 dbm"/>
    <s v="OK"/>
    <s v="OK"/>
    <s v="moyen"/>
    <s v="retransmission des trames HDLC*5"/>
    <m/>
    <s v="Fahd OUSSALH"/>
    <m/>
    <m/>
    <m/>
    <m/>
    <m/>
    <m/>
    <m/>
  </r>
  <r>
    <n v="464"/>
    <x v="0"/>
    <x v="187"/>
    <d v="1899-12-30T20:21:29"/>
    <n v="2057"/>
    <x v="1"/>
    <x v="0"/>
    <n v="1028"/>
    <m/>
    <s v="Tanger/Casa"/>
    <n v="74.712999999999994"/>
    <x v="13"/>
    <s v="N2"/>
    <x v="0"/>
    <s v=" Etat H.O : finalisé entre 213 et 214_x000a_* qualité /niveau de signal : dl rx-qual=7, dl rx level = -72 dbm_x000a_,Requête de déconnexion a été envoyée par le RBC"/>
    <m/>
    <x v="0"/>
    <s v="En attente de pousser les analyses coté Bord / H.O s'execute avec succés entre 213 et 214 "/>
    <s v=" H.O finalisé entre 213 et 214"/>
    <s v="dl Rxqual=7"/>
    <s v="dl rx level= -72 dbm"/>
    <s v="OK"/>
    <s v="OK"/>
    <s v="Mauvais"/>
    <s v="retransmission des trames HDLC*5"/>
    <m/>
    <s v="Saad Elhabib"/>
    <m/>
    <m/>
    <m/>
    <m/>
    <m/>
    <m/>
    <m/>
  </r>
  <r>
    <n v="465"/>
    <x v="0"/>
    <x v="187"/>
    <d v="1899-12-30T21:28:59"/>
    <n v="2049"/>
    <x v="5"/>
    <x v="0"/>
    <n v="1025"/>
    <m/>
    <s v="Tanger/Casa"/>
    <n v="114.607"/>
    <x v="17"/>
    <s v="N2"/>
    <x v="0"/>
    <s v="Etat H.O : finalisé entre 219 et 220_x000a_* qualité /niveau de signal : dl rx-qual=0, dl rx level = -48dbm_x000a_,Requête de déconnexion a été envoyée par le RBC"/>
    <m/>
    <x v="2"/>
    <s v="chaine antennaire dégradé, besoin de vérification de la chaine /des perturbations de Hand Over entre 219 et 320 , dans l'attente d'une analyse spectral "/>
    <s v=" H.O  finalisé entre 219 et 220"/>
    <s v="dl Rxqual=0"/>
    <s v="dl rx level= -48 dbm"/>
    <s v="OK"/>
    <s v="OK"/>
    <s v="Mauvais"/>
    <s v="retransmission des trames HDLC*5"/>
    <m/>
    <s v="Saad Elhabib"/>
    <m/>
    <m/>
    <m/>
    <m/>
    <m/>
    <m/>
    <m/>
  </r>
  <r>
    <n v="466"/>
    <x v="0"/>
    <x v="188"/>
    <d v="1899-12-30T11:46:24"/>
    <n v="1017"/>
    <x v="10"/>
    <x v="1"/>
    <n v="1061"/>
    <m/>
    <s v="Casa/Tanger"/>
    <n v="92.561000000000007"/>
    <x v="12"/>
    <s v="N2"/>
    <x v="1"/>
    <s v=" Etat H.O : complete  entre 318 et 317_x000a_* qualité /niveau de signal : dl rx-qual=3, dl rx level = -52 dbm_x000a_,Requête de déconnexion a été envoyée par le RBC"/>
    <m/>
    <x v="1"/>
    <s v="Attente d'une analyse spectral "/>
    <s v=" H.O  complete entre 318 et 317"/>
    <s v="dl Rxqual=3"/>
    <s v="dl rx level= -52 dbm"/>
    <s v="OK"/>
    <s v="OK"/>
    <s v="Mauvais"/>
    <s v="retransmission des trames HDLC*5"/>
    <m/>
    <s v="ELHAJOUIA Achraf"/>
    <m/>
    <m/>
    <m/>
    <m/>
    <m/>
    <m/>
    <m/>
  </r>
  <r>
    <n v="467"/>
    <x v="0"/>
    <x v="188"/>
    <d v="1899-12-30T13:38:20"/>
    <n v="1025"/>
    <x v="7"/>
    <x v="1"/>
    <n v="1041"/>
    <m/>
    <s v="Casa/Tanger"/>
    <n v="130.48400000000001"/>
    <x v="10"/>
    <s v="N2"/>
    <x v="0"/>
    <s v=" Etat H.O : complete  entre 324 et 323_x000a_* qualité /niveau de signal : dl rx-qual=0, dl rx level = -48 dbm_x000a_,Requête de déconnexion a été envoyée par le RBC"/>
    <m/>
    <x v="0"/>
    <s v="En attente de pousser les analyses coté Bord "/>
    <s v=" H.O  complete entre 324 et 323"/>
    <s v="dl Rxqual=0"/>
    <s v="dl rx level= -48 dbm"/>
    <s v="OK"/>
    <s v="OK"/>
    <s v="Mauvais"/>
    <s v="retransmission des trames HDLC*5"/>
    <m/>
    <s v="ELHAJOUIA Achraf"/>
    <m/>
    <m/>
    <m/>
    <m/>
    <m/>
    <m/>
    <m/>
  </r>
  <r>
    <n v="468"/>
    <x v="0"/>
    <x v="188"/>
    <d v="1899-12-30T16:29:00"/>
    <n v="1038"/>
    <x v="2"/>
    <x v="1"/>
    <n v="1034"/>
    <m/>
    <s v="Casa/Tanger"/>
    <n v="177.85"/>
    <x v="4"/>
    <s v="N2"/>
    <x v="0"/>
    <s v=" Etat H.O : complete  entre 231 et 329_x000a_* qualité /niveau de signal : dl rx-qual=0, dl rx level = -110 dbm_x000a_,Requête de déconnexion a été envoyée par le RBC"/>
    <m/>
    <x v="2"/>
    <s v="chaine antennaire dégradé, besoin de vérification de la chaine /Attente de vérificationPar l'équipe SOR"/>
    <s v=" H.O  complete entre 231 et 329"/>
    <s v="dl Rxqual=0"/>
    <s v="dl rx level= -110 dbm"/>
    <s v="OK"/>
    <s v="OK"/>
    <s v="Mauvais"/>
    <s v="retransmission des trames HDLC*5"/>
    <m/>
    <s v="Fahd OUSSALH"/>
    <m/>
    <m/>
    <m/>
    <m/>
    <m/>
    <m/>
    <m/>
  </r>
  <r>
    <n v="469"/>
    <x v="0"/>
    <x v="188"/>
    <d v="1899-12-30T16:36:14"/>
    <n v="1038"/>
    <x v="2"/>
    <x v="1"/>
    <n v="1034"/>
    <m/>
    <s v="Casa/Tanger"/>
    <n v="152.488"/>
    <x v="18"/>
    <s v="N2"/>
    <x v="0"/>
    <s v=" Etat H.O : Non finalisé  entre 326 et 327_x000a_* qualité /niveau de signal : dl rx-qual=7, dl rx level = -56 dbm_x000a_,Requête de déconnexion a été envoyée par le RBC"/>
    <m/>
    <x v="0"/>
    <s v="chaine antennaire dégradé, besoin de vérification de la chaine /Zone sous surveillance par équipe NOC GSMR"/>
    <s v=" H.O  Non finalisé entre 326 et 327"/>
    <s v="dl Rxqual=7"/>
    <s v="dl rx level= -56 dbm"/>
    <s v="OK"/>
    <s v="OK"/>
    <s v="Mauvais"/>
    <s v="retransmission des trames HDLC*5"/>
    <m/>
    <s v="Fahd OUSSALH"/>
    <m/>
    <m/>
    <m/>
    <m/>
    <m/>
    <m/>
    <m/>
  </r>
  <r>
    <n v="470"/>
    <x v="0"/>
    <x v="188"/>
    <d v="1899-12-30T19:01:33"/>
    <n v="1046"/>
    <x v="4"/>
    <x v="1"/>
    <n v="1033"/>
    <m/>
    <s v="Casa/Tanger"/>
    <n v="25.85"/>
    <x v="7"/>
    <s v="N2"/>
    <x v="0"/>
    <s v="Etat H.O : Non finalisé entre 207 et 208_x000a_* qualité /niveau de signal : dl rx-qual=7 , dl rx level = -84dbm_x000a_,Requête de déconnexion a été envoyée par le RBC"/>
    <m/>
    <x v="2"/>
    <s v="chaine antennaire dégradé, besoin de vérification de la chaine /taux de succés de H.O 96%"/>
    <s v=" H.O  Non finalisé entre 207 et 208"/>
    <s v="dl Rxqual=7"/>
    <s v="dl rx level= -84 dbm"/>
    <s v="OK"/>
    <s v="OK"/>
    <s v="Mauvais"/>
    <s v="retransmission des trames HDLC*5"/>
    <m/>
    <s v="Fahd OUSSALH"/>
    <m/>
    <m/>
    <m/>
    <m/>
    <m/>
    <m/>
    <m/>
  </r>
  <r>
    <n v="471"/>
    <x v="0"/>
    <x v="188"/>
    <d v="1899-12-30T19:49:01"/>
    <n v="15576"/>
    <x v="2"/>
    <x v="1"/>
    <n v="1034"/>
    <m/>
    <s v="Casa/Tanger"/>
    <n v="177.85"/>
    <x v="4"/>
    <s v="N2"/>
    <x v="0"/>
    <s v="Etat H.O : complet entre 231 et 329_x000a_* qualité /niveau de signal : dl rx-qual=0 , dl rx level = -62 dbm_x000a_,Requête de déconnexion a été envoyée par le RBC"/>
    <m/>
    <x v="2"/>
    <s v="chaine antennaire dégradé, besoin de vérification de la chaine /Attente de vérificationPar l'équipe SOR"/>
    <s v=" H.O  finalisé entre 306 et 207"/>
    <s v="dl Rxqual=0"/>
    <s v="dl rx level= -62 dbm"/>
    <s v="OK"/>
    <s v="OK"/>
    <s v="Mauvais"/>
    <s v="retransmission des trames HDLC*5"/>
    <m/>
    <s v="Fahd OUSSALH"/>
    <m/>
    <m/>
    <m/>
    <m/>
    <m/>
    <m/>
    <m/>
  </r>
  <r>
    <n v="472"/>
    <x v="0"/>
    <x v="188"/>
    <d v="1899-12-30T20:21:23"/>
    <n v="15576"/>
    <x v="2"/>
    <x v="1"/>
    <n v="1035"/>
    <m/>
    <s v="Casa/Tanger"/>
    <n v="26.739000000000001"/>
    <x v="7"/>
    <s v="N2"/>
    <x v="1"/>
    <s v="Etat H.O: Ho recule non finalisé entre 207 et 208_x000a_* qualité /niveau de signal : dl rx-qual=7, dl rx level = -92 dbm_x000a_,Requête de déconnexion a été envoyée par le RBC"/>
    <m/>
    <x v="1"/>
    <s v=" Attente de vérification  Par l'équipe SOR"/>
    <s v="H.O  recule non finalisé entre 207 et 208"/>
    <s v="dl Rxqual=7"/>
    <s v="dl rx level= -92 dbm"/>
    <s v="OK"/>
    <s v="OK"/>
    <s v="Mauvais"/>
    <s v="retransmission des trames HDLC*5"/>
    <m/>
    <s v="Fahd OUSSALH"/>
    <m/>
    <m/>
    <m/>
    <m/>
    <m/>
    <m/>
    <m/>
  </r>
  <r>
    <n v="473"/>
    <x v="0"/>
    <x v="188"/>
    <d v="1899-12-30T20:31:41"/>
    <n v="1053"/>
    <x v="5"/>
    <x v="1"/>
    <n v="1027"/>
    <m/>
    <s v="Casa/Tanger"/>
    <n v="176.61199999999999"/>
    <x v="4"/>
    <s v="N2"/>
    <x v="0"/>
    <s v="Etat H.O : finalisé entre 330 et 231_x000a_* qualité /niveau de signal : dl rx-qual=7, dl rx level = -73dbm_x000a_,Requête de déconnexion a été envoyée par le RBC"/>
    <m/>
    <x v="2"/>
    <s v="chaine antennaire dégradé, besoin de vérification de la chaine /Attente de vérificationPar l'équipe SOR"/>
    <s v=" H.O  finalisé entre 330 et 231"/>
    <s v="dl Rxqual=7"/>
    <s v="dl rx level= -73 dbm"/>
    <s v="NOK"/>
    <s v="OK"/>
    <s v="Mauvais"/>
    <s v="retransmission des trames HDLC*5"/>
    <m/>
    <s v="Saad Elhabib"/>
    <m/>
    <m/>
    <m/>
    <m/>
    <m/>
    <m/>
    <m/>
  </r>
  <r>
    <n v="474"/>
    <x v="0"/>
    <x v="188"/>
    <d v="1899-12-30T20:36:19"/>
    <n v="15576"/>
    <x v="2"/>
    <x v="1"/>
    <n v="1035"/>
    <m/>
    <s v="Casa/Tanger"/>
    <n v="12.496"/>
    <x v="22"/>
    <s v="N2"/>
    <x v="0"/>
    <s v="Etat H.O : A la reconnexion la rame a été accrochée au cellule 591 de la ligne sidi Kacem / tanger puis nous avons constaté un échec HO entre cette dernière et la cellule 592 ce qui a causé une deuxième déconnexion   _x000a_* qualité /niveau de signal : dl rx-qual=1, dl rx level = -86 dbm_x000a_,Requête de déconnexion a été envoyée par le BORD"/>
    <m/>
    <x v="1"/>
    <s v="En attente de vérification par l'équipe SOR"/>
    <s v="HO non finalisé entre la cellule 591 et la cellule 592 "/>
    <s v="dl Rxqual=1"/>
    <s v="dl rx level= -86 dbm"/>
    <s v="OK"/>
    <s v="OK"/>
    <s v="Mauvais"/>
    <s v="retransmission des trames HDLC*5"/>
    <m/>
    <s v="Saad Elhabib"/>
    <m/>
    <m/>
    <m/>
    <m/>
    <m/>
    <m/>
    <m/>
  </r>
  <r>
    <n v="475"/>
    <x v="0"/>
    <x v="189"/>
    <d v="1899-12-30T06:28:15"/>
    <n v="2001"/>
    <x v="10"/>
    <x v="0"/>
    <n v="7206"/>
    <m/>
    <s v="Tanger/Casa"/>
    <n v="110.843"/>
    <x v="1"/>
    <s v="N2"/>
    <x v="0"/>
    <s v="Etat H.O : complet entre  219 et 220                                                                                                           * qualité /niveau de signal : dl rx-qual=0 , dl rx level = -48 dbm_x000a_,Requête de déconnexion a été envoyée par le RBC"/>
    <m/>
    <x v="1"/>
    <s v="dans l'attente d'une analyse spectral "/>
    <s v=" H.O  complete entre 219 et 220"/>
    <s v="dl Rxqual=0"/>
    <s v="dl rx level= -48 dbm"/>
    <s v="OK"/>
    <s v="OK"/>
    <s v="Mauvais"/>
    <s v="retransmission des trames HDLC*5"/>
    <m/>
    <s v="Saad Elhabib"/>
    <m/>
    <m/>
    <m/>
    <m/>
    <m/>
    <m/>
    <m/>
  </r>
  <r>
    <n v="476"/>
    <x v="0"/>
    <x v="189"/>
    <d v="1899-12-30T07:05:24"/>
    <n v="2005"/>
    <x v="0"/>
    <x v="0"/>
    <n v="1037"/>
    <m/>
    <s v="Tanger/Casa"/>
    <n v="6.13"/>
    <x v="2"/>
    <s v="N2"/>
    <x v="1"/>
    <s v="Etat H.O : complet entre 202 et 203_x000a_* qualité /niveau de signal : dl rx-qual=0 , dl rx level = -71 dbm_x000a_,Requête de déconnexion a été envoyée par le RBC"/>
    <m/>
    <x v="0"/>
    <s v="En attente de mise en place des tiroires filtrés "/>
    <s v=" H.O  complete entre 202 et 203"/>
    <s v="dl Rxqual=0"/>
    <s v="dl rx level= -71 dbm"/>
    <s v="OK"/>
    <s v="OK"/>
    <s v="Mauvais"/>
    <s v="retransmission des trames HDLC*5"/>
    <m/>
    <s v="ELHAJOUIA Achraf"/>
    <m/>
    <m/>
    <m/>
    <m/>
    <m/>
    <m/>
    <m/>
  </r>
  <r>
    <n v="477"/>
    <x v="0"/>
    <x v="189"/>
    <d v="1899-12-30T17:43:39"/>
    <n v="1041"/>
    <x v="11"/>
    <x v="1"/>
    <n v="1072"/>
    <m/>
    <s v="Casa/Tanger"/>
    <n v="104.253"/>
    <x v="24"/>
    <s v="N2"/>
    <x v="0"/>
    <s v="Etat H.O : complet entre 320 et 319_x000a_* qualité /niveau de signal : dl rx-qual=2 , dl rx level = -58 dbm_x000a_,Requête de déconnexion a été envoyée par le RBC"/>
    <m/>
    <x v="2"/>
    <s v="chaine antennaire dégradé, besoin de vérification de la chaine /des perturbations de H.O entre 320 et 319 ; dans l'attente d'une analyse spectrale "/>
    <s v=" H.O  complete entre 320 et 319"/>
    <s v="dl Rxqual=2"/>
    <s v="dl rx level= -58 dbm"/>
    <s v="OK"/>
    <s v="OK"/>
    <s v="Mauvais"/>
    <s v="retransmission des trames HDLC*5"/>
    <m/>
    <s v="HAMZAOUI Youssef"/>
    <m/>
    <m/>
    <m/>
    <m/>
    <m/>
    <m/>
    <m/>
  </r>
  <r>
    <n v="478"/>
    <x v="0"/>
    <x v="190"/>
    <d v="1899-12-30T08:53:26"/>
    <n v="1005"/>
    <x v="1"/>
    <x v="1"/>
    <n v="3063"/>
    <m/>
    <s v="Casa/Tanger"/>
    <n v="59.758000000000003"/>
    <x v="23"/>
    <s v="N2"/>
    <x v="0"/>
    <s v="Etat H.O : complet entre 311 et 310_x000a_* qualité /niveau de signal : dl rx-qual=0 , dl rx level = -53 dbm_x000a_,Requête de déconnexion a été envoyée par le RBC"/>
    <m/>
    <x v="2"/>
    <s v="chaine antennaire dégradé, besoin de vérification de la chaine /Attente de vérificationPar l'équipe SOR"/>
    <s v=" H.O  complete entre 311 et 310"/>
    <s v="dl Rxqual=0"/>
    <s v="dl rx level= -53 dbm"/>
    <s v="OK"/>
    <s v="OK"/>
    <s v="Mauvais"/>
    <s v="retransmission des trames HDLC*5"/>
    <m/>
    <s v="ELGUEZZAR Anas"/>
    <m/>
    <m/>
    <m/>
    <m/>
    <m/>
    <m/>
    <m/>
  </r>
  <r>
    <n v="479"/>
    <x v="0"/>
    <x v="190"/>
    <d v="1899-12-30T15:05:05"/>
    <n v="2037"/>
    <x v="11"/>
    <x v="0"/>
    <n v="1048"/>
    <m/>
    <s v="Tanger/Casa"/>
    <n v="6.13"/>
    <x v="2"/>
    <s v="N2"/>
    <x v="1"/>
    <s v="Etat H.O : Non finalisé entre 202 et 303_x000a_* qualité /niveau de signal : dl rx-qual=5 , dl rx level = -52 dbm_x000a_,Requête de déconnexion a été envoyée par le Bord"/>
    <m/>
    <x v="0"/>
    <s v="En attente de mise en place des tiroires filtrés "/>
    <s v=" H.O  Non finalisé entre 202 et 303"/>
    <s v="dl Rxqual=5"/>
    <s v="dl rx level= -52 dbm"/>
    <s v="OK"/>
    <s v="OK"/>
    <s v="Mauvais"/>
    <s v="pas de retransmission des trames HDLC"/>
    <m/>
    <s v="HAMZAOUI Youssef"/>
    <m/>
    <m/>
    <m/>
    <m/>
    <m/>
    <m/>
    <m/>
  </r>
  <r>
    <n v="480"/>
    <x v="0"/>
    <x v="190"/>
    <d v="1899-12-30T17:05:10"/>
    <n v="2045"/>
    <x v="10"/>
    <x v="0"/>
    <n v="7206"/>
    <m/>
    <s v="Tanger/Casa"/>
    <n v="6.13"/>
    <x v="2"/>
    <s v="N2"/>
    <x v="0"/>
    <s v="Etat H.O : Non finalisé entre 202 et 303_x000a_* qualité /niveau de signal : dl rx-qual=5 , dl rx level = -56 dbm_x000a_,Requête de déconnexion a été envoyée par le RBC"/>
    <m/>
    <x v="0"/>
    <s v="En attente de mise en place des tiroires filtrés "/>
    <s v=" H.O  Non finalisé entre 202 et 304"/>
    <s v="dl Rxqual=5"/>
    <s v="dl rx level= -56 dbm"/>
    <s v="OK"/>
    <s v="OK"/>
    <s v="Mauvais"/>
    <s v="retransmission des trames HDLC*5"/>
    <m/>
    <s v="HAMZAOUI Youssef"/>
    <m/>
    <m/>
    <m/>
    <m/>
    <m/>
    <m/>
    <m/>
  </r>
  <r>
    <n v="481"/>
    <x v="0"/>
    <x v="191"/>
    <d v="1899-12-30T16:27:51"/>
    <n v="2041"/>
    <x v="5"/>
    <x v="0"/>
    <n v="1025"/>
    <m/>
    <s v="Tanger/Casa"/>
    <n v="108.206"/>
    <x v="1"/>
    <s v="N2"/>
    <x v="0"/>
    <s v="Etat H.O : Non finalisé entre 219 et 320_x000a_* qualité /niveau de signal : dl rx-qual=6 , dl rx level = -77 dbm_x000a_,Requête de déconnexion a été envoyée par le Bord"/>
    <m/>
    <x v="2"/>
    <s v="chaine antennaire dégradé, besoin de vérification de la chaine /des perturbations de H.O entre 320 et 319 ; dans l'attente d'une analyse spectrale "/>
    <s v=" H.O  Non finalisé entre 219 et 320"/>
    <s v="dl Rxqual=6"/>
    <s v="dl rx level= -77 dbm"/>
    <s v="OK"/>
    <s v="OK"/>
    <s v="Mauvais"/>
    <s v="pas de retransmission des trames HDLC"/>
    <m/>
    <s v="HAMZAOUI Youssef"/>
    <m/>
    <m/>
    <m/>
    <m/>
    <m/>
    <m/>
    <m/>
  </r>
  <r>
    <n v="482"/>
    <x v="0"/>
    <x v="191"/>
    <d v="1899-12-30T16:39:57"/>
    <n v="2041"/>
    <x v="5"/>
    <x v="0"/>
    <n v="1024"/>
    <m/>
    <s v="Tanger/Casa"/>
    <n v="164.066"/>
    <x v="28"/>
    <s v="N2"/>
    <x v="0"/>
    <s v="Etat H.O : Complet entre 227 et 228_x000a_* qualité /niveau de signal : dl rx-qual=0 , dl rx level = -48 dbm_x000a_,Requête de déconnexion a été envoyée par le RBC"/>
    <m/>
    <x v="2"/>
    <s v="chaine antennaire dégradé, besoin de vérification de la chaine /Zone sous surveillance par équipe NOC GSMR"/>
    <s v=" H.O  complete entre 227 et 228"/>
    <s v="dl Rxqual=0"/>
    <s v="dl rx level= -48 dbm"/>
    <s v="OK"/>
    <s v="NOK"/>
    <s v="Mauvais"/>
    <s v="retransmission des trames HDLC*5"/>
    <m/>
    <s v="HAMZAOUI Youssef"/>
    <m/>
    <m/>
    <m/>
    <m/>
    <m/>
    <m/>
    <m/>
  </r>
  <r>
    <n v="483"/>
    <x v="0"/>
    <x v="191"/>
    <d v="1899-12-30T20:21:27"/>
    <n v="2057"/>
    <x v="3"/>
    <x v="0"/>
    <n v="1047"/>
    <m/>
    <s v="Tanger/Casa"/>
    <n v="73.585999999999999"/>
    <x v="13"/>
    <s v="N2"/>
    <x v="0"/>
    <s v="Etat H.O : Complet entre 213 et 214_x000a_* qualité /niveau de signal : dl rx-qual=1 , dl rx level = -49 dbm_x000a_,Requête de déconnexion a été envoyée par le RBC"/>
    <m/>
    <x v="0"/>
    <s v="chaine antennaire dégradé, besoin de vérification de la chaine /Zone sous surveillance par équipe NOC GSMR"/>
    <s v=" H.O  complete entre 213 et 214"/>
    <s v="dl Rxqual=1"/>
    <s v="dl rx level= -49 dbm"/>
    <s v="OK"/>
    <s v="OK"/>
    <s v="Mauvais"/>
    <s v="retransmission des trames HDLC*5"/>
    <m/>
    <s v="ELHAJOUIA Achraf"/>
    <m/>
    <m/>
    <m/>
    <m/>
    <m/>
    <m/>
    <m/>
  </r>
  <r>
    <n v="484"/>
    <x v="0"/>
    <x v="192"/>
    <d v="1899-12-30T08:04:40"/>
    <n v="1001"/>
    <x v="8"/>
    <x v="1"/>
    <n v="1048"/>
    <m/>
    <s v="Casa/Tanger"/>
    <n v="8.9700000000000006"/>
    <x v="2"/>
    <s v="N2"/>
    <x v="1"/>
    <s v="Etat H.O : Complet entre 304 et 303_x000a_* qualité /niveau de signal : dl rx-qual=3 , dl rx level = -69 dbm_x000a_,Requête de déconnexion a été envoyée par le RBC"/>
    <m/>
    <x v="6"/>
    <s v="En attente de mise en place des tiroires filtrés / En attente de pousser les analyses coté RBC"/>
    <s v=" H.O  complete entre 304 et 303"/>
    <s v="dl Rxqual=3"/>
    <s v="dl rx level= -69 dbm"/>
    <s v="OK"/>
    <s v="OK"/>
    <s v="Mauvais"/>
    <s v="pas de retransmission des trames HDLC"/>
    <m/>
    <s v="Noura MOUSSAOUI"/>
    <m/>
    <m/>
    <m/>
    <m/>
    <m/>
    <m/>
    <m/>
  </r>
  <r>
    <n v="485"/>
    <x v="0"/>
    <x v="192"/>
    <d v="1899-12-30T18:35:56"/>
    <n v="2049"/>
    <x v="9"/>
    <x v="0"/>
    <n v="1049"/>
    <m/>
    <s v="Tanger/Casa"/>
    <n v="144.32599999999999"/>
    <x v="3"/>
    <s v="N2"/>
    <x v="1"/>
    <s v="Etat H.O : Complet entre 224 et 225_x000a_* qualité /niveau de signal : dl rx-qual=2 , dl rx level = -69 dbm_x000a_,Requête de déconnexion a été envoyée par le RBC"/>
    <m/>
    <x v="2"/>
    <s v="chaine antennaire dégradé, besoin de vérification de la chaine /Zone sous surveillance par équipe NOC GSMR"/>
    <s v=" H.O  complete entre 224 et 225"/>
    <s v="dl Rxqual=2"/>
    <s v="dl rx level= -69 dbm"/>
    <s v="OK"/>
    <s v="OK"/>
    <s v="Mauvais"/>
    <s v="retransmission des trames HDLC*5"/>
    <m/>
    <s v="HAMZAOUI Youssef"/>
    <m/>
    <m/>
    <m/>
    <m/>
    <m/>
    <m/>
    <m/>
  </r>
  <r>
    <n v="486"/>
    <x v="0"/>
    <x v="192"/>
    <d v="1899-12-30T08:16:27"/>
    <n v="2009"/>
    <x v="1"/>
    <x v="0"/>
    <n v="1028"/>
    <m/>
    <s v="Tanger/Casa"/>
    <n v="49.784999999999997"/>
    <x v="29"/>
    <s v="N2"/>
    <x v="0"/>
    <s v="Etat H.O : Complet entre 208 et 209_x000a_* qualité /niveau de signal : dl rx-qual=0 , dl rx level = -48 dbm_x000a_,Requête de déconnexion a été envoyée par le RBC"/>
    <m/>
    <x v="0"/>
    <s v="En attente de pousser les analyses coté Bord"/>
    <s v=" H.O  complete entre 208 et 209"/>
    <s v="dl Rxqual=0"/>
    <s v="dl rx level= -48 dbm"/>
    <s v="OK"/>
    <s v="OK"/>
    <s v="Mauvais"/>
    <s v="retransmission des trames HDLC*5"/>
    <m/>
    <s v="ELHAJOUIA Achraf"/>
    <m/>
    <m/>
    <m/>
    <m/>
    <m/>
    <m/>
    <m/>
  </r>
  <r>
    <n v="487"/>
    <x v="0"/>
    <x v="193"/>
    <d v="1899-12-30T15:05:09"/>
    <n v="2037"/>
    <x v="3"/>
    <x v="0"/>
    <n v="1046"/>
    <m/>
    <s v="Tanger/Casa"/>
    <n v="6.13"/>
    <x v="2"/>
    <s v="N2"/>
    <x v="0"/>
    <s v="Etat H.O : Non finalisé entre 202 et 303_x000a_* qualité /niveau de signal : dl rx-qual=7 , dl rx level = -53 dbm_x000a_,Requête de déconnexion a été envoyée par le Bord"/>
    <m/>
    <x v="0"/>
    <s v="En attente de mise en place des tiroires filtrés "/>
    <s v=" H.O  Non finalisé entre 202 et 303"/>
    <s v="dl Rxqual=7"/>
    <s v="dl rx level= -53 dbm"/>
    <s v="OK"/>
    <s v="OK"/>
    <s v="Mauvais"/>
    <s v="retransmission des trames HDLC*5"/>
    <m/>
    <s v="HAMZAOUI Youssef"/>
    <m/>
    <m/>
    <m/>
    <m/>
    <m/>
    <m/>
    <m/>
  </r>
  <r>
    <n v="488"/>
    <x v="0"/>
    <x v="193"/>
    <d v="1899-12-30T15:17:03"/>
    <n v="2037"/>
    <x v="3"/>
    <x v="0"/>
    <n v="1047"/>
    <m/>
    <s v="Tanger/Casa"/>
    <n v="44.47"/>
    <x v="16"/>
    <s v="N2"/>
    <x v="1"/>
    <s v="Etat H.O : Complet entre 207 et 208_x000a_* qualité /niveau de signal : dl rx-qual=0 , dl rx level = - 73dbm_x000a_,Requête de déconnexion a été envoyée par le RBC"/>
    <m/>
    <x v="2"/>
    <s v="chaine antennaire dégradé, besoin de vérification de la chaine /Zone sous surveillance par équipe NOC GSMR"/>
    <s v=" H.O  complete entre 207 et 208"/>
    <s v="dl Rxqual=0"/>
    <s v="dl rx level= -73 dbm"/>
    <s v="NOK"/>
    <s v="OK"/>
    <s v="Mauvais"/>
    <s v="retransmission des trames HDLC*5"/>
    <m/>
    <s v="HAMZAOUI Youssef"/>
    <m/>
    <m/>
    <m/>
    <m/>
    <m/>
    <m/>
    <m/>
  </r>
  <r>
    <n v="489"/>
    <x v="0"/>
    <x v="193"/>
    <d v="1899-12-30T22:20:43"/>
    <n v="1057"/>
    <x v="7"/>
    <x v="1"/>
    <n v="1041"/>
    <m/>
    <s v="Casa/Tanger"/>
    <n v="35.259"/>
    <x v="25"/>
    <s v="N2"/>
    <x v="0"/>
    <s v="Etat H.O : Complet entre 308 et 307_x000a_* qualité /niveau de signal : dl rx-qual=0 , dl rx level = - 50dbm_x000a_,Requête de déconnexion a été envoyée par le RBC"/>
    <m/>
    <x v="0"/>
    <s v="chaine antennaire dégradé, besoin de vérification de la chaine /Zone sous surveillance par équipe NOC GSMR"/>
    <s v=" H.O  complete entre 308 et 307"/>
    <s v="dl Rxqual=0"/>
    <s v="dl rx level= -50 dbm"/>
    <s v="OK"/>
    <s v="OK"/>
    <s v="Mauvais"/>
    <s v="retransmission des trames HDLC*5"/>
    <m/>
    <s v="ELHAJOUIA Achraf"/>
    <m/>
    <m/>
    <m/>
    <m/>
    <m/>
    <m/>
    <m/>
  </r>
  <r>
    <n v="490"/>
    <x v="0"/>
    <x v="194"/>
    <d v="1899-12-30T11:27:04"/>
    <n v="2021"/>
    <x v="7"/>
    <x v="0"/>
    <n v="1055"/>
    <m/>
    <s v="Tanger/Casa"/>
    <n v="98.981999999999999"/>
    <x v="8"/>
    <s v="N2"/>
    <x v="0"/>
    <s v="Etat H.O : Complet entre 217 et 218_x000a_* qualité /niveau de signal : dl rx-qual=1 , dl rx level = - 48dbm_x000a_,Requête de déconnexion a été envoyée par le RBC"/>
    <m/>
    <x v="0"/>
    <s v="chaine antennaire dégradé, besoin de vérification de la chaine /Zone sous surveillance par équipe NOC GSMR"/>
    <s v=" H.O  complete entre 217 et 218"/>
    <s v="dl Rxqual=1"/>
    <s v="dl rx level= -48 dbm"/>
    <s v="OK"/>
    <s v="OK"/>
    <s v="Mauvais"/>
    <s v="retransmission des trames HDLC*5"/>
    <m/>
    <s v="HAMZAOUI Youssef"/>
    <m/>
    <m/>
    <m/>
    <m/>
    <m/>
    <m/>
    <m/>
  </r>
  <r>
    <n v="491"/>
    <x v="0"/>
    <x v="194"/>
    <d v="1899-12-30T14:05:00"/>
    <n v="2033"/>
    <x v="10"/>
    <x v="0"/>
    <n v="7206"/>
    <m/>
    <s v="Tanger/Casa"/>
    <n v="6.13"/>
    <x v="2"/>
    <s v="N2"/>
    <x v="1"/>
    <s v="Etat H.O : non finalisé entre 302 et 203_x000a_* qualité /niveau de signal : dl rx-qual=7, dl rx level = -52 dbm_x000a_,Requête de déconnexion a été envoyée par le RBC"/>
    <m/>
    <x v="0"/>
    <s v="En attente de mise en place des tiroires filtrés "/>
    <s v=" H.O  Non finalisé entre 302 et 203"/>
    <s v="dl Rxqual=7"/>
    <s v="dl rx level= -52dbm"/>
    <s v="OK"/>
    <s v="OK"/>
    <s v="Mauvais"/>
    <s v="retransmission des trames HDLC*5"/>
    <m/>
    <s v="Saad Elhabib"/>
    <m/>
    <m/>
    <m/>
    <m/>
    <m/>
    <m/>
    <m/>
  </r>
  <r>
    <n v="492"/>
    <x v="0"/>
    <x v="194"/>
    <d v="1899-12-30T17:08:31"/>
    <n v="2045"/>
    <x v="7"/>
    <x v="0"/>
    <s v="1054."/>
    <m/>
    <s v="Tanger/Casa"/>
    <n v="11.28"/>
    <x v="22"/>
    <s v="N2"/>
    <x v="0"/>
    <s v="Etat H.O : finalisé entre 202 et 303_x000a_* qualité /niveau de signal : dl rx-qual=0, dl rx level = -61 dbm_x000a_,Requête de déconnexion a été envoyée par le Bord"/>
    <m/>
    <x v="0"/>
    <s v="chaine antennaire dégradé, besoin de vérification de la chaine /Zone sous surveillance par équipe NOC GSMR"/>
    <s v=" H.O   finalisé entre 202 et 303"/>
    <s v="dl Rxqual=0"/>
    <s v="dl rx level= -61dbm"/>
    <s v="OK"/>
    <s v="OK"/>
    <s v="Mauvais"/>
    <s v="retransmission des trames HDLC*5"/>
    <m/>
    <s v="Saad Elhabib"/>
    <m/>
    <m/>
    <m/>
    <m/>
    <m/>
    <m/>
    <m/>
  </r>
  <r>
    <n v="493"/>
    <x v="0"/>
    <x v="194"/>
    <d v="1899-12-30T17:53:01"/>
    <n v="1042"/>
    <x v="1"/>
    <x v="1"/>
    <n v="3062"/>
    <m/>
    <s v="Casa/Tanger"/>
    <n v="64.387"/>
    <x v="21"/>
    <s v="N2"/>
    <x v="0"/>
    <s v="Etat H.O : Non finalisé entre 312 et 311_x000a_* qualité /niveau de signal : dl rx-qual=1, dl rx level = -77 dbm_x000a_,Requête de déconnexion a été envoyée par le RBC"/>
    <m/>
    <x v="0"/>
    <s v="chaine antennaire dégradé, besoin de vérification de la chaine /enchainement H.O normal pour les autres appels ETCS "/>
    <s v=" H.O  Non finalisé entre 312 et 311"/>
    <s v="dl Rxqual=1"/>
    <s v="dl rx level= -77dbm"/>
    <s v="OK"/>
    <s v="OK"/>
    <s v="Mauvais"/>
    <s v="retransmission des trames HDLC*5"/>
    <m/>
    <s v="Saad Elhabib"/>
    <m/>
    <m/>
    <m/>
    <m/>
    <m/>
    <m/>
    <m/>
  </r>
  <r>
    <n v="494"/>
    <x v="0"/>
    <x v="194"/>
    <d v="1899-12-30T18:31:40"/>
    <n v="1045"/>
    <x v="11"/>
    <x v="1"/>
    <n v="1020"/>
    <m/>
    <s v="Casa/Tanger"/>
    <n v="177.85"/>
    <x v="4"/>
    <s v="N2"/>
    <x v="0"/>
    <s v="Etat H.O : Ho complet entre  231 et 229 _x000a_* qualité /niveau de signal : dl rx-qual=7 , dl rx level =-70dbm_x000a_,Requête de déconnexion a été envoyée par le RBC"/>
    <m/>
    <x v="2"/>
    <s v="chaine antennaire dégradé, besoin de vérification de la chaine /Des ping pong pour quelques marches (zone sous surveillance par SOR )"/>
    <s v=" H.O  complet entre  231 et 229 "/>
    <s v="dl Rxqual=7"/>
    <s v="dl rx level= -70dbm"/>
    <s v="OK"/>
    <s v="OK"/>
    <s v="Mauvais"/>
    <s v="retransmission des trames HDLC*5"/>
    <m/>
    <s v="Saad Elhabib"/>
    <m/>
    <m/>
    <m/>
    <m/>
    <m/>
    <m/>
    <m/>
  </r>
  <r>
    <n v="495"/>
    <x v="0"/>
    <x v="194"/>
    <d v="1899-12-30T16:28:29"/>
    <n v="1037"/>
    <x v="4"/>
    <x v="1"/>
    <n v="1033"/>
    <m/>
    <s v="Casa/Tanger"/>
    <n v="177.85"/>
    <x v="4"/>
    <s v="N2"/>
    <x v="0"/>
    <s v="Etat H.O : Ho complet entre  231 et 329 (saute cellule)_x000a_* qualité /niveau de signal : dl rx-qual=2 , dl rx level =-61dbm_x000a_,Requête de déconnexion a été envoyée par le RBC"/>
    <m/>
    <x v="2"/>
    <s v="chaine antennaire dégradé, besoin de vérification de la chaine /Des ping pong pour quelques marches (zone sous surveillance par SOR )"/>
    <s v=" H.O  complet entre  231 et 329"/>
    <s v="dl Rxqual=2"/>
    <s v="dl rx level= -60dbm"/>
    <s v="OK"/>
    <s v="OK"/>
    <s v="Mauvais"/>
    <s v="retransmission des trames HDLC*5"/>
    <m/>
    <s v="ELHAJOUIA Achraf"/>
    <m/>
    <m/>
    <m/>
    <m/>
    <m/>
    <m/>
    <m/>
  </r>
  <r>
    <n v="496"/>
    <x v="0"/>
    <x v="195"/>
    <d v="1899-12-30T07:13:16"/>
    <n v="2005"/>
    <x v="3"/>
    <x v="0"/>
    <n v="1047"/>
    <m/>
    <s v="Tanger/Casa"/>
    <n v="33.960999999999999"/>
    <x v="25"/>
    <s v="N2"/>
    <x v="0"/>
    <s v="Etat H.O : Ho complet entre  206 et 207 _x000a_* qualité /niveau de signal : dl rx-qual=0 , dl rx level =-48dbm_x000a_,Requête de déconnexion a été envoyée par le RBC"/>
    <m/>
    <x v="0"/>
    <s v="chaine antennaire dégradé, besoin de vérification de la chaine /Zone sous surveillance par équipe NOC GSMR"/>
    <s v=" H.O  complet entre  206 et 207"/>
    <s v="dl Rxqual=0"/>
    <s v="dl rx level= -48dbm"/>
    <s v="OK"/>
    <s v="OK"/>
    <s v="Mauvais"/>
    <s v="retransmission des trames HDLC*5"/>
    <m/>
    <s v="ELHAJOUIA Achraf"/>
    <m/>
    <m/>
    <m/>
    <m/>
    <m/>
    <m/>
    <m/>
  </r>
  <r>
    <n v="497"/>
    <x v="0"/>
    <x v="195"/>
    <d v="1899-12-30T14:05:06"/>
    <n v="2033"/>
    <x v="9"/>
    <x v="0"/>
    <n v="1052"/>
    <m/>
    <s v="Tanger/Casa"/>
    <n v="6.13"/>
    <x v="2"/>
    <s v="N2"/>
    <x v="1"/>
    <s v="Etat H.O : Ho non finalisé  entre  302  et 203_x000a_* qualité /niveau de signal : dl rx-qual=5 , dl rx level =-51dbm._x000a_,Requête de déconnexion a été envoyée par le RBC"/>
    <m/>
    <x v="0"/>
    <s v="En attente de mise en place des tiroires filtrés "/>
    <s v=" H.O  non finalisé  entre  302  et 203"/>
    <s v="dl Rxqual=5"/>
    <s v="dl rx level= -51dbm"/>
    <s v="NOK"/>
    <s v="OK"/>
    <s v="Mauvais"/>
    <s v="retransmission des trames HDLC*5"/>
    <m/>
    <s v="Saad Elhabib"/>
    <m/>
    <m/>
    <m/>
    <m/>
    <m/>
    <m/>
    <m/>
  </r>
  <r>
    <n v="498"/>
    <x v="0"/>
    <x v="195"/>
    <d v="1899-12-30T15:05:04"/>
    <n v="2037"/>
    <x v="0"/>
    <x v="0"/>
    <n v="1036"/>
    <m/>
    <s v="Tanger/Casa"/>
    <n v="6.13"/>
    <x v="2"/>
    <s v="N2"/>
    <x v="1"/>
    <s v="* Etat H.O : Ho non finalisé  entre  302  et 303_x000a_* qualité /niveau de signal : dl rx-qual=6 , dl rx level =-53dbm._x000a_,Requête de déconnexion a été envoyée par le RBC"/>
    <m/>
    <x v="0"/>
    <s v="En attente de mise en place des tiroires filtrés "/>
    <s v=" H.O  non finalisé  entre  302  et 203"/>
    <s v="dl Rxqual=6"/>
    <s v="dl rx level= -53dbm"/>
    <s v="OK"/>
    <s v="OK"/>
    <s v="Mauvais"/>
    <s v="retransmission des trames HDLC*5"/>
    <m/>
    <s v="Saad Elhabib"/>
    <m/>
    <m/>
    <m/>
    <m/>
    <m/>
    <m/>
    <m/>
  </r>
  <r>
    <n v="499"/>
    <x v="0"/>
    <x v="195"/>
    <d v="1899-12-30T15:20:22"/>
    <n v="2037"/>
    <x v="0"/>
    <x v="0"/>
    <n v="1037"/>
    <m/>
    <s v="Tanger/Casa"/>
    <n v="59.817999999999998"/>
    <x v="23"/>
    <s v="N2"/>
    <x v="0"/>
    <s v="* Etat H.O : Ho finalisé  entre  210 et 211_x000a_* qualité /niveau de signal : dl rx-qual=2 , dl rx level =-50dbm._x000a_,Requête de déconnexion a été envoyée par le RBC"/>
    <m/>
    <x v="0"/>
    <s v="chaine antennaire dégradé, besoin de vérification de la chaine"/>
    <s v=" H.O  finalisé  entre  210 et 211"/>
    <s v="dl Rxqual=2"/>
    <s v="dl rx level= -50dbm"/>
    <s v="OK"/>
    <s v="OK"/>
    <s v="Mauvais"/>
    <s v="retransmission des trames HDLC*5"/>
    <m/>
    <s v="Saad Elhabib"/>
    <m/>
    <m/>
    <m/>
    <m/>
    <m/>
    <m/>
    <m/>
  </r>
  <r>
    <n v="500"/>
    <x v="0"/>
    <x v="195"/>
    <d v="1899-12-30T16:05:15"/>
    <n v="2041"/>
    <x v="8"/>
    <x v="0"/>
    <n v="1040"/>
    <m/>
    <s v="Tanger/Casa"/>
    <n v="6.13"/>
    <x v="2"/>
    <s v="N2"/>
    <x v="1"/>
    <s v="Etat H.O : Ho Non finalisé  entre  202 et 303_x000a_* qualité /niveau de signal : dl rx-qual=3 , dl rx level =-52dbm._x000a_,Requête de déconnexion a été envoyée par le Bord"/>
    <m/>
    <x v="0"/>
    <s v="En attente de mise en place des tiroires filtrés "/>
    <s v=" H.O  Non finalisé  entre  202 et 303"/>
    <s v="dl Rxqual=3"/>
    <s v="dl rx level= -52dbm"/>
    <s v="NOK"/>
    <s v="OK"/>
    <s v="Mauvais"/>
    <s v="retransmission des trames HDLC*5"/>
    <m/>
    <s v="Saad Elhabib"/>
    <m/>
    <m/>
    <m/>
    <m/>
    <m/>
    <m/>
    <m/>
  </r>
  <r>
    <n v="501"/>
    <x v="0"/>
    <x v="195"/>
    <d v="1899-12-30T19:11:45"/>
    <n v="2053"/>
    <x v="5"/>
    <x v="0"/>
    <n v="1025"/>
    <m/>
    <s v="Tanger/Casa"/>
    <n v="21.55"/>
    <x v="20"/>
    <s v="N2"/>
    <x v="1"/>
    <s v="Etat H.O : Ho finalisé  entre  204 et 205_x000a_* qualité /niveau de signal : dl rx-qual=0 , dl rx level =-51dbm._x000a_,Requête de déconnexion a été envoyée par le RBC"/>
    <m/>
    <x v="0"/>
    <s v="chaine antennaire dégradé, besoin de vérification de la chaine /les conditions gsm-r sont bon "/>
    <s v=" H.O finalisé  entre  204 et 205"/>
    <s v="dl Rxqual=0"/>
    <s v="dl rx level= -51dbm"/>
    <s v="OK"/>
    <s v="OK"/>
    <s v="Mauvais"/>
    <s v="retransmission des trames HDLC*5"/>
    <m/>
    <s v="Saad Elhabib"/>
    <m/>
    <m/>
    <m/>
    <m/>
    <m/>
    <m/>
    <m/>
  </r>
  <r>
    <n v="502"/>
    <x v="0"/>
    <x v="195"/>
    <d v="1899-12-30T21:23:45"/>
    <n v="2061"/>
    <x v="0"/>
    <x v="0"/>
    <n v="1037"/>
    <m/>
    <s v="Tanger/Casa"/>
    <n v="88.911000000000001"/>
    <x v="12"/>
    <s v="N2"/>
    <x v="0"/>
    <s v="Etat H.O : Ho complet entre  216 et 217 _x000a_* qualité /niveau de signal : dl rx-qual=0 , dl rx level =-69dbm_x000a_,Requête de déconnexion a été envoyée par le RBC; Redemarrage fugitif du RBC a mené a la déconnexion"/>
    <m/>
    <x v="0"/>
    <s v="chaine antennaire dégradé, besoin de vérification de la chaine"/>
    <s v=" H.O complet  entre  216 et 217"/>
    <s v="dl Rxqual=0"/>
    <s v="dl rx level= -69dbm"/>
    <s v="OK"/>
    <s v="OK"/>
    <s v="Mauvais"/>
    <s v="retransmission des trames HDLC*5"/>
    <m/>
    <s v="ELHAJOUIA Achraf"/>
    <m/>
    <m/>
    <m/>
    <m/>
    <m/>
    <m/>
    <m/>
  </r>
  <r>
    <n v="503"/>
    <x v="0"/>
    <x v="196"/>
    <d v="1899-12-30T10:45:43"/>
    <n v="1013"/>
    <x v="3"/>
    <x v="1"/>
    <n v="1008"/>
    <m/>
    <s v="Casa/Tanger"/>
    <n v="93.757999999999996"/>
    <x v="8"/>
    <s v="N2"/>
    <x v="1"/>
    <s v="Etat H.O : complet entre  318 et 317 _x000a_* qualité /niveau de signal : dl rx-qual=0 , dl rx level =-52 dbm_x000a_,Requête de déconnexion a été envoyée par le Bord"/>
    <m/>
    <x v="3"/>
    <s v="Pas d'action"/>
    <s v=" H.O complet  entre  318 et 317"/>
    <s v="dl Rxqual=0"/>
    <s v="dl rx level= -52 dbm"/>
    <s v="OK"/>
    <s v="NOK"/>
    <s v="Mauvais"/>
    <s v="retransmission des trames HDLC*5"/>
    <m/>
    <s v="HAMZAOUI Youssef"/>
    <m/>
    <m/>
    <m/>
    <m/>
    <m/>
    <m/>
    <m/>
  </r>
  <r>
    <n v="504"/>
    <x v="0"/>
    <x v="196"/>
    <d v="1899-12-30T17:05:08"/>
    <n v="2045"/>
    <x v="9"/>
    <x v="0"/>
    <n v="1052"/>
    <m/>
    <s v="Tanger/Casa"/>
    <n v="4.7069999999999999"/>
    <x v="2"/>
    <s v="N2"/>
    <x v="1"/>
    <s v="Etat H.O : complet entre  301 et 202 _x000a_* qualité /niveau de signal : dl rx-qual=0 , dl rx level =-48 dbm_x000a_,Requête de déconnexion a été envoyée par le RBC"/>
    <m/>
    <x v="0"/>
    <s v="En attente de mise en place des tiroires filtrés "/>
    <s v=" H.O complet  entre  301 et 302"/>
    <s v="dl Rxqual=0"/>
    <s v="dl rx level= -48 dbm"/>
    <s v="NOK"/>
    <s v="OK"/>
    <s v="Mauvais"/>
    <s v="retransmission des trames HDLC*5"/>
    <m/>
    <s v="ELGUEZZAR Anas"/>
    <m/>
    <m/>
    <m/>
    <m/>
    <m/>
    <m/>
    <m/>
  </r>
  <r>
    <n v="505"/>
    <x v="0"/>
    <x v="196"/>
    <d v="1899-12-30T18:05:13"/>
    <n v="2049"/>
    <x v="3"/>
    <x v="0"/>
    <n v="1046"/>
    <m/>
    <s v="Tanger/Casa"/>
    <n v="6.13"/>
    <x v="2"/>
    <s v="N2"/>
    <x v="0"/>
    <s v="Etat H.O : Non Finalisé entre  202 et 303 _x000a_* qualité /niveau de signal : dl rx-qual=5 , dl rx level =-53 dbm_x000a_,Requête de déconnexion a été envoyée par le RBC"/>
    <m/>
    <x v="0"/>
    <s v="En attente de mise en place des tiroires filtrés "/>
    <s v=" H.O Non Finalisé entre  202 et 303 "/>
    <s v="dl Rxqual=5"/>
    <s v="dl rx level= -53 dbm"/>
    <s v="OK"/>
    <s v="OK"/>
    <s v="Mauvais"/>
    <s v="retransmission des trames HDLC*5"/>
    <m/>
    <s v="MAROUANI Otmane"/>
    <m/>
    <m/>
    <m/>
    <m/>
    <m/>
    <m/>
    <m/>
  </r>
  <r>
    <n v="506"/>
    <x v="0"/>
    <x v="196"/>
    <d v="1899-12-30T19:37:10"/>
    <n v="1049"/>
    <x v="8"/>
    <x v="1"/>
    <n v="1022"/>
    <m/>
    <s v="Casa/Tanger"/>
    <n v="135.52500000000001"/>
    <x v="10"/>
    <s v="N2"/>
    <x v="0"/>
    <s v="Etat H.O : Complete entre  325 et 324 _x000a_* qualité /niveau de signal : dl rx-qual=0 , dl rx level =-54 dbm_x000a_,Requête de déconnexion a été envoyée par le RBC"/>
    <m/>
    <x v="0"/>
    <s v="chaine antennaire dégradé, besoin de vérification de la chaine"/>
    <s v=" H.O Complete entre  325 et 324  "/>
    <s v="dl Rxqual=0"/>
    <s v="dl rx level= -54 dbm"/>
    <s v="OK"/>
    <s v="OK"/>
    <s v="Mauvais"/>
    <s v="retransmission des trames HDLC*5"/>
    <m/>
    <s v="MAROUANI Otmane"/>
    <m/>
    <m/>
    <m/>
    <m/>
    <m/>
    <m/>
    <m/>
  </r>
  <r>
    <n v="507"/>
    <x v="0"/>
    <x v="196"/>
    <d v="1899-12-30T21:07:50"/>
    <n v="1054"/>
    <x v="11"/>
    <x v="1"/>
    <n v="1072"/>
    <m/>
    <s v="Casa/Tanger"/>
    <n v="48.426000000000002"/>
    <x v="16"/>
    <s v="N2"/>
    <x v="0"/>
    <s v="Etat H.O : Non Finalisé entre  210 et 308 _x000a_* qualité /niveau de signal : dl rx-qual=7 , dl rx level =-80 dbm_x000a_,Requête de déconnexion a été envoyée par le Bord"/>
    <m/>
    <x v="0"/>
    <s v="chaine antennaire dégradé, besoin de vérification de la chaine"/>
    <s v=" H.O Non Finalisé entre  210 et 308 "/>
    <s v="dl Rxqual=7"/>
    <s v="dl rx level= -80 dbm"/>
    <s v="OK"/>
    <s v="OK"/>
    <s v="Mauvais"/>
    <s v="retransmission des trames HDLC*5"/>
    <m/>
    <s v="Fahd OUSSALH"/>
    <m/>
    <m/>
    <m/>
    <m/>
    <m/>
    <m/>
    <m/>
  </r>
  <r>
    <n v="508"/>
    <x v="0"/>
    <x v="196"/>
    <d v="1899-12-30T20:23:46"/>
    <n v="1053"/>
    <x v="11"/>
    <x v="1"/>
    <n v="1072"/>
    <m/>
    <s v="Casa/Tanger"/>
    <n v="205.125"/>
    <x v="5"/>
    <s v="N2"/>
    <x v="0"/>
    <s v="Etat H.O : Non complet entre  234 et 99_x000a_* qualité /niveau de signal : dl rx-qual=0 , dl rx level =-53 dbm_x000a_,Requête de déconnexion a été envoyée par le RBC"/>
    <m/>
    <x v="0"/>
    <s v="chaine antennaire dégradé, besoin de vérification de la chaine"/>
    <s v=" H.O Complete entre  234 et 233  "/>
    <s v="dl Rxqual=0"/>
    <s v="dl rx level= -53 dbm"/>
    <s v="OK"/>
    <s v="OK"/>
    <s v="Mauvais"/>
    <s v="retransmission des trames HDLC*5"/>
    <m/>
    <s v="Fahd OUSSALH"/>
    <m/>
    <m/>
    <m/>
    <m/>
    <m/>
    <m/>
    <m/>
  </r>
  <r>
    <n v="509"/>
    <x v="0"/>
    <x v="196"/>
    <d v="1899-12-30T20:24:40"/>
    <n v="1053"/>
    <x v="11"/>
    <x v="1"/>
    <n v="1072"/>
    <m/>
    <s v="Casa/Tanger"/>
    <n v="198.98400000000001"/>
    <x v="5"/>
    <s v="N2"/>
    <x v="1"/>
    <s v="Etat H.O : complet entre  234 et 233_x000a_* qualité /niveau de signal : dl rx-qual=0 , dl rx level =-54 dbm_x000a_,Requête de déconnexion a été envoyée par le Bord"/>
    <m/>
    <x v="2"/>
    <s v="chaine antennaire dégradé, besoin de vérification de la chaine /Chantier d'optimisation en cour "/>
    <s v=" H.O Complete entre  234 et 233  "/>
    <s v="dl Rxqual=0"/>
    <s v="dl rx level= -53 dbm"/>
    <s v="OK"/>
    <s v="OK"/>
    <s v="Mauvais"/>
    <s v="pas de retransmission des trames HDLC"/>
    <m/>
    <s v="SGHAYER Achraf"/>
    <m/>
    <m/>
    <m/>
    <m/>
    <m/>
    <m/>
    <m/>
  </r>
  <r>
    <n v="510"/>
    <x v="0"/>
    <x v="197"/>
    <d v="1899-12-30T04:16:44"/>
    <n v="2081"/>
    <x v="9"/>
    <x v="0"/>
    <n v="1053"/>
    <m/>
    <s v="Tanger/Casa"/>
    <n v="33.960999999999999"/>
    <x v="25"/>
    <s v="N2"/>
    <x v="0"/>
    <s v="Etat H.O : Complete entre  206 et 207 _x000a_* qualité /niveau de signal : dl rx-qual=0 , dl rx level =-48 dbm_x000a_,Requête de déconnexion a été envoyée par le RBC"/>
    <m/>
    <x v="0"/>
    <s v="chaine antennaire dégradé, besoin de vérification de la chaine"/>
    <s v=" H.O Complete entre  206 et 207  "/>
    <s v="dl Rxqual=0"/>
    <s v="dl rx level= -48 dbm"/>
    <s v="OK"/>
    <s v="OK"/>
    <s v="Mauvais"/>
    <s v="retransmission des trames HDLC*5"/>
    <m/>
    <s v="Fahd OUSSALH"/>
    <m/>
    <m/>
    <m/>
    <m/>
    <m/>
    <m/>
    <m/>
  </r>
  <r>
    <n v="511"/>
    <x v="0"/>
    <x v="197"/>
    <d v="1899-12-30T08:33:54"/>
    <n v="2009"/>
    <x v="1"/>
    <x v="0"/>
    <n v="1028"/>
    <m/>
    <s v="Tanger/Casa"/>
    <n v="138.30199999999999"/>
    <x v="26"/>
    <s v="N2"/>
    <x v="0"/>
    <s v="Etat H.O : Complete entre  323 et 324_x000a_* qualité /niveau de signal : dl rx-qual=1 , dl rx level =-65 dbm_x000a_,Requête de déconnexion a été envoyée par le RBC"/>
    <m/>
    <x v="0"/>
    <s v="chaine antennaire dégradé, besoin de vérification de la chaine"/>
    <s v=" H.O Complete entre  323 et 324  "/>
    <s v="dl Rxqual=1"/>
    <s v="dl rx level= -65 dbm"/>
    <s v="OK"/>
    <s v="OK"/>
    <s v="Mauvais"/>
    <s v="retransmission des trames HDLC*5"/>
    <m/>
    <s v="MAROUANI Otmane"/>
    <m/>
    <m/>
    <m/>
    <m/>
    <m/>
    <m/>
    <m/>
  </r>
  <r>
    <n v="512"/>
    <x v="0"/>
    <x v="197"/>
    <d v="1899-12-30T15:41:41"/>
    <n v="1033"/>
    <x v="4"/>
    <x v="1"/>
    <n v="1032"/>
    <m/>
    <s v="Casa/Tanger"/>
    <n v="122.536"/>
    <x v="30"/>
    <s v="N2"/>
    <x v="0"/>
    <s v="Etat H.O : Complete entre  322 et 321_x000a_* qualité /niveau de signal : dl rx-qual=3 , dl rx level =-53 dbm_x000a_,Requête de déconnexion a été envoyée par le RBC"/>
    <m/>
    <x v="0"/>
    <s v="chaine antennaire dégradé, besoin de vérification de la chaine"/>
    <s v=" H.O Complete entre  322 et 321"/>
    <s v="dl Rxqual=3"/>
    <s v="dl rx level= -53 dbm"/>
    <s v="OK"/>
    <s v="NOK"/>
    <s v="Mauvais"/>
    <s v="retransmission des trames HDLC*5"/>
    <m/>
    <s v="HAMZAOUI Youssef"/>
    <m/>
    <m/>
    <m/>
    <m/>
    <m/>
    <m/>
    <m/>
  </r>
  <r>
    <n v="513"/>
    <x v="0"/>
    <x v="197"/>
    <d v="1899-12-30T15:53:21"/>
    <n v="1033"/>
    <x v="4"/>
    <x v="1"/>
    <n v="1032"/>
    <m/>
    <s v="Casa/Tanger"/>
    <n v="75.84"/>
    <x v="13"/>
    <s v="N2"/>
    <x v="0"/>
    <s v="Etat H.O : Complete entre  315 et 314_x000a_* qualité /niveau de signal : dl rx-qual=0 , dl rx level =-58 dbm_x000a_,Requête de déconnexion a été envoyée par le RBC"/>
    <m/>
    <x v="0"/>
    <s v="chaine antennaire dégradé, besoin de vérification de la chaine"/>
    <s v=" H.O Complete entre  315 et 314"/>
    <s v="dl Rxqual=0"/>
    <s v="dl rx level= -58 dbm"/>
    <s v="OK"/>
    <s v="OK"/>
    <s v="Mauvais"/>
    <s v="retransmission des trames HDLC*5"/>
    <m/>
    <s v="HAMZAOUI Youssef"/>
    <m/>
    <m/>
    <m/>
    <m/>
    <m/>
    <m/>
    <m/>
  </r>
  <r>
    <n v="514"/>
    <x v="0"/>
    <x v="197"/>
    <d v="1899-12-30T16:12:34"/>
    <n v="1033"/>
    <x v="4"/>
    <x v="1"/>
    <n v="1032"/>
    <m/>
    <s v="Casa/Tanger"/>
    <n v="7.3209999999999997"/>
    <x v="2"/>
    <s v="N2"/>
    <x v="1"/>
    <s v="Etat H.O : Non Finalisé entre  202 et 203 _x000a_* qualité /niveau de signal : dl rx-qual=6 , dl rx level =-50 dbm_x000a_,Requête de déconnexion a été envoyée par le RBC"/>
    <m/>
    <x v="0"/>
    <s v="En attente de mise en place des tiroires filtrés "/>
    <s v=" H.O Non Finalisé entre  202 et 203 "/>
    <s v="dl Rxqual=6"/>
    <s v="dl rx level= -50 dbm"/>
    <s v="NOK"/>
    <s v="NOK"/>
    <s v="Mauvais"/>
    <s v="retransmission des trames HDLC*5"/>
    <m/>
    <s v="HAMZAOUI Youssef"/>
    <m/>
    <m/>
    <m/>
    <m/>
    <m/>
    <m/>
    <m/>
  </r>
  <r>
    <n v="515"/>
    <x v="0"/>
    <x v="197"/>
    <d v="1899-12-30T17:42:32"/>
    <n v="2045"/>
    <x v="5"/>
    <x v="0"/>
    <n v="1024"/>
    <m/>
    <s v="Tanger/Casa"/>
    <n v="172.83600000000001"/>
    <x v="27"/>
    <s v="N2"/>
    <x v="0"/>
    <s v="Etat H.O : Complete entre  228 et 229_x000a_* qualité /niveau de signal : dl rx-qual=0 , dl rx level =-56 dbm_x000a_,Requête de déconnexion a été envoyée par le RBC"/>
    <m/>
    <x v="0"/>
    <s v="chaine antennaire dégradé, besoin de vérification de la chaine"/>
    <s v=" H.O Complete entre  228 et 229"/>
    <s v="dl Rxqual=0"/>
    <s v="dl rx level= -56 dbm"/>
    <s v="OK"/>
    <s v="OK"/>
    <s v="Mauvais"/>
    <s v="retransmission des trames HDLC*5"/>
    <m/>
    <s v="HAMZAOUI Youssef"/>
    <m/>
    <m/>
    <m/>
    <m/>
    <m/>
    <m/>
    <m/>
  </r>
  <r>
    <n v="516"/>
    <x v="0"/>
    <x v="198"/>
    <d v="1899-12-30T08:34:14"/>
    <n v="1005"/>
    <x v="7"/>
    <x v="1"/>
    <n v="1040"/>
    <m/>
    <s v="Casa/Tanger"/>
    <n v="155.96199999999999"/>
    <x v="18"/>
    <s v="N2"/>
    <x v="0"/>
    <s v="Etat H.O : Complete entre  328 et 327_x000a_* qualité /niveau de signal : dl rx-qual=0 , dl rx level =-67 dbm_x000a_,Requête de déconnexion a été envoyée par le RBC"/>
    <m/>
    <x v="0"/>
    <s v="chaine antennaire dégradé, besoin de vérification de la chaine"/>
    <s v=" H.O Complete entre  328 et 327"/>
    <s v="dl Rxqual=0"/>
    <s v="dl rx level= -67 dbm"/>
    <s v="OK"/>
    <s v="OK"/>
    <s v="Mauvais"/>
    <s v="retransmission des trames HDLC*5"/>
    <m/>
    <s v="ELGUEZZAR Anas"/>
    <m/>
    <m/>
    <m/>
    <m/>
    <m/>
    <m/>
    <m/>
  </r>
  <r>
    <n v="517"/>
    <x v="0"/>
    <x v="198"/>
    <d v="1899-12-30T15:05:08"/>
    <n v="2037"/>
    <x v="0"/>
    <x v="0"/>
    <n v="1036"/>
    <m/>
    <s v="Tanger/Casa"/>
    <n v="6.13"/>
    <x v="2"/>
    <s v="N2"/>
    <x v="1"/>
    <s v="Etat H.O : Non finalisé entre  202 et 301_x000a_* qualité /niveau de signal : dl rx-qual=7 , dl rx level =-56 dbm_x000a_,Requête de déconnexion a été envoyée par le Bord"/>
    <m/>
    <x v="0"/>
    <s v="En attente de mise en place des tiroires filtrés "/>
    <s v=" H.O Non Finalisé entre  202 et 301 "/>
    <s v="dl Rxqual=7"/>
    <s v="dl rx level= -56 dbm"/>
    <s v="OK"/>
    <s v="OK"/>
    <s v="Mauvais"/>
    <s v="pas de retransmission des trames HDLC"/>
    <m/>
    <s v="HAMZAOUI Youssef"/>
    <m/>
    <m/>
    <m/>
    <m/>
    <m/>
    <m/>
    <m/>
  </r>
  <r>
    <n v="518"/>
    <x v="0"/>
    <x v="198"/>
    <d v="1899-12-30T17:29:29"/>
    <n v="2045"/>
    <x v="4"/>
    <x v="0"/>
    <n v="7208"/>
    <m/>
    <s v="Tanger/Casa"/>
    <n v="108.206"/>
    <x v="1"/>
    <s v="N2"/>
    <x v="1"/>
    <s v="Etat H.O : Non finalisé entre  219 et 320_x000a_* qualité /niveau de signal : dl rx-qual=7 , dl rx level =-71 dbm_x000a_,Requête de déconnexion a été envoyée par le Bord"/>
    <m/>
    <x v="2"/>
    <s v="chaine antennaire dégradé, besoin de vérification de la chaine /Attente de vérificationPar l'équipe SOR"/>
    <s v=" H.O Non Finalisé entre  219 et 320"/>
    <s v="dl Rxqual=7"/>
    <s v="dl rx level= -56 dbm"/>
    <s v="OK"/>
    <s v="OK"/>
    <s v="Mauvais"/>
    <s v="pas de retransmission des trames HDLC"/>
    <m/>
    <s v="HAMZAOUI Youssef"/>
    <m/>
    <m/>
    <m/>
    <m/>
    <m/>
    <m/>
    <m/>
  </r>
  <r>
    <n v="519"/>
    <x v="0"/>
    <x v="198"/>
    <d v="1899-12-30T19:46:15"/>
    <n v="1050"/>
    <x v="0"/>
    <x v="1"/>
    <n v="1045"/>
    <m/>
    <s v="Casa/Tanger"/>
    <n v="93.757999999999996"/>
    <x v="8"/>
    <s v="N2"/>
    <x v="1"/>
    <s v="Etat H.O : Non finalisé entre  318 et 317_x000a_* qualité /niveau de signal : dl rx-qual=0 , dl rx level =-48 dbm_x000a_,Requête de déconnexion a été envoyée par le RBC"/>
    <m/>
    <x v="2"/>
    <s v="chaine antennaire dégradé, besoin de vérification de la chaine /Zone sous surveillance par équipe NOC GSMR"/>
    <s v=" H.O Complete entre  318 et 317"/>
    <s v="dl Rxqual=0"/>
    <s v="dl rx level= -48 dbm"/>
    <s v="OK"/>
    <s v="OK"/>
    <s v="Mauvais"/>
    <s v="retransmission des trames HDLC*5"/>
    <m/>
    <s v="HAMZAOUI Youssef"/>
    <m/>
    <m/>
    <m/>
    <m/>
    <m/>
    <m/>
    <m/>
  </r>
  <r>
    <n v="520"/>
    <x v="0"/>
    <x v="199"/>
    <d v="1899-12-30T04:35:44"/>
    <n v="2082"/>
    <x v="9"/>
    <x v="1"/>
    <n v="1052"/>
    <m/>
    <s v="Casa/Tanger"/>
    <n v="79.281999999999996"/>
    <x v="11"/>
    <s v="N2"/>
    <x v="0"/>
    <s v="Etat H.O : Complete entre  214 et 215_x000a_* qualité /niveau de signal : dl rx-qual=0 , dl rx level =-48 dbm_x000a_,Requête de déconnexion a été envoyée par le RBC"/>
    <m/>
    <x v="0"/>
    <s v="En attente de mise en place des tiroires filtrés "/>
    <s v=" H.O Complete entre  214 et 215"/>
    <s v="dl Rxqual=0"/>
    <s v="dl rx level= -48 dbm"/>
    <s v="OK"/>
    <s v="OK"/>
    <s v="Mauvais"/>
    <s v="retransmission des trames HDLC*5"/>
    <m/>
    <s v="SGHAYER Achraf"/>
    <m/>
    <m/>
    <m/>
    <m/>
    <m/>
    <m/>
    <m/>
  </r>
  <r>
    <n v="521"/>
    <x v="0"/>
    <x v="199"/>
    <d v="1899-12-30T07:29:19"/>
    <n v="1001"/>
    <x v="8"/>
    <x v="1"/>
    <n v="1022"/>
    <m/>
    <s v="Casa/Tanger"/>
    <n v="177.85"/>
    <x v="4"/>
    <s v="N2"/>
    <x v="0"/>
    <s v="Etat H.O : Complete entre  231 et 229 avec saut de cellule x30_x000a_* qualité /niveau de signal : dl rx-qual=3, dl rx level = -61 dbm au moment du déconnexion et dl rx-qual=7, dl rx level = -63 dbm au moment du HO_x000a_,Requête de déconnexion a été envoyée par le RBC"/>
    <m/>
    <x v="1"/>
    <s v="Attente resultat d'analyse spectrale"/>
    <s v=" H.O Complete entre  231 et 229 avec saut de cellule x30"/>
    <s v="dl Rxqual=3"/>
    <s v="dl rx level= -61 dbm"/>
    <s v="OK"/>
    <s v="OK"/>
    <s v="Mauvais"/>
    <s v="retransmission des trames HDLC*5"/>
    <m/>
    <s v="SGHAYER Achraf"/>
    <m/>
    <m/>
    <m/>
    <m/>
    <m/>
    <m/>
    <m/>
  </r>
  <r>
    <n v="522"/>
    <x v="0"/>
    <x v="199"/>
    <d v="1899-12-30T19:34:22"/>
    <n v="1049"/>
    <x v="4"/>
    <x v="1"/>
    <n v="1033"/>
    <m/>
    <s v="Casa/Tanger"/>
    <n v="177.85"/>
    <x v="4"/>
    <s v="N2"/>
    <x v="0"/>
    <s v="Etat H.O : Complete entre  231 et 230 (Ping pong entre cell 30 et cell 31 )_x000a_* qualité /niveau de signal : dl rx-qual=4 , dl rx level =-60 dbm_x000a_,Requête de déconnexion a été envoyée par le RBC"/>
    <m/>
    <x v="1"/>
    <s v="Attente resultat d'analyse spectrale"/>
    <s v=" H.O Complete entre  231 et 230"/>
    <s v="dl Rxqual=4"/>
    <s v="dl rx level= -60 dbm"/>
    <s v="OK"/>
    <s v="OK"/>
    <s v="Mauvais"/>
    <s v="retransmission des trames HDLC*5"/>
    <m/>
    <s v="HAMZAOUI Youssef"/>
    <m/>
    <m/>
    <m/>
    <m/>
    <m/>
    <m/>
    <m/>
  </r>
  <r>
    <n v="523"/>
    <x v="0"/>
    <x v="199"/>
    <d v="1899-12-30T22:31:55"/>
    <n v="1062"/>
    <x v="3"/>
    <x v="1"/>
    <n v="1007"/>
    <m/>
    <s v="Casa/Tanger"/>
    <n v="177.85"/>
    <x v="4"/>
    <s v="N2"/>
    <x v="0"/>
    <s v="Etat H.O : Complete entre  330 et 231 _x000a_* qualité /niveau de signal : dl rx-qual=7 , dl rx level =-72 dbm_x000a_,Requête de déconnexion a été envoyée par le RBC"/>
    <m/>
    <x v="1"/>
    <s v="Attente resultat d'analyse spectrale"/>
    <s v=" H.O Complete entre  330 et 231"/>
    <s v="dl Rxqual=7"/>
    <s v="dl rx level= -73 dbm"/>
    <s v="OK"/>
    <s v="OK"/>
    <s v="Mauvais"/>
    <s v="retransmission des trames HDLC*5"/>
    <m/>
    <s v="Fahd OUSSALH"/>
    <m/>
    <m/>
    <m/>
    <m/>
    <m/>
    <m/>
    <m/>
  </r>
  <r>
    <n v="524"/>
    <x v="0"/>
    <x v="200"/>
    <d v="1899-12-30T08:28:00"/>
    <n v="2009"/>
    <x v="10"/>
    <x v="0"/>
    <n v="7198"/>
    <m/>
    <s v="Tanger/Casa"/>
    <n v="109.495"/>
    <x v="1"/>
    <s v="N2"/>
    <x v="0"/>
    <s v="Etat H.O : Complete entre  219 et 220 _x000a_* qualité /niveau de signal : dl rx-qual=0 , dl rx level =-55 dbm_x000a_,Requête de déconnexion a été envoyée par le RBC"/>
    <m/>
    <x v="0"/>
    <s v="chaine antennaire dégradé"/>
    <s v=" H.O Complete entre  219 et 220"/>
    <s v="dl Rxqual=0"/>
    <s v="dl rx level= -56 dbm"/>
    <s v="OK"/>
    <s v="OK"/>
    <s v="Mauvais"/>
    <s v="retransmission des trames HDLC*5"/>
    <m/>
    <s v="HAMZAOUI Youssef"/>
    <m/>
    <m/>
    <m/>
    <m/>
    <m/>
    <m/>
    <m/>
  </r>
  <r>
    <n v="525"/>
    <x v="0"/>
    <x v="200"/>
    <d v="1899-12-30T17:26:11"/>
    <n v="2045"/>
    <x v="1"/>
    <x v="0"/>
    <n v="1028"/>
    <m/>
    <s v="Tanger/Casa"/>
    <n v="93.757999999999996"/>
    <x v="8"/>
    <s v="N2"/>
    <x v="1"/>
    <s v="Etat H.O : Non finalisé entre  217 et 218_x000a_* qualité /niveau de signal : dl rx-qual=2 , dl rx level =-83 dbm_x000a_,Requête de déconnexion a été envoyée par le RBC"/>
    <m/>
    <x v="2"/>
    <s v="chaine antennaire dégradé /Zone sous surveillance par équipe NOC GSMR"/>
    <s v=" H.O Complete entre  217 et 218"/>
    <s v="dl Rxqual=2"/>
    <s v="dl rx level= -83 dbm"/>
    <s v="NOK"/>
    <s v="NOK"/>
    <s v="Mauvais"/>
    <s v="retransmission des trames HDLC*5"/>
    <m/>
    <s v="ISMALI ALAOUI Hamza"/>
    <m/>
    <m/>
    <m/>
    <m/>
    <m/>
    <m/>
    <m/>
  </r>
  <r>
    <n v="526"/>
    <x v="0"/>
    <x v="201"/>
    <d v="1899-12-30T09:05:51"/>
    <n v="1005"/>
    <x v="10"/>
    <x v="1"/>
    <n v="1060"/>
    <m/>
    <s v="Casa/Tanger"/>
    <n v="7.3209999999999997"/>
    <x v="2"/>
    <s v="N2"/>
    <x v="0"/>
    <s v="Etat H.O : HO non finalisé entre 202 et 303 _x000a_* qualité /niveau de signal : dl rx-qual=7, dl rx level = -52 dbm_x000a_,Requête de déconnexion a été envoyée par le RBC"/>
    <m/>
    <x v="0"/>
    <s v="En attente de mise en place des tiroires filtrés "/>
    <s v="HO non finalisé entre 202 et 303 "/>
    <s v="dl Rxqual=7"/>
    <s v="dl rx level= -52 dbm"/>
    <s v="NOK"/>
    <s v="OK"/>
    <s v="Mauvais"/>
    <s v="retransmission des trames HDLC*5"/>
    <m/>
    <s v="Saad Elhabib"/>
    <m/>
    <m/>
    <m/>
    <m/>
    <m/>
    <m/>
    <m/>
  </r>
  <r>
    <n v="527"/>
    <x v="0"/>
    <x v="201"/>
    <d v="1899-12-30T10:29:01"/>
    <n v="1013"/>
    <x v="4"/>
    <x v="1"/>
    <n v="1032"/>
    <m/>
    <s v="Casa/Tanger"/>
    <n v="182.86500000000001"/>
    <x v="31"/>
    <s v="N2"/>
    <x v="1"/>
    <s v="Etat H.O : HO finalisé entre 332 et 331_x000a_* qualité /niveau de signal : dl rx-qual=0, dl rx level = -48 dbm_x000a_,Requête de déconnexion a été envoyée par le Bord"/>
    <m/>
    <x v="0"/>
    <s v="chaine antennaire dégradé"/>
    <s v="HO finalisé entre 332 et 331"/>
    <s v="dl Rxqual=0"/>
    <s v="dl rx level= -48 dbm"/>
    <s v="OK"/>
    <s v="OK"/>
    <s v="Mauvais"/>
    <s v="pas de retransmission des trames HDLC"/>
    <m/>
    <s v="Saad Elhabib"/>
    <m/>
    <m/>
    <m/>
    <m/>
    <m/>
    <m/>
    <m/>
  </r>
  <r>
    <n v="528"/>
    <x v="0"/>
    <x v="201"/>
    <d v="1899-12-30T16:07:43"/>
    <n v="2041"/>
    <x v="0"/>
    <x v="0"/>
    <n v="1032"/>
    <m/>
    <s v="Tanger/Casa"/>
    <n v="7.3209999999999997"/>
    <x v="2"/>
    <s v="N2"/>
    <x v="1"/>
    <s v="Etat H.O : HO non finalisé entre 202 et 203_x000a_* qualité /niveau de signal : dl rx-qual=7, dl rx level = -55 dbm_x000a_,Requête de déconnexion a été envoyée par le RBC"/>
    <m/>
    <x v="0"/>
    <s v="En attente de mise en place des tiroires filtrés "/>
    <s v="HO non finalisé entre 202 et 203"/>
    <s v="dl Rxqual=7"/>
    <s v="dl rx level= -55 dbm"/>
    <s v="NOK"/>
    <s v="OK"/>
    <s v="Mauvais"/>
    <s v="retransmission des trames HDLC*5"/>
    <m/>
    <s v="ISMALI ALAOUI Hamza"/>
    <m/>
    <m/>
    <m/>
    <m/>
    <m/>
    <m/>
    <m/>
  </r>
  <r>
    <n v="529"/>
    <x v="0"/>
    <x v="201"/>
    <d v="1899-12-30T20:01:03"/>
    <n v="1050"/>
    <x v="3"/>
    <x v="1"/>
    <n v="1008"/>
    <m/>
    <s v="Casa/Tanger"/>
    <n v="25.91"/>
    <x v="7"/>
    <s v="N2"/>
    <x v="1"/>
    <s v="Etat H.O : HO non finalisé entre 207 et 308 _x000a_* qualité /niveau de signal : dl rx-qual=7, dl rx level = -92 dbm_x000a_,Requête de déconnexion a été envoyée par le Bord "/>
    <m/>
    <x v="0"/>
    <s v="chaine antennaire dégradé"/>
    <s v="HO non finalisé entre 207 et 308 "/>
    <s v="dl Rxqual=7"/>
    <s v="dl rx level= -92 dbm"/>
    <s v="OK"/>
    <s v="NOK"/>
    <s v="Mauvais"/>
    <s v="pas de retransmission des trames HDLC"/>
    <m/>
    <s v="HARIRI Bahaeddine"/>
    <m/>
    <m/>
    <m/>
    <m/>
    <m/>
    <m/>
    <m/>
  </r>
  <r>
    <n v="530"/>
    <x v="0"/>
    <x v="201"/>
    <d v="1899-12-30T20:05:21"/>
    <n v="2057"/>
    <x v="2"/>
    <x v="0"/>
    <n v="1008"/>
    <m/>
    <s v="Tanger/Casa"/>
    <n v="6.13"/>
    <x v="2"/>
    <s v="N2"/>
    <x v="0"/>
    <s v="Etat H.O : HO non finalisé entre 202 et 303 _x000a_* qualité /niveau de signal : dl rx-qual=6, dl rx level = -49 dbm_x000a_,Requête de déconnexion a été envoyée par le RBC"/>
    <m/>
    <x v="0"/>
    <s v="En attente de mise en place des tiroires filtrés "/>
    <s v="HO non finalisé entre 202 et 303 "/>
    <s v="dl Rxqual=6"/>
    <s v="dl rx level= -49 dbm"/>
    <s v="NOK"/>
    <s v="OK"/>
    <s v="Mauvais"/>
    <s v="retransmission des trames HDLC*5"/>
    <m/>
    <s v="HARIRI Bahaeddine"/>
    <m/>
    <m/>
    <m/>
    <m/>
    <m/>
    <m/>
    <m/>
  </r>
  <r>
    <n v="531"/>
    <x v="0"/>
    <x v="201"/>
    <d v="1899-12-30T20:33:18"/>
    <n v="1054"/>
    <x v="0"/>
    <x v="0"/>
    <n v="1008"/>
    <m/>
    <s v="Tanger/Casa"/>
    <n v="177.85"/>
    <x v="4"/>
    <s v="N2"/>
    <x v="0"/>
    <s v="Etat H.O : HO non finalisé entre 231 et 229 _x000a_* qualité /niveau de signal : dl rx-qual=7, dl rx level = -69 dbm_x000a_,Requête de déconnexion a été envoyée par le RBC"/>
    <m/>
    <x v="2"/>
    <s v="chaine antennaire dégradé /Attente demarrage chantier optimisation Par l'équipe SOR"/>
    <s v="HO non finalisé entre 331 et 229"/>
    <s v="dl Rxqual=7"/>
    <s v="dl rx level= -69 dbm"/>
    <s v="OK"/>
    <s v="OK"/>
    <s v="Mauvais"/>
    <s v="retransmission des trames HDLC*5"/>
    <m/>
    <s v="HARIRI Bahaeddine"/>
    <m/>
    <m/>
    <m/>
    <m/>
    <m/>
    <m/>
    <m/>
  </r>
  <r>
    <n v="532"/>
    <x v="0"/>
    <x v="202"/>
    <d v="1899-12-30T00:04:23"/>
    <n v="10092"/>
    <x v="10"/>
    <x v="1"/>
    <n v="1061"/>
    <m/>
    <s v="Casa/Tanger"/>
    <n v="10.125"/>
    <x v="22"/>
    <s v="N2"/>
    <x v="1"/>
    <s v="Etat H.O : Complete entre 304 et 303 _x000a_* qualité /niveau de signal : dl rx-qual=0 , dl rx level =-56 dbm_x000a_,Requête de déconnexion a été envoyée par le RBC_x000a_*les condition radio sont bonnes _x000a_*AUC non acquitté par le bord avant la déconnexion ce qui a généré l’envoi d’un AUI depuis le RBC après la reconnexion suivi d’un TRIP  _x000a_"/>
    <m/>
    <x v="7"/>
    <s v="En attente de pousser les analyses coté RBC/Zone sous surveillance par équipe NOC GSMR"/>
    <s v="HO finalisé entre 304 et 303"/>
    <s v="dl Rxqual=0"/>
    <s v="dl rx level= -56 dbm"/>
    <s v="OK"/>
    <s v="OK"/>
    <s v="Mauvais"/>
    <s v="pas de retransmission des trames HDLC"/>
    <m/>
    <s v="HARIRI Bahaeddine"/>
    <m/>
    <m/>
    <m/>
    <m/>
    <m/>
    <m/>
    <m/>
  </r>
  <r>
    <n v="533"/>
    <x v="0"/>
    <x v="202"/>
    <d v="1899-12-30T06:57:33"/>
    <n v="1081"/>
    <x v="1"/>
    <x v="1"/>
    <n v="3063"/>
    <m/>
    <s v="Casa/Tanger"/>
    <n v="32.625999999999998"/>
    <x v="25"/>
    <s v="N2"/>
    <x v="1"/>
    <s v="* Etat H.O : HO non finalisé entre 307 et 306_x000a_* qualité /niveau de signal : dl rx-qual=0, dl rx level = -62 dbm_x000a_* Retransmission des trames HDLC*5 _x000a_* Communication SOL-Bord : OK_x000a_* Voisinage: NOK_x000a_* temps perdu : 36s"/>
    <m/>
    <x v="0"/>
    <s v="En attente de pousser les analyses coté Bord"/>
    <s v="HO non finalisé entre 307 et 306"/>
    <s v="dl Rxqual=0"/>
    <s v="dl rx level= -62 dbm"/>
    <s v="NOK"/>
    <s v="OK"/>
    <s v="Mauvais"/>
    <s v="retransmission des trames HDLC*5"/>
    <m/>
    <s v="Saad Elhabib"/>
    <m/>
    <m/>
    <m/>
    <m/>
    <m/>
    <m/>
    <m/>
  </r>
  <r>
    <n v="534"/>
    <x v="0"/>
    <x v="202"/>
    <d v="1899-12-30T16:26:14"/>
    <n v="2041"/>
    <x v="0"/>
    <x v="0"/>
    <n v="1037"/>
    <m/>
    <s v="Tanger/Casa"/>
    <n v="91.364999999999995"/>
    <x v="12"/>
    <s v="N2"/>
    <x v="0"/>
    <s v="Etat H.O : Complete entre  216 et 217_x000a_* qualité /niveau de signal : dl rx-qual=0 , dl rx level =-48 dbm_x000a_,Requête de déconnexion a été envoyée par le RBC"/>
    <m/>
    <x v="0"/>
    <s v="En attente de mise en place des tiroires filtrés"/>
    <s v="HO Complete entre 216 et 217"/>
    <s v="dl Rxqual=0"/>
    <s v="dl rx level= -48 dbm"/>
    <s v="OK"/>
    <s v="OK"/>
    <s v="Mauvais"/>
    <s v="retransmission des trames HDLC*5"/>
    <m/>
    <s v="MAROUANI Otmane"/>
    <m/>
    <m/>
    <m/>
    <m/>
    <m/>
    <m/>
    <m/>
  </r>
  <r>
    <n v="535"/>
    <x v="0"/>
    <x v="202"/>
    <d v="1899-12-30T21:04:58"/>
    <n v="2061"/>
    <x v="0"/>
    <x v="0"/>
    <n v="7208"/>
    <m/>
    <s v="Tanger/Casa"/>
    <n v="6.13"/>
    <x v="2"/>
    <s v="N2"/>
    <x v="1"/>
    <s v="Etat H.O : Non finalisé entre  301 et 202_x000a_* qualité /niveau de signal : dl rx-qual=7 , dl rx level =-53 dbm_x000a_,Requête de déconnexion a été envoyée par le RBC"/>
    <m/>
    <x v="0"/>
    <s v="En attente de mise en place des tiroires filtrés "/>
    <s v="HO non finalisé entre 307 et 306"/>
    <s v="dl Rxqual=7"/>
    <s v="dl rx level= -53 dbm"/>
    <s v="NOK"/>
    <s v="OK"/>
    <s v="Mauvais"/>
    <s v="retransmission des trames HDLC*5"/>
    <m/>
    <s v="HARIRI Bahaeddine"/>
    <m/>
    <m/>
    <m/>
    <m/>
    <m/>
    <m/>
    <m/>
  </r>
  <r>
    <n v="536"/>
    <x v="0"/>
    <x v="202"/>
    <d v="1899-12-30T22:52:45"/>
    <n v="1062"/>
    <x v="5"/>
    <x v="1"/>
    <n v="1026"/>
    <m/>
    <s v="Casa/Tanger"/>
    <n v="57.661999999999999"/>
    <x v="23"/>
    <s v="N2"/>
    <x v="1"/>
    <s v="Etat H.O : Complete entre  311 et 210_x000a_* qualité /niveau de signal : dl rx-qual=0 , dl rx level =-49 dbm_x000a_,Requête de déconnexion a été envoyée par le RBC"/>
    <m/>
    <x v="0"/>
    <s v="En attente de pousser les analyses coté Bord"/>
    <s v="HO Complet entre 311 et 210"/>
    <s v="dl Rxqual=0"/>
    <s v="dl rx level= -49 dbm"/>
    <s v="OK"/>
    <s v="OK"/>
    <s v="Mauvais"/>
    <s v="retransmission des trames HDLC*5"/>
    <m/>
    <s v="HARIRI Bahaeddine"/>
    <m/>
    <m/>
    <m/>
    <m/>
    <m/>
    <m/>
    <m/>
  </r>
  <r>
    <n v="537"/>
    <x v="0"/>
    <x v="203"/>
    <d v="1899-12-30T07:34:37"/>
    <n v="10076"/>
    <x v="8"/>
    <x v="1"/>
    <n v="1022"/>
    <m/>
    <s v="Casa/Tanger"/>
    <n v="78.155000000000001"/>
    <x v="11"/>
    <s v="N2"/>
    <x v="0"/>
    <s v="Etat H.O : HO complet entre 315 et 314_x000a_* qualité /niveau de signal : dl rx-qual=0, dl rx level = -48 dbm_x000a_,Requête de déconnexion a été envoyée par le RBC"/>
    <m/>
    <x v="3"/>
    <s v="En attente de pousser les analyses coté RBC"/>
    <s v="HO complet entre 315 et 314"/>
    <s v="dl Rxqual=0"/>
    <s v="dl rx level= -48 dbm"/>
    <s v="OK"/>
    <s v="OK"/>
    <s v="Mauvais"/>
    <s v="pas de retransmission des trames HDLC"/>
    <m/>
    <s v="HARIRI Bahaeddine"/>
    <m/>
    <m/>
    <m/>
    <m/>
    <m/>
    <m/>
    <m/>
  </r>
  <r>
    <n v="538"/>
    <x v="0"/>
    <x v="203"/>
    <d v="1899-12-30T13:29:33"/>
    <n v="1025"/>
    <x v="8"/>
    <x v="1"/>
    <n v="1022"/>
    <m/>
    <s v="Casa/Tanger"/>
    <n v="174.07400000000001"/>
    <x v="27"/>
    <s v="N2"/>
    <x v="0"/>
    <s v="* Etat H.O : HO non finalisé entre 230 et 329_x000a_* qualité /niveau de signal : dl rx-qual=0, dl rx level = -59 dbm_x000a_,Requête de déconnexion a été envoyée par le Bord"/>
    <m/>
    <x v="0"/>
    <s v="En attente de pousser les analyses coté Bord"/>
    <s v="HO non finalisé entre 230 et 329"/>
    <s v="dl Rxqual=0"/>
    <s v="dl rx level= -59 dbm"/>
    <s v="NOK"/>
    <s v="OK"/>
    <s v="Mauvais"/>
    <s v="pas de retransmission des trames HDLC"/>
    <m/>
    <s v="Fahd OUSSALH"/>
    <m/>
    <m/>
    <m/>
    <m/>
    <m/>
    <m/>
    <m/>
  </r>
  <r>
    <n v="539"/>
    <x v="0"/>
    <x v="203"/>
    <d v="1899-12-30T14:04:39"/>
    <n v="2033"/>
    <x v="3"/>
    <x v="0"/>
    <n v="1046"/>
    <m/>
    <s v="Tanger/Casa"/>
    <n v="6.13"/>
    <x v="2"/>
    <s v="N2"/>
    <x v="1"/>
    <s v="* Etat H.O : HO non finalisé entre 202 et 303_x000a_* qualité /niveau de signal : dl rx-qual=0, dl rx level = -53 dbm_x000a_,Requête de déconnexion a été envoyée par le Bord"/>
    <m/>
    <x v="0"/>
    <s v="En attente de mise en place des tiroires filtrés "/>
    <s v="HO non finalisé entre 202 et 303"/>
    <s v="dl Rxqual=5"/>
    <s v="dl rx level= -53 dbm"/>
    <s v="NOK"/>
    <s v="OK"/>
    <s v="Mauvais"/>
    <s v="retransmission des trames HDLC*5"/>
    <m/>
    <s v="Fahd OUSSALH"/>
    <m/>
    <m/>
    <m/>
    <m/>
    <m/>
    <m/>
    <m/>
  </r>
  <r>
    <n v="540"/>
    <x v="0"/>
    <x v="203"/>
    <d v="1899-12-30T20:04:27"/>
    <n v="2057"/>
    <x v="3"/>
    <x v="0"/>
    <n v="1046"/>
    <m/>
    <s v="Tanger/Casa"/>
    <n v="6.13"/>
    <x v="2"/>
    <s v="N2"/>
    <x v="0"/>
    <s v="* Etat H.O : HO non finalisé entre 202 et 303_x000a_* qualité /niveau de signal : dl rx-qual=7, dl rx level = -55 dbm_x000a_,Requête de déconnexion a été envoyée par le RBC"/>
    <m/>
    <x v="0"/>
    <s v="En attente de mise en place des tiroires filtrés "/>
    <s v="HO non finalisé entre 202 et 303"/>
    <s v="dl Rxqual=7"/>
    <s v="dl rx level= -55 dbm"/>
    <s v="OK"/>
    <s v="OK"/>
    <s v="Mauvais"/>
    <s v="retransmission des trames HDLC*5"/>
    <m/>
    <s v="Fahd OUSSALH"/>
    <m/>
    <m/>
    <m/>
    <m/>
    <m/>
    <m/>
    <m/>
  </r>
  <r>
    <n v="541"/>
    <x v="0"/>
    <x v="204"/>
    <d v="1899-12-30T09:05:09"/>
    <n v="1005"/>
    <x v="5"/>
    <x v="1"/>
    <n v="1027"/>
    <m/>
    <s v="Casa/Tanger"/>
    <n v="7.3209999999999997"/>
    <x v="2"/>
    <s v="N2"/>
    <x v="1"/>
    <s v="Etat H.O : HO complet entre 202 et 303 avec downlink quality _x000a_* qualité /niveau de signal : dl rx-qual=7, dl rx level = -75 dbm_x000a_,Requête de déconnexion a été envoyée par le RBC"/>
    <m/>
    <x v="0"/>
    <s v="En attente de mise en place des tiroires filtrés "/>
    <s v="HO Complet entre 202 et 303"/>
    <s v="dl Rxqual=7"/>
    <s v="dl rx level= -75 dbm"/>
    <s v="OK"/>
    <s v="OK"/>
    <s v="Mauvais"/>
    <s v="retransmission des trames HDLC*5"/>
    <m/>
    <s v="ELHAJOUIA Achraf"/>
    <m/>
    <m/>
    <m/>
    <m/>
    <m/>
    <m/>
    <m/>
  </r>
  <r>
    <n v="542"/>
    <x v="0"/>
    <x v="204"/>
    <d v="1899-12-30T11:19:54"/>
    <n v="2021"/>
    <x v="11"/>
    <x v="0"/>
    <n v="1049"/>
    <m/>
    <s v="Tanger/Casa"/>
    <n v="62.072000000000003"/>
    <x v="21"/>
    <s v="N2"/>
    <x v="0"/>
    <s v="Etat H.O : HO complet entre 210et 211  _x000a_* qualité /niveau de signal : dl rx-qual=0, dl rx level = -57 dbm_x000a_,Requête de déconnexion a été envoyée par le RBC"/>
    <m/>
    <x v="0"/>
    <s v="En attente de pousser les analyses coté Bord"/>
    <s v="HO Complet entre 210 et 211"/>
    <s v="dl Rxqual=0"/>
    <s v="dl rx level= -57 dbm"/>
    <s v="OK"/>
    <s v="OK"/>
    <s v="Mauvais"/>
    <s v="retransmission des trames HDLC*5"/>
    <m/>
    <s v="ELHAJOUIA Achraf"/>
    <m/>
    <m/>
    <m/>
    <m/>
    <m/>
    <m/>
    <m/>
  </r>
  <r>
    <n v="543"/>
    <x v="0"/>
    <x v="204"/>
    <d v="1899-12-30T12:39:43"/>
    <n v="1021"/>
    <x v="3"/>
    <x v="1"/>
    <n v="1008"/>
    <m/>
    <s v="Casa/Tanger"/>
    <n v="134.30000000000001"/>
    <x v="10"/>
    <s v="N2"/>
    <x v="0"/>
    <s v="Etat H.O : HO non finalisé entre 324 et 323  _x000a_* qualité /niveau de signal : dl rx-qual=4, dl rx level = -78 dbm_x000a_,Requête de déconnexion a été envoyée par le RBC"/>
    <m/>
    <x v="0"/>
    <s v="chaine antennaire dégradé /Zone sous surveillance par équipe NOC GSMR"/>
    <s v="HO non finalisé entre 324 et 323"/>
    <s v="dl Rxqual=4"/>
    <s v="dl rx level= -78 dbm"/>
    <s v="NOK"/>
    <s v="OK"/>
    <s v="Mauvais"/>
    <s v="retransmission des trames HDLC*5"/>
    <m/>
    <s v="ELHAJOUIA Achraf"/>
    <m/>
    <m/>
    <m/>
    <m/>
    <m/>
    <m/>
    <m/>
  </r>
  <r>
    <n v="544"/>
    <x v="0"/>
    <x v="204"/>
    <d v="1899-12-30T17:35:40"/>
    <n v="2045"/>
    <x v="11"/>
    <x v="0"/>
    <n v="1049"/>
    <m/>
    <s v="Tanger/Casa"/>
    <n v="138.30199999999999"/>
    <x v="26"/>
    <s v="N2"/>
    <x v="0"/>
    <s v="Etat H.O : HO compet entre 223 et 224  _x000a_* qualité /niveau de signal : dl rx-qual=0, dl rx level = -72 dbm_x000a_,Requête de déconnexion a été envoyée par le RBC"/>
    <m/>
    <x v="0"/>
    <s v="chaine antennaire dégradé"/>
    <s v="HO Complet entre 223 et 224"/>
    <s v="dl Rxqual=0"/>
    <s v="dl rx level= -72 dbm"/>
    <s v="OK"/>
    <s v="OK"/>
    <s v="Mauvais"/>
    <s v="retransmission des trames HDLC*5"/>
    <m/>
    <s v="Fahd OUSSALH"/>
    <m/>
    <m/>
    <m/>
    <m/>
    <m/>
    <m/>
    <m/>
  </r>
  <r>
    <n v="545"/>
    <x v="0"/>
    <x v="204"/>
    <d v="1899-12-30T19:26:54"/>
    <n v="1049"/>
    <x v="9"/>
    <x v="1"/>
    <n v="1048"/>
    <m/>
    <s v="Casa/Tanger"/>
    <n v="182.86500000000001"/>
    <x v="31"/>
    <s v="N2"/>
    <x v="0"/>
    <s v="Etat H.O : HO compet entre 332 et 331  _x000a_* qualité /niveau de signal : dl rx-qual=0, dl rx level = -48 dbm_x000a_,Requête de déconnexion a été envoyée par le RBC"/>
    <m/>
    <x v="0"/>
    <s v="chaine antennaire dégradé"/>
    <s v="HO Complet entre 332 et 331"/>
    <s v="dl Rxqual=0"/>
    <s v="dl rx level= -48 dbm"/>
    <s v="OK"/>
    <s v="OK"/>
    <s v="Mauvais"/>
    <s v="retransmission des trames HDLC*5"/>
    <m/>
    <s v="Fahd OUSSALH"/>
    <m/>
    <m/>
    <m/>
    <m/>
    <m/>
    <m/>
    <m/>
  </r>
  <r>
    <n v="546"/>
    <x v="0"/>
    <x v="204"/>
    <d v="1899-12-30T22:05:43"/>
    <n v="1058"/>
    <x v="4"/>
    <x v="1"/>
    <n v="1057"/>
    <m/>
    <s v="Casa/Tanger"/>
    <n v="7.3209999999999997"/>
    <x v="2"/>
    <s v="N2"/>
    <x v="0"/>
    <s v="Etat H.O : HO non finalisé entre 202 et 301  _x000a_* qualité /niveau de signal : dl rx-qual=5, dl rx level = -49 dbm_x000a_,Requête de déconnexion a été envoyée par le Bord"/>
    <m/>
    <x v="0"/>
    <s v="En attente de mise en place des tiroires filtrés "/>
    <s v="HO non finalisé entre 202 et 301"/>
    <s v="dl Rxqual=5"/>
    <s v="dl rx level= -49 dbm"/>
    <s v="OK"/>
    <s v="OK"/>
    <s v="Mauvais"/>
    <s v="retransmission des trames HDLC*5"/>
    <m/>
    <s v="HARIRI Bahaeddine"/>
    <m/>
    <m/>
    <m/>
    <m/>
    <m/>
    <m/>
    <m/>
  </r>
  <r>
    <n v="547"/>
    <x v="0"/>
    <x v="204"/>
    <d v="1899-12-30T23:04:07"/>
    <n v="1062"/>
    <x v="8"/>
    <x v="1"/>
    <n v="1061"/>
    <m/>
    <s v="Casa/Tanger"/>
    <n v="8.9700000000000006"/>
    <x v="2"/>
    <s v="N2"/>
    <x v="0"/>
    <s v="Etat H.O : HO compet entre 304 et 303  _x000a_* qualité /niveau de signal : dl rx-qual=1, dl rx level = -66 dbm_x000a_,Requête de déconnexion a été envoyée par le RBC"/>
    <m/>
    <x v="6"/>
    <s v="En attente de mise en place des tiroires filtrés / En attente de pousser les analyses coté RBC"/>
    <s v="HO Complet entre 304 et 303"/>
    <s v="dl Rxqual=1"/>
    <s v="dl rx level= -66 dbm"/>
    <s v="OK"/>
    <s v="OK"/>
    <s v="Mauvais"/>
    <s v="pas de retransmission des trames HDLC"/>
    <m/>
    <s v="HARIRI Bahaeddine"/>
    <m/>
    <m/>
    <m/>
    <m/>
    <m/>
    <m/>
    <m/>
  </r>
  <r>
    <n v="548"/>
    <x v="0"/>
    <x v="205"/>
    <d v="1899-12-31T00:04:07"/>
    <n v="1062"/>
    <x v="8"/>
    <x v="1"/>
    <n v="1062"/>
    <m/>
    <s v="Casa/Tanger"/>
    <n v="9.9700000000000006"/>
    <x v="22"/>
    <s v="N2"/>
    <x v="0"/>
    <s v="Etat H.O : HO compet entre 304 et 303  _x000a_* qualité /niveau de signal : dl rx-qual=1, dl rx level = -66 dbm_x000a_,Requête de déconnexion a été envoyée par le RBC"/>
    <m/>
    <x v="0"/>
    <s v="chaine antennaire dégradé"/>
    <s v="HO Complet entre 304 et 304"/>
    <s v="dl Rxqual=2"/>
    <s v="dl rx level= -66 dbm"/>
    <s v="OK"/>
    <s v="OK"/>
    <s v="Mauvais"/>
    <s v="pas de retransmission des trames HDLC"/>
    <m/>
    <s v="HARIRI Bahaeddine"/>
    <m/>
    <m/>
    <m/>
    <m/>
    <m/>
    <m/>
    <m/>
  </r>
  <r>
    <n v="549"/>
    <x v="0"/>
    <x v="205"/>
    <d v="1899-12-30T15:37:02"/>
    <n v="2037"/>
    <x v="9"/>
    <x v="0"/>
    <n v="1052"/>
    <m/>
    <s v="Tanger/Casa"/>
    <n v="153.68600000000001"/>
    <x v="18"/>
    <s v="N2"/>
    <x v="0"/>
    <s v="Etat H.O : HO compet entre 226 et 227  _x000a_* qualité /niveau de signal : dl rx-qual=1, dl rx level = -57 dbm_x000a_,Requête de déconnexion a été envoyée par le RBC"/>
    <m/>
    <x v="0"/>
    <s v="En attente de mise en place des tiroires filtrés "/>
    <s v="HO Complet entre 226 et 227"/>
    <s v="dl Rxqual=1"/>
    <s v="dl rx level= -57 dbm"/>
    <s v="OK"/>
    <s v="OK"/>
    <s v="Mauvais"/>
    <s v="retransmission des trames HDLC*5"/>
    <m/>
    <s v="Fahd OUSSALH"/>
    <m/>
    <m/>
    <m/>
    <m/>
    <m/>
    <m/>
    <m/>
  </r>
  <r>
    <n v="550"/>
    <x v="0"/>
    <x v="205"/>
    <d v="1899-12-30T20:05:03"/>
    <n v="2057"/>
    <x v="2"/>
    <x v="0"/>
    <n v="7217"/>
    <m/>
    <s v="Tanger/Casa"/>
    <n v="6.13"/>
    <x v="2"/>
    <s v="N2"/>
    <x v="1"/>
    <s v="Etat H.O : Non Complet entre 202 et 303_x000a_* qualité /niveau de signal : dl rx-qual=6, dl rx level = -52 dbm_x000a_, Requête de déconnexion a été envoyé par le BORD"/>
    <m/>
    <x v="0"/>
    <s v="En attente de mise en place des tiroires filtrés "/>
    <s v="HO Non Complet entre 202 et 303"/>
    <s v="dl Rxqual=6"/>
    <s v="dl rx level= -52 dbm"/>
    <s v="OK"/>
    <s v="OK"/>
    <s v="Mauvais"/>
    <s v="pas de retransmission des trames HDLC"/>
    <m/>
    <s v="Fahd OUSSALH"/>
    <m/>
    <m/>
    <m/>
    <m/>
    <m/>
    <m/>
    <m/>
  </r>
  <r>
    <n v="551"/>
    <x v="0"/>
    <x v="205"/>
    <d v="1899-12-30T23:03:58"/>
    <n v="1061"/>
    <x v="10"/>
    <x v="1"/>
    <n v="1061"/>
    <m/>
    <s v="Casa/Tanger"/>
    <n v="7.3209999999999997"/>
    <x v="2"/>
    <s v="N2"/>
    <x v="0"/>
    <s v="Etat H.O : Complet entre 303 et 202_x000a_* qualité /niveau de signal : dl rx-qual=0, dl rx level = -48 dbm_x000a_,Requête de déconnexion a été envoyée par le RBC"/>
    <m/>
    <x v="0"/>
    <s v="En attente de mise en place des tiroires filtrés "/>
    <s v="HO Complet entre 303 et 202"/>
    <s v="dl Rxqual=0"/>
    <s v="dl rx level= -48 dbm"/>
    <s v="OK"/>
    <s v="NOK"/>
    <s v="Mauvais"/>
    <s v="retransmission des trames HDLC*5"/>
    <m/>
    <s v="Saad Elhabib"/>
    <m/>
    <m/>
    <m/>
    <m/>
    <m/>
    <m/>
    <m/>
  </r>
  <r>
    <n v="552"/>
    <x v="0"/>
    <x v="206"/>
    <d v="1899-12-30T07:31:15"/>
    <n v="1001"/>
    <x v="2"/>
    <x v="1"/>
    <n v="1035"/>
    <m/>
    <s v="Casa/Tanger"/>
    <n v="166.529"/>
    <x v="28"/>
    <s v="N2"/>
    <x v="0"/>
    <s v="Etat H.O : Complet entre 329et 328_x000a_* qualité /niveau de signal : dl rx-qual=0, dl rx level = -56 dbm_x000a_,Requête de déconnexion a été envoyée par le RBC"/>
    <m/>
    <x v="0"/>
    <s v="chaine antennaire dégradé"/>
    <s v="HO Complet entre 329 et 328"/>
    <s v="dl Rxqual=0"/>
    <s v="dl rx level= -56 dbm"/>
    <s v="OK"/>
    <s v="OK"/>
    <s v="Mauvais"/>
    <s v="retransmission des trames HDLC*5"/>
    <m/>
    <s v="ELHAJOUIA Achraf"/>
    <m/>
    <m/>
    <m/>
    <m/>
    <m/>
    <m/>
    <m/>
  </r>
  <r>
    <n v="553"/>
    <x v="0"/>
    <x v="206"/>
    <d v="1899-12-30T10:04:17"/>
    <n v="1009"/>
    <x v="9"/>
    <x v="1"/>
    <n v="1031"/>
    <m/>
    <s v="Casa/Tanger"/>
    <n v="7.3209999999999997"/>
    <x v="2"/>
    <s v="N2"/>
    <x v="0"/>
    <s v="Etat H.O : Complet entre 202 et 303 avec Downlink quality_x000a_* qualité /niveau de signal : dl rx-qual=7, dl rx level = -80 dbm_x000a_,Requête de déconnexion a été envoyée par le RBC"/>
    <m/>
    <x v="0"/>
    <s v="En attente de mise en place des tiroires filtrés "/>
    <s v="HO Complet entre 202 et 303"/>
    <s v="dl Rxqual=7"/>
    <s v="dl rx level= -80 dbm"/>
    <s v="OK"/>
    <s v="OK"/>
    <s v="Mauvais"/>
    <s v="retransmission des trames HDLC*5"/>
    <m/>
    <s v="Noura MOUSSAOUI"/>
    <m/>
    <m/>
    <m/>
    <m/>
    <m/>
    <m/>
    <m/>
  </r>
  <r>
    <n v="554"/>
    <x v="0"/>
    <x v="206"/>
    <d v="1899-12-30T12:20:57"/>
    <n v="2025"/>
    <x v="7"/>
    <x v="0"/>
    <n v="1055"/>
    <m/>
    <s v="Tanger/Casa"/>
    <n v="72.397999999999996"/>
    <x v="13"/>
    <s v="N2"/>
    <x v="0"/>
    <s v="Etat H.O : Complet entre 212 et 213 _x000a_* qualité /niveau de signal : dl rx-qual=0, dl rx level = -55 dbm_x000a_,Requête de déconnexion a été envoyée par le RBC"/>
    <m/>
    <x v="0"/>
    <s v="chaine antennaire dégradé"/>
    <s v="HO Complet entre 212 et 213"/>
    <s v="dl Rxqual=0"/>
    <s v="dl rx level= -55 dbm"/>
    <s v="OK"/>
    <s v="OK"/>
    <s v="Mauvais"/>
    <s v="retransmission des trames HDLC*5"/>
    <m/>
    <s v="ELHAJOUIA Achraf"/>
    <m/>
    <m/>
    <m/>
    <m/>
    <m/>
    <m/>
    <m/>
  </r>
  <r>
    <n v="555"/>
    <x v="0"/>
    <x v="206"/>
    <d v="1899-12-30T15:29:32"/>
    <n v="1033"/>
    <x v="9"/>
    <x v="1"/>
    <n v="1031"/>
    <m/>
    <s v="Casa/Tanger"/>
    <n v="172.61199999999999"/>
    <x v="27"/>
    <s v="N2"/>
    <x v="0"/>
    <s v="Etat H.O : Complet entre 331 et 330  _x000a_* qualité /niveau de signal : dl rx-qual=0, dl rx level = -48 dbm_x000a_,Requête de déconnexion a été envoyée par le RBC"/>
    <m/>
    <x v="0"/>
    <s v="chaine antennaire dégradé"/>
    <s v="HO Complet entre 331 et 330  "/>
    <s v="dl Rxqual=0"/>
    <s v="dl rx level= -48 dbm"/>
    <s v="OK"/>
    <s v="OK"/>
    <s v="Mauvais"/>
    <s v="retransmission des trames HDLC*5"/>
    <m/>
    <s v="Fahd OUSSALH"/>
    <m/>
    <m/>
    <m/>
    <m/>
    <m/>
    <m/>
    <m/>
  </r>
  <r>
    <n v="556"/>
    <x v="0"/>
    <x v="206"/>
    <d v="1899-12-30T16:08:47"/>
    <n v="1033"/>
    <x v="9"/>
    <x v="1"/>
    <n v="1031"/>
    <m/>
    <s v="Casa/Tanger"/>
    <n v="7.3209999999999997"/>
    <x v="2"/>
    <s v="N2"/>
    <x v="0"/>
    <s v="Etat H.O : non finalisé entre 303 et 202   _x000a_* qualité /niveau de signal : dl rx-qual=6, dl rx level = -52 dbm_x000a_,Requête de déconnexion a été envoyée par le RBC"/>
    <m/>
    <x v="0"/>
    <s v="En attente de mise en place des tiroires filtrés "/>
    <s v="HO Non Complet entre 303 et 202  "/>
    <s v="dl Rxqual=6"/>
    <s v="dl rx level= -52 dbm"/>
    <s v="NOK"/>
    <s v="OK"/>
    <s v="Mauvais"/>
    <s v="retransmission des trames HDLC*5"/>
    <m/>
    <s v="Fahd OUSSALH"/>
    <m/>
    <m/>
    <m/>
    <m/>
    <m/>
    <m/>
    <m/>
  </r>
  <r>
    <n v="557"/>
    <x v="0"/>
    <x v="207"/>
    <d v="1899-12-30T17:05:32"/>
    <n v="2045"/>
    <x v="4"/>
    <x v="0"/>
    <n v="7208"/>
    <m/>
    <s v="Tanger/Casa"/>
    <n v="6.13"/>
    <x v="2"/>
    <s v="N2"/>
    <x v="1"/>
    <s v="Etat H.O : non finalisé entre 302 et 203   _x000a_* qualité /niveau de signal : dl rx-qual=7, dl rx level = -52 dbm_x000a_,Requête de déconnexion a été envoyée par le BORD"/>
    <m/>
    <x v="0"/>
    <s v="En attente de mise en place des tiroires filtrés "/>
    <s v="HO Non Complet entre 302 et 203"/>
    <s v="dl Rxqual=7"/>
    <s v="dl rx level= -52 dbm"/>
    <s v="OK"/>
    <s v="OK"/>
    <s v="Mauvais"/>
    <s v="pas de retransmission des trames HDLC"/>
    <m/>
    <s v="ELGUEZZAR Anas"/>
    <m/>
    <m/>
    <m/>
    <m/>
    <m/>
    <m/>
    <m/>
  </r>
  <r>
    <n v="558"/>
    <x v="0"/>
    <x v="207"/>
    <d v="1899-12-30T21:58:14"/>
    <n v="1058"/>
    <x v="1"/>
    <x v="1"/>
    <n v="7208"/>
    <m/>
    <s v="Casa/Tanger"/>
    <n v="39.215000000000003"/>
    <x v="14"/>
    <s v="N2"/>
    <x v="0"/>
    <s v="Etat H.O : complète entre 308 et 307_x000a_* qualité /niveau de signal : dl rx-qual=0, dl rx level = -53 dbm_x000a_,Requête de déconnexion a été envoyée par le RBC"/>
    <m/>
    <x v="6"/>
    <s v="En attente de pousser les analyses coté Bord/RBC"/>
    <s v="HO  Complet entre 308 et 307"/>
    <s v="dl Rxqual=0"/>
    <s v="dl rx level= -53 dbm"/>
    <s v="OK"/>
    <s v="OK"/>
    <s v="Mauvais"/>
    <s v="retransmission des trames HDLC*5"/>
    <m/>
    <s v="Saad Elhabib"/>
    <m/>
    <m/>
    <m/>
    <m/>
    <m/>
    <m/>
    <m/>
  </r>
  <r>
    <n v="559"/>
    <x v="0"/>
    <x v="208"/>
    <d v="1899-12-30T00:07:54"/>
    <n v="10091"/>
    <x v="9"/>
    <x v="1"/>
    <n v="1031"/>
    <m/>
    <s v="Casa/Tanger"/>
    <n v="7.3209999999999997"/>
    <x v="2"/>
    <s v="N2"/>
    <x v="0"/>
    <s v="Etat H.O : complète entre 202 et 303 _x000a_* qualité /niveau de signal : dl rx-qual=1, dl rx level = -75 dbm_x000a_,Requête de déconnexion a été envoyée par le RBC"/>
    <m/>
    <x v="0"/>
    <s v="En attente de mise en place des tiroires filtrés "/>
    <s v="HO  Complet entre 202 et 303 "/>
    <s v="dl Rxqual=1"/>
    <s v="dl rx level= -75 dbm"/>
    <s v="OK"/>
    <s v="OK"/>
    <s v="Mauvais"/>
    <s v="retransmission des trames HDLC*5"/>
    <m/>
    <s v="Saad Elhabib"/>
    <m/>
    <m/>
    <m/>
    <m/>
    <m/>
    <m/>
    <m/>
  </r>
  <r>
    <n v="560"/>
    <x v="0"/>
    <x v="209"/>
    <d v="1899-12-30T07:28:09"/>
    <n v="2005"/>
    <x v="9"/>
    <x v="0"/>
    <n v="1053"/>
    <m/>
    <s v="Tanger/Casa"/>
    <n v="102.91800000000001"/>
    <x v="24"/>
    <s v="N2"/>
    <x v="0"/>
    <s v="Etat H.O : complète entre 218 et 219 _x000a_* qualité /niveau de signal : dl rx-qual=1, dl rx level = -49 dbm_x000a_,Requête de déconnexion a été envoyée par le RBC"/>
    <m/>
    <x v="6"/>
    <s v="En attente de pousser les analyses coté Bord/RBC"/>
    <s v="HO  Complet entre 218 et 219"/>
    <s v="dl Rxqual=1"/>
    <s v="dl rx level= -49 dbm"/>
    <s v="OK"/>
    <s v="OK"/>
    <s v="Mauvais"/>
    <s v="retransmission des trames HDLC*5"/>
    <m/>
    <s v="LAGDEM Elmehdi"/>
    <m/>
    <m/>
    <m/>
    <m/>
    <m/>
    <m/>
    <m/>
  </r>
  <r>
    <n v="561"/>
    <x v="0"/>
    <x v="209"/>
    <s v=" 09:14:48"/>
    <n v="2013"/>
    <x v="0"/>
    <x v="0"/>
    <n v="1037"/>
    <m/>
    <s v="Tanger/Casa"/>
    <s v=" 44,470"/>
    <x v="16"/>
    <s v="N2"/>
    <x v="0"/>
    <s v="Etat H.O : complète entre 207 et 208_x000a_* qualité /niveau de signal : dl rx-qual=0, dl rx level = -53 dbm_x000a_,Requête de déconnexion a été envoyée par le RBC"/>
    <m/>
    <x v="0"/>
    <s v="chaine antennaire dégradé"/>
    <s v="HO  Complet entre 207 et 208"/>
    <s v="dl Rxqual=0"/>
    <s v="dl rx level= -53 dbm"/>
    <s v="OK"/>
    <s v="OK"/>
    <s v="Mauvais"/>
    <s v="retransmission des trames HDLC*5"/>
    <m/>
    <s v="Noura MOUSSAOUI"/>
    <m/>
    <m/>
    <m/>
    <m/>
    <m/>
    <m/>
    <m/>
  </r>
  <r>
    <n v="562"/>
    <x v="0"/>
    <x v="209"/>
    <s v=" 11:02:50"/>
    <n v="1014"/>
    <x v="12"/>
    <x v="1"/>
    <s v=" 1035"/>
    <m/>
    <s v="Casa/Tanger"/>
    <n v="11.22"/>
    <x v="22"/>
    <s v="N2"/>
    <x v="0"/>
    <s v="Etat H.O : complète entre 304 et 303_x000a_* qualité /niveau de signal : dl rx-qual=0, dl rx level = -48 dbm_x000a_,Requête de déconnexion a été envoyée par le RBC"/>
    <m/>
    <x v="0"/>
    <s v="En attente de pousser les analyses coté Bord"/>
    <s v="HO  Complet entre 304 et 303"/>
    <s v="dl Rxqual=0"/>
    <s v="dl rx level= -48 dbm"/>
    <s v="OK"/>
    <s v="OK"/>
    <s v="Mauvais"/>
    <s v="retransmission des trames HDLC*5"/>
    <m/>
    <s v="Noura MOUSSAOUI"/>
    <m/>
    <m/>
    <m/>
    <m/>
    <m/>
    <m/>
    <m/>
  </r>
  <r>
    <n v="563"/>
    <x v="0"/>
    <x v="209"/>
    <s v=" 17:29:08"/>
    <n v="2045"/>
    <x v="3"/>
    <x v="0"/>
    <s v=" 1046"/>
    <m/>
    <s v="Tanger/Casa"/>
    <n v="110.843"/>
    <x v="1"/>
    <s v="N2"/>
    <x v="0"/>
    <s v="Etat H.O : non complète entre 220 et 221_x000a_* qualité /niveau de signal : dl rx-qual=6, dl rx level = -61 dbm_x000a_,Requête de déconnexion a été envoyée par le RBC"/>
    <m/>
    <x v="2"/>
    <s v="chaine antennaire dégradé /dans l'attente d'une analyse spectral "/>
    <s v="HO  non Complet entre 220 et 221"/>
    <s v="dl Rxqual=6"/>
    <s v="dl rx level= -61 dbm"/>
    <s v="NOK"/>
    <s v="OK"/>
    <s v="Mauvais"/>
    <s v="retransmission des trames HDLC*5"/>
    <m/>
    <s v="ELGUEZZAR Anas"/>
    <m/>
    <m/>
    <m/>
    <m/>
    <m/>
    <m/>
    <m/>
  </r>
  <r>
    <n v="564"/>
    <x v="0"/>
    <x v="209"/>
    <s v=" 18:50:21"/>
    <n v="1046"/>
    <x v="1"/>
    <x v="1"/>
    <s v=" 3063"/>
    <m/>
    <s v="Casa/Tanger"/>
    <n v="109.495"/>
    <x v="10"/>
    <s v="N2"/>
    <x v="0"/>
    <s v="Etat H.O : complète entre 325 et 324_x000a_* qualité /niveau de signal : dl rx-qual=0, dl rx level = -48 dbm_x000a_,Requête de déconnexion a été envoyée par le RBC"/>
    <m/>
    <x v="0"/>
    <s v="En attente de pousser les analyses coté Bord"/>
    <s v="HO   Complet entre 325 et 324"/>
    <s v="dl Rxqual=0"/>
    <s v="dl rx level= -48 dbm"/>
    <s v="OK"/>
    <s v="OK"/>
    <s v="Mauvais"/>
    <s v="retransmission des trames HDLC*5"/>
    <m/>
    <s v="ELGUEZZAR Anas"/>
    <m/>
    <m/>
    <m/>
    <m/>
    <m/>
    <m/>
    <m/>
  </r>
  <r>
    <n v="565"/>
    <x v="0"/>
    <x v="209"/>
    <s v=" 20:07:43"/>
    <n v="1050"/>
    <x v="9"/>
    <x v="1"/>
    <n v="1030"/>
    <m/>
    <s v="Casa/Tanger"/>
    <n v="7.3209999999999997"/>
    <x v="2"/>
    <s v="N2"/>
    <x v="0"/>
    <s v="Etat H.O : non complète entre 303 et 302_x000a_* qualité /niveau de signal : dl rx-qual=7, dl rx level = -70 dbm_x000a_,Requête de déconnexion a été envoyée par le RBC"/>
    <m/>
    <x v="0"/>
    <s v="En attente de mise en place des tiroires filtrés "/>
    <s v="HO  non Complet entre 325 et 325"/>
    <s v="dl Rxqual=7"/>
    <s v="dl rx level= -70 dbm"/>
    <s v="OK"/>
    <s v="OK"/>
    <s v="Mauvais"/>
    <s v="retransmission des trames HDLC*5"/>
    <m/>
    <s v="ELGUEZZAR Anas"/>
    <m/>
    <m/>
    <m/>
    <m/>
    <m/>
    <m/>
    <m/>
  </r>
  <r>
    <n v="566"/>
    <x v="0"/>
    <x v="209"/>
    <s v=" 20:45:43"/>
    <n v="2057"/>
    <x v="1"/>
    <x v="0"/>
    <n v="1029"/>
    <m/>
    <s v="Tanger/Casa"/>
    <n v="186.315"/>
    <x v="19"/>
    <s v="N2"/>
    <x v="0"/>
    <s v="Etat H.O : non finalisé entre 232 et 233_x000a_* qualité /niveau de signal : dl rx-qual=0, dl rx level = -66 dbm_x000a_,Requête de déconnexion a été envoyée par le RBC"/>
    <m/>
    <x v="0"/>
    <s v="chaine antennaire dégradé "/>
    <s v="HO  non finalisé entre 232 et 233"/>
    <s v="dl Rxqual=0"/>
    <s v="dl rx level= -66 dbm"/>
    <s v="NOK"/>
    <s v="OK"/>
    <s v="Mauvais"/>
    <s v="retransmission des trames HDLC*5"/>
    <m/>
    <s v="ELHAJOUIA Achraf"/>
    <m/>
    <m/>
    <m/>
    <m/>
    <m/>
    <m/>
    <m/>
  </r>
  <r>
    <n v="567"/>
    <x v="0"/>
    <x v="210"/>
    <d v="1899-12-30T10:48:56"/>
    <n v="1013"/>
    <x v="0"/>
    <x v="1"/>
    <n v="1045"/>
    <m/>
    <s v="Casa/Tanger"/>
    <n v="88.911000000000001"/>
    <x v="12"/>
    <s v="N2"/>
    <x v="0"/>
    <s v="Etat H.O : Complet  entre 318 et 317_x000a_* qualité /niveau de signal : dl rx-qual=2, dl rx level = -49 dbm_x000a_,Requête de déconnexion a été envoyée par le RBC"/>
    <m/>
    <x v="0"/>
    <s v="En attente de pousser les analyses coté Bord"/>
    <s v="HO  Complet  entre 318 et 317"/>
    <s v="dl Rxqual=2"/>
    <s v="dl rx level= -49 dbm"/>
    <s v="OK"/>
    <s v="OK"/>
    <s v="Mauvais"/>
    <s v="retransmission des trames HDLC*5"/>
    <m/>
    <s v="MAROUANI Otmane"/>
    <m/>
    <m/>
    <m/>
    <m/>
    <m/>
    <m/>
    <m/>
  </r>
  <r>
    <n v="568"/>
    <x v="0"/>
    <x v="210"/>
    <d v="1899-12-30T20:04:43"/>
    <n v="2057"/>
    <x v="4"/>
    <x v="0"/>
    <n v="7208"/>
    <m/>
    <s v="Tanger/Casa"/>
    <n v="7.3810000000000002"/>
    <x v="2"/>
    <s v="N2"/>
    <x v="1"/>
    <s v="* Etat H.O : HO non complète entre 302 et 203_x000a_* qualité /niveau de signal : dl rx-qual=7, dl rx level = -52 dbm_x000a_,Requête de déconnexion a été envoyée par le RBC"/>
    <m/>
    <x v="0"/>
    <s v="En attente de mise en place des tiroires filtrés "/>
    <s v="HO  non Complet entre 302 et 203"/>
    <s v="dl Rxqual=7"/>
    <s v="dl rx level= -52 dbm"/>
    <s v="OK"/>
    <s v="OK"/>
    <s v="Mauvais"/>
    <s v="retransmission des trames HDLC*5"/>
    <m/>
    <s v="ELGUEZZAR Anas"/>
    <m/>
    <m/>
    <m/>
    <m/>
    <m/>
    <m/>
    <m/>
  </r>
  <r>
    <n v="569"/>
    <x v="0"/>
    <x v="210"/>
    <d v="1899-12-30T21:18:22"/>
    <n v="2061"/>
    <x v="3"/>
    <x v="0"/>
    <n v="1047"/>
    <m/>
    <s v="Tanger/Casa"/>
    <n v="58.71"/>
    <x v="23"/>
    <s v="N2"/>
    <x v="0"/>
    <s v="* Etat H.O : HO non finalisé entre 210 et 211_x000a_* qualité /niveau de signal : dl rx-qual=3, dl rx level = -74 dbm_x000a_,Requête de déconnexion a été envoyée par le RBC"/>
    <m/>
    <x v="0"/>
    <s v="En attente de pousser les analyses coté Bord"/>
    <s v="HO  non finalisé entre 210 et 211"/>
    <s v="dl Rxqual=3"/>
    <s v="dl rx level= -74 dbm"/>
    <s v="NOK"/>
    <s v="OK"/>
    <s v="Mauvais"/>
    <s v="retransmission des trames HDLC*5"/>
    <m/>
    <s v="ELHAJOUIA Achraf"/>
    <m/>
    <m/>
    <m/>
    <m/>
    <m/>
    <m/>
    <m/>
  </r>
  <r>
    <n v="570"/>
    <x v="0"/>
    <x v="211"/>
    <d v="1899-12-30T10:17:01"/>
    <n v="2017"/>
    <x v="7"/>
    <x v="0"/>
    <n v="1055"/>
    <m/>
    <s v="Tanger/Casa"/>
    <n v="53.600999999999999"/>
    <x v="29"/>
    <s v="N2"/>
    <x v="0"/>
    <s v="* Etat H.O : HO complete entre 209 et 210_x000a_* qualité /niveau de signal : dl rx-qual=0, dl rx level = -50 dbm_x000a_,Requête de déconnexion a été envoyée par le RBC"/>
    <m/>
    <x v="0"/>
    <s v="En attente de mise en place des tiroires filtrés "/>
    <s v="HO complete entre 209 et 210"/>
    <s v="dl Rxqual=0"/>
    <s v="dl rx level= -50 dbm"/>
    <s v="OK"/>
    <s v="OK"/>
    <s v="Mauvais"/>
    <s v="retransmission des trames HDLC*5"/>
    <m/>
    <s v="LAGDEM Elmehdi"/>
    <m/>
    <m/>
    <m/>
    <m/>
    <m/>
    <m/>
    <m/>
  </r>
  <r>
    <n v="571"/>
    <x v="0"/>
    <x v="211"/>
    <d v="1899-12-30T12:04:45"/>
    <n v="2025"/>
    <x v="5"/>
    <x v="0"/>
    <n v="1024"/>
    <m/>
    <s v="Tanger/Casa"/>
    <n v="6.13"/>
    <x v="2"/>
    <s v="N2"/>
    <x v="1"/>
    <s v="* Etat H.O : HO Non finalisé entre 302 et 303_x000a_* qualité /niveau de signal : dl rx-qual=7, dl rx level = -56 dbm_x000a_,Requête de déconnexion a été envoyée par le RBC"/>
    <m/>
    <x v="0"/>
    <s v="En attente de mise en place des tiroires filtrés "/>
    <s v="HO Non finalisé entre 302 et 303"/>
    <s v="dl Rxqual=7"/>
    <s v="dl rx level= -56dbm"/>
    <s v="NOK"/>
    <s v="OK"/>
    <s v="Mauvais"/>
    <s v="retransmission des trames HDLC*5"/>
    <m/>
    <s v="Noura MOUSSAOUI"/>
    <m/>
    <m/>
    <m/>
    <m/>
    <m/>
    <m/>
    <m/>
  </r>
  <r>
    <n v="572"/>
    <x v="0"/>
    <x v="211"/>
    <d v="1899-12-30T13:07:04"/>
    <n v="1021"/>
    <x v="9"/>
    <x v="1"/>
    <n v="1030"/>
    <m/>
    <s v="Casa/Tanger"/>
    <n v="7.3209999999999997"/>
    <x v="2"/>
    <s v="N2"/>
    <x v="0"/>
    <s v="* Etat H.O : HO Non finalisé entre 303 et 302_x000a_* qualité /niveau de signal : dl rx-qual=7, dl rx level = -61 dbm_x000a_,Requête de déconnexion a été envoyée par le RBC"/>
    <m/>
    <x v="0"/>
    <s v="En attente de mise en place des tiroires filtrés "/>
    <s v="HO Non finalisé entre 303 et 302"/>
    <s v="dl Rxqual=7"/>
    <s v="dl rx level= -61 dbm"/>
    <s v="OK"/>
    <s v="OK"/>
    <s v="Mauvais"/>
    <s v="retransmission des trames HDLC*5"/>
    <m/>
    <s v="Noura MOUSSAOUI"/>
    <m/>
    <m/>
    <m/>
    <m/>
    <m/>
    <m/>
    <m/>
  </r>
  <r>
    <n v="573"/>
    <x v="0"/>
    <x v="211"/>
    <s v="15:05:07 "/>
    <n v="2037"/>
    <x v="2"/>
    <x v="0"/>
    <n v="7217"/>
    <m/>
    <s v="Tanger/Casa"/>
    <n v="6.13"/>
    <x v="2"/>
    <s v="N2"/>
    <x v="1"/>
    <s v="* Etat H.O : HO Non finalisé entre 202 et 203_x000a_* qualité /niveau de signal : dl rx-qual=7, dl rx level = -52 dbm_x000a_,Requête de déconnexion a été envoyée par le RBC"/>
    <m/>
    <x v="0"/>
    <s v="En attente de mise en place des tiroires filtrés "/>
    <s v="HO Non finalisé entre 202 et 203"/>
    <s v="dl Rxqual=7"/>
    <s v="dl rx level= -52 dbm"/>
    <s v="NOK"/>
    <s v="OK"/>
    <s v="Mauvais"/>
    <s v="retransmission des trames HDLC*5"/>
    <m/>
    <s v="Noura MOUSSAOUI"/>
    <m/>
    <m/>
    <m/>
    <m/>
    <m/>
    <m/>
    <m/>
  </r>
  <r>
    <n v="574"/>
    <x v="0"/>
    <x v="212"/>
    <d v="1899-12-30T19:09:55"/>
    <n v="1045"/>
    <x v="11"/>
    <x v="1"/>
    <n v="1020"/>
    <m/>
    <s v="Casa/Tanger"/>
    <n v="10.125"/>
    <x v="22"/>
    <s v="N2"/>
    <x v="0"/>
    <s v="* Etat H.O : HO Complet   entre 304 et 303_x000a_* qualité /niveau de signal : dl rx-qual= 5 , dl rx level = -47 dbm_x000a_*Requête de déconnexion a été envoyée par le RBC"/>
    <m/>
    <x v="6"/>
    <s v="En attente de pousser les analyses coté Bord/RBC"/>
    <s v="HO Complet   entre 304 et 303"/>
    <s v="dl Rxqual=5"/>
    <s v="dl rx level= -47 dbm"/>
    <s v="OK"/>
    <s v="OK"/>
    <s v="Mauvais"/>
    <s v="retransmission des trames HDLC*5"/>
    <m/>
    <s v="Oussama ZEHOUANI"/>
    <m/>
    <m/>
    <m/>
    <m/>
    <m/>
    <m/>
    <m/>
  </r>
  <r>
    <n v="575"/>
    <x v="0"/>
    <x v="212"/>
    <d v="1899-12-30T20:05:05"/>
    <n v="2057"/>
    <x v="5"/>
    <x v="0"/>
    <n v="1024"/>
    <m/>
    <s v="Tanger/Casa"/>
    <n v="6.13"/>
    <x v="2"/>
    <s v="N2"/>
    <x v="1"/>
    <s v="* Etat H.O : HO Non finalisé  entre 203 et 302_x000a_* qualité /niveau de signal : dl rx-qual= 7 , dl rx level = -53 dbm_x000a_*Requête de déconnexion a été envoyée par le bord"/>
    <m/>
    <x v="0"/>
    <s v="En attente de mise en place des tiroires filtrés "/>
    <s v="HO Non finalisé entre 203 et 302"/>
    <s v="dl Rxqual=7"/>
    <s v="dl rx level= -53 dbm"/>
    <s v="NOK"/>
    <s v="OK"/>
    <s v="Mauvais"/>
    <s v="retransmission des trames HDLC*5"/>
    <m/>
    <s v="Oussama ZEHOUANI"/>
    <m/>
    <m/>
    <m/>
    <m/>
    <m/>
    <m/>
    <m/>
  </r>
  <r>
    <n v="576"/>
    <x v="0"/>
    <x v="213"/>
    <d v="1899-12-30T12:05:38"/>
    <n v="2025"/>
    <x v="10"/>
    <x v="0"/>
    <n v="7206"/>
    <m/>
    <s v="Tanger/Casa"/>
    <n v="6.13"/>
    <x v="2"/>
    <s v="N2"/>
    <x v="1"/>
    <s v="* Etat H.O : HO Non finalisé  entre 302 et 203_x000a_* qualité /niveau de signal : dl rx-qual= 3 , dl rx level = -52 dbm_x000a_*Requête de déconnexion a été envoyée par le bord"/>
    <m/>
    <x v="0"/>
    <s v="En attente de mise en place des tiroires filtrés "/>
    <s v="HO Non finalisé entre 302 et 203"/>
    <s v="dl Rxqual=3"/>
    <s v="dl rx level= -52 dbm"/>
    <s v="OK"/>
    <s v="OK"/>
    <s v="Mauvais"/>
    <s v="retransmission des trames HDLC*5"/>
    <m/>
    <s v="ELGUEZZAR Anas"/>
    <m/>
    <m/>
    <m/>
    <m/>
    <m/>
    <m/>
    <m/>
  </r>
  <r>
    <n v="577"/>
    <x v="0"/>
    <x v="213"/>
    <d v="1899-12-30T14:05:26"/>
    <n v="2033"/>
    <x v="2"/>
    <x v="0"/>
    <n v="7217"/>
    <m/>
    <s v="Tanger/Casa"/>
    <n v="6.13"/>
    <x v="2"/>
    <s v="N2"/>
    <x v="1"/>
    <s v="* Etat H.O : Non finalisé entre 303 et 302_x000a_* qualité /niveau de signal : dl rx-qual=7, dl rx level = -55 dbm_x000a_* Retransmission des trames HDLC*5_x000a_* Communication SOL-Bord : OK_x000a_* Voisinage: NOK_x000a_* temps perdu : 21s"/>
    <m/>
    <x v="0"/>
    <s v="En attente de mise en place des tiroires filtrés "/>
    <s v="HO Non finalisé entre 303 et 302"/>
    <s v="dl Rxqual=7"/>
    <s v="dl rx level= -55 dbm"/>
    <s v="OK"/>
    <s v="OK"/>
    <s v="Mauvais"/>
    <s v="retransmission des trames HDLC*5"/>
    <m/>
    <s v="Oussama ZEHOUANI"/>
    <m/>
    <m/>
    <m/>
    <m/>
    <m/>
    <m/>
    <m/>
  </r>
  <r>
    <n v="578"/>
    <x v="0"/>
    <x v="213"/>
    <d v="1899-12-30T21:04:45"/>
    <n v="2061"/>
    <x v="1"/>
    <x v="0"/>
    <n v="1029"/>
    <m/>
    <s v="Tanger/Casa"/>
    <n v="6.13"/>
    <x v="2"/>
    <s v="N2"/>
    <x v="1"/>
    <s v="* Etat H.O : HO Complet   entre 202 et 203 avec downlink quality_x000a_* qualité /niveau de signal : dl rx-qual= 3 , dl rx level = -70 dbm_x000a_*Requête de déconnexion a été envoyée par le RBC"/>
    <m/>
    <x v="0"/>
    <s v="En attente de mise en place des tiroires filtrés "/>
    <s v="HO Complet   entre 202 et 203"/>
    <s v="dl Rxqual=3"/>
    <s v="dl rx level= -70 dbm"/>
    <s v="OK"/>
    <s v="OK"/>
    <s v="Mauvais"/>
    <s v="retransmission des trames HDLC*5"/>
    <m/>
    <s v="ELHAJOUIA Achraf"/>
    <m/>
    <m/>
    <m/>
    <m/>
    <m/>
    <m/>
    <m/>
  </r>
  <r>
    <n v="579"/>
    <x v="0"/>
    <x v="213"/>
    <d v="1899-12-30T23:38:06"/>
    <n v="1061"/>
    <x v="10"/>
    <x v="1"/>
    <n v="1060"/>
    <m/>
    <s v="Casa/Tanger"/>
    <n v="202.125"/>
    <x v="5"/>
    <s v="N2"/>
    <x v="0"/>
    <s v="* Etat H.O : HO Complet   entre 234 et 233 avec downlink quality_x000a_* qualité /niveau de signal : dl rx-qual= 7 , dl rx level = -69 dbm_x000a_*Requête de déconnexion a été envoyée par le RBC"/>
    <m/>
    <x v="0"/>
    <s v="En attente de mise en place des tiroires filtrés "/>
    <s v="HO Complet   entre 234 et 233"/>
    <s v="dl Rxqual=7"/>
    <s v="dl rx level= -69 dbm"/>
    <s v="OK"/>
    <s v="OK"/>
    <s v="Mauvais"/>
    <s v="retransmission des trames HDLC*5"/>
    <m/>
    <s v="ELHAJOUIA Achraf"/>
    <m/>
    <m/>
    <m/>
    <m/>
    <m/>
    <m/>
    <m/>
  </r>
  <r>
    <n v="580"/>
    <x v="0"/>
    <x v="214"/>
    <d v="1899-12-30T09:26:40"/>
    <n v="1010"/>
    <x v="1"/>
    <x v="1"/>
    <n v="3063"/>
    <m/>
    <s v="Casa/Tanger"/>
    <n v="185.47"/>
    <x v="19"/>
    <s v="N2"/>
    <x v="0"/>
    <s v="* Etat H.O : HO Complet   entre 332 et 331 avec downlink quality_x000a_* qualité /niveau de signal : dl rx-qual= 0 , dl rx level = -48 dbm_x000a_*Requête de déconnexion a été envoyée par le RBC"/>
    <m/>
    <x v="0"/>
    <s v="En attente de pousser les analyses coté Bord"/>
    <s v="HO Complet   entre 332 et 331"/>
    <s v="dl Rxqual=0"/>
    <s v="dl rx level= -48 dbm"/>
    <s v="OK"/>
    <s v="OK"/>
    <s v="Mauvais"/>
    <s v="retransmission des trames HDLC*5"/>
    <m/>
    <s v="ELGUEZZAR Anas"/>
    <m/>
    <m/>
    <m/>
    <m/>
    <m/>
    <m/>
    <m/>
  </r>
  <r>
    <n v="581"/>
    <x v="0"/>
    <x v="214"/>
    <d v="1899-12-30T19:12:32"/>
    <n v="2053"/>
    <x v="2"/>
    <x v="0"/>
    <n v="7218"/>
    <m/>
    <s v="Tanger/Casa"/>
    <n v="28.457000000000001"/>
    <x v="7"/>
    <s v="N2"/>
    <x v="0"/>
    <s v="* Etat H.O : HO complet  entre 205 et 206  _x000a_* qualité /niveau de signal : dl rx-qual=5, dl rx level = -47 dbm_x000a_* Retransmission des trames HDLC*5_x000a_* Communication SOL-Bord : OK_x000a_* Voisinage: OK_x000a_* temps perdu : 21 s_x000a_"/>
    <m/>
    <x v="2"/>
    <s v="chaine antennaire dégradé /Zone sous surveillance par équipe NOC GSMR"/>
    <s v="HO complète  entre 205 et 206  "/>
    <s v="dl Rxqual=5"/>
    <s v="dl rx level= -47 dbm"/>
    <s v="OK"/>
    <s v="OK"/>
    <s v="Mauvais"/>
    <s v="retransmission des trames HDLC*5"/>
    <m/>
    <s v="Oussama ZEHOUANI"/>
    <m/>
    <m/>
    <m/>
    <m/>
    <m/>
    <m/>
    <m/>
  </r>
  <r>
    <n v="582"/>
    <x v="0"/>
    <x v="214"/>
    <d v="1899-12-30T22:38:52"/>
    <n v="10081"/>
    <x v="4"/>
    <x v="1"/>
    <n v="7208"/>
    <m/>
    <s v="Casa/Tanger"/>
    <n v="160.60900000000001"/>
    <x v="9"/>
    <s v="N2"/>
    <x v="0"/>
    <s v="* Etat H.O : HO Non finalisé entre 327 et 228                                                                                               * qualité /niveau de signal : dl rx-qual=6, dl rx level = 56 dbm                                                         *Requête de déconnexion a été envoyée par le RBC"/>
    <m/>
    <x v="0"/>
    <s v="En attente de pousser les analyses coté Bord"/>
    <s v="HO Non finalisé entre 327 et 228"/>
    <s v="dl Rxqual=6"/>
    <s v="dl rx level= -56 dbm"/>
    <s v="OK"/>
    <s v="OK"/>
    <s v="Mauvais"/>
    <s v=" Retransmission des trames HDLC*5"/>
    <m/>
    <s v="Fahd OUSSALH"/>
    <m/>
    <m/>
    <m/>
    <m/>
    <m/>
    <m/>
    <m/>
  </r>
  <r>
    <n v="583"/>
    <x v="0"/>
    <x v="214"/>
    <d v="1899-12-30T23:06:03"/>
    <n v="1062"/>
    <x v="3"/>
    <x v="1"/>
    <n v="1007"/>
    <m/>
    <s v="Casa/Tanger"/>
    <n v="7.3810000000000002"/>
    <x v="2"/>
    <s v="N2"/>
    <x v="0"/>
    <s v="* Etat H.O : HO Non finalisé entre 202 et 203                                                                                             * qualité /niveau de signal : dl rx-qual=7, dl rx level = -53 dbm                                                              *Requête de déconnexion a été envoyée par le RBC"/>
    <m/>
    <x v="0"/>
    <s v="En attente de mise en place des tiroires filtrés "/>
    <s v="HO Non finalisé entre 303 et 202"/>
    <s v="dl Rxqual=7"/>
    <s v="dl rx level= -53 dbm"/>
    <s v="NOK"/>
    <s v="OK"/>
    <s v="Mauvais"/>
    <s v="retransmission des trames HDLC*5"/>
    <m/>
    <s v="Fahd OUSSALH"/>
    <m/>
    <m/>
    <m/>
    <m/>
    <m/>
    <m/>
    <m/>
  </r>
  <r>
    <n v="584"/>
    <x v="0"/>
    <x v="214"/>
    <d v="1899-12-30T23:51:34"/>
    <n v="10092"/>
    <x v="0"/>
    <x v="1"/>
    <n v="1045"/>
    <m/>
    <s v="Casa/Tanger"/>
    <n v="71.271000000000001"/>
    <x v="0"/>
    <s v="N2"/>
    <x v="1"/>
    <s v="* Etat H.O : HO complet entre 314 et 313 _x000a_* qualité /niveau de signal : dl rx-qual=0, dl rx level = -48 dbm_x000a_    *Requête de déconnexion a été envoyée par le RBC"/>
    <m/>
    <x v="2"/>
    <s v="Zone sous surveillance par équipe NOC GSMR"/>
    <s v="HO Complet entre 314 et 313"/>
    <s v="dl Rxqual=0"/>
    <s v="dl rx level= -48 dbm"/>
    <s v="OK"/>
    <s v="OK"/>
    <s v="Mauvais"/>
    <s v="retransmission des trames HDLC*5"/>
    <m/>
    <s v="Fahd OUSSALH"/>
    <m/>
    <m/>
    <m/>
    <m/>
    <m/>
    <m/>
    <m/>
  </r>
  <r>
    <n v="585"/>
    <x v="0"/>
    <x v="215"/>
    <s v=" 07:09:09 "/>
    <n v="2005"/>
    <x v="5"/>
    <x v="0"/>
    <n v="1024"/>
    <m/>
    <s v="Tanger/Casa"/>
    <n v="16.29"/>
    <x v="22"/>
    <s v="N2"/>
    <x v="0"/>
    <s v="* Etat H.O :HO complet entre 203 et 204  _x000a_* qualité /niveau de signal : dl rx-qual=0, dl rx level = -48 dbm_x000a_    *Requête de déconnexion a été envoyée par le RBC"/>
    <m/>
    <x v="0"/>
    <s v="En attente de mise en place des tiroires filtrés "/>
    <s v="HO complet entre 203 et 204  "/>
    <s v="dl Rxqual=0"/>
    <s v="dl rx level= -48 dbm"/>
    <s v="OK"/>
    <s v="OK"/>
    <s v="Mauvais"/>
    <s v="retransmission des trames HDLC*5"/>
    <m/>
    <s v="Noura MOUSSAOUI"/>
    <m/>
    <m/>
    <m/>
    <m/>
    <m/>
    <m/>
    <m/>
  </r>
  <r>
    <n v="586"/>
    <x v="0"/>
    <x v="215"/>
    <s v=" 10:53:41"/>
    <n v="2013"/>
    <x v="10"/>
    <x v="1"/>
    <n v="1061"/>
    <m/>
    <s v="Casa/Tanger"/>
    <n v="55.054000000000002"/>
    <x v="29"/>
    <s v="N2"/>
    <x v="0"/>
    <s v="* Etat H.O :HO complet entre 311 et 310 _x000a_* qualité /niveau de signal : dl rx-qual=2, dl rx level = -57 dbm_x000a_    *Requête de déconnexion a été envoyée par le RBC"/>
    <m/>
    <x v="0"/>
    <s v="En attente de mise en place des tiroires filtrés "/>
    <s v="HO complet entre 311 et 310 "/>
    <s v="dl Rxqual=2"/>
    <s v="dl rx level= -57 dbm"/>
    <s v="OK"/>
    <s v="OK"/>
    <s v="Mauvais"/>
    <s v="retransmission des trames HDLC*5"/>
    <m/>
    <s v="Noura MOUSSAOUI"/>
    <m/>
    <m/>
    <m/>
    <m/>
    <m/>
    <m/>
    <m/>
  </r>
  <r>
    <n v="587"/>
    <x v="0"/>
    <x v="215"/>
    <s v=" 12:28:22"/>
    <n v="1022"/>
    <x v="0"/>
    <x v="1"/>
    <n v="1044"/>
    <m/>
    <s v="Casa/Tanger"/>
    <n v="187.233"/>
    <x v="5"/>
    <s v="N2"/>
    <x v="1"/>
    <s v="* Etat H.O : Pas de HO(Cell 233)_x000a_* qualité /niveau de signal : dl rx-qual=0, dl rx level = -51 dbm_x000a_    *Requête de déconnexion a été envoyée par le bord"/>
    <m/>
    <x v="0"/>
    <s v="Zone sous surveillance par équipe NOC GSMR"/>
    <s v=" Pas de HO (Cell 233)"/>
    <s v="dl Rxqual=0"/>
    <s v="dl rx level= -51 dbm"/>
    <s v="OK"/>
    <s v="OK"/>
    <s v="Mauvais"/>
    <s v=" Pas de Retransmission des trames HDLC"/>
    <m/>
    <s v="Noura MOUSSAOUI"/>
    <m/>
    <m/>
    <m/>
    <m/>
    <m/>
    <m/>
    <m/>
  </r>
  <r>
    <n v="588"/>
    <x v="0"/>
    <x v="215"/>
    <d v="1899-12-30T16:07:02"/>
    <n v="1034"/>
    <x v="4"/>
    <x v="1"/>
    <n v="1032"/>
    <m/>
    <s v="Casa/Tanger"/>
    <n v="7.3209999999999997"/>
    <x v="2"/>
    <s v="N2"/>
    <x v="0"/>
    <s v="* Etat H.O : HO complet entre 202 et 303_x000a_* qualité /niveau de signal : dl rx-qual=0, dl rx level = -72 dbm_x000a_    *Requête de déconnexion a été envoyée par le RBC"/>
    <m/>
    <x v="0"/>
    <s v="En attente de mise en place des tiroires filtrés "/>
    <s v=" HO complet entre 202 et 303"/>
    <s v="dl Rxqual=0"/>
    <s v="dl rx level= -72 dbm"/>
    <s v="NOK"/>
    <s v="OK"/>
    <s v="Mauvais"/>
    <s v=" Retransmission des trames HDLC*5"/>
    <m/>
    <s v="LAGDEM Elmehdi"/>
    <m/>
    <m/>
    <m/>
    <m/>
    <m/>
    <m/>
    <m/>
  </r>
  <r>
    <n v="589"/>
    <x v="0"/>
    <x v="216"/>
    <d v="1899-12-30T11:50:11"/>
    <n v="1017"/>
    <x v="11"/>
    <x v="1"/>
    <n v="1072"/>
    <m/>
    <s v="Casa/Tanger"/>
    <n v="71.271000000000001"/>
    <x v="0"/>
    <s v="N2"/>
    <x v="0"/>
    <s v="* Etat H.O : HO complet entre 314 et 313_x000a_* qualité /niveau de signal : dl rx-qual=0, dl rx level = -48 dbm_x000a_    *Requête de déconnexion a été envoyée par le RBC"/>
    <m/>
    <x v="0"/>
    <s v="En attente de mise en place des tiroires filtrés "/>
    <s v=" HO complet entre 314 et 313"/>
    <s v="dl Rxqual=0"/>
    <s v="dl rx level= -48 dbm"/>
    <s v="OK"/>
    <s v="OK"/>
    <s v="Mauvais"/>
    <s v=" Retransmission des trames HDLC*5"/>
    <m/>
    <s v="Noura MOUSSAOUI"/>
    <m/>
    <m/>
    <m/>
    <m/>
    <m/>
    <m/>
    <m/>
  </r>
  <r>
    <n v="590"/>
    <x v="0"/>
    <x v="216"/>
    <s v=" 13:51:10 "/>
    <n v="1025"/>
    <x v="3"/>
    <x v="1"/>
    <n v="1008"/>
    <m/>
    <s v="Casa/Tanger"/>
    <n v="67.828999999999994"/>
    <x v="0"/>
    <s v="N2"/>
    <x v="1"/>
    <s v="* Etat H.O : HO complet entre 313 et 312_x000a_* qualité /niveau de signal : dl rx-qual=0, dl rx level = -48 dbm_x000a_    *Requête de déconnexion a été envoyée par le RBC"/>
    <m/>
    <x v="0"/>
    <s v="En attente de mise en place des tiroires filtrés "/>
    <s v=" HO complet entre 313 et 312"/>
    <s v="dl Rxqual=0"/>
    <s v="dl rx level= -48 dbm"/>
    <s v="OK"/>
    <s v="OK"/>
    <s v="moyen"/>
    <s v=" Retransmission des trames HDLC*5"/>
    <m/>
    <s v="Noura MOUSSAOUI"/>
    <m/>
    <m/>
    <m/>
    <m/>
    <m/>
    <m/>
    <m/>
  </r>
  <r>
    <n v="591"/>
    <x v="0"/>
    <x v="216"/>
    <s v=" 17:04:47 "/>
    <n v="2045"/>
    <x v="10"/>
    <x v="0"/>
    <n v="7206"/>
    <m/>
    <s v="Tanger/Casa"/>
    <n v="6.13"/>
    <x v="2"/>
    <s v="N2"/>
    <x v="1"/>
    <s v="* Etat H.O : HO Non finalisé  entre 302 et 203_x000a_* qualité /niveau de signal : dl rx-qual=7, dl rx level = -54 dbm_x000a_    *Requête de déconnexion a été envoyée par le bord"/>
    <m/>
    <x v="0"/>
    <s v="En attente de mise en place des tiroires filtrés "/>
    <s v=" HO Non finalisé entre 302 et 203"/>
    <s v="dl Rxqual=7"/>
    <s v="dl rx level= -54 dbm"/>
    <s v="OK"/>
    <s v="OK"/>
    <s v="Mauvais"/>
    <s v=" Pas de Retransmission des trames HDLC"/>
    <m/>
    <s v="ELHAJOUIA Achraf"/>
    <m/>
    <m/>
    <m/>
    <m/>
    <m/>
    <m/>
    <m/>
  </r>
  <r>
    <n v="592"/>
    <x v="0"/>
    <x v="216"/>
    <s v=" 19:46:10 "/>
    <n v="1049"/>
    <x v="11"/>
    <x v="1"/>
    <n v="1072"/>
    <m/>
    <s v="Casa/Tanger"/>
    <n v="94.953999999999994"/>
    <x v="8"/>
    <s v="N2"/>
    <x v="0"/>
    <s v="* Etat H.O : HO Non finalisé  entre 318 et 317_x000a_* qualité /niveau de signal : dl rx-qual=7, dl rx level = -84 dbm_x000a_    *Requête de déconnexion a été envoyée par le RBC"/>
    <m/>
    <x v="0"/>
    <s v="En attente de mise en place des tiroires filtrés "/>
    <s v=" HO Non finalisé entre 318 et 317"/>
    <s v="dl Rxqual=7"/>
    <s v="dl rx level= -84 dbm"/>
    <s v="OK"/>
    <s v="OK"/>
    <s v="Mauvais"/>
    <s v=" Retransmission des trames HDLC*5"/>
    <m/>
    <s v="ELHAJOUIA Achraf"/>
    <m/>
    <m/>
    <m/>
    <m/>
    <m/>
    <m/>
    <m/>
  </r>
  <r>
    <n v="593"/>
    <x v="0"/>
    <x v="216"/>
    <s v=" 20:05:33 "/>
    <n v="1049"/>
    <x v="11"/>
    <x v="1"/>
    <n v="1020"/>
    <m/>
    <s v="Casa/Tanger"/>
    <n v="7.3209999999999997"/>
    <x v="2"/>
    <s v="N2"/>
    <x v="1"/>
    <s v="* Etat H.O : HO Non finalisé  entre 303 et  202_x000a_* qualité /niveau de signal : dl rx-qual=6, dl rx level = -61 dbm_x000a_    *Requête de déconnexion a été envoyée par le bord"/>
    <m/>
    <x v="0"/>
    <s v="En attente de mise en place des tiroires filtrés "/>
    <s v=" HO Non finalisé entre 303 et 202"/>
    <s v="dl Rxqual=6"/>
    <s v="dl rx level= -61 dbm"/>
    <s v="OK"/>
    <s v="OK"/>
    <s v="Mauvais"/>
    <s v=" Retransmission des trames HDLC*5"/>
    <m/>
    <s v="ELHAJOUIA Achraf"/>
    <m/>
    <m/>
    <m/>
    <m/>
    <m/>
    <m/>
    <m/>
  </r>
  <r>
    <n v="594"/>
    <x v="0"/>
    <x v="216"/>
    <d v="1899-12-30T20:26:34"/>
    <n v="1054"/>
    <x v="3"/>
    <x v="1"/>
    <n v="1008"/>
    <m/>
    <s v="Casa/Tanger"/>
    <n v="185.47"/>
    <x v="19"/>
    <s v="N2"/>
    <x v="0"/>
    <s v="* Etat H.O : HO complet  entre 332 et  331_x000a_* qualité /niveau de signal : dl rx-qual=0, dl rx level = -48 dbm_x000a_    *Requête de déconnexion a été envoyée par le RBC"/>
    <m/>
    <x v="0"/>
    <s v="En attente de mise en place des tiroires filtrés "/>
    <s v=" HO complet entre 332 et 331"/>
    <s v="dl Rxqual=0"/>
    <s v="dl rx level= -48 dbm"/>
    <s v="OK"/>
    <s v="OK"/>
    <s v="Mauvais"/>
    <s v=" Retransmission des trames HDLC*5"/>
    <m/>
    <s v="Fahd OUSSALH"/>
    <m/>
    <m/>
    <m/>
    <m/>
    <m/>
    <m/>
    <m/>
  </r>
  <r>
    <n v="595"/>
    <x v="0"/>
    <x v="216"/>
    <d v="1899-12-30T21:28:39"/>
    <n v="2061"/>
    <x v="11"/>
    <x v="0"/>
    <n v="1048"/>
    <m/>
    <s v="Tanger/Casa"/>
    <n v="109.495"/>
    <x v="1"/>
    <s v="N2"/>
    <x v="0"/>
    <s v="* Etat H.O : HO Recul non finalisé entre 219 et 220_x000a_* qualité /niveau de signal : dl rx-qual=5, dl rx level = -60 dbm_x000a_    *Requête de déconnexion a été envoyée par le RBC"/>
    <m/>
    <x v="0"/>
    <s v="En attente de mise en place des tiroires filtrés "/>
    <s v=" HO complet entre 219 et 220"/>
    <s v="dl Rxqual=5"/>
    <s v="dl rx level= -60 dbm"/>
    <s v="OK"/>
    <s v="OK"/>
    <s v="Mauvais"/>
    <s v=" Retransmission des trames HDLC*5"/>
    <m/>
    <s v="Fahd OUSSALH"/>
    <m/>
    <m/>
    <m/>
    <m/>
    <m/>
    <m/>
    <m/>
  </r>
  <r>
    <n v="596"/>
    <x v="0"/>
    <x v="216"/>
    <d v="1899-12-30T21:58:24"/>
    <n v="1058"/>
    <x v="8"/>
    <x v="1"/>
    <n v="1023"/>
    <m/>
    <s v="Casa/Tanger"/>
    <n v="35.259"/>
    <x v="25"/>
    <s v="N2"/>
    <x v="1"/>
    <s v="* Etat H.O : HO complet  entre 308 et  307_x000a_* qualité /niveau de signal : dl rx-qual=0, dl rx level = -57 dbm_x000a_    *Requête de déconnexion a été envoyée par le RBC"/>
    <m/>
    <x v="6"/>
    <s v="En attente de pousser les analyses coté Bord/RBC"/>
    <s v=" HO complet entre 308 et 307"/>
    <s v="dl Rxqual=0"/>
    <s v="dl rx level= -57 dbm"/>
    <s v="OK"/>
    <s v="OK"/>
    <s v="Mauvais"/>
    <s v=" Retransmission des trames HDLC*5"/>
    <m/>
    <s v="Fahd OUSSALH"/>
    <m/>
    <m/>
    <m/>
    <m/>
    <m/>
    <m/>
    <m/>
  </r>
  <r>
    <n v="597"/>
    <x v="0"/>
    <x v="216"/>
    <d v="1899-12-30T21:05:50"/>
    <n v="1054"/>
    <x v="3"/>
    <x v="1"/>
    <n v="1007"/>
    <m/>
    <s v="Casa/Tanger"/>
    <n v="7.3209999999999997"/>
    <x v="2"/>
    <s v="N2"/>
    <x v="0"/>
    <s v="* Etat H.O : HO complet  entre 303 et  202_x000a_* qualité /niveau de signal : dl rx-qual=7, dl rx level = -57 dbm_x000a_    *Requête de déconnexion a été envoyée par le RBC"/>
    <m/>
    <x v="0"/>
    <s v="En attente de mise en place des tiroires filtrés "/>
    <s v=" HO complet entre 303 et 202"/>
    <s v="dl Rxqual=7"/>
    <s v="dl rx level= -57 dbm"/>
    <s v="OK"/>
    <s v="OK"/>
    <s v="Mauvais"/>
    <s v=" Retransmission des trames HDLC*5"/>
    <m/>
    <s v="Fahd OUSSALH"/>
    <m/>
    <m/>
    <m/>
    <m/>
    <m/>
    <m/>
    <m/>
  </r>
  <r>
    <n v="598"/>
    <x v="0"/>
    <x v="217"/>
    <s v=" 07:45:58 "/>
    <n v="1001"/>
    <x v="10"/>
    <x v="1"/>
    <n v="1061"/>
    <m/>
    <s v="Casa/Tanger"/>
    <n v="94.953999999999994"/>
    <x v="8"/>
    <s v="N2"/>
    <x v="0"/>
    <s v="* Etat H.O : HO Non finalisé entre 318 et 317_x000a_* qualité /niveau de signal : dl rx-qual=7, dl rx level = - 80 dbm_x000a_    *Requête de déconnexion a été envoyée par le RBC"/>
    <m/>
    <x v="0"/>
    <s v="chaine antennaire dégradé "/>
    <s v=" HO Non finalisé entre 318 et 317"/>
    <s v="dl Rxqual=7"/>
    <s v="dl rx level= -80dbm"/>
    <s v="OK"/>
    <s v="OK"/>
    <s v="Mauvais"/>
    <s v=" Retransmission des trames HDLC*5"/>
    <m/>
    <s v="Noura MOUSSAOUI"/>
    <m/>
    <m/>
    <m/>
    <m/>
    <m/>
    <m/>
    <m/>
  </r>
  <r>
    <n v="599"/>
    <x v="0"/>
    <x v="217"/>
    <d v="1899-12-30T12:20:08"/>
    <n v="2025"/>
    <x v="5"/>
    <x v="0"/>
    <n v="1024"/>
    <m/>
    <s v="Tanger/Casa"/>
    <n v="68.956000000000003"/>
    <x v="0"/>
    <s v="N2"/>
    <x v="1"/>
    <s v="* Etat H.O : HO Complet entre 212 et 213_x000a_* qualité /niveau de signal : dl rx-qual=0, dl rx level = -48 dbm_x000a_    *Requête de déconnexion a été envoyée par le RBC"/>
    <m/>
    <x v="0"/>
    <s v="Zone sous surveillance par équipe NOC GSMR"/>
    <s v=" HO Complet entre 212 et 213"/>
    <s v="dl Rxqual=0"/>
    <s v="dl rx level= -48 dbm"/>
    <s v="OK"/>
    <s v="OK"/>
    <s v="Mauvais"/>
    <s v=" Retransmission des trames HDLC*5"/>
    <m/>
    <s v="Noura MOUSSAOUI"/>
    <m/>
    <m/>
    <m/>
    <m/>
    <m/>
    <m/>
    <m/>
  </r>
  <r>
    <n v="600"/>
    <x v="0"/>
    <x v="217"/>
    <d v="1899-12-30T20:02:05"/>
    <n v="1049"/>
    <x v="8"/>
    <x v="1"/>
    <n v="1023"/>
    <m/>
    <s v="Casa/Tanger"/>
    <n v="26.739000000000001"/>
    <x v="7"/>
    <s v="N2"/>
    <x v="1"/>
    <s v="* Etat H.O : HO Non finalisé entre 207 et 305 (saute cellule)_x000a_* qualité /niveau de signal : dl rx-qual=7, dl rx level = - 89 dbm_x000a_    *Requête de déconnexion a été envoyée par le bord"/>
    <m/>
    <x v="0"/>
    <s v="En attente de mise en place des tiroires filtrés "/>
    <s v=" HO Non finalisé entre 207 et 305"/>
    <s v="dl Rxqual=7"/>
    <s v="dl rx level= -89 dbm"/>
    <s v="OK"/>
    <s v="OK"/>
    <s v="Mauvais"/>
    <s v=" Retransmission des trames HDLC*5"/>
    <m/>
    <s v="ELHAJOUIA Achraf"/>
    <m/>
    <m/>
    <m/>
    <m/>
    <m/>
    <m/>
    <m/>
  </r>
  <r>
    <n v="601"/>
    <x v="0"/>
    <x v="218"/>
    <d v="1899-12-30T08:39:46"/>
    <n v="1005"/>
    <x v="7"/>
    <x v="1"/>
    <n v="1041"/>
    <m/>
    <s v="Casa/Tanger"/>
    <n v="129.18"/>
    <x v="10"/>
    <s v="N2"/>
    <x v="0"/>
    <s v="* Etat H.O :HO Complet entre 324 et 323_x000a_* qualité /niveau de signal : dl rx-qual=0, dl rx level = - 51 dbm_x000a_    *Requête de déconnexion a été envoyée par le RBC"/>
    <m/>
    <x v="0"/>
    <s v="En attente de mise en place des tiroires filtrés "/>
    <s v="HO Complet entre 324 et 323"/>
    <s v="dl Rxqual=0"/>
    <s v="dl rx level= -51 dbm"/>
    <s v="OK"/>
    <s v="OK"/>
    <s v="Mauvais"/>
    <s v=" Retransmission des trames HDLC*5"/>
    <m/>
    <s v="Noura MOUSSAOUI"/>
    <m/>
    <m/>
    <m/>
    <m/>
    <m/>
    <m/>
    <m/>
  </r>
  <r>
    <n v="602"/>
    <x v="0"/>
    <x v="218"/>
    <s v="09:35:15 "/>
    <n v="2013"/>
    <x v="8"/>
    <x v="0"/>
    <n v="1042"/>
    <m/>
    <s v="Tanger/Casa"/>
    <n v="144.32599999999999"/>
    <x v="3"/>
    <s v="N2"/>
    <x v="0"/>
    <s v="* Etat H.O :HO Complet entre 324 et 225_x000a_* qualité /niveau de signal : dl rx-qual=0, dl rx level = -59 dbm_x000a_    *Requête de déconnexion a été envoyée par le RBC"/>
    <m/>
    <x v="0"/>
    <s v="En attente de mise en place des tiroires filtrés "/>
    <s v="HO Complet entre 324 et 225"/>
    <s v="dl Rxqual=0"/>
    <s v="dl rx level= -59 dbm"/>
    <s v="OK"/>
    <s v="OK"/>
    <s v="Mauvais"/>
    <s v=" Retransmission des trames HDLC*5"/>
    <m/>
    <s v="Noura MOUSSAOUI"/>
    <m/>
    <m/>
    <m/>
    <m/>
    <m/>
    <m/>
    <m/>
  </r>
  <r>
    <n v="603"/>
    <x v="0"/>
    <x v="218"/>
    <d v="1899-12-30T10:08:40"/>
    <n v="2017"/>
    <x v="7"/>
    <x v="0"/>
    <n v="1055"/>
    <m/>
    <s v="Tanger/Casa"/>
    <n v="16.29"/>
    <x v="22"/>
    <s v="N2"/>
    <x v="0"/>
    <s v="* Etat H.O :HO Complet entre 203 et 204_x000a_* qualité /niveau de signal : dl rx-qual=0, dl rx level = -48 dbm_x000a_    *Requête de déconnexion a été envoyée par le RBC"/>
    <m/>
    <x v="0"/>
    <s v="En attente de mise en place des tiroires filtrés "/>
    <s v="HO Complet entre 203 et 204"/>
    <s v="dl Rxqual=0"/>
    <s v="dl rx level= -48 dbm"/>
    <s v="OK"/>
    <s v="OK"/>
    <s v="Mauvais"/>
    <s v=" Retransmission des trames HDLC*5"/>
    <m/>
    <s v="Noura MOUSSAOUI"/>
    <m/>
    <m/>
    <m/>
    <m/>
    <m/>
    <m/>
    <m/>
  </r>
  <r>
    <n v="604"/>
    <x v="0"/>
    <x v="218"/>
    <d v="1899-12-30T20:41:47"/>
    <n v="2057"/>
    <x v="0"/>
    <x v="0"/>
    <n v="1037"/>
    <m/>
    <s v="Tanger/Casa"/>
    <n v="172.83600000000001"/>
    <x v="27"/>
    <s v="N2"/>
    <x v="0"/>
    <s v="* Etat H.O :HO Non finalisé entre 229 et 230_x000a_* qualité /niveau de signal : dl rx-qual=1, dl rx level = -64 dbm_x000a_    *Requête de déconnexion a été envoyée par le RBC"/>
    <m/>
    <x v="0"/>
    <s v="En attente de mise en place des tiroires filtrés "/>
    <s v=" HO Non finalisé entre 229 et 230"/>
    <s v="dl Rxqual=1"/>
    <s v="dl rx level= -64 dbm"/>
    <s v="NOK"/>
    <s v="OK"/>
    <s v="Mauvais"/>
    <s v=" Retransmission des trames HDLC*5"/>
    <m/>
    <s v="ELHAJOUIA Achraf"/>
    <m/>
    <m/>
    <m/>
    <m/>
    <m/>
    <m/>
    <m/>
  </r>
  <r>
    <n v="605"/>
    <x v="0"/>
    <x v="218"/>
    <d v="1899-12-30T22:56:30"/>
    <n v="1262"/>
    <x v="2"/>
    <x v="1"/>
    <n v="1061"/>
    <m/>
    <s v="Casa/Tanger"/>
    <n v="39.215000000000003"/>
    <x v="14"/>
    <s v="N2"/>
    <x v="0"/>
    <s v="* Etat H.O :HO Complet entre 308 et 307_x000a_* qualité /niveau de signal : dl rx-qual=0, dl rx level = -55 dbm_x000a_    *Requête de déconnexion a été envoyée par le RBC"/>
    <m/>
    <x v="0"/>
    <s v="En attente de mise en place des tiroires filtrés "/>
    <s v="HO Complet entre 308 et 307"/>
    <s v="dl Rxqual=0"/>
    <s v="dl rx level= -55 dbm"/>
    <s v="OK"/>
    <s v="OK"/>
    <s v="Mauvais"/>
    <s v=" Retransmission des trames HDLC*5"/>
    <m/>
    <s v="HARIRI Bahaeddine"/>
    <m/>
    <m/>
    <m/>
    <m/>
    <m/>
    <m/>
    <m/>
  </r>
  <r>
    <n v="606"/>
    <x v="0"/>
    <x v="219"/>
    <d v="1899-12-30T23:56:30"/>
    <n v="1262"/>
    <x v="11"/>
    <x v="0"/>
    <n v="1048"/>
    <m/>
    <s v="Tanger/Casa"/>
    <n v="6.13"/>
    <x v="2"/>
    <s v="N2"/>
    <x v="1"/>
    <s v="* Etat H.O : HO Non finalisé  entre 202 et 203  _x000a_* qualité /niveau de signal : dl rx-qual=7, dl rx level = -110 dbm_x000a_* Retransmission des trames HDLC*5_x000a_* Communication SOL-Bord : OK_x000a_* Voisinage: OK_x000a__x000a_"/>
    <m/>
    <x v="0"/>
    <s v="En attente de mise en place des tiroires filtrés "/>
    <s v=" HO Non finalisé  entre 202 et 203 "/>
    <s v="dl Rxqual=7"/>
    <s v="dl rx level= - 110  dbm"/>
    <s v="OK"/>
    <s v="OK"/>
    <s v="Mauvais"/>
    <s v=" Retransmission des trames HDLC*5"/>
    <m/>
    <s v="Oussama ZEHOUANI"/>
    <m/>
    <m/>
    <m/>
    <m/>
    <m/>
    <m/>
    <m/>
  </r>
  <r>
    <n v="607"/>
    <x v="0"/>
    <x v="220"/>
    <d v="1899-12-30T10:58:26"/>
    <n v="1013"/>
    <x v="3"/>
    <x v="1"/>
    <n v="1008"/>
    <m/>
    <s v="Casa/Tanger"/>
    <n v="31.350999999999999"/>
    <x v="25"/>
    <s v="N2"/>
    <x v="0"/>
    <s v="* Etat H.O : HO finalisé entre 307 et 306_x000a_* qualité /niveau de signal : dl rx-qual=0, dl rx level = -48 dbm_x000a_* Retransmission des trames HDLC*5_x000a_* Communication SOL-Bord : NOK_x000a_* Voisinage: OK_x000a__x000a_"/>
    <m/>
    <x v="6"/>
    <s v="Zone sous surveillance par équipe NOC GSMR"/>
    <s v=" HO finalisé entre 307 et 306"/>
    <s v="dl Rxqual=0"/>
    <s v="dl rx level= - 48  dbm"/>
    <s v="OK"/>
    <s v="NOK"/>
    <s v="Mauvais"/>
    <s v=" Retransmission des trames HDLC*5"/>
    <m/>
    <s v="Saad Elhabib"/>
    <m/>
    <m/>
    <m/>
    <m/>
    <m/>
    <m/>
    <m/>
  </r>
  <r>
    <n v="608"/>
    <x v="0"/>
    <x v="220"/>
    <d v="1899-12-30T18:26:30"/>
    <n v="2049"/>
    <x v="3"/>
    <x v="0"/>
    <n v="1046"/>
    <m/>
    <s v="Tanger/Casa"/>
    <n v="101.587"/>
    <x v="24"/>
    <s v="N2"/>
    <x v="0"/>
    <s v="* Etat H.O :HO Complet entre 317 et 318_x000a_* qualité /niveau de signal : dl rx-qual=0, dl rx level = -51 dbm_x000a_    *Requête de déconnexion a été envoyée par le RBC"/>
    <m/>
    <x v="0"/>
    <s v="En attente de mise en place des tiroires filtrés "/>
    <s v=" HO finalisé entre 317 et 318"/>
    <s v="dl Rxqual=0"/>
    <s v="dl rx level= - 51  dbm"/>
    <s v="OK"/>
    <s v="OK"/>
    <s v="Mauvais"/>
    <s v=" Retransmission des trames HDLC*5"/>
    <m/>
    <s v="HARIRI Bahaeddine"/>
    <m/>
    <m/>
    <m/>
    <m/>
    <m/>
    <m/>
    <m/>
  </r>
  <r>
    <n v="609"/>
    <x v="0"/>
    <x v="220"/>
    <d v="1899-12-30T21:33:13"/>
    <n v="1058"/>
    <x v="0"/>
    <x v="1"/>
    <n v="1046"/>
    <m/>
    <s v="Casa/Tanger"/>
    <n v="182.86500000000001"/>
    <x v="31"/>
    <s v="N2"/>
    <x v="0"/>
    <s v="* Etat H.O :HO Complet entre 332 et 331_x000a_* qualité /niveau de signal : dl rx-qual=0, dl rx level = -48 dbm_x000a_    *Requête de déconnexion a été envoyée par le RBC"/>
    <m/>
    <x v="0"/>
    <s v="En attente de mise en place des tiroires filtrés "/>
    <s v=" HO finalisé entre 332 et 331"/>
    <s v="dl Rxqual=0"/>
    <s v="dl rx level= - 48  dbm"/>
    <s v="OK"/>
    <s v="OK"/>
    <s v="Mauvais"/>
    <s v=" Retransmission des trames HDLC*5"/>
    <m/>
    <s v="HARIRI Bahaeddine"/>
    <m/>
    <m/>
    <m/>
    <m/>
    <m/>
    <m/>
    <m/>
  </r>
  <r>
    <n v="610"/>
    <x v="0"/>
    <x v="221"/>
    <d v="1899-12-30T07:46:05"/>
    <n v="1001"/>
    <x v="7"/>
    <x v="1"/>
    <n v="1041"/>
    <m/>
    <s v="Casa/Tanger"/>
    <n v="94.953999999999994"/>
    <x v="8"/>
    <s v="N2"/>
    <x v="0"/>
    <s v="* Etat H.O :HO non finalisé entre 318 et 317_x000a_* qualité /niveau de signal : dl rx-qual=7, dl rx level = -85 dbm_x000a_    *Requête de déconnexion a été envoyée par le RBC"/>
    <m/>
    <x v="1"/>
    <s v="Zone sous surveillance par équipe NOC GSMR"/>
    <s v=" HO Non finalisé  entre 318 et 317 "/>
    <s v="dl Rxqual=7"/>
    <s v="dl rx level= - 85  dbm"/>
    <s v="OK"/>
    <s v="OK"/>
    <s v="Mauvais"/>
    <s v=" Retransmission des trames HDLC*5"/>
    <m/>
    <s v="Noura MOUSSAOUI"/>
    <m/>
    <m/>
    <m/>
    <m/>
    <m/>
    <m/>
    <m/>
  </r>
  <r>
    <n v="611"/>
    <x v="0"/>
    <x v="221"/>
    <d v="1899-12-30T12:30:59"/>
    <n v="1021"/>
    <x v="9"/>
    <x v="1"/>
    <n v="1030"/>
    <m/>
    <s v="Casa/Tanger"/>
    <n v="166.529"/>
    <x v="28"/>
    <s v="N2"/>
    <x v="0"/>
    <s v="* Etat H.O :HO Complet entre 330 et 329_x000a_* qualité /niveau de signal : dl rx-qual=5, dl rx level = -68 dbm_x000a_    *Requête de déconnexion a été envoyée par le RBC"/>
    <m/>
    <x v="0"/>
    <s v="En attente de mise en place des tiroires filtrés "/>
    <s v=" HO finalisé entre 330 et 329"/>
    <s v="dl Rxqual=5"/>
    <s v="dl rx level= - 68  dbm"/>
    <s v="OK"/>
    <s v="OK"/>
    <s v="Mauvais"/>
    <s v=" Retransmission des trames HDLC*5"/>
    <m/>
    <s v="HAMZAOUI Youssef"/>
    <m/>
    <m/>
    <m/>
    <m/>
    <m/>
    <m/>
    <m/>
  </r>
  <r>
    <n v="612"/>
    <x v="0"/>
    <x v="221"/>
    <d v="1899-12-30T12:42:39"/>
    <n v="1022"/>
    <x v="9"/>
    <x v="1"/>
    <n v="1031"/>
    <m/>
    <s v="Casa/Tanger"/>
    <n v="114.607"/>
    <x v="17"/>
    <s v="N2"/>
    <x v="0"/>
    <s v="* Etat H.O :HO Complet entre 320 et 321_x000a_* qualité /niveau de signal : dl rx-qual=0, dl rx level = -60 dbm_x000a_    *Requête de déconnexion a été envoyée par le RBC"/>
    <m/>
    <x v="2"/>
    <s v="Zone sous surveillance par équipe NOC GSMR"/>
    <s v=" HO finalisé entre 320 et 321"/>
    <s v="dl Rxqual=0"/>
    <s v="dl rx level= - 60  dbm"/>
    <s v="OK"/>
    <s v="OK"/>
    <s v="Mauvais"/>
    <s v=" Retransmission des trames HDLC*5"/>
    <m/>
    <s v="HAMZAOUI Youssef"/>
    <m/>
    <m/>
    <m/>
    <m/>
    <m/>
    <m/>
    <m/>
  </r>
  <r>
    <n v="613"/>
    <x v="0"/>
    <x v="221"/>
    <s v="17 :05 :31"/>
    <n v="2045"/>
    <x v="2"/>
    <x v="0"/>
    <s v=" 7217"/>
    <m/>
    <s v="Tanger/Casa"/>
    <n v="7.3810000000000002"/>
    <x v="2"/>
    <s v="N2"/>
    <x v="1"/>
    <s v="* Etat H.O :HO Non Finalisé entre 202 et 303_x000a_* qualité /niveau de signal : dl rx-qual=6, dl rx level = -51 dbm_x000a_    *Requête de déconnexion a été envoyée par le Bord"/>
    <m/>
    <x v="0"/>
    <s v="En attente de mise en place des tiroires filtrés "/>
    <s v="HO Non Finalisé entre 202 et 303"/>
    <s v="dl Rxqual=6"/>
    <s v="dl rx level= - 51  dbm"/>
    <s v="OK"/>
    <s v="NOK"/>
    <s v="Mauvais"/>
    <s v=" Pas de Retransmission des trames HDLC"/>
    <m/>
    <s v="Noura MOUSSAOUI"/>
    <m/>
    <m/>
    <m/>
    <m/>
    <m/>
    <m/>
    <m/>
  </r>
  <r>
    <n v="614"/>
    <x v="0"/>
    <x v="221"/>
    <d v="1899-12-30T17:11:45"/>
    <n v="2045"/>
    <x v="2"/>
    <x v="0"/>
    <n v="7218"/>
    <m/>
    <s v="Tanger/Casa"/>
    <n v="13.712999999999999"/>
    <x v="22"/>
    <s v="N2"/>
    <x v="0"/>
    <s v="* Etat H.O :HO Complet entre 203 et 204_x000a_* qualité /niveau de signal : Absence des mesures radio_x000a_    *Requête de déconnexion a été envoyée par le RBC"/>
    <m/>
    <x v="0"/>
    <s v="En attente de mise en place des tiroires filtrés "/>
    <s v=" HO finalisé entre 203 et 204"/>
    <s v="dl Rxqual="/>
    <s v="dl rx level= "/>
    <s v="OK"/>
    <s v="OK"/>
    <s v="Mauvais"/>
    <s v=" Retransmission des trames HDLC*5"/>
    <m/>
    <s v="HARIRI Bahaeddine"/>
    <m/>
    <m/>
    <m/>
    <m/>
    <m/>
    <m/>
    <m/>
  </r>
  <r>
    <n v="615"/>
    <x v="0"/>
    <x v="222"/>
    <s v="08:46:31 "/>
    <s v="2009 "/>
    <x v="3"/>
    <x v="0"/>
    <n v="1046"/>
    <m/>
    <s v="Tanger/Casa"/>
    <n v="186.315"/>
    <x v="19"/>
    <s v="N2"/>
    <x v="0"/>
    <s v="* Etat H.O : HO Non finalisé entre 232 et 233_x000a_* qualité /niveau de signal : dl rx-qual=0, dl rx level = -62 dbm_x000a_    *Requête de déconnexion a été envoyée par le RBC"/>
    <m/>
    <x v="2"/>
    <s v="En attente de mise en place des tiroires filtrés "/>
    <s v="HO Non finalisé entre 232 et 233"/>
    <s v="dl Rxqual=0"/>
    <s v="dl rx level= -62"/>
    <s v="NOK"/>
    <s v="OK"/>
    <s v="Mauvais"/>
    <s v=" Retransmission des trames HDLC*5"/>
    <m/>
    <s v="Noura MOUSSAOUI"/>
    <m/>
    <m/>
    <m/>
    <m/>
    <m/>
    <m/>
    <m/>
  </r>
  <r>
    <n v="616"/>
    <x v="0"/>
    <x v="222"/>
    <s v="13:05:08 "/>
    <n v="1021"/>
    <x v="3"/>
    <x v="1"/>
    <n v="1007"/>
    <m/>
    <s v="Casa/Tanger"/>
    <n v="7.3209999999999997"/>
    <x v="2"/>
    <s v="N2"/>
    <x v="0"/>
    <s v="* Etat H.O : HO Non finalisé entre 202 et 203_x000a_* qualité /niveau de signal : dl rx-qual=6, dl rx level = -52 dbm_x000a_    *Requête de déconnexion a été envoyée par le RBC"/>
    <m/>
    <x v="0"/>
    <s v="En attente de mise en place des tiroires filtrés "/>
    <s v="HO Non finalisé entre 202 et 203"/>
    <s v="dl Rxqual=6"/>
    <s v="dl rx level= -52"/>
    <s v="NOK"/>
    <s v="OK"/>
    <s v="Mauvais"/>
    <s v=" Retransmission des trames HDLC*5"/>
    <m/>
    <s v="Noura MOUSSAOUI"/>
    <m/>
    <m/>
    <m/>
    <m/>
    <m/>
    <m/>
    <m/>
  </r>
  <r>
    <n v="617"/>
    <x v="0"/>
    <x v="222"/>
    <s v="18:03:52 "/>
    <n v="2049"/>
    <x v="4"/>
    <x v="0"/>
    <n v="1058"/>
    <m/>
    <s v="Tanger/Casa"/>
    <n v="4"/>
    <x v="2"/>
    <s v="N2"/>
    <x v="1"/>
    <s v="* Etat H.O : HO finalisé entre 201 et 202_x000a_* qualité /niveau de signal : dl rx-qual=0, dl rx level = -48 dbm_x000a_    *Requête de déconnexion a été envoyée par le RBC"/>
    <m/>
    <x v="0"/>
    <s v="En attente de mise en place des tiroires filtrés "/>
    <s v="HO finalisé entre 202 et 203"/>
    <s v="dl Rxqual=0"/>
    <s v="dl rx level= -48"/>
    <s v="NOK"/>
    <s v="OK"/>
    <s v="Mauvais"/>
    <s v=" Retransmission des trames HDLC*5"/>
    <m/>
    <s v="MAROUANI Otmane"/>
    <m/>
    <m/>
    <m/>
    <m/>
    <m/>
    <m/>
    <m/>
  </r>
  <r>
    <n v="618"/>
    <x v="0"/>
    <x v="223"/>
    <d v="1899-12-30T04:37:30"/>
    <n v="2081"/>
    <x v="1"/>
    <x v="0"/>
    <n v="1029"/>
    <m/>
    <s v="Tanger/Casa"/>
    <n v="85.888000000000005"/>
    <x v="12"/>
    <s v="N2"/>
    <x v="0"/>
    <s v="* Etat H.O : HO complet entre 215 et 216_x000a_* qualité /niveau de signal : dl rx-qual=0, dl rx level = -48 dbm_x000a_    *Requête de déconnexion a été envoyée par le RBC"/>
    <m/>
    <x v="0"/>
    <s v="En attente de mise en place des tiroires filtrés "/>
    <s v="HO complet entre 215 et 216"/>
    <s v="dl Rxqual=0"/>
    <s v="dl rx level= -48"/>
    <s v="OK"/>
    <s v="OK"/>
    <s v="Mauvais"/>
    <s v=" Retransmission des trames HDLC*5"/>
    <m/>
    <s v="HARIRI Bahaeddine"/>
    <m/>
    <m/>
    <m/>
    <m/>
    <m/>
    <m/>
    <m/>
  </r>
  <r>
    <n v="619"/>
    <x v="0"/>
    <x v="223"/>
    <s v="13:06:46 "/>
    <n v="1022"/>
    <x v="1"/>
    <x v="1"/>
    <n v="3062"/>
    <m/>
    <s v="Casa/Tanger"/>
    <n v="7.3209999999999997"/>
    <x v="2"/>
    <s v="N2"/>
    <x v="0"/>
    <s v="* Etat H.O :  HO Non finalisé entre 302 et 203_x000a_* qualité /niveau de signal : dl rx-qual=6, dl rx level = -52 dbm_x000a_    *Requête de déconnexion a été envoyée par le bord"/>
    <m/>
    <x v="0"/>
    <s v="En attente de mise en place des tiroires filtrés "/>
    <s v="HO Non finalisé entre 302 et 203"/>
    <s v="dl Rxqual=6"/>
    <s v="dl rx level= -52"/>
    <s v="OK"/>
    <s v="OK"/>
    <s v="Mauvais"/>
    <s v=" Pas de Retransmission des trames HDLC"/>
    <m/>
    <s v="Noura MOUSSAOUI"/>
    <m/>
    <m/>
    <m/>
    <m/>
    <m/>
    <m/>
    <m/>
  </r>
  <r>
    <n v="620"/>
    <x v="0"/>
    <x v="223"/>
    <d v="1899-12-30T19:05:02"/>
    <n v="2053"/>
    <x v="10"/>
    <x v="0"/>
    <n v="7206"/>
    <m/>
    <s v="Tanger/Casa"/>
    <n v="6.13"/>
    <x v="2"/>
    <s v="N2"/>
    <x v="1"/>
    <s v="* Etat H.O : HO non complet entre 202 et 203_x000a_* qualité /niveau de signal : dl rx-qual=7, dl rx level = -54 dbm_x000a_    *Requête de déconnexion a été envoyée par le RBC"/>
    <m/>
    <x v="0"/>
    <s v="En attente de mise en place des tiroires filtrés "/>
    <s v="HO complet entre 202 et 203"/>
    <s v="dl Rxqual=7"/>
    <s v="dl rx level= -54"/>
    <s v="NOK"/>
    <s v="OK"/>
    <s v="Mauvais"/>
    <s v=" Retransmission des trames HDLC*5"/>
    <m/>
    <s v="ELGUEZZAR Anas"/>
    <m/>
    <m/>
    <m/>
    <m/>
    <m/>
    <m/>
    <m/>
  </r>
  <r>
    <n v="621"/>
    <x v="0"/>
    <x v="224"/>
    <d v="1899-12-30T07:38:52"/>
    <n v="2005"/>
    <x v="7"/>
    <x v="0"/>
    <n v="1055"/>
    <m/>
    <s v="Tanger/Casa"/>
    <n v="161.72200000000001"/>
    <x v="9"/>
    <s v="N2"/>
    <x v="0"/>
    <s v="* Etat H.O : HO Non finalisé entre 227 et 228_x000a_* qualité /niveau de signal : dl rx-qual=0, dl rx level = -66 dbm_x000a_    *Requête de déconnexion a été envoyée par le RBC"/>
    <m/>
    <x v="0"/>
    <s v="En attente de mise en place des tiroires filtrés "/>
    <s v="HO Non finalisé entre 227 et 228"/>
    <s v="dl Rxqual=0"/>
    <s v="dl rx level= -66"/>
    <s v="NOK"/>
    <s v="OK"/>
    <s v="Mauvais"/>
    <s v=" Retransmission des trames HDLC*5"/>
    <m/>
    <s v="ELHAJOUIA Achraf"/>
    <m/>
    <m/>
    <m/>
    <m/>
    <m/>
    <m/>
    <m/>
  </r>
  <r>
    <n v="622"/>
    <x v="0"/>
    <x v="224"/>
    <d v="1899-12-30T12:05:16"/>
    <n v="1018"/>
    <x v="7"/>
    <x v="1"/>
    <n v="1041"/>
    <m/>
    <s v="Casa/Tanger"/>
    <n v="7.3209999999999997"/>
    <x v="2"/>
    <s v="N2"/>
    <x v="0"/>
    <s v="* Etat H.O : HO Complet entre 202 et 203_x000a_* qualité /niveau de signal : dl rx-qual=0, dl rx level = -77dbm_x000a_    *Requête de déconnexion a été envoyée par le RBC"/>
    <m/>
    <x v="0"/>
    <s v="En attente de mise en place des tiroires filtrés "/>
    <s v="HO complet entre 202 et 203"/>
    <s v="dl Rxqual=0"/>
    <s v="dl rx level= -77"/>
    <s v="OK"/>
    <s v="OK"/>
    <s v="Mauvais"/>
    <s v=" Retransmission des trames HDLC*5"/>
    <m/>
    <s v="Noura MOUSSAOUI"/>
    <m/>
    <m/>
    <m/>
    <m/>
    <m/>
    <m/>
    <m/>
  </r>
  <r>
    <n v="623"/>
    <x v="0"/>
    <x v="224"/>
    <d v="1899-12-30T21:11:16"/>
    <n v="1053"/>
    <x v="7"/>
    <x v="1"/>
    <n v="1040"/>
    <m/>
    <s v="Casa/Tanger"/>
    <n v="7.3209999999999997"/>
    <x v="2"/>
    <s v="N2"/>
    <x v="1"/>
    <s v="* Etat H.O : HO non finalisé entre 202 et 303_x000a_* qualité /niveau de signal : dl rx-qual=6, dl rx level = -53 dbm_x000a_*Requête de déconnexion a été envoyée par le RBC"/>
    <m/>
    <x v="0"/>
    <s v="En attente de mise en place des tiroires filtrés "/>
    <s v="HO Non finalisé entre 202 et 303"/>
    <s v="dl Rxqual=6"/>
    <s v="dl rx level= -53"/>
    <s v="NOK"/>
    <s v="OK"/>
    <s v="Mauvais"/>
    <s v=" Retransmission des trames HDLC*5"/>
    <m/>
    <s v="Saad Elhabib"/>
    <m/>
    <m/>
    <m/>
    <m/>
    <m/>
    <m/>
    <m/>
  </r>
  <r>
    <n v="624"/>
    <x v="0"/>
    <x v="224"/>
    <d v="1899-12-30T22:25:29"/>
    <n v="1062"/>
    <x v="3"/>
    <x v="1"/>
    <n v="1007"/>
    <m/>
    <s v="Casa/Tanger"/>
    <n v="198.98400000000001"/>
    <x v="5"/>
    <s v="N2"/>
    <x v="1"/>
    <s v="* Etat H.O : HO non finalisé entre RAC et 333_x000a_* qualité /niveau de signal : dl rx-qual=7, dl rx level = -70 dbm_x000a_*Requête de déconnexion a été envoyée par le Bord"/>
    <m/>
    <x v="1"/>
    <s v="Zone sous surveillance par équipe NOC GSMR"/>
    <s v="HO non finalisé entre RAC et 333"/>
    <s v="dl Rxqual=7"/>
    <s v="dl rx level= -70"/>
    <s v="OK"/>
    <s v="OK"/>
    <s v="Mauvais"/>
    <s v=" Retransmission des trames HDLC*5"/>
    <m/>
    <s v="Saad Elhabib"/>
    <m/>
    <m/>
    <m/>
    <m/>
    <m/>
    <m/>
    <m/>
  </r>
  <r>
    <n v="625"/>
    <x v="0"/>
    <x v="225"/>
    <d v="1899-12-30T07:44:22"/>
    <n v="1001"/>
    <x v="0"/>
    <x v="1"/>
    <n v="1045"/>
    <m/>
    <s v="Casa/Tanger"/>
    <n v="104.253"/>
    <x v="24"/>
    <s v="N2"/>
    <x v="0"/>
    <s v="* Etat H.O : HO non finalisé entre 319 et 318_x000a_* qualité /niveau de signal : dl rx-qual=0, dl rx level = -62dbm_x000a_*Requête de déconnexion a été envoyée par le RBC"/>
    <m/>
    <x v="0"/>
    <s v="En attente de mise en place des tiroires filtrés "/>
    <s v="HO non finalisé entre 319 et 318"/>
    <s v="dl Rxqual=0"/>
    <s v="dl rx level= -62"/>
    <s v="NOK"/>
    <s v="OK"/>
    <s v="Mauvais"/>
    <s v=" Retransmission des trames HDLC*5"/>
    <m/>
    <s v="Noura MOUSSAOUI"/>
    <m/>
    <m/>
    <m/>
    <m/>
    <m/>
    <m/>
    <m/>
  </r>
  <r>
    <n v="626"/>
    <x v="0"/>
    <x v="225"/>
    <d v="1899-12-30T08:29:41"/>
    <n v="1005"/>
    <x v="9"/>
    <x v="1"/>
    <n v="1030"/>
    <m/>
    <s v="Casa/Tanger"/>
    <n v="177.85"/>
    <x v="4"/>
    <s v="N2"/>
    <x v="0"/>
    <s v="* Etat H.O : HO Complet entre 231 et 229 (saute cellule)_x000a_* qualité /niveau de signal : dl rx-qual=0, dl rx level = -66dbm_x000a_*Requête de déconnexion a été envoyée par le RBC"/>
    <m/>
    <x v="0"/>
    <s v="En attente de mise en place des tiroires filtrés "/>
    <s v=" HO Complet entre 231 et 229"/>
    <s v="dl Rxqual=0"/>
    <s v="dl rx level= -66"/>
    <s v="OK"/>
    <s v="OK"/>
    <s v="Mauvais"/>
    <s v=" Retransmission des trames HDLC*5"/>
    <m/>
    <s v="Noura MOUSSAOUI"/>
    <m/>
    <m/>
    <m/>
    <m/>
    <m/>
    <m/>
    <m/>
  </r>
  <r>
    <n v="627"/>
    <x v="0"/>
    <x v="225"/>
    <d v="1899-12-30T20:24:57"/>
    <n v="1053"/>
    <x v="0"/>
    <x v="1"/>
    <n v="1044"/>
    <m/>
    <s v="Casa/Tanger"/>
    <n v="199.292"/>
    <x v="5"/>
    <s v="N2"/>
    <x v="1"/>
    <s v="*  Etat H.O : HO finalisé entre 234 et 233_x000a_* qualité /niveau de signal : dl rx-qual=0, dl rx level = -48 dbm_x000a_*Requête de déconnexion a été envoyée par le RBC"/>
    <m/>
    <x v="0"/>
    <s v="En attente de mise en place des tiroires filtrés "/>
    <s v="HO finalisé entre 234 et 233"/>
    <s v="dl Rxqual=0"/>
    <s v="dl rx level= -48"/>
    <s v="OK"/>
    <s v="OK"/>
    <s v="Mauvais"/>
    <s v=" Retransmission des trames HDLC*5"/>
    <m/>
    <s v="Saad Elhabib"/>
    <m/>
    <m/>
    <m/>
    <m/>
    <m/>
    <m/>
    <m/>
  </r>
  <r>
    <n v="628"/>
    <x v="0"/>
    <x v="225"/>
    <d v="1899-12-30T20:29:35"/>
    <n v="2057"/>
    <x v="7"/>
    <x v="0"/>
    <n v="1038"/>
    <m/>
    <s v="Tanger/Casa"/>
    <n v="108.206"/>
    <x v="1"/>
    <s v="N2"/>
    <x v="0"/>
    <s v="* Etat H.O : HO Non finalisé entre 219 et 320_x000a_* qualité /niveau de signal : dl rx-qual=7, dl rx level = -69 dbm_x000a_*Requête de déconnexion a été envoyée par le RBC"/>
    <m/>
    <x v="2"/>
    <s v="zone sous surveillance par équipe NOC GSMR"/>
    <s v="HO Non finalisé entre 219 et 320"/>
    <s v="dl Rxqual=7"/>
    <s v="dl rx level= -69"/>
    <s v="OK"/>
    <s v="OK"/>
    <s v="Mauvais"/>
    <s v=" Retransmission des trames HDLC*5"/>
    <m/>
    <s v="ISMALI ALAOUI Hamza"/>
    <m/>
    <m/>
    <m/>
    <m/>
    <m/>
    <m/>
    <m/>
  </r>
  <r>
    <n v="629"/>
    <x v="0"/>
    <x v="225"/>
    <d v="1899-12-30T20:35:56"/>
    <n v="1054"/>
    <x v="0"/>
    <x v="1"/>
    <n v="1044"/>
    <m/>
    <s v="Casa/Tanger"/>
    <n v="177.85"/>
    <x v="4"/>
    <s v="N2"/>
    <x v="0"/>
    <s v="* Etat H.O : HO finalisé entre 231 et 329_x000a_* qualité /niveau de signal : dl rx-qual=0, dl rx level = -110 dbm_x000a_*Requête de déconnexion a été envoyée par le RBC"/>
    <m/>
    <x v="0"/>
    <s v="En attente de mise en place des tiroires filtrés "/>
    <s v="HO finalisé entre 231 et 329"/>
    <s v="dl Rxqual=0"/>
    <s v="dl rx level= -110"/>
    <s v="OK"/>
    <s v="OK"/>
    <s v="Mauvais"/>
    <s v=" Retransmission des trames HDLC*5"/>
    <m/>
    <s v="Saad Elhabib"/>
    <m/>
    <m/>
    <m/>
    <m/>
    <m/>
    <m/>
    <m/>
  </r>
  <r>
    <n v="630"/>
    <x v="0"/>
    <x v="225"/>
    <d v="1899-12-30T21:28:04"/>
    <n v="2061"/>
    <x v="10"/>
    <x v="0"/>
    <n v="7206"/>
    <m/>
    <s v="Tanger/Casa"/>
    <n v="108.206"/>
    <x v="1"/>
    <s v="N2"/>
    <x v="0"/>
    <s v="*  Etat H.O :HO Non finalisé entre 219 et 320_x000a_* qualité /niveau de signal : dl rx-qual=7, dl rx level = -70 dbm_x000a_*Requête de déconnexion a été envoyée par le bord"/>
    <m/>
    <x v="2"/>
    <s v="zone sous surveillance par équipe NOC GSMR"/>
    <s v="HO Non finalisé entre 219 et 320"/>
    <s v="dl Rxqual=7"/>
    <s v="dl rx level= -70"/>
    <s v="OK"/>
    <s v="OK"/>
    <s v="Mauvais"/>
    <s v=" Retransmission des trames HDLC*5"/>
    <m/>
    <s v="Saad Elhabib"/>
    <m/>
    <m/>
    <m/>
    <m/>
    <m/>
    <m/>
    <m/>
  </r>
  <r>
    <n v="631"/>
    <x v="0"/>
    <x v="226"/>
    <d v="1899-12-30T23:08:45"/>
    <n v="1061"/>
    <x v="1"/>
    <x v="1"/>
    <n v="3062"/>
    <m/>
    <s v="Casa/Tanger"/>
    <n v="7.3209999999999997"/>
    <x v="2"/>
    <s v="N2"/>
    <x v="1"/>
    <s v="*: Ho recule non finalisé entre les cellules 202 et 303_x000a_* qualité /niveau de signal : dl rx-qual=7, dl rx level = -54 dbm_x000a_*Requête de déconnexion a été envoyée par le RBC"/>
    <m/>
    <x v="0"/>
    <s v="En attente de mise en place des tiroires filtrés "/>
    <s v=" Ho non finalisé entre  202 et 303"/>
    <s v="dl Rxqual=0"/>
    <s v="dl rx level= -54"/>
    <s v="OK"/>
    <s v="OK"/>
    <s v="Mauvais"/>
    <s v=" Retransmission des trames HDLC*5"/>
    <m/>
    <s v="Saad Elhabib"/>
    <m/>
    <m/>
    <m/>
    <m/>
    <m/>
    <m/>
    <m/>
  </r>
  <r>
    <n v="632"/>
    <x v="0"/>
    <x v="227"/>
    <d v="1899-12-30T09:19:11"/>
    <n v="2013"/>
    <x v="9"/>
    <x v="0"/>
    <n v="1052"/>
    <m/>
    <s v="Tanger/Casa"/>
    <n v="62.072000000000003"/>
    <x v="21"/>
    <s v="N2"/>
    <x v="1"/>
    <s v="* Etat H.O : HO Complet entre 210 et 211 _x000a_* qualité /niveau de signal : dl rx-qual=0, dl rx level = -56dbm_x000a_*Requête de déconnexion a été envoyée par le RBC"/>
    <m/>
    <x v="0"/>
    <s v="En attente de mise en place des tiroires filtrés "/>
    <s v=" HO Complet entre 210 et 211"/>
    <s v="dl Rxqual=0"/>
    <s v="dl rx level= -56"/>
    <s v="OK"/>
    <s v="OK"/>
    <s v="Mauvais"/>
    <s v=" Retransmission des trames HDLC*5"/>
    <m/>
    <s v="HARIRI Bahaeddine"/>
    <m/>
    <m/>
    <m/>
    <m/>
    <m/>
    <m/>
    <m/>
  </r>
  <r>
    <n v="633"/>
    <x v="0"/>
    <x v="227"/>
    <d v="1899-12-30T17:30:52"/>
    <n v="2045"/>
    <x v="7"/>
    <x v="0"/>
    <n v="7217"/>
    <m/>
    <s v="Tanger/Casa"/>
    <n v="117.258"/>
    <x v="17"/>
    <s v="N2"/>
    <x v="0"/>
    <s v="* Etat H.O : HO non finalisé entre 220 et 321 _x000a_* qualité /niveau de signal : dl rx-qual=0, dl rx level = -63dbm_x000a_*Requête de déconnexion a été envoyée par le RBC"/>
    <m/>
    <x v="0"/>
    <s v="En attente de mise en place des tiroires filtrés "/>
    <s v=" Ho non finalisé entre  220 et 321"/>
    <s v="dl Rxqual=0"/>
    <s v="dl rx level= -63"/>
    <s v="OK"/>
    <s v="OK"/>
    <s v="Mauvais"/>
    <s v=" Retransmission des trames HDLC*5"/>
    <m/>
    <s v="ISMALI ALAOUI Hamza"/>
    <m/>
    <m/>
    <m/>
    <m/>
    <m/>
    <m/>
    <m/>
  </r>
  <r>
    <n v="634"/>
    <x v="0"/>
    <x v="227"/>
    <d v="1899-12-30T18:05:34"/>
    <n v="2049"/>
    <x v="2"/>
    <x v="0"/>
    <n v="7198"/>
    <m/>
    <s v="Tanger/Casa"/>
    <n v="7.3209999999999997"/>
    <x v="2"/>
    <s v="N2"/>
    <x v="0"/>
    <s v="*: Ho  non finalisé entre les cellules 302 et 203_x000a_* qualité /niveau de signal : dl rx-qual=7, dl rx level = -52 dbm_x000a_*Requête de déconnexion a été envoyée par le RBC"/>
    <m/>
    <x v="0"/>
    <s v="En attente de mise en place des tiroires filtrés "/>
    <s v=" Ho non finalisé entre  302 et 203"/>
    <s v="dl Rxqual=7"/>
    <s v="dl rx level= -52"/>
    <s v="NOK"/>
    <s v="OK"/>
    <s v="Mauvais"/>
    <s v=" Retransmission des trames HDLC*5"/>
    <m/>
    <s v="ISMALI ALAOUI Hamza"/>
    <m/>
    <m/>
    <m/>
    <m/>
    <m/>
    <m/>
    <m/>
  </r>
  <r>
    <n v="635"/>
    <x v="0"/>
    <x v="228"/>
    <d v="1899-12-30T11:34:39"/>
    <n v="1018"/>
    <x v="3"/>
    <x v="1"/>
    <n v="1008"/>
    <m/>
    <s v="Casa/Tanger"/>
    <n v="146.738"/>
    <x v="3"/>
    <s v="N2"/>
    <x v="0"/>
    <s v="*: Ho complet entre les cellules 327 et 326_x000a_* qualité /niveau de signal : dl rx-qual=0, dl rx level = -64 dbm_x000a_*Requête de déconnexion a été envoyée par le RBC"/>
    <m/>
    <x v="0"/>
    <s v="En attente de mise en place des tiroires filtrés "/>
    <s v=" Ho non finalisé entre  327 et 326"/>
    <s v="dl Rxqual=0"/>
    <s v="dl rx level= -64"/>
    <s v="OK"/>
    <s v="NOK"/>
    <s v="Mauvais"/>
    <s v=" Retransmission des trames HDLC*5"/>
    <m/>
    <s v="ISMALI ALAOUI Hamza"/>
    <m/>
    <m/>
    <m/>
    <m/>
    <m/>
    <m/>
    <m/>
  </r>
  <r>
    <n v="636"/>
    <x v="0"/>
    <x v="228"/>
    <d v="1899-12-30T21:17:14"/>
    <n v="2061"/>
    <x v="0"/>
    <x v="0"/>
    <n v="1036"/>
    <m/>
    <s v="Tanger/Casa"/>
    <n v="55.405000000000001"/>
    <x v="23"/>
    <s v="N2"/>
    <x v="0"/>
    <s v="* Etat H.O : HO Complet entre 309 et 310 _x000a_* qualité /niveau de signal : dl rx-qual=0, dl rx level = -48dbm_x000a_*Requête de déconnexion a été envoyée par le RBC"/>
    <m/>
    <x v="0"/>
    <s v="En attente de mise en place des tiroires filtrés "/>
    <s v=" HO Complet entre 309 et  310"/>
    <s v="dl Rxqual=0"/>
    <s v="dl rx level= -48"/>
    <s v="OK"/>
    <s v="OK"/>
    <s v="Mauvais"/>
    <s v=" Retransmission des trames HDLC*5"/>
    <m/>
    <s v="ELHAJOUIA Achraf"/>
    <m/>
    <m/>
    <m/>
    <m/>
    <m/>
    <m/>
    <m/>
  </r>
  <r>
    <n v="637"/>
    <x v="0"/>
    <x v="229"/>
    <d v="1899-12-30T18:06:17"/>
    <n v="2049"/>
    <x v="0"/>
    <x v="0"/>
    <n v="1036"/>
    <m/>
    <s v="Tanger/Casa"/>
    <n v="6.13"/>
    <x v="2"/>
    <s v="N2"/>
    <x v="1"/>
    <s v="* Etat H.O : HO non Complet entre 302 et 203 _x000a_* qualité /niveau de signal : dl rx-qual=7, dl rx level = -52dbm_x000a_*Requête de déconnexion a été envoyée par le BORD"/>
    <m/>
    <x v="0"/>
    <s v="En attente de mise en place des tiroires filtrés "/>
    <s v=" HO non Complet entre 302 et  203"/>
    <s v="dl Rxqual=7"/>
    <s v="dl rx level= -52"/>
    <s v="NOK"/>
    <s v="OK"/>
    <s v="Mauvais"/>
    <s v=" Retransmission des trames HDLC*5"/>
    <m/>
    <s v="ELGUEZZAR Anas"/>
    <m/>
    <m/>
    <m/>
    <m/>
    <m/>
    <m/>
    <m/>
  </r>
  <r>
    <n v="638"/>
    <x v="0"/>
    <x v="229"/>
    <d v="1899-12-30T19:35:24"/>
    <n v="2053"/>
    <x v="7"/>
    <x v="0"/>
    <n v="1055"/>
    <m/>
    <s v="Tanger/Casa"/>
    <n v="152.488"/>
    <x v="18"/>
    <s v="N2"/>
    <x v="1"/>
    <s v="*: Ho complet entre les cellules 225 et 226_x000a_* qualité /niveau de signal : dl rx-qual=0, dl rx level = -48 dbm_x000a_*Requête de déconnexion a été envoyée par le RBC"/>
    <m/>
    <x v="0"/>
    <s v="En attente de mise en place des tiroires filtrés "/>
    <s v=" HO Complet entre 225 et  226"/>
    <s v="dl Rxqual=0"/>
    <s v="dl rx level= -48"/>
    <s v="OK"/>
    <s v="OK"/>
    <s v="Mauvais"/>
    <s v=" Retransmission des trames HDLC*5"/>
    <m/>
    <s v="ELGUEZZAR Anas"/>
    <m/>
    <m/>
    <m/>
    <m/>
    <m/>
    <m/>
    <m/>
  </r>
  <r>
    <n v="639"/>
    <x v="0"/>
    <x v="230"/>
    <d v="1899-12-30T12:05:41"/>
    <n v="2025"/>
    <x v="4"/>
    <x v="0"/>
    <n v="7208"/>
    <m/>
    <s v="Tanger/Casa"/>
    <n v="6.13"/>
    <x v="2"/>
    <s v="N2"/>
    <x v="0"/>
    <s v="*: Ho non finalisé entre les cellules 302 et 203_x000a_* qualité /niveau de signal : dl rx-qual=7, dl rx level = -52 dbm_x000a_*Requête de déconnexion a été envoyée par le bord"/>
    <m/>
    <x v="0"/>
    <s v="En attente de mise en place des tiroires filtrés "/>
    <s v=" Ho non finalisé entre 302 et 203"/>
    <s v="dl Rxqual=7"/>
    <s v="dl rx level= -52"/>
    <s v="OK"/>
    <s v="OK"/>
    <s v="Mauvais"/>
    <s v=" Retransmission des trames HDLC*5"/>
    <m/>
    <s v="Noura MOUSSAOUI"/>
    <m/>
    <m/>
    <m/>
    <m/>
    <m/>
    <m/>
    <m/>
  </r>
  <r>
    <n v="640"/>
    <x v="0"/>
    <x v="230"/>
    <d v="1899-12-30T15:05:37"/>
    <n v="2037"/>
    <x v="11"/>
    <x v="0"/>
    <n v="1049"/>
    <m/>
    <s v="Tanger/Casa"/>
    <n v="7.3810000000000002"/>
    <x v="2"/>
    <s v="N2"/>
    <x v="1"/>
    <s v="*: Ho non complet entre les cellules 202 et 303_x000a_* qualité /niveau de signal : dl rx-qual=6, dl rx level = -58 dbm_x000a_*Requête de déconnexion a été envoyée par le RBC"/>
    <m/>
    <x v="0"/>
    <s v="En attente de mise en place des tiroires filtrés "/>
    <s v=" HO non Complet entre 202 et  303"/>
    <s v="dl Rxqual=6"/>
    <s v="dl rx level= -58"/>
    <s v="OK"/>
    <s v="OK"/>
    <s v="Mauvais"/>
    <s v=" Retransmission des trames HDLC*5"/>
    <m/>
    <s v="ELGUEZZAR Anas"/>
    <m/>
    <m/>
    <m/>
    <m/>
    <m/>
    <m/>
    <m/>
  </r>
  <r>
    <n v="641"/>
    <x v="0"/>
    <x v="230"/>
    <d v="1899-12-30T17:08:32"/>
    <n v="1037"/>
    <x v="4"/>
    <x v="1"/>
    <n v="1033"/>
    <m/>
    <s v="Casa/Tanger"/>
    <n v="7.3810000000000002"/>
    <x v="2"/>
    <s v="N2"/>
    <x v="1"/>
    <s v="*: Ho  complet entre les cellules 303 et 202_x000a_* qualité /niveau de signal : dl rx-qual=7, dl rx level = -56 dbm_x000a_*Requête de déconnexion a été envoyée par le RBC"/>
    <m/>
    <x v="0"/>
    <s v="En attente de mise en place des tiroires filtrés "/>
    <s v=" HO  Complet entre 303 et  202"/>
    <s v="dl Rxqual=7"/>
    <s v="dl rx level= -56"/>
    <s v="OK"/>
    <s v="OK"/>
    <s v="Mauvais"/>
    <s v=" Retransmission des trames HDLC*5"/>
    <m/>
    <s v="ELGUEZZAR Anas"/>
    <m/>
    <m/>
    <m/>
    <m/>
    <m/>
    <m/>
    <m/>
  </r>
  <r>
    <n v="642"/>
    <x v="0"/>
    <x v="230"/>
    <d v="1899-12-30T20:05:18"/>
    <n v="2057"/>
    <x v="0"/>
    <x v="0"/>
    <n v="1033"/>
    <m/>
    <s v="Tanger/Casa"/>
    <n v="7.3810000000000002"/>
    <x v="2"/>
    <s v="N2"/>
    <x v="1"/>
    <s v="*: Ho non complet entre les cellules 202 et 203_x000a_* qualité /niveau de signal : dl rx-qual=7, dl rx level = -54 dbm_x000a_*Requête de déconnexion a été envoyée par le RBC"/>
    <m/>
    <x v="0"/>
    <s v="En attente de mise en place des tiroires filtrés "/>
    <s v=" HO  Complet entre 303 et  202"/>
    <s v="dl Rxqual=7"/>
    <s v="dl rx level= -54"/>
    <s v="OK"/>
    <s v="OK"/>
    <s v="Mauvais"/>
    <s v=" Retransmission des trames HDLC*5"/>
    <m/>
    <s v="ELGUEZZAR Anas"/>
    <m/>
    <m/>
    <m/>
    <m/>
    <m/>
    <m/>
    <m/>
  </r>
  <r>
    <n v="643"/>
    <x v="0"/>
    <x v="230"/>
    <d v="1899-12-30T23:20:58"/>
    <n v="1061"/>
    <x v="2"/>
    <x v="1"/>
    <n v="1034"/>
    <m/>
    <s v="Casa/Tanger"/>
    <n v="8.9700000000000006"/>
    <x v="2"/>
    <s v="N2"/>
    <x v="0"/>
    <s v="*: Ho  complet entre les cellules 304 et 303_x000a_* qualité /niveau de signal : dl rx-qual=0, dl rx level = -53 dbm_x000a_*Requête de déconnexion a été envoyée par le RBC"/>
    <m/>
    <x v="0"/>
    <s v="En attente de mise en place des tiroires filtrés "/>
    <s v=" HO  Complet entre 304 et 303"/>
    <s v="dl Rxqual=0"/>
    <s v="dl rx level= -53"/>
    <s v="OK"/>
    <s v="OK"/>
    <s v="Mauvais"/>
    <s v=" Retransmission des trames HDLC*5"/>
    <m/>
    <s v="ELHAJOUIA Achraf"/>
    <m/>
    <m/>
    <m/>
    <m/>
    <m/>
    <m/>
    <m/>
  </r>
  <r>
    <n v="644"/>
    <x v="0"/>
    <x v="231"/>
    <s v=" 08:54:53 "/>
    <n v="1005"/>
    <x v="11"/>
    <x v="1"/>
    <n v="1072"/>
    <m/>
    <s v="Casa/Tanger"/>
    <n v="53.540999999999997"/>
    <x v="29"/>
    <s v="N2"/>
    <x v="0"/>
    <s v="*: Ho  complet entre les cellules 311 et 310_x000a_* qualité /niveau de signal : dl rx-qual=0, dl rx level = -66 dbm_x000a_*Requête de déconnexion a été envoyée par le RBC"/>
    <m/>
    <x v="0"/>
    <s v="En attente de mise en place des tiroires filtrés "/>
    <s v=" HO  Complet entre 311 et 310"/>
    <s v="dl Rxqual=0"/>
    <s v="dl rx level= -66"/>
    <s v="OK"/>
    <s v="OK"/>
    <s v="Mauvais"/>
    <s v=" Retransmission des trames HDLC*5"/>
    <m/>
    <s v="Noura MOUSSAOUI"/>
    <m/>
    <m/>
    <m/>
    <m/>
    <m/>
    <m/>
    <m/>
  </r>
  <r>
    <n v="645"/>
    <x v="0"/>
    <x v="232"/>
    <d v="1899-12-30T14:35:58"/>
    <n v="2033"/>
    <x v="2"/>
    <x v="0"/>
    <n v="7218"/>
    <m/>
    <s v="Tanger/Casa"/>
    <n v="135.58500000000001"/>
    <x v="10"/>
    <s v="N2"/>
    <x v="1"/>
    <s v="*: Ho  complet entre les cellules 223 et 224_x000a_* qualité /niveau de signal : dl rx-qual=0, dl rx level = -57 dbm_x000a_*Requête de déconnexion a été envoyée par le RBC "/>
    <m/>
    <x v="3"/>
    <s v="En attente de pousser les analyses coté Bord/RBC"/>
    <s v=" HO  Complet entre 223 et 224"/>
    <s v="dl Rxqual=0"/>
    <s v="dl rx level= -57"/>
    <s v="OK"/>
    <s v="OK"/>
    <s v="Mauvais"/>
    <s v="Pas de  Retransmission des trames HDLC*5"/>
    <m/>
    <s v="Saad Elhabib"/>
    <m/>
    <m/>
    <m/>
    <m/>
    <m/>
    <m/>
    <m/>
  </r>
  <r>
    <n v="646"/>
    <x v="0"/>
    <x v="232"/>
    <d v="1899-12-30T16:05:28"/>
    <n v="2041"/>
    <x v="6"/>
    <x v="0"/>
    <n v="1056"/>
    <m/>
    <s v="Tanger/Casa"/>
    <n v="6.13"/>
    <x v="2"/>
    <s v="N2"/>
    <x v="1"/>
    <s v="*: Ho non finalisé entre les cellules 202 et 203_x000a_* qualité /niveau de signal : dl rx-qual=7, dl rx level = -53 dbm_x000a_*Requête de déconnexion a été envoyée par le RBC"/>
    <m/>
    <x v="0"/>
    <s v="En attente de mise en place des tiroires filtrés "/>
    <s v=" HO  non finalisé entre 202 et 203"/>
    <s v="dl Rxqual=7"/>
    <s v="dl rx level= -53"/>
    <s v="NOK"/>
    <s v="OK"/>
    <s v="Mauvais"/>
    <s v=" Retransmission des trames HDLC*5"/>
    <m/>
    <s v="Saad Elhabib"/>
    <m/>
    <m/>
    <m/>
    <m/>
    <m/>
    <m/>
    <m/>
  </r>
  <r>
    <n v="647"/>
    <x v="0"/>
    <x v="232"/>
    <d v="1899-12-30T17:04:59"/>
    <n v="2045"/>
    <x v="0"/>
    <x v="0"/>
    <n v="1036"/>
    <m/>
    <s v="Tanger/Casa"/>
    <n v="6.13"/>
    <x v="2"/>
    <s v="N2"/>
    <x v="0"/>
    <s v="*: Ho  non finalisé entre les cellules 202 et 303_x000a_* qualité /niveau de signal : dl rx-qual=7, dl rx level = -55 dbm_x000a_*Requête de déconnexion a été envoyée par le BORD"/>
    <m/>
    <x v="0"/>
    <s v="En attente de mise en place des tiroires filtrés "/>
    <s v=" HO   non finalisé entre 202 et 303"/>
    <s v="dl Rxqual=7"/>
    <s v="dl rx level= -55"/>
    <s v="NOK"/>
    <s v="OK"/>
    <s v="Mauvais"/>
    <s v=" Retransmission des trames HDLC*5"/>
    <m/>
    <s v="Saad Elhabib"/>
    <m/>
    <m/>
    <m/>
    <m/>
    <m/>
    <m/>
    <m/>
  </r>
  <r>
    <n v="648"/>
    <x v="0"/>
    <x v="232"/>
    <d v="1899-12-30T21:04:51"/>
    <n v="2061"/>
    <x v="4"/>
    <x v="0"/>
    <n v="7208"/>
    <m/>
    <s v="Tanger/Casa"/>
    <n v="6.13"/>
    <x v="2"/>
    <s v="N2"/>
    <x v="1"/>
    <s v="*: Ho non finalisé entre les cellules 302 et 203_x000a_* qualité /niveau de signal : dl rx-qual=7, dl rx level = -50 dbm_x000a_*Requête de déconnexion a été envoyée par le RBC"/>
    <m/>
    <x v="0"/>
    <s v="En attente de mise en place des tiroires filtrés "/>
    <s v=" HO   non finalisé entre 302 et 203"/>
    <s v="dl Rxqual=7"/>
    <s v="dl rx level= -50"/>
    <s v="OK"/>
    <s v="OK"/>
    <s v="Mauvais"/>
    <s v=" Retransmission des trames HDLC*5"/>
    <m/>
    <s v="ELHAJOUIA Achraf"/>
    <m/>
    <m/>
    <m/>
    <m/>
    <m/>
    <m/>
    <m/>
  </r>
  <r>
    <n v="649"/>
    <x v="0"/>
    <x v="233"/>
    <d v="1899-12-30T12:07:17"/>
    <n v="1018"/>
    <x v="11"/>
    <x v="1"/>
    <n v="1072"/>
    <m/>
    <s v="Casa/Tanger"/>
    <n v="7.3209999999999997"/>
    <x v="2"/>
    <s v="N2"/>
    <x v="0"/>
    <s v="*: Ho non finalisé entre les cellules 302 et 303_x000a_* qualité /niveau de signal : dl rx-qual=0, dl rx level = -110 dbm_x000a_*Requête de déconnexion a été envoyée par le RBC"/>
    <m/>
    <x v="0"/>
    <s v="En attente de mise en place des tiroires filtrés "/>
    <s v=" HO  complet entre 302 et 303"/>
    <s v="dl Rxqual=0"/>
    <s v="dl rx level= -110"/>
    <s v="OK"/>
    <s v="NOK"/>
    <s v="Mauvais"/>
    <s v=" Retransmission des trames HDLC*5"/>
    <m/>
    <s v="ISMALI ALAOUI Hamza"/>
    <m/>
    <m/>
    <m/>
    <m/>
    <m/>
    <m/>
    <m/>
  </r>
  <r>
    <n v="650"/>
    <x v="0"/>
    <x v="233"/>
    <d v="1899-12-30T19:35:09"/>
    <n v="2053"/>
    <x v="6"/>
    <x v="0"/>
    <n v="1057"/>
    <m/>
    <s v="Tanger/Casa"/>
    <n v="143.11199999999999"/>
    <x v="26"/>
    <s v="N2"/>
    <x v="0"/>
    <s v="*: Ho Complet entre les cellules 224 et 225_x000a_* qualité /niveau de signal : dl rx-qual=0, dl rx level = -57 dbm_x000a_*Requête de déconnexion a été envoyée par le RBC"/>
    <m/>
    <x v="0"/>
    <s v="En attente de mise en place des tiroires filtrés "/>
    <s v=" HO  complet entre 302 et 203"/>
    <s v="dl Rxqual=0"/>
    <s v="dl rx level= -57"/>
    <s v="OK"/>
    <s v="OK"/>
    <s v="Mauvais"/>
    <s v="pas de retransmission des trames HDLC"/>
    <m/>
    <s v="Saad Elhabib"/>
    <m/>
    <m/>
    <m/>
    <m/>
    <m/>
    <m/>
    <m/>
  </r>
  <r>
    <n v="651"/>
    <x v="0"/>
    <x v="233"/>
    <d v="1899-12-30T20:05:00"/>
    <n v="2057"/>
    <x v="3"/>
    <x v="0"/>
    <n v="1046"/>
    <m/>
    <s v="Tanger/Casa"/>
    <n v="6.13"/>
    <x v="2"/>
    <s v="N2"/>
    <x v="1"/>
    <s v="*: Ho non finalisé entre les cellules 202 et 303_x000a_* qualité /niveau de signal : dl rx-qual=7, dl rx level = -54 dbm_x000a_*Requête de déconnexion a été envoyée par le RBC"/>
    <m/>
    <x v="0"/>
    <s v="En attente de mise en place des tiroires filtrés "/>
    <s v=" HO non finalisé entre 302 et 303"/>
    <s v="dl Rxqual=7"/>
    <s v="dl rx level= -54"/>
    <s v="NOK"/>
    <s v="OK"/>
    <s v="Mauvais"/>
    <s v=" Retransmission des trames HDLC*5"/>
    <m/>
    <s v="Saad Elhabib"/>
    <m/>
    <m/>
    <m/>
    <m/>
    <m/>
    <m/>
    <m/>
  </r>
  <r>
    <n v="652"/>
    <x v="0"/>
    <x v="234"/>
    <d v="1899-12-30T11:35:17"/>
    <n v="2021"/>
    <x v="9"/>
    <x v="0"/>
    <n v="1052"/>
    <m/>
    <s v="Tanger/Casa"/>
    <n v="144.32599999999999"/>
    <x v="3"/>
    <s v="N2"/>
    <x v="1"/>
    <s v="*: Ho Complet entre les cellules 324 et 225_x000a_* qualité /niveau de signal : dl rx-qual=0, dl rx level = -65 dbm_x000a_*Requête de déconnexion a été envoyée par le RBC"/>
    <m/>
    <x v="0"/>
    <s v="En attente de mise en place des tiroires filtrés "/>
    <s v=" HO  complet entre 324 et 225"/>
    <s v="dl Rxqual=0"/>
    <s v="dl rx level= -65"/>
    <s v="OK"/>
    <s v="NOK"/>
    <s v="Mauvais"/>
    <s v=" Retransmission des trames HDLC*5"/>
    <m/>
    <s v="ISMALI ALAOUI Hamza"/>
    <m/>
    <m/>
    <m/>
    <m/>
    <m/>
    <m/>
    <m/>
  </r>
  <r>
    <n v="653"/>
    <x v="0"/>
    <x v="234"/>
    <d v="1899-12-30T13:24:14"/>
    <n v="1025"/>
    <x v="10"/>
    <x v="0"/>
    <n v="1060"/>
    <m/>
    <s v="Tanger/Casa"/>
    <n v="202.125"/>
    <x v="5"/>
    <s v="N2"/>
    <x v="0"/>
    <s v="*: Ho Complet entre les cellules 234 et 233_x000a_* qualité /niveau de signal : dl rx-qual=7, dl rx level = -67 dbm_x000a_*Requête de déconnexion a été envoyée par le RBC"/>
    <m/>
    <x v="2"/>
    <s v="Zone sous surveillance par équipe NOC GSMR"/>
    <s v=" HO  complet entre 234 et 233"/>
    <s v="dl Rxqual=7"/>
    <s v="dl rx level= -67"/>
    <s v="OK"/>
    <s v="NOK"/>
    <s v="Mauvais"/>
    <s v=" Retransmission des trames HDLC*5"/>
    <m/>
    <s v="ISMALI ALAOUI Hamza"/>
    <m/>
    <m/>
    <m/>
    <m/>
    <m/>
    <m/>
    <m/>
  </r>
  <r>
    <n v="654"/>
    <x v="0"/>
    <x v="234"/>
    <d v="1899-12-30T14:05:31"/>
    <n v="2033"/>
    <x v="11"/>
    <x v="0"/>
    <n v="1048"/>
    <m/>
    <s v="Tanger/Casa"/>
    <n v="6.13"/>
    <x v="2"/>
    <s v="N2"/>
    <x v="0"/>
    <s v="*HO non finalisé entre 202 et 303_x000a_* qualité /niveau de signal : dl rx-qual=7, dl rx level = -53 dbm_x000a_*Requête de déconnexion a été envoyée par le RBC"/>
    <m/>
    <x v="0"/>
    <s v="En attente de mise en place des tiroires filtrés "/>
    <s v="HO non finalisé entre 202 et 303"/>
    <s v="dl Rxqual=7"/>
    <s v="dl rx level= -53"/>
    <s v="NOK"/>
    <s v="OK"/>
    <s v="Mauvais"/>
    <s v=" Retransmission des trames HDLC*5"/>
    <m/>
    <s v="Saad Elhabib"/>
    <m/>
    <m/>
    <m/>
    <m/>
    <m/>
    <m/>
    <m/>
  </r>
  <r>
    <n v="655"/>
    <x v="0"/>
    <x v="234"/>
    <d v="1899-12-30T14:09:15"/>
    <n v="2033"/>
    <x v="11"/>
    <x v="0"/>
    <n v="1049"/>
    <m/>
    <s v="Tanger/Casa"/>
    <n v="9.0299999999999994"/>
    <x v="2"/>
    <s v="N2"/>
    <x v="0"/>
    <s v="*Le conducteur a essayé de ce reconnecter sauf que le RBC a demandé la déconnexion sans Retransmission des trames HDLC_x000a_*Requête de déconnexion a été envoyée par le RBC"/>
    <m/>
    <x v="2"/>
    <s v="Zone sous surveillance par équipe NOC GSMR"/>
    <m/>
    <m/>
    <m/>
    <s v="NOK"/>
    <s v="OK"/>
    <s v="Mauvais"/>
    <s v="pas de retransmission des trames HDLC"/>
    <m/>
    <s v="Saad Elhabib"/>
    <m/>
    <m/>
    <m/>
    <m/>
    <m/>
    <m/>
    <m/>
  </r>
  <r>
    <n v="656"/>
    <x v="0"/>
    <x v="234"/>
    <d v="1899-12-30T17:31:56"/>
    <n v="2045"/>
    <x v="9"/>
    <x v="0"/>
    <n v="1052"/>
    <m/>
    <s v="Tanger/Casa"/>
    <n v="121.232"/>
    <x v="30"/>
    <s v="N2"/>
    <x v="0"/>
    <s v="*Etat H.O : HO non Finalisé entre 221 et 222_x000a_* qualité /niveau de signal : dl rx-qual=1, dl rx level = -74 dbm_x000a_*Requête de déconnexion a été envoyée par le RBC"/>
    <m/>
    <x v="0"/>
    <s v="En attente de mise en place des tiroires filtrés "/>
    <s v="HO non Finalisé entre 221 et 222"/>
    <s v="dl Rxqual=1"/>
    <s v="dl rx level= -74"/>
    <s v="OK"/>
    <s v="OK"/>
    <s v="Mauvais"/>
    <s v=" Retransmission des trames HDLC*5"/>
    <m/>
    <s v="Saad Elhabib"/>
    <m/>
    <m/>
    <m/>
    <m/>
    <m/>
    <m/>
    <m/>
  </r>
  <r>
    <n v="657"/>
    <x v="0"/>
    <x v="234"/>
    <d v="1899-12-30T20:34:00"/>
    <n v="2057"/>
    <x v="11"/>
    <x v="0"/>
    <n v="1049"/>
    <m/>
    <s v="Tanger/Casa"/>
    <n v="139.48099999999999"/>
    <x v="10"/>
    <s v="N2"/>
    <x v="0"/>
    <s v="* Etat H.O : HO complète entre 223 et 224_x000a_* qualité /niveau de signal : dl rx-qual=0, dl rx level = -71 dbm_x000a_*Requête de déconnexion a été envoyée par le RBC_x000a_"/>
    <m/>
    <x v="0"/>
    <s v="En attente de mise en place des tiroires filtrés "/>
    <s v=" HO  complet entre 223 et 224"/>
    <s v="dl Rxqual=0"/>
    <s v="dl rx level= -71"/>
    <s v="OK"/>
    <s v="OK"/>
    <s v="Mauvais"/>
    <s v="pas de retransmission des trames HDLC"/>
    <m/>
    <s v="LAGDEM Elmehdi"/>
    <m/>
    <m/>
    <m/>
    <m/>
    <m/>
    <m/>
    <m/>
  </r>
  <r>
    <n v="658"/>
    <x v="0"/>
    <x v="235"/>
    <d v="1899-12-30T08:05:09"/>
    <n v="2009"/>
    <x v="4"/>
    <x v="0"/>
    <n v="7208"/>
    <m/>
    <s v="Tanger/Casa"/>
    <n v="6.13"/>
    <x v="2"/>
    <s v="N2"/>
    <x v="1"/>
    <s v="*Etat H.O : HO non Finalisé entre 302 et 303_x000a_* qualité /niveau de signal : dl rx-qual=7, dl rx level = -55 dbm_x000a_*Requête de déconnexion a été envoyée par le RBC"/>
    <m/>
    <x v="0"/>
    <s v="En attente de mise en place des tiroires filtrés "/>
    <s v="HO non finalisé entre 302 et 303"/>
    <s v="dl Rxqual=7"/>
    <s v="dl rx level= -55"/>
    <s v="NOK"/>
    <s v="OK"/>
    <s v="Mauvais"/>
    <s v=" Retransmission des trames HDLC*5"/>
    <m/>
    <s v="HAMZAOUI Youssef"/>
    <m/>
    <m/>
    <m/>
    <m/>
    <m/>
    <m/>
    <m/>
  </r>
  <r>
    <n v="659"/>
    <x v="0"/>
    <x v="235"/>
    <d v="1899-12-30T16:27:21"/>
    <n v="2041"/>
    <x v="2"/>
    <x v="0"/>
    <n v="7218"/>
    <m/>
    <s v="Tanger/Casa"/>
    <n v="108.206"/>
    <x v="1"/>
    <s v="N2"/>
    <x v="0"/>
    <s v="*Etat H.O : HO non Finalisé entre 219 et 220_x000a_* qualité /niveau de signal : dl rx-qual=2, dl rx level = -80 dbm_x000a_*Requête de déconnexion a été envoyée par le RBC"/>
    <m/>
    <x v="0"/>
    <s v="En attente de mise en place des tiroires filtrés "/>
    <s v="HO non finalisé entre 219 et 220"/>
    <s v="dl Rxqual=2"/>
    <s v="dl rx level= -80"/>
    <s v="NOK"/>
    <s v="OK"/>
    <s v="Mauvais"/>
    <s v=" Retransmission des trames HDLC*5"/>
    <m/>
    <s v="Saad Elhabib"/>
    <m/>
    <m/>
    <m/>
    <m/>
    <m/>
    <m/>
    <m/>
  </r>
  <r>
    <n v="660"/>
    <x v="0"/>
    <x v="235"/>
    <d v="1899-12-30T17:36:40"/>
    <n v="2045"/>
    <x v="0"/>
    <x v="0"/>
    <n v="1037"/>
    <m/>
    <s v="Tanger/Casa"/>
    <n v="140.65899999999999"/>
    <x v="26"/>
    <s v="N2"/>
    <x v="1"/>
    <s v="*Etat H.O : HO Complet entre 224 et 225_x000a_* qualité /niveau de signal : dl rx-qual=0, dl rx level = -58 dbm_x000a_*Requête de déconnexion a été envoyée par le RBC"/>
    <m/>
    <x v="0"/>
    <s v="En attente de mise en place des tiroires filtrés "/>
    <s v=" HO  complet entre 224 et 225"/>
    <s v="dl Rxqual=0"/>
    <s v="dl rx level= -58"/>
    <s v="OK"/>
    <s v="OK"/>
    <s v="Mauvais"/>
    <s v="Pas de  Retransmission des trames HDLC"/>
    <m/>
    <s v="Saad Elhabib"/>
    <m/>
    <m/>
    <m/>
    <m/>
    <m/>
    <m/>
    <m/>
  </r>
  <r>
    <n v="661"/>
    <x v="0"/>
    <x v="235"/>
    <d v="1899-12-30T19:35:09"/>
    <n v="2053"/>
    <x v="6"/>
    <x v="0"/>
    <n v="1057"/>
    <m/>
    <s v="Tanger/Casa"/>
    <n v="141.898"/>
    <x v="26"/>
    <s v="N2"/>
    <x v="0"/>
    <s v="*Etat H.O : HO complet entre 224 et 225_x000a_* qualité /niveau de signal : dl rx-qual=2, dl rx level = -48 dbm_x000a_*Requête de déconnexion a été envoyée par le RBC"/>
    <m/>
    <x v="0"/>
    <s v="En attente de mise en place des tiroires filtrés "/>
    <s v=" HO  complet entre 224 et 225"/>
    <s v="dl Rxqual=2"/>
    <s v="dl rx level= -48"/>
    <s v="OK"/>
    <s v="OK"/>
    <s v="Mauvais"/>
    <s v=" Retransmission des trames HDLC*5"/>
    <m/>
    <s v="Saad Elhabib"/>
    <m/>
    <m/>
    <m/>
    <m/>
    <m/>
    <m/>
    <m/>
  </r>
  <r>
    <n v="662"/>
    <x v="0"/>
    <x v="236"/>
    <d v="1899-12-30T08:05:15"/>
    <n v="2009"/>
    <x v="7"/>
    <x v="0"/>
    <n v="1054"/>
    <m/>
    <s v="Tanger/Casa"/>
    <n v="6.13"/>
    <x v="2"/>
    <s v="N2"/>
    <x v="1"/>
    <s v="*Etat H.O : HO Complet entre 201 et 202_x000a_* qualité /niveau de signal : dl rx-qual=0, dl rx level = -53 dbm_x000a_*Requête de déconnexion a été envoyée par le RBC"/>
    <m/>
    <x v="0"/>
    <s v="En attente de mise en place des tiroires filtrés "/>
    <s v=" HO  complet entre 201 et 202"/>
    <s v="dl Rxqual=0"/>
    <s v="dl rx level= -53"/>
    <s v="NOK"/>
    <s v="OK"/>
    <s v="Mauvais"/>
    <s v=" Retransmission des trames HDLC*5"/>
    <m/>
    <s v="Noura MOUSSAOUI"/>
    <m/>
    <m/>
    <m/>
    <m/>
    <m/>
    <m/>
    <m/>
  </r>
  <r>
    <n v="663"/>
    <x v="0"/>
    <x v="236"/>
    <s v="08:46:45 "/>
    <n v="1005"/>
    <x v="6"/>
    <x v="1"/>
    <n v="1023"/>
    <m/>
    <s v="Casa/Tanger"/>
    <n v="94.953999999999994"/>
    <x v="8"/>
    <s v="N2"/>
    <x v="0"/>
    <s v="*Etat H.O : HO Complet entre 318 et 317_x000a_* qualité /niveau de signal : dl rx-qual=0, dl rx level = -110 dbm_x000a_*Requête de déconnexion a été envoyée par le RBC"/>
    <m/>
    <x v="0"/>
    <s v="En attente de mise en place des tiroires filtrés "/>
    <s v=" HO Complet entre 318 et 317"/>
    <s v="dl Rxqual=0"/>
    <s v="dl rx level= -110"/>
    <s v="OK"/>
    <s v="OK"/>
    <s v="Mauvais"/>
    <s v=" Retransmission des trames HDLC*5"/>
    <m/>
    <s v="Noura MOUSSAOUI"/>
    <m/>
    <m/>
    <m/>
    <m/>
    <m/>
    <m/>
    <m/>
  </r>
  <r>
    <n v="664"/>
    <x v="0"/>
    <x v="236"/>
    <d v="1899-12-30T09:06:23"/>
    <n v="1006"/>
    <x v="6"/>
    <x v="1"/>
    <n v="1058"/>
    <m/>
    <s v="Casa/Tanger"/>
    <n v="7.3209999999999997"/>
    <x v="2"/>
    <s v="N2"/>
    <x v="0"/>
    <s v="*Etat H.O :HO Complet entre 303 et 202_x000a_* qualité /niveau de signal : dl rx-qual=7 dl rx level = -55 dbm_x000a_*Requête de déconnexion a été envoyée par le RBC"/>
    <m/>
    <x v="0"/>
    <s v="En attente de mise en place des tiroires filtrés "/>
    <s v="HO Complet entre 303 et 202"/>
    <s v="dl Rxqual=7"/>
    <s v="dl rx level= -55"/>
    <s v="OK"/>
    <s v="OK"/>
    <s v="Mauvais"/>
    <s v=" Retransmission des trames HDLC*5"/>
    <m/>
    <s v="Noura MOUSSAOUI"/>
    <m/>
    <m/>
    <m/>
    <m/>
    <m/>
    <m/>
    <m/>
  </r>
  <r>
    <n v="665"/>
    <x v="0"/>
    <x v="236"/>
    <d v="1899-12-30T10:35:01"/>
    <n v="2017"/>
    <x v="6"/>
    <x v="0"/>
    <n v="1057"/>
    <m/>
    <s v="Tanger/Casa"/>
    <n v="144.32599999999999"/>
    <x v="3"/>
    <s v="N2"/>
    <x v="1"/>
    <s v="*Etat H.O : HO Complet entre 224 et 225_x000a_* qualité /niveau de signal : dl rx-qual=0, dl rx level = -67 dbm_x000a_*Requête de déconnexion a été envoyée par le RBC"/>
    <m/>
    <x v="0"/>
    <s v="En attente de mise en place des tiroires filtrés "/>
    <s v="HO Complet entre 224 et 225"/>
    <s v="dl Rxqual=0"/>
    <s v="dl rx level= -67"/>
    <s v="OK"/>
    <s v="OK"/>
    <s v="Mauvais"/>
    <s v=" Retransmission des trames HDLC*5"/>
    <m/>
    <s v="Noura MOUSSAOUI"/>
    <m/>
    <m/>
    <m/>
    <m/>
    <m/>
    <m/>
    <m/>
  </r>
  <r>
    <n v="666"/>
    <x v="0"/>
    <x v="236"/>
    <d v="1899-12-30T14:05:39"/>
    <n v="2033"/>
    <x v="7"/>
    <x v="0"/>
    <n v="1054"/>
    <m/>
    <s v="Tanger/Casa"/>
    <n v="6.13"/>
    <x v="2"/>
    <s v="N2"/>
    <x v="1"/>
    <s v="*Etat H.O : HO non Finalisé entre 202 et 203_x000a_* qualité /niveau de signal : dl rx-qual=3, dl rx level = -52 dbm_x000a_*Requête de déconnexion a été envoyée par le RBC"/>
    <m/>
    <x v="0"/>
    <s v="En attente de mise en place des tiroires filtrés "/>
    <s v="HO non finalisé entre 202 et 203"/>
    <s v="dl Rxqual=3"/>
    <s v="dl rx level= -52"/>
    <s v="OK"/>
    <s v="OK"/>
    <s v="Mauvais"/>
    <s v=" Retransmission des trames HDLC*5"/>
    <m/>
    <s v="HAMZAOUI Youssef"/>
    <m/>
    <m/>
    <m/>
    <m/>
    <m/>
    <m/>
    <m/>
  </r>
  <r>
    <n v="667"/>
    <x v="0"/>
    <x v="237"/>
    <d v="1899-12-30T07:46:00"/>
    <n v="1001"/>
    <x v="10"/>
    <x v="1"/>
    <n v="1060"/>
    <m/>
    <s v="Casa/Tanger"/>
    <n v="94.95"/>
    <x v="8"/>
    <s v="N2"/>
    <x v="0"/>
    <s v="*Etat H.O : HO non Finalisé entre 318 et 317_x000a_* qualité /niveau de signal : dl rx-qual=7, dl rx level = -83 dbm_x000a_*Requête de déconnexion a été envoyée par le RBC"/>
    <m/>
    <x v="0"/>
    <s v="En attente de mise en place des tiroires filtrés "/>
    <s v="HO non Finalisé entre 318 et 317"/>
    <s v="dl Rxqual=7"/>
    <s v="dl rx level= -83"/>
    <s v="OK"/>
    <s v="OK"/>
    <s v="Mauvais"/>
    <s v=" Retransmission des trames HDLC*5"/>
    <m/>
    <s v="Noura MOUSSAOUI"/>
    <m/>
    <m/>
    <m/>
    <m/>
    <m/>
    <m/>
    <m/>
  </r>
  <r>
    <n v="668"/>
    <x v="0"/>
    <x v="237"/>
    <d v="1899-12-30T10:35:43"/>
    <n v="2017"/>
    <x v="6"/>
    <x v="0"/>
    <n v="1057"/>
    <m/>
    <s v="Tanger/Casa"/>
    <n v="141.898"/>
    <x v="26"/>
    <s v="N2"/>
    <x v="0"/>
    <s v="*Etat H.O : HO complet entre 224 et 225_x000a_* qualité /niveau de signal : dl rx-qual=0, dl rx level = -48 dbm_x000a_*Requête de déconnexion a été envoyée par le RBC"/>
    <m/>
    <x v="3"/>
    <s v="En attente de pousser les analyses coté RBC"/>
    <s v="HO complet entre 224 et 225"/>
    <s v="dl Rxqual=0"/>
    <s v="dl rx level= -48"/>
    <s v="OK"/>
    <s v="OK"/>
    <s v="Mauvais"/>
    <s v="pas de retransmission des trames HDLC"/>
    <m/>
    <s v="Noura MOUSSAOUI"/>
    <m/>
    <m/>
    <m/>
    <m/>
    <m/>
    <m/>
    <m/>
  </r>
  <r>
    <n v="669"/>
    <x v="0"/>
    <x v="237"/>
    <d v="1899-12-30T10:45:42"/>
    <n v="1013"/>
    <x v="2"/>
    <x v="1"/>
    <n v="1035"/>
    <m/>
    <s v="Casa/Tanger"/>
    <n v="94.95"/>
    <x v="8"/>
    <s v="N2"/>
    <x v="0"/>
    <s v="*Etat H.O : HO non Finalisé entre 318 et 317_x000a_* qualité /niveau de signal : dl rx-qual=7, dl rx level = -85 dbm_x000a_*Requête de déconnexion a été envoyée par le RBC"/>
    <m/>
    <x v="2"/>
    <s v="Zone sous surveillance par équipe NOC GSMR"/>
    <s v="HO non Finalisé entre 318 et 317"/>
    <s v="dl Rxqual=7"/>
    <s v="dl rx level= -85"/>
    <s v="OK"/>
    <s v="OK"/>
    <s v="Mauvais"/>
    <s v=" Retransmission des trames HDLC*5"/>
    <m/>
    <s v="Noura MOUSSAOUI"/>
    <m/>
    <m/>
    <m/>
    <m/>
    <m/>
    <m/>
    <m/>
  </r>
  <r>
    <n v="670"/>
    <x v="0"/>
    <x v="237"/>
    <d v="1899-12-30T11:05:26"/>
    <n v="1013"/>
    <x v="2"/>
    <x v="1"/>
    <n v="1034"/>
    <m/>
    <s v="Casa/Tanger"/>
    <n v="7.3209999999999997"/>
    <x v="2"/>
    <s v="N2"/>
    <x v="0"/>
    <s v="*Etat H.O : HO non Finalisé entre 202 et 203_x000a_* qualité /niveau de signal : dl rx-qual=6, dl rx level = -53 dbm_x000a_*Requête de déconnexion a été envoyée par le RBC"/>
    <m/>
    <x v="0"/>
    <s v="En attente de mise en place des tiroires filtrés "/>
    <s v="HO non Finalisé entre 202 et 203"/>
    <s v="dl Rxqual=6"/>
    <s v="dl rx level= -53"/>
    <s v="NOK"/>
    <s v="OK"/>
    <s v="Mauvais"/>
    <s v=" Retransmission des trames HDLC*5"/>
    <m/>
    <s v="Noura MOUSSAOUI"/>
    <m/>
    <m/>
    <m/>
    <m/>
    <m/>
    <m/>
    <m/>
  </r>
  <r>
    <n v="671"/>
    <x v="0"/>
    <x v="237"/>
    <d v="1899-12-30T14:04:44"/>
    <n v="2033"/>
    <x v="4"/>
    <x v="0"/>
    <n v="7208"/>
    <m/>
    <s v="Tanger/Casa"/>
    <n v="5.73"/>
    <x v="2"/>
    <s v="N2"/>
    <x v="1"/>
    <s v="*Etat H.O : HO complet  entre 201 et 302 _x000a_* qualité /niveau de signal : dl rx-qual=0, dl rx level = -48 dbm_x000a_*Requête de déconnexion a été envoyée par le RBC"/>
    <m/>
    <x v="0"/>
    <s v="En attente de mise en place des tiroires filtrés "/>
    <s v="HO complet entre 201 et 302"/>
    <s v="dl Rxqual=0"/>
    <s v="dl rx level= -48"/>
    <s v="OK"/>
    <s v="OK"/>
    <s v="Mauvais"/>
    <s v=" Retransmission des trames HDLC*5"/>
    <m/>
    <s v="Noura MOUSSAOUI"/>
    <m/>
    <m/>
    <m/>
    <m/>
    <m/>
    <m/>
    <m/>
  </r>
  <r>
    <n v="672"/>
    <x v="0"/>
    <x v="237"/>
    <d v="1899-12-30T18:26:42"/>
    <n v="1046"/>
    <x v="4"/>
    <x v="1"/>
    <n v="1032"/>
    <m/>
    <s v="Casa/Tanger"/>
    <n v="182.86500000000001"/>
    <x v="31"/>
    <s v="N2"/>
    <x v="0"/>
    <s v="*Etat H.O : HO complet entre 332 et 331_x000a_* qualité /niveau de signal : dl rx-qual=0, dl rx level = -48 dbm_x000a_*Requête de déconnexion a été envoyée par le RBC"/>
    <m/>
    <x v="0"/>
    <s v="En attente de mise en place des tiroires filtrés "/>
    <s v="HO complet entre 332 et 331"/>
    <s v="dl Rxqual=0"/>
    <s v="dl rx level= -48"/>
    <s v="OK"/>
    <s v="NOK"/>
    <s v="Mauvais"/>
    <s v=" Retransmission des trames HDLC*5"/>
    <m/>
    <s v="Noura MOUSSAOUI"/>
    <m/>
    <m/>
    <m/>
    <m/>
    <m/>
    <m/>
    <m/>
  </r>
  <r>
    <n v="673"/>
    <x v="0"/>
    <x v="237"/>
    <d v="1899-12-30T19:05:16"/>
    <n v="2053"/>
    <x v="5"/>
    <x v="0"/>
    <n v="1032"/>
    <m/>
    <s v="Tanger/Casa"/>
    <n v="6.13"/>
    <x v="2"/>
    <s v="N2"/>
    <x v="0"/>
    <s v="*Etat H.O : HO complet entre 301 et 302_x000a_* qualité /niveau de signal : dl rx-qual=7, dl rx level = -55 dbm_x000a_*Requête de déconnexion a été envoyée par le RBC"/>
    <m/>
    <x v="0"/>
    <s v="En attente de mise en place des tiroires filtrés "/>
    <s v="HO complet entre 301 et 302"/>
    <s v="dl Rxqual=7"/>
    <s v="dl rx level= -55"/>
    <s v="NOK"/>
    <s v="OK"/>
    <s v="Mauvais"/>
    <s v=" Retransmission des trames HDLC*5"/>
    <m/>
    <s v="Noura MOUSSAOUI"/>
    <m/>
    <m/>
    <m/>
    <m/>
    <m/>
    <m/>
    <m/>
  </r>
  <r>
    <n v="674"/>
    <x v="0"/>
    <x v="238"/>
    <d v="1899-12-30T10:42:50"/>
    <n v="2017"/>
    <x v="5"/>
    <x v="0"/>
    <n v="1024"/>
    <m/>
    <s v="Tanger/Casa"/>
    <n v="181.626"/>
    <x v="4"/>
    <s v="N2"/>
    <x v="1"/>
    <s v="*Etat H.O :HO Complet entre 230 et 231_x000a_* qualité /niveau de signal : dl rx-qual=0, dl rx level = -48 dbm_x000a_*Requête de déconnexion a été envoyée par le RBC"/>
    <m/>
    <x v="0"/>
    <s v="En attente de mise en place des tiroires filtrés "/>
    <s v="HO Complet entre 230 et 231"/>
    <s v="dl Rxqual=0"/>
    <s v="dl rx level= -48"/>
    <s v="OK"/>
    <s v="OK"/>
    <s v="Mauvais"/>
    <s v=" Retransmission des trames HDLC*5"/>
    <m/>
    <s v="Noura MOUSSAOUI"/>
    <m/>
    <m/>
    <m/>
    <m/>
    <m/>
    <m/>
    <m/>
  </r>
  <r>
    <n v="675"/>
    <x v="0"/>
    <x v="238"/>
    <d v="1899-12-30T16:20:32"/>
    <n v="2041"/>
    <x v="9"/>
    <x v="0"/>
    <n v="1053"/>
    <m/>
    <s v="Tanger/Casa"/>
    <n v="70.144000000000005"/>
    <x v="0"/>
    <s v="N2"/>
    <x v="0"/>
    <s v="*Etat H.O :HO Complet entre 212 et 213_x000a_* qualité /niveau de signal : dl rx-qual=0, dl rx level = -48 dbm_x000a_*Requête de déconnexion a été envoyée par le RBC"/>
    <m/>
    <x v="0"/>
    <s v="En attente de mise en place des tiroires filtrés "/>
    <s v="HO Complet entre 212 et 213"/>
    <s v="dl Rxqual=0"/>
    <s v="dl rx level= -48"/>
    <s v="OK"/>
    <s v="NOK"/>
    <s v="Mauvais"/>
    <s v=" Retransmission des trames HDLC*5"/>
    <m/>
    <s v="HAMZAOUI Youssef"/>
    <m/>
    <m/>
    <m/>
    <m/>
    <m/>
    <m/>
    <m/>
  </r>
  <r>
    <n v="676"/>
    <x v="0"/>
    <x v="238"/>
    <d v="1899-12-30T18:05:53"/>
    <n v="2049"/>
    <x v="11"/>
    <x v="0"/>
    <n v="1048"/>
    <m/>
    <s v="Tanger/Casa"/>
    <n v="6.13"/>
    <x v="2"/>
    <s v="N2"/>
    <x v="1"/>
    <s v="*Etat H.O :Non finalise entre 301 et 203 (saut de cellule)_x000a_* qualité /niveau de signal : dl rx-qual=6, dl rx level = -54 dbm_x000a_*Requête de déconnexion a été envoyée par le RBC"/>
    <m/>
    <x v="0"/>
    <s v="En attente de mise en place des tiroires filtrés "/>
    <s v="HO non Finalisé entre 301 et 203"/>
    <s v="dl Rxqual=6"/>
    <s v="dl rx level= -54"/>
    <s v="NOK"/>
    <s v="OK"/>
    <s v="Mauvais"/>
    <s v=" Retransmission des trames HDLC*5"/>
    <m/>
    <s v="HAMZAOUI Youssef"/>
    <m/>
    <m/>
    <m/>
    <m/>
    <m/>
    <m/>
    <m/>
  </r>
  <r>
    <n v="677"/>
    <x v="0"/>
    <x v="238"/>
    <d v="1899-12-30T21:02:00"/>
    <n v="1054"/>
    <x v="9"/>
    <x v="1"/>
    <n v="1030"/>
    <m/>
    <s v="Casa/Tanger"/>
    <n v="16.29"/>
    <x v="22"/>
    <s v="N2"/>
    <x v="0"/>
    <s v="*Etat H.O :complet entre 305 et 204 _x000a_* qualité /niveau de signal : dl rx-qual=0, dl rx level = -48 dbm_x000a_*Requête de déconnexion a été envoyée par le RBC(le conducteur a tenté de se reconnecter mais lors de la reconnexion le bord s'est accroché a la cellule 591 de la ligne Sidi Kacem-Tanger ce qui a provoqué une deuxiéme déconnexion en raison d'un HO non finalisé entre cette cellule et la cellule 592)"/>
    <m/>
    <x v="0"/>
    <s v="En attente de mise en place des tiroires filtrés "/>
    <s v="HO Complet entre 305 et 304"/>
    <s v="dl Rxqual=0"/>
    <s v="dl rx level= -48"/>
    <s v="OK"/>
    <s v="OK"/>
    <s v="Mauvais"/>
    <s v=" Retransmission des trames HDLC*5"/>
    <m/>
    <s v="HARIRI Bahaeddine"/>
    <m/>
    <m/>
    <m/>
    <m/>
    <m/>
    <m/>
    <m/>
  </r>
  <r>
    <n v="678"/>
    <x v="0"/>
    <x v="239"/>
    <d v="1899-12-30T07:47:04"/>
    <n v="1001"/>
    <x v="6"/>
    <x v="1"/>
    <n v="1023"/>
    <m/>
    <s v="Casa/Tanger"/>
    <n v="90.108000000000004"/>
    <x v="12"/>
    <s v="N2"/>
    <x v="0"/>
    <s v="*Etat H.O : HO Complet entre 318 et 317_x000a_* qualité /niveau de signal : dl rx-qual=3, dl rx level = -65 dbm_x000a_*Requête de déconnexion a été envoyée par le RBC"/>
    <m/>
    <x v="0"/>
    <s v="En attente de mise en place des tiroires filtrés "/>
    <s v=" HO Complet entre 318 et 317"/>
    <s v="dl Rxqual=3"/>
    <s v="dl rx level= -65"/>
    <s v="OK"/>
    <s v="OK"/>
    <s v="Mauvais"/>
    <s v=" Retransmission des trames HDLC*5"/>
    <m/>
    <s v="Noura MOUSSAOUI"/>
    <m/>
    <m/>
    <m/>
    <m/>
    <m/>
    <m/>
    <m/>
  </r>
  <r>
    <n v="679"/>
    <x v="0"/>
    <x v="240"/>
    <s v=" 09:24:06"/>
    <n v="2013"/>
    <x v="9"/>
    <x v="0"/>
    <n v="1053"/>
    <m/>
    <s v="Tanger/Casa"/>
    <n v="87.715000000000003"/>
    <x v="12"/>
    <s v="N2"/>
    <x v="0"/>
    <s v="*Etat H.O :  HO Complet entre 215 et 216_x000a_* qualité /niveau de signal : dl rx-qual=1, dl rx level = -61 dbm_x000a_*Requête de déconnexion a été envoyée par le RBC"/>
    <m/>
    <x v="0"/>
    <s v="En attente de mise en place des tiroires filtrés "/>
    <s v="HO Complet entre 215 et 216"/>
    <s v="dl Rxqual=1"/>
    <s v="dl rx level= -61"/>
    <s v="OK"/>
    <s v="NOK"/>
    <s v="Mauvais"/>
    <s v=" Retransmission des trames HDLC*5"/>
    <m/>
    <s v="Noura MOUSSAOUI"/>
    <m/>
    <m/>
    <m/>
    <m/>
    <m/>
    <m/>
    <m/>
  </r>
  <r>
    <n v="680"/>
    <x v="0"/>
    <x v="240"/>
    <s v=" 10:35:39"/>
    <n v="2017"/>
    <x v="11"/>
    <x v="0"/>
    <n v="1049"/>
    <m/>
    <s v="Tanger/Casa"/>
    <n v="145.54"/>
    <x v="3"/>
    <s v="N2"/>
    <x v="0"/>
    <s v="*Etat H.O :  HO Complet entre 224 et 225_x000a_* qualité /niveau de signal : dl rx-qual=2, dl rx level = -70 dbm_x000a_*Requête de déconnexion a été envoyée par le RBC"/>
    <m/>
    <x v="3"/>
    <s v="En attente de pousser les analyses coté RBC"/>
    <s v="HO Complet entre 224 et 225"/>
    <s v="dl Rxqual=2"/>
    <s v="dl rx level= -70"/>
    <s v="OK"/>
    <s v="OK"/>
    <s v="Mauvais"/>
    <s v="pas de retransmission des trames HDLC"/>
    <m/>
    <s v="HAMZAOUI Youssef"/>
    <m/>
    <m/>
    <m/>
    <m/>
    <m/>
    <m/>
    <m/>
  </r>
  <r>
    <n v="681"/>
    <x v="0"/>
    <x v="240"/>
    <d v="1899-12-30T15:44:29"/>
    <n v="2037"/>
    <x v="10"/>
    <x v="0"/>
    <n v="7198"/>
    <m/>
    <s v="Tanger/Casa"/>
    <n v="186.315"/>
    <x v="19"/>
    <s v="N2"/>
    <x v="0"/>
    <s v="*Etat H.O :  HO Complet entre 231 et 232_x000a_* qualité /niveau de signal : dl rx-qual=0, dl rx level = -65 dbm_x000a_*Requête de déconnexion a été envoyée par le RBC"/>
    <m/>
    <x v="0"/>
    <s v="En attente de mise en place des tiroires filtrés "/>
    <s v="HO Complet entre 231 et 232"/>
    <s v="dl Rxqual=0"/>
    <s v="dl rx level= -54"/>
    <s v="OK"/>
    <s v="NOK"/>
    <s v="Mauvais"/>
    <s v=" Retransmission des trames HDLC*5"/>
    <m/>
    <s v="ISMALI ALAOUI Hamza"/>
    <m/>
    <m/>
    <m/>
    <m/>
    <m/>
    <m/>
    <m/>
  </r>
  <r>
    <n v="682"/>
    <x v="0"/>
    <x v="240"/>
    <d v="1899-12-30T18:04:57"/>
    <n v="2049"/>
    <x v="1"/>
    <x v="0"/>
    <n v="1028"/>
    <m/>
    <s v="Tanger/Casa"/>
    <n v="6.13"/>
    <x v="2"/>
    <s v="N2"/>
    <x v="1"/>
    <s v="*Etat H.O :  HO non finalisé entre 302 et 203_x000a_* qualité /niveau de signal : dl rx-qual=7, dl rx level = -55 dbm_x000a_*Requête de déconnexion a été envoyée par le RBC"/>
    <m/>
    <x v="0"/>
    <s v="En attente de mise en place des tiroires filtrés "/>
    <s v="HO non Finalisé entre 302 et 203"/>
    <s v="dl Rxqual=7"/>
    <s v="dl rx level= -55"/>
    <s v="OK"/>
    <s v="OK"/>
    <s v="Mauvais"/>
    <s v=" Retransmission des trames HDLC*5"/>
    <m/>
    <s v="ISMALI ALAOUI Hamza"/>
    <m/>
    <m/>
    <m/>
    <m/>
    <m/>
    <m/>
    <m/>
  </r>
  <r>
    <n v="683"/>
    <x v="0"/>
    <x v="240"/>
    <d v="1899-12-30T19:24:42"/>
    <n v="1050"/>
    <x v="10"/>
    <x v="1"/>
    <n v="1061"/>
    <m/>
    <s v="Casa/Tanger"/>
    <n v="198.98400000000001"/>
    <x v="5"/>
    <s v="N2"/>
    <x v="1"/>
    <s v="*Etat H.O : HO Complet entre 234 et 233_x000a_* qualité /niveau de signal : dl rx-qual=0, dl rx level = -50 dbm_x000a_*Requête de déconnexion a été envoyée par le MSC"/>
    <m/>
    <x v="0"/>
    <s v="En attente de mise en place des tiroires filtrés "/>
    <s v=" HO Complet entre 234 et 233"/>
    <s v="dl Rxqual=0"/>
    <s v="dl rx level= -50"/>
    <s v="OK"/>
    <s v="OK"/>
    <s v="Mauvais"/>
    <s v="pas de retransmission des trames HDLC"/>
    <m/>
    <s v="HARIRI Bahaeddine"/>
    <m/>
    <m/>
    <m/>
    <m/>
    <m/>
    <m/>
    <m/>
  </r>
  <r>
    <n v="684"/>
    <x v="0"/>
    <x v="241"/>
    <d v="1899-12-30T20:05:51"/>
    <n v="2057"/>
    <x v="11"/>
    <x v="0"/>
    <n v="1048"/>
    <m/>
    <s v="Tanger/Casa"/>
    <n v="6.13"/>
    <x v="2"/>
    <s v="N2"/>
    <x v="1"/>
    <s v="*Etat H.O :  HO recule non finalisé entre 202 et 301_x000a_* qualité /niveau de signal : dl rx-qual=7, dl rx level = -52 dbm_x000a_*Requête de déconnexion a été envoyée par le RBC"/>
    <m/>
    <x v="0"/>
    <s v="En attente de mise en place des tiroires filtrés "/>
    <s v=" HO recule non finalisé entre 202 et 301"/>
    <s v="dl Rxqual=7"/>
    <s v="dl rx level= -52"/>
    <s v="OK"/>
    <s v="OK"/>
    <s v="Mauvais"/>
    <s v=" Retransmission des trames HDLC*5"/>
    <m/>
    <s v="HARIRI Bahaeddine"/>
    <m/>
    <m/>
    <m/>
    <m/>
    <m/>
    <m/>
    <m/>
  </r>
  <r>
    <n v="685"/>
    <x v="0"/>
    <x v="242"/>
    <d v="1899-12-30T09:57:51"/>
    <n v="1009"/>
    <x v="11"/>
    <x v="1"/>
    <n v="1020"/>
    <m/>
    <s v="Casa/Tanger"/>
    <n v="94.953999999999994"/>
    <x v="8"/>
    <s v="N2"/>
    <x v="0"/>
    <s v="*Etat H.O :  HO non finalisé entre 318 et 317_x000a_* qualité /niveau de signal : dl rx-qual=7, dl rx level = -85 dbm_x000a_*Requête de déconnexion a été envoyée par le RBC"/>
    <m/>
    <x v="2"/>
    <s v="Zone sous surveillance par équipe NOC GSMR"/>
    <s v=" HO non finalisé entre 318 et 317"/>
    <s v="dl Rxqual=7"/>
    <s v="dl rx level= -85"/>
    <s v="OK"/>
    <s v="OK"/>
    <s v="Mauvais"/>
    <s v=" Retransmission des trames HDLC*5"/>
    <m/>
    <s v="Noura MOUSSAOUI"/>
    <m/>
    <m/>
    <m/>
    <m/>
    <m/>
    <m/>
    <m/>
  </r>
  <r>
    <n v="686"/>
    <x v="0"/>
    <x v="242"/>
    <s v="12:05:29 "/>
    <n v="2025"/>
    <x v="6"/>
    <x v="0"/>
    <n v="1056"/>
    <m/>
    <s v="Tanger/Casa"/>
    <n v="6.13"/>
    <x v="2"/>
    <s v="N2"/>
    <x v="0"/>
    <s v="*Etat H.O : HO non finalisé entre 202 et 203_x000a_* qualité /niveau de signal : dl rx-qual=7, dl rx level = -54 dbm_x000a_*Requête de déconnexion a été envoyée par le RBC"/>
    <m/>
    <x v="0"/>
    <s v="En attente de mise en place des tiroires filtrés "/>
    <s v="HO non finalisé entre 202 et 203"/>
    <s v="dl Rxqual=7"/>
    <s v="dl rx level= -54"/>
    <s v="NOK"/>
    <s v="OK"/>
    <s v="Mauvais"/>
    <s v=" Retransmission des trames HDLC*5"/>
    <m/>
    <s v="Noura MOUSSAOUI"/>
    <m/>
    <m/>
    <m/>
    <m/>
    <m/>
    <m/>
    <m/>
  </r>
  <r>
    <n v="687"/>
    <x v="0"/>
    <x v="242"/>
    <d v="1899-12-30T20:04:06"/>
    <n v="1049"/>
    <x v="3"/>
    <x v="1"/>
    <n v="1008"/>
    <m/>
    <s v="Casa/Tanger"/>
    <n v="25.91"/>
    <x v="7"/>
    <s v="N2"/>
    <x v="1"/>
    <s v="*Etat H.O : HO non finalisé entre 306 et 207_x000a_* qualité /niveau de signal : dl rx-qual=7, dl rx level = -82 dbm_x000a_*Requête de déconnexion a été envoyée par le RBC"/>
    <m/>
    <x v="2"/>
    <s v="Zone sous surveillance par équipe NOC GSMR"/>
    <s v="HO non finalisé entre 306 et 207"/>
    <s v="dl Rxqual=7"/>
    <s v="dl rx level= -82"/>
    <s v="NOK"/>
    <s v="OK"/>
    <s v="Mauvais"/>
    <s v=" Retransmission des trames HDLC*5"/>
    <m/>
    <s v="Fahd OUSSALH"/>
    <m/>
    <m/>
    <m/>
    <m/>
    <m/>
    <m/>
    <m/>
  </r>
  <r>
    <n v="688"/>
    <x v="0"/>
    <x v="243"/>
    <d v="1899-12-30T17:35:59"/>
    <n v="2045"/>
    <x v="6"/>
    <x v="0"/>
    <n v="1057"/>
    <m/>
    <s v="Tanger/Casa"/>
    <n v="140.65899999999999"/>
    <x v="26"/>
    <s v="N2"/>
    <x v="1"/>
    <s v="*Etat H.O : HO finalisé entre 224 et 225_x000a_* qualité /niveau de signal : dl rx-qual=0, dl rx level = -77 dbm_x000a_*Requête de déconnexion a été envoyée par le RBC"/>
    <m/>
    <x v="3"/>
    <s v="En attente de pousser les analyses coté RBC"/>
    <s v="HO finalisé entre 224 et 225"/>
    <s v="dl Rxqual=0"/>
    <s v="dl rx level= -77"/>
    <s v="OK"/>
    <s v="OK"/>
    <s v="Mauvais"/>
    <s v="  Pas de Retransmission des trames "/>
    <m/>
    <s v="Fahd OUSSALH"/>
    <m/>
    <m/>
    <m/>
    <m/>
    <m/>
    <m/>
    <m/>
  </r>
  <r>
    <n v="689"/>
    <x v="0"/>
    <x v="243"/>
    <d v="1899-12-30T20:05:57"/>
    <n v="1050"/>
    <x v="3"/>
    <x v="1"/>
    <n v="1008"/>
    <m/>
    <s v="Casa/Tanger"/>
    <n v="7.3209999999999997"/>
    <x v="2"/>
    <s v="N2"/>
    <x v="0"/>
    <s v="*Etat H.O : HO finalisé entre 303 et 302_x000a_* qualité /niveau de signal : dl rx-qual=7, dl rx level = -79 dbm_x000a_*Requête de déconnexion a été envoyée par le RBC"/>
    <m/>
    <x v="0"/>
    <s v="En attente de mise en place des tiroires filtrés "/>
    <s v="HO finalisé entre 303 et 302"/>
    <s v="dl Rxqual=7"/>
    <s v="dl rx level= -79"/>
    <s v="OK"/>
    <s v="OK"/>
    <s v="Mauvais"/>
    <s v=" Retransmission des trames HDLC*5"/>
    <m/>
    <s v="Fahd OUSSALH"/>
    <m/>
    <m/>
    <m/>
    <m/>
    <m/>
    <m/>
    <m/>
  </r>
  <r>
    <n v="690"/>
    <x v="0"/>
    <x v="243"/>
    <d v="1899-12-30T23:03:54"/>
    <n v="1061"/>
    <x v="4"/>
    <x v="1"/>
    <n v="1033"/>
    <m/>
    <s v="Casa/Tanger"/>
    <n v="8.9700000000000006"/>
    <x v="2"/>
    <s v="N2"/>
    <x v="1"/>
    <s v="* Etat H.O : Ho est complet entre 304 et 303_x000a_* qualité /niveau de signal : dl rx-qual=2, dl rx level = -64dbm_x000a_*Requête de déconnexion a été envoyée par le RBC"/>
    <m/>
    <x v="0"/>
    <s v="En attente de mise en place des tiroires filtrés "/>
    <s v="HO finalisé entre 304 et 303"/>
    <s v="dl Rxqual=2"/>
    <s v="dl rx level= -64"/>
    <s v="OK"/>
    <s v="OK"/>
    <s v="Mauvais"/>
    <s v=" Retransmission des trames HDLC*5"/>
    <m/>
    <s v="Saad Elhabib"/>
    <m/>
    <m/>
    <m/>
    <m/>
    <m/>
    <m/>
    <m/>
  </r>
  <r>
    <n v="691"/>
    <x v="0"/>
    <x v="243"/>
    <d v="1899-12-30T11:27:11"/>
    <n v="2021"/>
    <x v="11"/>
    <x v="0"/>
    <n v="1049"/>
    <m/>
    <s v="Tanger/Casa"/>
    <n v="106.91800000000001"/>
    <x v="1"/>
    <s v="N2"/>
    <x v="0"/>
    <s v="* Etat H.O : HO Complet entre 218 et 219_x000a_* qualité /niveau de signal : dl rx-qual=0, dl rx level = -51dbm_x000a_*Requête de déconnexion a été envoyée par le RBC"/>
    <m/>
    <x v="0"/>
    <s v="En attente de mise en place des tiroires filtrés "/>
    <s v="HO finalisé entre 218 et 219"/>
    <s v="dl Rxqual=0"/>
    <s v="dl rx level= -51"/>
    <s v="OK"/>
    <s v="OK"/>
    <s v="Mauvais"/>
    <s v=" Retransmission des trames HDLC*5"/>
    <m/>
    <s v="Saad Elhabib"/>
    <m/>
    <m/>
    <m/>
    <m/>
    <m/>
    <m/>
    <m/>
  </r>
  <r>
    <n v="692"/>
    <x v="0"/>
    <x v="244"/>
    <d v="1899-12-30T13:05:00"/>
    <n v="1021"/>
    <x v="4"/>
    <x v="1"/>
    <n v="1033"/>
    <m/>
    <s v="Tanger/Casa"/>
    <n v="8.9700000000000006"/>
    <x v="2"/>
    <s v="N2"/>
    <x v="1"/>
    <s v="* Etat H.O :Ho est complet entre 304 et 303_x000a_* qualité /niveau de signal : dl rx-qual=5, dl rx level = -66dbm_x000a_*Requête de déconnexion a été envoyée par le RBC"/>
    <m/>
    <x v="0"/>
    <s v="En attente de mise en place des tiroires filtrés "/>
    <s v="HO finalisé entre 304 et 303"/>
    <s v="dl Rxqual=5"/>
    <s v="dl rx level= -66"/>
    <s v="OK"/>
    <s v="OK"/>
    <s v="Mauvais"/>
    <s v="  Pas de Retransmission des trames "/>
    <m/>
    <s v="Noura MOUSSAOUI"/>
    <m/>
    <m/>
    <m/>
    <m/>
    <m/>
    <m/>
    <m/>
  </r>
  <r>
    <n v="693"/>
    <x v="0"/>
    <x v="244"/>
    <d v="1899-12-30T20:05:21"/>
    <n v="1050"/>
    <x v="10"/>
    <x v="1"/>
    <n v="1060"/>
    <m/>
    <s v="Casa/Tanger"/>
    <n v="7.3209999999999997"/>
    <x v="2"/>
    <s v="N2"/>
    <x v="0"/>
    <s v="* Etat H.O :Ho non finalisé entre 203 et 302_x000a_* qualité /niveau de signal : dl rx-qual=6, dl rx level = -52dbm_x000a_*Requête de déconnexion a été envoyée par le BORD"/>
    <m/>
    <x v="0"/>
    <s v="En attente de mise en place des tiroires filtrés "/>
    <s v="HO NON finalisé entre 302 et 203"/>
    <s v="dl Rxqual=6"/>
    <s v="dl rx level= -52"/>
    <s v="NOK"/>
    <s v="OK"/>
    <s v="Mauvais"/>
    <s v=" Retransmission des trames HDLC*5"/>
    <m/>
    <s v="MAROUANI Otmane"/>
    <m/>
    <m/>
    <m/>
    <m/>
    <m/>
    <m/>
    <m/>
  </r>
  <r>
    <n v="694"/>
    <x v="0"/>
    <x v="245"/>
    <d v="1899-12-30T04:09:45"/>
    <n v="2081"/>
    <x v="3"/>
    <x v="0"/>
    <n v="1047"/>
    <m/>
    <s v="Tanger/Casa"/>
    <n v="14.99"/>
    <x v="22"/>
    <s v="N2"/>
    <x v="1"/>
    <s v="* Etat H.O : HO Complet entre 203 et 204_x000a_* qualité /niveau de signal : dl rx-qual=0, dl rx level = -48dbm_x000a_*Requête de déconnexion a été envoyée par le RBC"/>
    <m/>
    <x v="0"/>
    <s v="En attente de mise en place des tiroires filtrés "/>
    <s v="HO Complete entre 203 et 204"/>
    <s v="dl Rxqual=0"/>
    <s v="dl rx level= -48"/>
    <s v="OK"/>
    <s v="OK"/>
    <s v="Mauvais"/>
    <s v=" Retransmission des trames HDLC*5"/>
    <m/>
    <s v="Saad Elhabib"/>
    <m/>
    <m/>
    <m/>
    <m/>
    <m/>
    <m/>
    <m/>
  </r>
  <r>
    <n v="695"/>
    <x v="0"/>
    <x v="245"/>
    <d v="1899-12-30T08:13:14"/>
    <n v="2009"/>
    <x v="3"/>
    <x v="0"/>
    <n v="1046"/>
    <m/>
    <s v="Tanger/Casa"/>
    <n v="31.350999999999999"/>
    <x v="25"/>
    <s v="N2"/>
    <x v="0"/>
    <s v="* Etat H.O : HO Complet entre 205 et 206_x000a_* qualité /niveau de signal : dl rx-qual=0, dl rx level = -55dbm_x000a_*Requête de déconnexion a été envoyée par le RBC"/>
    <m/>
    <x v="0"/>
    <s v="En attente de mise en place des tiroires filtrés "/>
    <s v="HO Complete entre 205 et 206"/>
    <s v="dl Rxqual=0"/>
    <s v="dl rx level= -55"/>
    <s v="OK"/>
    <s v="OK"/>
    <s v="Mauvais"/>
    <s v=" Retransmission des trames HDLC*5"/>
    <m/>
    <s v="Noura MOUSSAOUI"/>
    <m/>
    <m/>
    <m/>
    <m/>
    <m/>
    <m/>
    <m/>
  </r>
  <r>
    <n v="696"/>
    <x v="0"/>
    <x v="245"/>
    <d v="1899-12-30T09:35:47"/>
    <n v="2013"/>
    <x v="1"/>
    <x v="0"/>
    <n v="1029"/>
    <m/>
    <s v="Tanger/Casa"/>
    <n v="144.63200000000001"/>
    <x v="3"/>
    <s v="N2"/>
    <x v="0"/>
    <s v="* Etat H.O : HO Complet entre 224 et 225_x000a_* qualité /niveau de signal : dl rx-qual=0, dl rx level = -59dbm_x000a_*Requête de déconnexion a été envoyée par le RBC"/>
    <m/>
    <x v="0"/>
    <s v="En attente de mise en place des tiroires filtrés "/>
    <s v="HO Complete entre 225 et 226"/>
    <s v="dl Rxqual=0"/>
    <s v="dl rx level= -59"/>
    <s v="OK"/>
    <s v="OK"/>
    <s v="Mauvais"/>
    <s v=" Retransmission des trames HDLC*5"/>
    <m/>
    <s v="SGHAYER Achraf"/>
    <m/>
    <m/>
    <m/>
    <m/>
    <m/>
    <m/>
    <m/>
  </r>
  <r>
    <n v="697"/>
    <x v="0"/>
    <x v="245"/>
    <d v="1899-12-30T12:14:14"/>
    <n v="2025"/>
    <x v="4"/>
    <x v="0"/>
    <n v="7208"/>
    <m/>
    <s v="Tanger/Casa"/>
    <n v="39.215000000000003"/>
    <x v="14"/>
    <s v="N2"/>
    <x v="0"/>
    <s v="* Etat H.O : HO non finalisé entre 207 et 208_x000a_* qualité /niveau de signal : dl rx-qual=0, dl rx level = -65dbm_x000a_*Requête de déconnexion a été envoyée par le RBC"/>
    <m/>
    <x v="0"/>
    <s v="En attente de mise en place des tiroires filtrés "/>
    <s v="HO non finalisé entre 207 et 208"/>
    <s v="dl Rxqual=0"/>
    <s v="dl rx level= -65"/>
    <s v="NOK"/>
    <s v="OK"/>
    <s v="Mauvais"/>
    <s v=" Retransmission des trames HDLC*5"/>
    <m/>
    <s v="Noura MOUSSAOUI"/>
    <m/>
    <m/>
    <m/>
    <m/>
    <m/>
    <m/>
    <m/>
  </r>
  <r>
    <n v="698"/>
    <x v="0"/>
    <x v="246"/>
    <s v="08:08:30 "/>
    <n v="2009"/>
    <x v="10"/>
    <x v="0"/>
    <n v="7206"/>
    <m/>
    <s v="Tanger/Casa"/>
    <n v="12.496"/>
    <x v="22"/>
    <s v="N2"/>
    <x v="0"/>
    <s v="* Etat H.O :  HO complet entre 203 et 204_x000a_* qualité /niveau de signal : dl rx-qual=0, dl rx level = -55dbm_x000a_*Requête de déconnexion a été envoyée par le RBC"/>
    <m/>
    <x v="0"/>
    <s v="En attente de mise en place des tiroires filtrés "/>
    <s v="HO non finalisé entre 203 et 204"/>
    <s v="dl Rxqual=0"/>
    <s v="dl rx level= -55"/>
    <s v="OK"/>
    <s v="OK"/>
    <s v="Mauvais"/>
    <s v=" Retransmission des trames HDLC*5"/>
    <m/>
    <s v="Noura MOUSSAOUI"/>
    <m/>
    <m/>
    <m/>
    <m/>
    <m/>
    <m/>
    <m/>
  </r>
  <r>
    <n v="699"/>
    <x v="0"/>
    <x v="246"/>
    <s v="17:05:05 "/>
    <n v="2045"/>
    <x v="4"/>
    <x v="0"/>
    <n v="7208"/>
    <m/>
    <s v="Tanger/Casa"/>
    <n v="6.13"/>
    <x v="2"/>
    <s v="N2"/>
    <x v="1"/>
    <s v="* Etat H.O :  HO non complet entre 202 et 203_x000a_* qualité /niveau de signal : dl rx-qual=7, dl rx level = -53dbm_x000a_*Requête de déconnexion a été envoyée par le RBC"/>
    <m/>
    <x v="0"/>
    <s v="En attente de mise en place des tiroires filtrés "/>
    <s v="HO non finalisé entre 202 et 203"/>
    <s v="dl Rxqual=7"/>
    <s v="dl rx level= -53"/>
    <s v="OK"/>
    <s v="OK"/>
    <s v="Mauvais"/>
    <s v=" Retransmission des trames HDLC*5"/>
    <m/>
    <s v="HARIRI Bahaeddine"/>
    <m/>
    <m/>
    <m/>
    <m/>
    <m/>
    <m/>
    <m/>
  </r>
  <r>
    <n v="700"/>
    <x v="0"/>
    <x v="246"/>
    <s v="19:05:02 "/>
    <n v="2053"/>
    <x v="0"/>
    <x v="0"/>
    <n v="1036"/>
    <m/>
    <s v="Tanger/Casa"/>
    <n v="6.13"/>
    <x v="2"/>
    <s v="N2"/>
    <x v="1"/>
    <s v="* Etat H.O :  HO non complet entre 202 et 203_x000a_* qualité /niveau de signal : dl rx-qual=7, dl rx level = -55dbm_x000a_*Requête de déconnexion a été envoyée par le RBC"/>
    <m/>
    <x v="0"/>
    <s v="En attente de mise en place des tiroires filtrés "/>
    <s v="HO non finalisé entre 202 et 203"/>
    <s v="dl Rxqual=7"/>
    <s v="dl rx level= -55"/>
    <s v="OK"/>
    <s v="OK"/>
    <s v="Mauvais"/>
    <s v=" Retransmission des trames HDLC*5"/>
    <m/>
    <s v="HARIRI Bahaeddine"/>
    <m/>
    <m/>
    <m/>
    <m/>
    <m/>
    <m/>
    <m/>
  </r>
  <r>
    <n v="701"/>
    <x v="0"/>
    <x v="246"/>
    <d v="1899-12-30T17:20:42"/>
    <n v="2045"/>
    <x v="4"/>
    <x v="0"/>
    <n v="1058"/>
    <m/>
    <s v="Tanger/Casa"/>
    <n v="57.661999999999999"/>
    <x v="23"/>
    <s v="N2"/>
    <x v="0"/>
    <s v="*Etat H.O : HO  complet entre 209 et 210_x000a_* qualité /niveau de signal : absence des traces radios_x000a_*Requête de déconnexion a été envoyée par le RBC"/>
    <m/>
    <x v="0"/>
    <s v="absence des mesures radio &quot; problème au niveau de l'interface expandium&quot; "/>
    <s v="HO  complet entre 209 et 210"/>
    <m/>
    <m/>
    <s v="absence des traces radios"/>
    <s v="OK"/>
    <s v="Mauvais"/>
    <s v=" Retransmission des trames HDLC*5"/>
    <m/>
    <s v="Saad Elhabib"/>
    <m/>
    <m/>
    <m/>
    <m/>
    <m/>
    <m/>
    <m/>
  </r>
  <r>
    <n v="702"/>
    <x v="0"/>
    <x v="247"/>
    <s v=" 09 :05 :21"/>
    <n v="2013"/>
    <x v="11"/>
    <x v="0"/>
    <n v="1048"/>
    <m/>
    <s v="Tanger/Casa"/>
    <n v="6.13"/>
    <x v="2"/>
    <s v="N2"/>
    <x v="1"/>
    <s v="*Etat H.O : HO non finalisé entre 302 et 303_x000a_* qualité /niveau de signal : dl Rxqual=7,dl rx level= -52_x000a_*Requête de déconnexion a été envoyée par le RBC"/>
    <m/>
    <x v="0"/>
    <s v="En attente de mise en place des tiroires filtrés "/>
    <s v="HO non finalisé entre 302 et 303"/>
    <s v="dl Rxqual=7"/>
    <s v="dl rx level= -52"/>
    <s v="NOK"/>
    <s v="OK"/>
    <s v="Mauvais"/>
    <s v=" Retransmission des trames HDLC*5"/>
    <m/>
    <s v="Noura MOUSSAOUI"/>
    <m/>
    <m/>
    <m/>
    <m/>
    <m/>
    <m/>
    <m/>
  </r>
  <r>
    <n v="703"/>
    <x v="0"/>
    <x v="247"/>
    <s v="13:01:41 "/>
    <n v="1022"/>
    <x v="4"/>
    <x v="1"/>
    <n v="7206"/>
    <m/>
    <s v="Casa/Tanger"/>
    <n v="16.29"/>
    <x v="22"/>
    <s v="N2"/>
    <x v="0"/>
    <s v="* Etat H.O :  HO complet entre 305 et 304_x000a_* qualité /niveau de signal : dl rx-qual=0, dl rx level = -51dbm_x000a_*Requête de déconnexion a été envoyée par le RBC"/>
    <m/>
    <x v="0"/>
    <s v="En attente de mise en place des tiroires filtrés "/>
    <s v="HO  complet entre 305 et 304"/>
    <s v="dl Rxqual=0"/>
    <s v="dl rx level= -51"/>
    <s v="OK"/>
    <s v="OK"/>
    <s v="Mauvais"/>
    <s v=" Retransmission des trames HDLC*5"/>
    <m/>
    <s v="HARIRI Bahaeddine"/>
    <m/>
    <m/>
    <m/>
    <m/>
    <m/>
    <m/>
    <m/>
  </r>
  <r>
    <n v="704"/>
    <x v="0"/>
    <x v="247"/>
    <d v="1899-12-30T15:05:21"/>
    <n v="2037"/>
    <x v="11"/>
    <x v="0"/>
    <n v="1048"/>
    <m/>
    <s v="Tanger/Casa"/>
    <n v="6.13"/>
    <x v="2"/>
    <s v="N2"/>
    <x v="1"/>
    <s v="* Etat H.O :  HO complet entre 202 et 203_x000a_* qualité /niveau de signal : dl rx-qual=7, dl rx level = -58dbm_x000a_*Requête de déconnexion a été envoyée par le RBC"/>
    <m/>
    <x v="0"/>
    <s v="En attente de mise en place des tiroires filtrés "/>
    <s v="HO complet  entre 202 et 203"/>
    <s v="dl Rxqual=7"/>
    <s v="dl rx level= -58"/>
    <s v="NOK"/>
    <s v="OK"/>
    <s v="Mauvais"/>
    <s v=" Retransmission des trames HDLC*5"/>
    <m/>
    <s v="HARIRI Bahaeddine"/>
    <m/>
    <m/>
    <m/>
    <m/>
    <m/>
    <m/>
    <m/>
  </r>
  <r>
    <n v="705"/>
    <x v="0"/>
    <x v="248"/>
    <d v="1899-12-30T11:29:31"/>
    <n v="2021"/>
    <x v="7"/>
    <x v="0"/>
    <n v="1055"/>
    <m/>
    <s v="Tanger/Casa"/>
    <n v="118.562"/>
    <x v="17"/>
    <s v="N2"/>
    <x v="0"/>
    <s v="* Etat H.O :  HO complet entre 220 et 321_x000a_* qualité /niveau de signal : dl rx-qual=0, dl rx level = -48dbm_x000a_*Requête de déconnexion a été envoyée par le RBC"/>
    <m/>
    <x v="0"/>
    <s v="En attente de mise en place des tiroires filtrés "/>
    <s v="HO complet entre 220 et 321"/>
    <s v="dl Rxqual=0"/>
    <s v="dl rx level= -48"/>
    <s v="OK"/>
    <s v="OK"/>
    <s v="Mauvais"/>
    <s v=" Retransmission des trames HDLC*5"/>
    <m/>
    <s v="Fahd OUSSALH"/>
    <m/>
    <m/>
    <m/>
    <m/>
    <m/>
    <m/>
    <m/>
  </r>
  <r>
    <n v="706"/>
    <x v="0"/>
    <x v="248"/>
    <d v="1899-12-30T15:05:13"/>
    <n v="2037"/>
    <x v="6"/>
    <x v="0"/>
    <n v="1055"/>
    <m/>
    <s v="Tanger/Casa"/>
    <n v="6.13"/>
    <x v="2"/>
    <s v="N2"/>
    <x v="0"/>
    <s v="*Etat H.O : HO non finalisé entre 202 et 303_x000a_* qualité /niveau de signal : dl Rxqual=7,dl rx level= -55_x000a_*Requête de déconnexion a été envoyée par le Bord"/>
    <m/>
    <x v="0"/>
    <s v="En attente de mise en place des tiroires filtrés "/>
    <s v="HO non finalisé entre 302 et 303"/>
    <s v="dl Rxqual=7"/>
    <s v="dl rx level= -55"/>
    <s v="OK"/>
    <s v="OK"/>
    <s v="Mauvais"/>
    <s v="pas de retransmission des trames HDLC"/>
    <m/>
    <s v="HARIRI Bahaeddine"/>
    <m/>
    <m/>
    <m/>
    <m/>
    <m/>
    <m/>
    <m/>
  </r>
  <r>
    <n v="707"/>
    <x v="0"/>
    <x v="248"/>
    <d v="1899-12-30T20:35:24"/>
    <n v="2057"/>
    <x v="4"/>
    <x v="0"/>
    <n v="1058"/>
    <m/>
    <s v="Tanger/Casa"/>
    <n v="144.32599999999999"/>
    <x v="3"/>
    <s v="N2"/>
    <x v="0"/>
    <s v="*Etat H.O : HO complete entre 224 et 225_x000a_* qualité /niveau de signal : dl Rxqual=1,dl rx level= -64_x000a_*Requête de déconnexion a été envoyée par le RBC "/>
    <m/>
    <x v="3"/>
    <s v="En attente de pousser les analyses coté RBC"/>
    <s v="HO Compléte  entre 224 et 225"/>
    <s v="dl Rxqual=1"/>
    <s v="dl rx level= -64"/>
    <s v="OK "/>
    <s v="OK"/>
    <s v="Mauvais"/>
    <s v="pas de retransmission des trames HDLC"/>
    <m/>
    <s v="ELHAJOUIA Achraf"/>
    <m/>
    <m/>
    <m/>
    <m/>
    <m/>
    <m/>
    <m/>
  </r>
  <r>
    <n v="708"/>
    <x v="0"/>
    <x v="248"/>
    <d v="1899-12-30T21:05:26"/>
    <n v="2061"/>
    <x v="3"/>
    <x v="0"/>
    <n v="1046"/>
    <m/>
    <s v="Tanger/Casa"/>
    <n v="6.13"/>
    <x v="2"/>
    <s v="N2"/>
    <x v="1"/>
    <s v="*Etat H.O : HO non finalisé entre 202 et 303_x000a_* qualité /niveau de signal : dl Rxqual=6,dl rx level= -52_x000a_*Requête de déconnexion a été envoyée par le RBC"/>
    <m/>
    <x v="0"/>
    <s v="En attente de mise en place des tiroires filtrés "/>
    <s v="HO Non finalisé  entre 202 et 303"/>
    <s v="dl Rxqual=6"/>
    <s v="dl rx level= -52"/>
    <s v="NOK "/>
    <s v="OK"/>
    <s v="Mauvais"/>
    <s v=" Retransmission des trames HDLC*5"/>
    <m/>
    <s v="ELHAJOUIA Achraf"/>
    <m/>
    <m/>
    <m/>
    <m/>
    <m/>
    <m/>
    <m/>
  </r>
  <r>
    <n v="709"/>
    <x v="0"/>
    <x v="249"/>
    <d v="1899-12-30T06:10:41"/>
    <n v="2001"/>
    <x v="10"/>
    <x v="0"/>
    <n v="7198"/>
    <m/>
    <s v="Tanger/Casa"/>
    <n v="21.55"/>
    <x v="20"/>
    <s v="N2"/>
    <x v="0"/>
    <s v="*Etat H.O : HO non finalisé entre 204 et 205_x000a_* qualité /niveau de signal : dl Rxqual=0,dl rx level= -71_x000a_*Requête de déconnexion a été envoyée par le RBC"/>
    <m/>
    <x v="0"/>
    <s v="En attente de mise en place des tiroires filtrés "/>
    <s v="HO Non finalisé  entre 204 et 205"/>
    <s v="dl Rxqual=0"/>
    <s v="dl rx level= -71"/>
    <s v="NOK "/>
    <s v="OK"/>
    <s v="Mauvais"/>
    <s v=" Retransmission des trames HDLC*5"/>
    <m/>
    <s v="ELHAJOUIA Achraf"/>
    <m/>
    <m/>
    <m/>
    <m/>
    <m/>
    <m/>
    <m/>
  </r>
  <r>
    <n v="710"/>
    <x v="0"/>
    <x v="249"/>
    <d v="1899-12-30T09:10:50"/>
    <n v="1005"/>
    <x v="0"/>
    <x v="1"/>
    <n v="1045"/>
    <m/>
    <s v="Casa/Tanger"/>
    <n v="94.953999999999994"/>
    <x v="8"/>
    <s v="N2"/>
    <x v="0"/>
    <s v="*Etat H.O : HO Non finalisé entre 318 et 317_x000a_* qualité /niveau de signal : dl Rxqual=6,dl rx level= -84_x000a_*Requête de déconnexion a été envoyée par le RBC"/>
    <m/>
    <x v="2"/>
    <s v="Zone sous surveillance par équipe NOC GSMR"/>
    <s v="HO Non finalisé entre 318 et 317"/>
    <s v="dl Rxqual=6"/>
    <s v="dl rx level= -84"/>
    <s v="OK "/>
    <s v="OK"/>
    <s v="Mauvais"/>
    <s v=" Retransmission des trames HDLC*5"/>
    <m/>
    <s v="MAROUANI Otmane"/>
    <m/>
    <m/>
    <m/>
    <m/>
    <m/>
    <m/>
    <m/>
  </r>
  <r>
    <n v="711"/>
    <x v="0"/>
    <x v="249"/>
    <d v="1899-12-30T23:28:55"/>
    <n v="15652"/>
    <x v="5"/>
    <x v="1"/>
    <n v="1026"/>
    <m/>
    <s v="Casa/Tanger"/>
    <n v="133.49199999999999"/>
    <x v="10"/>
    <s v="N2"/>
    <x v="1"/>
    <s v="*Etat H.O : HO complete entre 324 et 223_x000a_* qualité /niveau de signal : dl Rxqual=7,dl rx level= -65_x000a_*Requête de déconnexion a été envoyée par le RBC "/>
    <m/>
    <x v="2"/>
    <s v="Zone sous surveillance par équipe NOC GSMR"/>
    <s v="HO complete entre 324 et 223"/>
    <s v="dl Rxqual=7"/>
    <s v="dl rx level= -65"/>
    <s v="OK "/>
    <s v="OK"/>
    <s v="Mauvais"/>
    <s v=" Retransmission des trames HDLC*5"/>
    <m/>
    <s v="ELHAJOUIA Achraf"/>
    <m/>
    <m/>
    <m/>
    <m/>
    <m/>
    <m/>
    <m/>
  </r>
  <r>
    <n v="712"/>
    <x v="0"/>
    <x v="250"/>
    <d v="1899-12-30T06:26:04"/>
    <n v="2001"/>
    <x v="6"/>
    <x v="0"/>
    <n v="1057"/>
    <m/>
    <s v="Tanger/Casa"/>
    <n v="73.585999999999999"/>
    <x v="13"/>
    <s v="N2"/>
    <x v="0"/>
    <s v="*Etat H.O : HO complete entre 212 et 213_x000a_* qualité /niveau de signal : dl Rxqual=0,dl rx level= -61_x000a_*Requête de déconnexion a été envoyée par le RBC "/>
    <m/>
    <x v="0"/>
    <s v="En attente de mise en place des tiroires filtrés "/>
    <s v="HO complete entre 212 et 213"/>
    <s v="dl Rxqual=0"/>
    <s v="dl rx level= -61"/>
    <s v="OK "/>
    <s v="OK"/>
    <s v="Mauvais"/>
    <s v=" Retransmission des trames HDLC*5"/>
    <m/>
    <s v="ELHAJOUIA Achraf"/>
    <m/>
    <m/>
    <m/>
    <m/>
    <m/>
    <m/>
    <m/>
  </r>
  <r>
    <n v="713"/>
    <x v="0"/>
    <x v="250"/>
    <d v="1899-12-30T06:38:47"/>
    <n v="15652"/>
    <x v="5"/>
    <x v="1"/>
    <n v="1026"/>
    <m/>
    <s v="Casa/Tanger"/>
    <n v="7.3209999999999997"/>
    <x v="2"/>
    <s v="N2"/>
    <x v="1"/>
    <s v="*Etat H.O : HO complete entre 202 et 203 avec downlink quality_x000a_* qualité /niveau de signal : dl Rxqual=7,dl rx level= -58_x000a_*Requête de déconnexion a été envoyée par le RBC "/>
    <m/>
    <x v="0"/>
    <s v="En attente de mise en place des tiroires filtrés "/>
    <s v="HO complete entre 202 et 203"/>
    <s v="dl Rxqual=7"/>
    <s v="dl rx level= -58"/>
    <s v="OK "/>
    <s v="OK"/>
    <s v="Mauvais"/>
    <s v=" Retransmission des trames HDLC*5"/>
    <m/>
    <s v="ELHAJOUIA Achraf"/>
    <m/>
    <m/>
    <m/>
    <m/>
    <m/>
    <m/>
    <m/>
  </r>
  <r>
    <n v="714"/>
    <x v="0"/>
    <x v="250"/>
    <d v="1899-12-30T11:51:28"/>
    <n v="1018"/>
    <x v="11"/>
    <x v="1"/>
    <n v="1072"/>
    <m/>
    <s v="Casa/Tanger"/>
    <n v="94.953999999999994"/>
    <x v="8"/>
    <s v="N2"/>
    <x v="0"/>
    <s v="*Etat H.O : HO non complete entre 318 et 317 _x000a_* qualité /niveau de signal : dl Rxqual=7,dl rx level= -85_x000a_*Requête de déconnexion a été envoyée par le RBC "/>
    <m/>
    <x v="2"/>
    <s v="Zone sous surveillance par équipe NOC GSMR"/>
    <s v="HO non complete entre 318 et 317"/>
    <s v="dl Rxqual=7"/>
    <s v="dl rx level= -85"/>
    <s v="OK "/>
    <s v="OK"/>
    <s v="Mauvais"/>
    <s v=" Retransmission des trames HDLC*5"/>
    <m/>
    <s v="ELGUEZZAR Anas"/>
    <m/>
    <m/>
    <m/>
    <m/>
    <m/>
    <m/>
    <m/>
  </r>
  <r>
    <n v="715"/>
    <x v="0"/>
    <x v="250"/>
    <d v="1899-12-30T12:35:24"/>
    <n v="1018"/>
    <x v="6"/>
    <x v="0"/>
    <n v="1057"/>
    <m/>
    <s v="Tanger/Casa"/>
    <n v="143.11199999999999"/>
    <x v="26"/>
    <s v="N2"/>
    <x v="0"/>
    <s v="*Etat H.O : HO non complete entre 224et 225_x000a_* qualité /niveau de signal : dl Rxqual=0,dl rx level= -55_x000a_*Requête de déconnexion a été envoyée par le RBC "/>
    <m/>
    <x v="0"/>
    <s v="En attente de mise en place des tiroires filtrés "/>
    <s v="HO complete entre 224 et 225"/>
    <s v="dl Rxqual=0"/>
    <s v="dl rx level= -55"/>
    <s v="OK "/>
    <s v="OK"/>
    <s v="Mauvais"/>
    <s v=" Retransmission des trames HDLC*5"/>
    <m/>
    <s v="MAROUANI Otmane"/>
    <m/>
    <m/>
    <m/>
    <m/>
    <m/>
    <m/>
    <m/>
  </r>
  <r>
    <n v="716"/>
    <x v="0"/>
    <x v="251"/>
    <d v="1899-12-30T06:22:54"/>
    <n v="2001"/>
    <x v="1"/>
    <x v="0"/>
    <n v="1029"/>
    <m/>
    <s v="Tanger/Casa"/>
    <n v="81.777000000000001"/>
    <x v="15"/>
    <s v="N2"/>
    <x v="0"/>
    <s v="*Etat H.O : HO non finalisé entre 215et 216_x000a_* qualité /niveau de signal : dl Rxqual=3,dl rx level= -62_x000a_*Requête de déconnexion a été envoyée par le RBC "/>
    <m/>
    <x v="0"/>
    <s v="En attente de mise en place des tiroires filtrés "/>
    <s v="HO Non finalisé entre 215 et 216"/>
    <s v="dl Rxqual=3"/>
    <s v="dl rx level= -62"/>
    <s v="NOK "/>
    <s v="OK"/>
    <s v="Mauvais"/>
    <s v=" Retransmission des trames HDLC*5"/>
    <m/>
    <s v="ELHAJOUIA Achraf"/>
    <m/>
    <m/>
    <m/>
    <m/>
    <m/>
    <m/>
    <m/>
  </r>
  <r>
    <n v="717"/>
    <x v="0"/>
    <x v="251"/>
    <d v="1899-12-30T13:46:34"/>
    <n v="2001"/>
    <x v="6"/>
    <x v="1"/>
    <n v="1023"/>
    <m/>
    <s v="Casa/Tanger"/>
    <n v="94.944999999999993"/>
    <x v="8"/>
    <s v="N2"/>
    <x v="0"/>
    <s v="*Etat H.O :  HO non finalisé entre 318 et 317_x000a_* qualité /niveau de signal : dl Rxqual=7,dl rx level= -86_x000a_*Requête de déconnexion a été envoyée par le RBC"/>
    <m/>
    <x v="2"/>
    <s v="Zone sous surveillance par équipe NOC GSMR"/>
    <s v=" HO non finalisé entre 318 et 317"/>
    <s v="dl Rxqual=7"/>
    <s v="dl rx level= -86"/>
    <s v="OK"/>
    <s v="OK"/>
    <s v="Mauvais"/>
    <s v=" Retransmission des trames HDLC*5"/>
    <m/>
    <s v="ELGUEZZAR Anas"/>
    <m/>
    <m/>
    <m/>
    <m/>
    <m/>
    <m/>
    <m/>
  </r>
  <r>
    <n v="718"/>
    <x v="0"/>
    <x v="251"/>
    <d v="1899-12-30T14:05:42"/>
    <n v="1025"/>
    <x v="6"/>
    <x v="1"/>
    <n v="1022"/>
    <m/>
    <s v="Casa/Tanger"/>
    <n v="7.3209999999999997"/>
    <x v="2"/>
    <s v="N2"/>
    <x v="0"/>
    <s v="*Etat H.O :  HO non finalisé entre 303 et 202_x000a_* qualité /niveau de signal : dl Rxqual=4,dl rx level= -66_x000a_*Requête de déconnexion a été envoyée par le Bord"/>
    <m/>
    <x v="0"/>
    <s v="En attente de mise en place des tiroires filtrés "/>
    <s v=" HO non finalisé entre 303 et 202"/>
    <s v="dl Rxqual=4"/>
    <s v="dl rx level= -66"/>
    <s v="OK"/>
    <s v="OK"/>
    <s v="Mauvais"/>
    <s v=" Retransmission des trames HDLC*5"/>
    <m/>
    <s v="Noura MOUSSAOUI"/>
    <m/>
    <m/>
    <m/>
    <m/>
    <m/>
    <m/>
    <m/>
  </r>
  <r>
    <n v="719"/>
    <x v="0"/>
    <x v="251"/>
    <d v="1899-12-30T17:38:54"/>
    <n v="2054"/>
    <x v="10"/>
    <x v="0"/>
    <n v="7206"/>
    <m/>
    <s v="Tanger/Casa"/>
    <n v="160.60900000000001"/>
    <x v="9"/>
    <s v="N2"/>
    <x v="0"/>
    <s v="*Etat H.O : HO finalisé entre 327 et 228_x000a_* qualité /niveau de signal : dl rx-qual=0, dl rx level = -48 dbm_x000a_*Requête de déconnexion a été envoyée par le RBC"/>
    <m/>
    <x v="0"/>
    <s v="En attente de mise en place des tiroires filtrés "/>
    <s v="HO finalisé entre 327 et 228"/>
    <s v="dl Rxqual=0"/>
    <s v="dl rx level= -48"/>
    <s v="OK"/>
    <s v="NOK"/>
    <s v="Mauvais"/>
    <s v=" Retransmission des trames HDLC*5"/>
    <m/>
    <s v="Saad Elhabib"/>
    <m/>
    <m/>
    <m/>
    <m/>
    <m/>
    <m/>
    <m/>
  </r>
  <r>
    <n v="720"/>
    <x v="0"/>
    <x v="251"/>
    <d v="1899-12-30T19:39:37"/>
    <n v="1049"/>
    <x v="6"/>
    <x v="1"/>
    <n v="1022"/>
    <m/>
    <s v="Casa/Tanger"/>
    <n v="160.60900000000001"/>
    <x v="9"/>
    <s v="N2"/>
    <x v="0"/>
    <s v="*Etat H.O : HO finalisé entre 327 et 328_x000a_* qualité /niveau de signal : dl rx-qual=1, dl rx level = -58 dbm_x000a_*Requête de déconnexion a été envoyée par le RBC"/>
    <m/>
    <x v="0"/>
    <s v="En attente de mise en place des tiroires filtrés "/>
    <s v="HO finalisé entre 327 et 328"/>
    <s v="dl Rxqual=1"/>
    <s v="dl rx level= -58"/>
    <s v="OK"/>
    <s v="OK"/>
    <s v="Mauvais"/>
    <s v=" Retransmission des trames HDLC*5"/>
    <m/>
    <s v="Saad Elhabib"/>
    <m/>
    <m/>
    <m/>
    <m/>
    <m/>
    <m/>
    <m/>
  </r>
  <r>
    <n v="721"/>
    <x v="0"/>
    <x v="251"/>
    <d v="1899-12-30T21:35:44"/>
    <n v="2061"/>
    <x v="6"/>
    <x v="0"/>
    <n v="1057"/>
    <m/>
    <s v="Tanger/Casa"/>
    <n v="140.65899999999999"/>
    <x v="26"/>
    <s v="N2"/>
    <x v="1"/>
    <s v="*Etat H.O : HO complete entre 224 et 225_x000a_* qualité /niveau de signal : dl Rxqual=0,dl rx level= -60_x000a_*Requête de déconnexion a été envoyée par le RBC "/>
    <m/>
    <x v="3"/>
    <s v="En attente de pousser les analyses coté RBC"/>
    <s v="HO complet entre 224 et 225"/>
    <s v="dl Rxqual=0"/>
    <s v="dl rx level= -60"/>
    <s v="OK"/>
    <s v="OK"/>
    <s v="Mauvais"/>
    <s v="pas de retransmission des trames HDLC"/>
    <m/>
    <s v="ELHAJOUIA Achraf"/>
    <m/>
    <m/>
    <m/>
    <m/>
    <m/>
    <m/>
    <m/>
  </r>
  <r>
    <n v="722"/>
    <x v="0"/>
    <x v="252"/>
    <d v="1899-12-30T09:05:18"/>
    <n v="2013"/>
    <x v="4"/>
    <x v="0"/>
    <n v="1058"/>
    <m/>
    <s v="Tanger/Casa"/>
    <n v="6.13"/>
    <x v="2"/>
    <s v="N2"/>
    <x v="0"/>
    <s v="*Etat H.O : HO complet entre 201 et 202_x000a_* qualité /niveau de signal : dl Rxqual=2,dl rx level= -61_x000a_*Requête de déconnexion a été envoyée par le RBC "/>
    <m/>
    <x v="0"/>
    <s v="En attente de mise en place des tiroires filtrés "/>
    <s v="HO complet entre 201 et 202"/>
    <s v="dl Rxqual=2"/>
    <s v="dl rx level= -61"/>
    <s v="OK"/>
    <s v="OK"/>
    <s v="Mauvais"/>
    <s v=" Retransmission des trames HDLC*5"/>
    <m/>
    <s v="Noura MOUSSAOUI"/>
    <m/>
    <m/>
    <m/>
    <m/>
    <m/>
    <m/>
    <m/>
  </r>
  <r>
    <n v="723"/>
    <x v="0"/>
    <x v="252"/>
    <s v=" 14:04:18"/>
    <n v="1025"/>
    <x v="4"/>
    <x v="1"/>
    <n v="1032"/>
    <m/>
    <s v="Casa/Tanger"/>
    <n v="7.3209999999999997"/>
    <x v="2"/>
    <s v="N2"/>
    <x v="0"/>
    <s v="*Etat H.O : HO complet entre 202 et 303 (HO recul)_x000a_* qualité /niveau de signal : dl Rxqual=7,dl rx level= -68_x000a_*Requête de déconnexion a été envoyée par le RBC "/>
    <m/>
    <x v="0"/>
    <s v="En attente de mise en place des tiroires filtrés "/>
    <s v="HO complet entre 202 et 303 (HO recul)"/>
    <s v="dl Rxqual=7"/>
    <s v="dl rx level= -68"/>
    <s v="OK"/>
    <s v="OK"/>
    <s v="Mauvais"/>
    <s v=" Retransmission des trames HDLC*5"/>
    <m/>
    <s v="Noura MOUSSAOUI"/>
    <m/>
    <m/>
    <m/>
    <m/>
    <m/>
    <m/>
    <m/>
  </r>
  <r>
    <n v="724"/>
    <x v="0"/>
    <x v="252"/>
    <d v="1899-12-30T16:35:02"/>
    <n v="2041"/>
    <x v="10"/>
    <x v="0"/>
    <n v="7198"/>
    <m/>
    <s v="Tanger/Casa"/>
    <n v="105.55500000000001"/>
    <x v="1"/>
    <s v="N2"/>
    <x v="0"/>
    <s v="* Etat H.O : HO complet entre 218 et 219 _x000a_* qualité /niveau de signal : dl rx-qual=0, dl rx level = -48 dbm_x000a_*Requête de déconnexion a été envoyée par le RBC "/>
    <m/>
    <x v="3"/>
    <s v="En attente de pousser les analyses coté RBC"/>
    <s v="HO complet entre 218 et 219 "/>
    <s v="dl Rxqual=0"/>
    <s v="dl rx level= -48"/>
    <s v="OK"/>
    <s v="OK"/>
    <s v="Mauvais"/>
    <s v="pas de retransmission des trames HDLC"/>
    <m/>
    <s v="Saad Elhabib"/>
    <m/>
    <m/>
    <m/>
    <m/>
    <m/>
    <m/>
    <m/>
  </r>
  <r>
    <n v="725"/>
    <x v="0"/>
    <x v="252"/>
    <d v="1899-12-30T17:09:20"/>
    <n v="2045"/>
    <x v="7"/>
    <x v="0"/>
    <n v="1054"/>
    <m/>
    <s v="Tanger/Casa"/>
    <n v="14.99"/>
    <x v="22"/>
    <s v="N2"/>
    <x v="0"/>
    <s v="* Etat H.O : HO Complet entre 203 et 204_x000a_* qualité /niveau de signal : dl rx-qual=0, dl rx level = -48 dbm_x000a_*Requête de déconnexion a été envoyée par le RBC "/>
    <m/>
    <x v="0"/>
    <s v="En attente de mise en place des tiroires filtrés "/>
    <s v=" HO Complet entre 203 et 204 "/>
    <s v="dl Rxqual=0"/>
    <s v="dl rx level= -48"/>
    <s v="OK"/>
    <s v="OK"/>
    <s v="Mauvais"/>
    <s v=" Retransmission des trames HDLC*5"/>
    <m/>
    <s v="Saad Elhabib"/>
    <m/>
    <m/>
    <m/>
    <m/>
    <m/>
    <m/>
    <m/>
  </r>
  <r>
    <n v="726"/>
    <x v="0"/>
    <x v="253"/>
    <d v="1899-12-30T11:05:29"/>
    <n v="2021"/>
    <x v="8"/>
    <x v="0"/>
    <n v="1042"/>
    <m/>
    <s v="Tanger/Casa"/>
    <n v="6.13"/>
    <x v="2"/>
    <s v="N2"/>
    <x v="1"/>
    <s v="* Etat H.O : HO non Complet entre 202 et 301_x000a_* qualité /niveau de signal : dl rx-qual=7, dl rx level = -55 dbm_x000a_*Requête de déconnexion a été envoyée par le BORD"/>
    <m/>
    <x v="0"/>
    <s v="En attente de mise en place des tiroires filtrés "/>
    <s v=" HO Complet entre 202 et 301 "/>
    <s v="dl Rxqual=7"/>
    <s v="dl rx level= -55"/>
    <s v="OK"/>
    <s v="OK"/>
    <s v="Mauvais"/>
    <s v="Pas  Retransmission des trames HDLC"/>
    <m/>
    <s v="ELGUEZZAR Anas"/>
    <m/>
    <m/>
    <m/>
    <m/>
    <m/>
    <m/>
    <m/>
  </r>
  <r>
    <n v="727"/>
    <x v="0"/>
    <x v="253"/>
    <d v="1899-12-30T12:05:23"/>
    <n v="2025"/>
    <x v="10"/>
    <x v="0"/>
    <n v="7206"/>
    <m/>
    <s v="Tanger/Casa"/>
    <s v=" 5,730"/>
    <x v="2"/>
    <s v="N2"/>
    <x v="0"/>
    <s v="* Etat H.O :HO non finalisé entre 201 et 202_x000a_* qualité /niveau de signal : dl rx-qual=7, dl rx level = -54 dbm_x000a_*Requête de déconnexion a été envoyée par le RBC "/>
    <m/>
    <x v="0"/>
    <s v="En attente de mise en place des tiroires filtrés "/>
    <s v="HO non finalisé entre 201 et 202"/>
    <s v="dl Rxqual=7"/>
    <s v="dl rx level= -54"/>
    <s v="NOK"/>
    <s v="OK"/>
    <s v="Mauvais"/>
    <s v=" Retransmission des trames HDLC*5"/>
    <m/>
    <s v="Noura MOUSSAOUI"/>
    <m/>
    <m/>
    <m/>
    <m/>
    <m/>
    <m/>
    <m/>
  </r>
  <r>
    <n v="728"/>
    <x v="0"/>
    <x v="253"/>
    <d v="1899-12-30T18:07:31"/>
    <n v="1041"/>
    <x v="4"/>
    <x v="1"/>
    <n v="1032"/>
    <m/>
    <s v="Casa/Tanger"/>
    <n v="7.3209999999999997"/>
    <x v="2"/>
    <s v="N2"/>
    <x v="0"/>
    <s v="* Etat H.O : HO finalisé entre 303 et 302 ._x000a_* qualité /niveau de signal : dl rx-qual=0, dl rx level = -110dbm_x000a_*Requête de déconnexion a été envoyée par le RBC "/>
    <m/>
    <x v="0"/>
    <s v="En attente de mise en place des tiroires filtrés "/>
    <s v=" HO finalisé entre 303 et 302 "/>
    <s v="dl Rxqual=0"/>
    <s v="dl rx level= -110"/>
    <s v="OK"/>
    <s v="NOK"/>
    <s v="Mauvais"/>
    <s v=" Retransmission des trames HDLC*5"/>
    <m/>
    <s v="Saad Elhabib"/>
    <m/>
    <m/>
    <m/>
    <m/>
    <m/>
    <m/>
    <m/>
  </r>
  <r>
    <n v="729"/>
    <x v="0"/>
    <x v="254"/>
    <d v="1899-12-30T14:11:40"/>
    <n v="2033"/>
    <x v="7"/>
    <x v="0"/>
    <n v="1054"/>
    <m/>
    <s v="Tanger/Casa"/>
    <n v="22.91"/>
    <x v="20"/>
    <s v="N2"/>
    <x v="0"/>
    <s v="* Etat H.O : HO finalisé entre 204 et 205 _x000a_* qualité /niveau de signal : dl rx-qual=2, dl rx level = -48dbm_x000a_*Requête de déconnexion a été envoyée par le RBC "/>
    <m/>
    <x v="0"/>
    <s v="En attente de mise en place des tiroires filtrés "/>
    <s v="HO finalisé entre 204 et 205"/>
    <s v="dl Rxqual=2"/>
    <s v="dl rx level= -48"/>
    <s v="OK"/>
    <s v="OK"/>
    <s v="Mauvais"/>
    <s v=" Retransmission des trames HDLC*5"/>
    <m/>
    <s v="Saad Elhabib"/>
    <m/>
    <m/>
    <m/>
    <m/>
    <m/>
    <m/>
    <m/>
  </r>
  <r>
    <n v="730"/>
    <x v="0"/>
    <x v="254"/>
    <d v="1899-12-30T16:45:46"/>
    <n v="1038"/>
    <x v="10"/>
    <x v="1"/>
    <n v="1061"/>
    <m/>
    <s v="Casa/Tanger"/>
    <n v="130.48400000000001"/>
    <x v="10"/>
    <s v="N2"/>
    <x v="0"/>
    <s v="*Etat H.O : HO Complet entre 324 et 323_x000a_* qualité /niveau de signal : dl rx-qual=0, dl rx level = -48 dbm_x000a_*Requête de déconnexion a été envoyée par le RBC "/>
    <m/>
    <x v="0"/>
    <s v="En attente de mise en place des tiroires filtrés "/>
    <s v="HO Complet entre 324 et 323"/>
    <s v="dl Rxqual=0"/>
    <s v="dl rx level= -48"/>
    <s v="OK"/>
    <s v="OK"/>
    <s v="Mauvais"/>
    <s v=" Retransmission des trames HDLC*5"/>
    <m/>
    <s v="Saad Elhabib"/>
    <m/>
    <m/>
    <m/>
    <m/>
    <m/>
    <m/>
    <m/>
  </r>
  <r>
    <n v="731"/>
    <x v="0"/>
    <x v="254"/>
    <d v="1899-12-30T17:12:31"/>
    <n v="1038"/>
    <x v="10"/>
    <x v="1"/>
    <n v="1060"/>
    <m/>
    <s v="Casa/Tanger"/>
    <n v="7.3209999999999997"/>
    <x v="2"/>
    <s v="N2"/>
    <x v="0"/>
    <s v="* Etat H.O : HO non finalisé entre 202 et 303_x000a_* qualité /niveau de signal : dl rx-qual=7 , dl rx level = -52 dbm_x000a_*Requête de déconnexion a été envoyée par le RBC "/>
    <m/>
    <x v="0"/>
    <s v="En attente de mise en place des tiroires filtrés "/>
    <s v="HO non finalisé entre 202 et 303"/>
    <s v="dl Rxqual=7"/>
    <s v="dl rx level= -42"/>
    <s v="OK"/>
    <s v="NOK"/>
    <s v="Mauvais"/>
    <s v=" Retransmission des trames HDLC*5"/>
    <m/>
    <s v="Saad Elhabib"/>
    <m/>
    <m/>
    <m/>
    <m/>
    <m/>
    <m/>
    <m/>
  </r>
  <r>
    <n v="732"/>
    <x v="0"/>
    <x v="254"/>
    <d v="1899-12-30T19:38:58"/>
    <n v="1050"/>
    <x v="2"/>
    <x v="1"/>
    <n v="1060"/>
    <m/>
    <s v="Casa/Tanger"/>
    <n v="134.30000000000001"/>
    <x v="10"/>
    <s v="N2"/>
    <x v="0"/>
    <s v="Etat H.O : HO  finalisé entre 325 et 324_x000a_* qualité /niveau de signal : dl rx-qual=0 , dl rx level = -59 dbm_x000a_*Requête de déconnexion a été envoyée par le RBC "/>
    <m/>
    <x v="0"/>
    <s v="En attente de mise en place des tiroires filtrés "/>
    <s v="HO  finalisé entre 325 et 324"/>
    <s v="dl Rxqual=0"/>
    <s v="dl rx level= -59"/>
    <s v="OK"/>
    <s v="OK"/>
    <s v="Mauvais"/>
    <s v=" Retransmission des trames HDLC*5"/>
    <m/>
    <s v="Saad Elhabib"/>
    <m/>
    <m/>
    <m/>
    <m/>
    <m/>
    <m/>
    <m/>
  </r>
  <r>
    <n v="733"/>
    <x v="0"/>
    <x v="254"/>
    <d v="1899-12-30T22:44:29"/>
    <n v="2061"/>
    <x v="8"/>
    <x v="0"/>
    <n v="1042"/>
    <m/>
    <s v="Tanger/Casa"/>
    <n v="8.1999999999999993"/>
    <x v="2"/>
    <s v="N2"/>
    <x v="0"/>
    <s v="Etat H.O : HO  non finalisé entre 202 et 303_x000a_* qualité /niveau de signal : dl rx-qual=7 , dl rx level = -59 dbm_x000a_*Requête de déconnexion a été envoyée par le RBC "/>
    <m/>
    <x v="0"/>
    <s v="En attente de mise en place des tiroires filtrés "/>
    <s v="HO non finalisé entre 202 et 303"/>
    <s v="dl Rxqual=7"/>
    <s v="dl rx level= -59"/>
    <s v="NOK"/>
    <s v="OK"/>
    <s v="Mauvais"/>
    <s v=" Pas Retransmission des trames HDLC*5"/>
    <m/>
    <s v="Fahd OUSSALH"/>
    <m/>
    <m/>
    <m/>
    <m/>
    <m/>
    <m/>
    <m/>
  </r>
  <r>
    <n v="734"/>
    <x v="0"/>
    <x v="254"/>
    <d v="1899-12-30T21:05:10"/>
    <n v="2061"/>
    <x v="2"/>
    <x v="0"/>
    <n v="7217"/>
    <m/>
    <s v="Tanger/Casa"/>
    <n v="8.1999999999999993"/>
    <x v="2"/>
    <s v="N2"/>
    <x v="1"/>
    <s v="Etat H.O : HO  non finalisé entre 302 et 303_x000a_* qualité /niveau de signal : dl rx-qual=7 , dl rx level = -59 dbm_x000a_*Requête de déconnexion a été envoyée par le RBC "/>
    <m/>
    <x v="0"/>
    <s v="En attente de mise en place des tiroires filtrés "/>
    <s v="HO non finalisé entre 302 et 303"/>
    <s v="dl Rxqual=7"/>
    <s v="dl rx level= -59"/>
    <s v="NOK"/>
    <s v="OK"/>
    <s v="Mauvais"/>
    <s v=" Pas Retransmission des trames HDLC*5"/>
    <m/>
    <s v="Fahd OUSSALH"/>
    <m/>
    <m/>
    <m/>
    <m/>
    <m/>
    <m/>
    <m/>
  </r>
  <r>
    <n v="735"/>
    <x v="0"/>
    <x v="255"/>
    <d v="1899-12-30T05:35:32"/>
    <n v="10071"/>
    <x v="6"/>
    <x v="0"/>
    <n v="1057"/>
    <m/>
    <s v="Tanger/Casa"/>
    <n v="93.757999999999996"/>
    <x v="8"/>
    <s v="N2"/>
    <x v="0"/>
    <s v="Etat H.O : HO  complet entre 216 et 217_x000a_* qualité /niveau de signal : dl rx-qual=0 , dl rx level = -72 dbm_x000a_*Requête de déconnexion a été envoyée par le RBC "/>
    <m/>
    <x v="3"/>
    <s v="En attente de pousser les analyses coté RBC"/>
    <s v="HO Complet entre 216 et 217"/>
    <s v="dl Rxqual=0"/>
    <s v="dl rx level= -72"/>
    <s v="OK"/>
    <s v="OK"/>
    <s v="Mauvais"/>
    <s v=" Pas Retransmission des trames HDLC*5"/>
    <m/>
    <s v="Fahd OUSSALH"/>
    <m/>
    <m/>
    <m/>
    <m/>
    <m/>
    <m/>
    <m/>
  </r>
  <r>
    <n v="736"/>
    <x v="0"/>
    <x v="255"/>
    <d v="1899-12-30T09:03:43"/>
    <n v="1006"/>
    <x v="10"/>
    <x v="1"/>
    <n v="1061"/>
    <m/>
    <s v="Casa/Tanger"/>
    <n v="26.739000000000001"/>
    <x v="7"/>
    <s v="N2"/>
    <x v="1"/>
    <s v="Etat H.O : HO  non finalisé entre 306 et 305_x000a_* qualité /niveau de signal : dl rx-qual=2 , dl rx level = -87 dbm_x000a_*Requête de déconnexion a été envoyée par le RBC "/>
    <m/>
    <x v="2"/>
    <s v="zone sous surveillance par équipe NOC GSMR"/>
    <s v="HO non finalisé entre 306 et 305"/>
    <s v="dl Rxqual=2"/>
    <s v="dl rx level= -87"/>
    <s v="OK"/>
    <s v="OK"/>
    <s v="Mauvais"/>
    <s v="retransmission des trames HDLC*5"/>
    <m/>
    <s v="HARIRI Bahaeddine"/>
    <m/>
    <m/>
    <m/>
    <m/>
    <m/>
    <m/>
    <m/>
  </r>
  <r>
    <n v="737"/>
    <x v="0"/>
    <x v="255"/>
    <d v="1899-12-30T10:31:06"/>
    <n v="1006"/>
    <x v="10"/>
    <x v="0"/>
    <n v="7198"/>
    <m/>
    <s v="Tanger/Casa"/>
    <n v="129.18"/>
    <x v="10"/>
    <s v="N2"/>
    <x v="0"/>
    <s v="Etat H.O : HO complet entre 222 et 323_x000a_* qualité /niveau de signal : dl rx-qual=2 , dl rx level = -48 dbm_x000a_*Requête de déconnexion a été envoyée par le RBC "/>
    <m/>
    <x v="0"/>
    <s v="En attente de mise en place des tiroires filtrés "/>
    <s v="HO Complet entre 222 et 323"/>
    <s v="dl Rxqual=2"/>
    <s v="dl rx level= -48"/>
    <s v="OK"/>
    <s v="OK"/>
    <s v="Mauvais"/>
    <s v="retransmission des trames HDLC*5"/>
    <m/>
    <s v="HARIRI Bahaeddine"/>
    <m/>
    <m/>
    <m/>
    <m/>
    <m/>
    <m/>
    <m/>
  </r>
  <r>
    <n v="738"/>
    <x v="0"/>
    <x v="255"/>
    <d v="1899-12-30T15:45:11"/>
    <n v="1034"/>
    <x v="11"/>
    <x v="1"/>
    <n v="1072"/>
    <m/>
    <s v="Casa/Tanger"/>
    <n v="94.953999999999994"/>
    <x v="8"/>
    <s v="N2"/>
    <x v="0"/>
    <s v="Etat H.O : HO non finalisé entre 318 et 317_x000a_* qualité /niveau de signal : dl rx-qual=7, dl rx level = -83 dbm_x000a_*Requête de déconnexion a été envoyée par le RBC "/>
    <m/>
    <x v="0"/>
    <s v="En attente de mise en place des tiroires filtrés "/>
    <s v="HO non finalisé entre 318 et 317"/>
    <s v="dl Rxqual=7"/>
    <s v="dl rx level= -83"/>
    <s v="OK"/>
    <s v="OK"/>
    <s v="Mauvais"/>
    <s v="retransmission des trames HDLC*5"/>
    <m/>
    <s v="Saad Elhabib"/>
    <m/>
    <m/>
    <m/>
    <m/>
    <m/>
    <m/>
    <m/>
  </r>
  <r>
    <n v="739"/>
    <x v="0"/>
    <x v="256"/>
    <d v="1899-12-30T04:33:14"/>
    <n v="2041"/>
    <x v="2"/>
    <x v="0"/>
    <n v="7218"/>
    <m/>
    <s v="Tanger/Casa"/>
    <n v="75.84"/>
    <x v="13"/>
    <s v="N2"/>
    <x v="0"/>
    <s v="Etat H.O : HO complet entre 213 et 214_x000a_* qualité /niveau de signal : dl rx-qual=0 , dl rx level = -48 dbm_x000a_*Requête de déconnexion a été envoyée par le RBC "/>
    <m/>
    <x v="1"/>
    <s v="Zone sous surveillance par équipe NOC GSMR"/>
    <s v="HO Complet entre 213 et 214"/>
    <s v="dl Rxqual=0"/>
    <s v="dl rx level= -48"/>
    <s v="OK"/>
    <s v="OK"/>
    <s v="Mauvais"/>
    <s v="retransmission des trames HDLC*5"/>
    <m/>
    <s v="Fahd OUSSALH"/>
    <m/>
    <m/>
    <m/>
    <m/>
    <m/>
    <m/>
    <m/>
  </r>
  <r>
    <n v="740"/>
    <x v="0"/>
    <x v="256"/>
    <d v="1899-12-30T07:29:16"/>
    <n v="1002"/>
    <x v="6"/>
    <x v="1"/>
    <n v="1022"/>
    <m/>
    <s v="Casa/Tanger"/>
    <n v="39.215000000000003"/>
    <x v="14"/>
    <s v="N2"/>
    <x v="0"/>
    <s v="Etat H.O : HO complet entre 307 et 308_x000a_* qualité /niveau de signal : dl rx-qual=0 , dl rx level = -53 dbm_x000a_*Requête de déconnexion a été envoyée par le RBC "/>
    <m/>
    <x v="0"/>
    <s v="En attente de mise en place des tiroires filtrés "/>
    <s v="HO Complet entre 307 et 308"/>
    <s v="dl Rxqual=0"/>
    <s v="dl rx level= -49"/>
    <s v="OK"/>
    <s v="OK"/>
    <s v="Mauvais"/>
    <s v="retransmission des trames HDLC*5"/>
    <m/>
    <s v="HARIRI Bahaeddine"/>
    <m/>
    <m/>
    <m/>
    <m/>
    <m/>
    <m/>
    <m/>
  </r>
  <r>
    <n v="741"/>
    <x v="0"/>
    <x v="256"/>
    <d v="1899-12-30T14:05:13"/>
    <n v="2033"/>
    <x v="11"/>
    <x v="0"/>
    <n v="1048"/>
    <m/>
    <s v="Tanger/Casa"/>
    <n v="6.13"/>
    <x v="2"/>
    <s v="N2"/>
    <x v="0"/>
    <s v="Etat H.O : HO non complet entre 202 et 203_x000a_* qualité /niveau de signal : dl rx-qual=7 , dl rx level = -55 dbm_x000a_*Requête de déconnexion a été envoyée par le RBC "/>
    <m/>
    <x v="0"/>
    <s v="En attente de mise en place des tiroires filtrés "/>
    <s v="HO non Complet entre 202 et 203"/>
    <s v="dl Rxqual=7"/>
    <s v="dl rx level= -55"/>
    <s v="NOK"/>
    <s v="OK"/>
    <s v="Mauvais"/>
    <s v="retransmission des trames HDLC*5"/>
    <m/>
    <s v="ELGUEZZAR Anas"/>
    <m/>
    <m/>
    <m/>
    <m/>
    <m/>
    <m/>
    <m/>
  </r>
  <r>
    <n v="742"/>
    <x v="0"/>
    <x v="256"/>
    <d v="1899-12-30T17:34:50"/>
    <n v="2045"/>
    <x v="0"/>
    <x v="0"/>
    <n v="1036"/>
    <m/>
    <s v="Tanger/Casa"/>
    <n v="143.11199999999999"/>
    <x v="26"/>
    <s v="N2"/>
    <x v="0"/>
    <s v="Etat H.O : HO non complet entre 324 et 225_x000a_* qualité /niveau de signal : dl rx-qual=0 , dl rx level = -71 dbm_x000a_*Requête de déconnexion a été envoyée par le BORD"/>
    <m/>
    <x v="2"/>
    <s v="zone sous surveillance par équipe NOC GSMR"/>
    <s v="HO non Complet entre 324 et 225"/>
    <s v="dl Rxqual=0"/>
    <s v="dl rx level= -71"/>
    <s v="OK"/>
    <s v="OK"/>
    <s v="Mauvais"/>
    <s v="pas de retransmission des trames HDLC"/>
    <m/>
    <s v="ELGUEZZAR Anas"/>
    <m/>
    <m/>
    <m/>
    <m/>
    <m/>
    <m/>
    <m/>
  </r>
  <r>
    <n v="743"/>
    <x v="0"/>
    <x v="256"/>
    <d v="1899-12-30T17:47:37"/>
    <n v="1042"/>
    <x v="10"/>
    <x v="1"/>
    <n v="1061"/>
    <m/>
    <s v="Casa/Tanger"/>
    <n v="87.186999999999998"/>
    <x v="12"/>
    <s v="N2"/>
    <x v="0"/>
    <s v="Etat H.O : HO complet entre 317 et 316_x000a_* qualité /niveau de signal : dl rx-qual=0 , dl rx level = -51 dbm_x000a_*Requête de déconnexion a été envoyée par le RBC"/>
    <m/>
    <x v="0"/>
    <s v="En attente de mise en place des tiroires filtrés "/>
    <s v="HO Complet entre 317 et 316"/>
    <s v="dl Rxqual=0"/>
    <s v="dl rx level= -51"/>
    <s v="OK"/>
    <s v="OK"/>
    <s v="Mauvais"/>
    <s v="retransmission des trames HDLC*5"/>
    <m/>
    <s v="ELGUEZZAR Anas"/>
    <m/>
    <m/>
    <m/>
    <m/>
    <m/>
    <m/>
    <m/>
  </r>
  <r>
    <n v="744"/>
    <x v="0"/>
    <x v="256"/>
    <d v="1899-12-30T20:51:38"/>
    <n v="1054"/>
    <x v="1"/>
    <x v="1"/>
    <n v="3062"/>
    <m/>
    <s v="Casa/Tanger"/>
    <n v="64.387"/>
    <x v="21"/>
    <s v="N2"/>
    <x v="0"/>
    <s v="Etat H.O : HO non complet entre 313 et 312_x000a_* qualité /niveau de signal : dl rx-qual=2 , dl rx level = -77 dbm_x000a_*Requête de déconnexion a été envoyée par le RBC"/>
    <m/>
    <x v="8"/>
    <s v="Zone sous surveillance par équipe NOC GSMR"/>
    <s v="HO non Complet entre 313 et 312"/>
    <s v="dl Rxqual=2"/>
    <s v="dl rx level= -77"/>
    <s v="OK"/>
    <s v="OK"/>
    <s v="Mauvais"/>
    <s v="Pas Retransmission des trames HDLC*5"/>
    <m/>
    <s v="Fahd OUSSALH"/>
    <m/>
    <m/>
    <m/>
    <m/>
    <m/>
    <m/>
    <m/>
  </r>
  <r>
    <n v="745"/>
    <x v="0"/>
    <x v="257"/>
    <d v="1899-12-30T15:05:31"/>
    <n v="2037"/>
    <x v="7"/>
    <x v="0"/>
    <n v="1054"/>
    <m/>
    <s v="Tanger/Casa"/>
    <n v="6.13"/>
    <x v="2"/>
    <s v="N2"/>
    <x v="0"/>
    <s v="Etat H.O : HO non complet entre 302 et 303_x000a_* qualité /niveau de signal : dl rx-qual=3 , dl rx level = -53 dbm_x000a_*Requête de déconnexion a été envoyée par le RBC"/>
    <m/>
    <x v="0"/>
    <s v="En attente de mise en place des tiroires filtrés "/>
    <s v="HO non Complet entre 302 et 303"/>
    <s v="dl Rxqual=7"/>
    <s v="dl rx level= -53"/>
    <s v="OK"/>
    <s v="OK"/>
    <s v="Mauvais"/>
    <s v="retransmission des trames HDLC*5"/>
    <m/>
    <s v="ELGUEZZAR Anas"/>
    <m/>
    <m/>
    <m/>
    <m/>
    <m/>
    <m/>
    <m/>
  </r>
  <r>
    <n v="746"/>
    <x v="0"/>
    <x v="257"/>
    <d v="1899-12-30T17:25:24"/>
    <n v="2045"/>
    <x v="4"/>
    <x v="0"/>
    <n v="1058"/>
    <m/>
    <s v="Tanger/Casa"/>
    <n v="93.757999999999996"/>
    <x v="8"/>
    <s v="N2"/>
    <x v="0"/>
    <s v="Etat H.O : HO non complet entre 217 et 218_x000a_* qualité /niveau de signal : dl rx-qual=2 , dl rx level = -80 dbm_x000a_*Requête de déconnexion a été envoyée par le RBC"/>
    <m/>
    <x v="2"/>
    <s v="zone sous surveillance par équipe NOC GSMR"/>
    <s v="HO non Complet entre 302 et 303"/>
    <s v="dl Rxqual=7"/>
    <s v="dl rx level= -53"/>
    <s v="OK"/>
    <s v="OK"/>
    <s v="Mauvais"/>
    <s v="retransmission des trames HDLC*5"/>
    <m/>
    <s v="ELGUEZZAR Anas"/>
    <m/>
    <m/>
    <m/>
    <m/>
    <m/>
    <m/>
    <m/>
  </r>
  <r>
    <n v="747"/>
    <x v="0"/>
    <x v="257"/>
    <d v="1899-12-30T17:52:23"/>
    <n v="2045"/>
    <x v="4"/>
    <x v="0"/>
    <n v="7208"/>
    <m/>
    <s v="Tanger/Casa"/>
    <n v="165.298"/>
    <x v="28"/>
    <s v="N2"/>
    <x v="1"/>
    <s v="Etat H.O : HO non complet entre 228 et 229_x000a_* qualité /niveau de signal : dl rx-qual=3 , dl rx level = -73 dbm_x000a_*Requête de déconnexion a été envoyée par le RBC"/>
    <m/>
    <x v="0"/>
    <s v="En attente de mise en place des tiroires filtrés "/>
    <s v="HO non Complet entre 228 et 229"/>
    <s v="dl Rxqual=3"/>
    <s v="dl rx level= -73"/>
    <s v="OK"/>
    <s v="OK"/>
    <s v="Mauvais"/>
    <s v="retransmission des trames HDLC*5"/>
    <m/>
    <s v="ELGUEZZAR Anas"/>
    <m/>
    <m/>
    <m/>
    <m/>
    <m/>
    <m/>
    <m/>
  </r>
  <r>
    <n v="748"/>
    <x v="0"/>
    <x v="257"/>
    <d v="1899-12-30T18:11:40"/>
    <n v="2049"/>
    <x v="11"/>
    <x v="0"/>
    <n v="1049"/>
    <m/>
    <s v="Tanger/Casa"/>
    <n v="25.91"/>
    <x v="7"/>
    <s v="N2"/>
    <x v="0"/>
    <s v="Etat H.O : HO non complet entre 205 et 206_x000a_* qualité /niveau de signal : dl rx-qual=3 , dl rx level = -87 dbm_x000a_*Requête de déconnexion a été envoyée par le RBC"/>
    <m/>
    <x v="0"/>
    <s v="En attente de mise en place des tiroires filtrés "/>
    <s v="HO non Complet entre 205 et 206"/>
    <s v="dl Rxqual=3"/>
    <s v="dl rx level= -87"/>
    <s v="OK"/>
    <s v="OK"/>
    <s v="Mauvais"/>
    <s v="retransmission des trames HDLC*5"/>
    <m/>
    <s v="ELGUEZZAR Anas"/>
    <m/>
    <m/>
    <m/>
    <m/>
    <m/>
    <m/>
    <m/>
  </r>
  <r>
    <n v="749"/>
    <x v="0"/>
    <x v="257"/>
    <d v="1899-12-30T18:14:30"/>
    <n v="2049"/>
    <x v="11"/>
    <x v="0"/>
    <n v="1048"/>
    <m/>
    <s v="Tanger/Casa"/>
    <n v="35.259"/>
    <x v="25"/>
    <s v="N2"/>
    <x v="0"/>
    <s v="Etat H.O : Aucun HO réaliser _x000a_* qualité /niveau de signal : Absence des traces radio _x000a_*Requête de déconnexion a été envoyée par le RBC"/>
    <m/>
    <x v="8"/>
    <s v="En attente de pousser les analyses côté GSMR"/>
    <s v="Aucun HO réaliser"/>
    <s v="dl Rxqual=Absence des traces radio "/>
    <s v="dl rx level= Absence des traces radio "/>
    <s v="dl Rxqual=Absence des traces radio "/>
    <s v="OK"/>
    <s v="Mauvais"/>
    <s v="retransmission des trames HDLC*5"/>
    <m/>
    <s v="ELGUEZZAR Anas"/>
    <m/>
    <m/>
    <m/>
    <m/>
    <m/>
    <m/>
    <m/>
  </r>
  <r>
    <n v="750"/>
    <x v="0"/>
    <x v="257"/>
    <d v="1899-12-30T19:05:14"/>
    <n v="2053"/>
    <x v="5"/>
    <x v="0"/>
    <n v="1025"/>
    <m/>
    <s v="Tanger/Casa"/>
    <n v="6.13"/>
    <x v="2"/>
    <s v="N2"/>
    <x v="1"/>
    <s v="Etat H.O : HO  complet entre 202 et 303_x000a_* qualité /niveau de signal : dl rx-qual=7 , dl rx level = -66 dbm_x000a_*Requête de déconnexion a été envoyée par le RBC"/>
    <m/>
    <x v="0"/>
    <s v="En attente de mise en place des tiroires filtrés "/>
    <s v="HO  Complet entre 202 et 303"/>
    <s v="dl Rxqual=7"/>
    <s v="dl rx level= -66"/>
    <s v="NOK"/>
    <s v="OK"/>
    <s v="Mauvais"/>
    <s v="retransmission des trames HDLC*5"/>
    <m/>
    <s v="ELGUEZZAR Anas"/>
    <m/>
    <m/>
    <m/>
    <m/>
    <m/>
    <m/>
    <m/>
  </r>
  <r>
    <n v="751"/>
    <x v="0"/>
    <x v="258"/>
    <d v="1899-12-30T16:05:39"/>
    <n v="1033"/>
    <x v="5"/>
    <x v="1"/>
    <n v="1027"/>
    <m/>
    <s v="Casa/Tanger"/>
    <n v="7.3810000000000002"/>
    <x v="2"/>
    <s v="N2"/>
    <x v="0"/>
    <s v="Etat H.O : HO  complet entre 303 et 702_x000a_* qualité /niveau de signal : dl rx-qual=2 , dl rx level = -65 dbm_x000a_*Requête de déconnexion a été envoyée par le RBC"/>
    <m/>
    <x v="0"/>
    <s v="En attente de mise en place des tiroires filtrés "/>
    <s v="HO  Complet entre 303 et 702"/>
    <s v="dl Rxqual=2"/>
    <s v="dl rx level= -65"/>
    <s v="OK"/>
    <s v="OK"/>
    <s v="Mauvais"/>
    <s v="retransmission des trames HDLC*5"/>
    <m/>
    <s v="ELGUEZZAR Anas"/>
    <m/>
    <m/>
    <m/>
    <m/>
    <m/>
    <m/>
    <m/>
  </r>
  <r>
    <n v="752"/>
    <x v="0"/>
    <x v="258"/>
    <d v="1899-12-30T17:04:16"/>
    <n v="1038"/>
    <x v="11"/>
    <x v="1"/>
    <n v="1027"/>
    <m/>
    <s v="Casa/Tanger"/>
    <n v="8.9700000000000006"/>
    <x v="2"/>
    <s v="N2"/>
    <x v="0"/>
    <s v="Etat H.O : HO  complet entre 303 et 702_x000a_* qualité /niveau de signal : dl rx-qual=1 , dl rx level = -73 dbm_x000a_*Requête de déconnexion a été envoyée par le RBC"/>
    <m/>
    <x v="0"/>
    <s v="En attente de mise en place des tiroires filtrés "/>
    <s v="HO  Complet entre 303 et 702"/>
    <s v="dl Rxqual=1"/>
    <s v="dl rx level= -73"/>
    <s v="NOK"/>
    <s v="OK"/>
    <s v="Mauvais"/>
    <s v="retransmission des trames HDLC*5"/>
    <m/>
    <s v="ELGUEZZAR Anas"/>
    <m/>
    <m/>
    <m/>
    <m/>
    <m/>
    <m/>
    <m/>
  </r>
  <r>
    <n v="753"/>
    <x v="0"/>
    <x v="258"/>
    <d v="1899-12-30T17:06:25"/>
    <n v="2045"/>
    <x v="5"/>
    <x v="0"/>
    <n v="1024"/>
    <m/>
    <s v="Tanger/Casa"/>
    <n v="7.3810000000000002"/>
    <x v="2"/>
    <s v="N2"/>
    <x v="1"/>
    <s v="Etat H.O : HO  complet entre 701 et 702_x000a_* qualité /niveau de signal : dl rx-qual=1 , dl rx level = -66 dbm_x000a_*Requête de déconnexion a été envoyée par le RBC"/>
    <m/>
    <x v="0"/>
    <s v="En attente de mise en place des tiroires filtrés "/>
    <s v="HO  Complet entre 701 et 702"/>
    <s v="dl Rxqual=1"/>
    <s v="dl rx level= -66"/>
    <s v="OK"/>
    <s v="OK"/>
    <s v="Mauvais"/>
    <s v="retransmission des trames HDLC*5"/>
    <m/>
    <s v="ELGUEZZAR Anas"/>
    <m/>
    <m/>
    <m/>
    <m/>
    <m/>
    <m/>
    <m/>
  </r>
  <r>
    <n v="754"/>
    <x v="0"/>
    <x v="258"/>
    <d v="1899-12-30T21:05:09"/>
    <n v="2061"/>
    <x v="2"/>
    <x v="0"/>
    <n v="1024"/>
    <m/>
    <s v="Tanger/Casa"/>
    <n v="6.13"/>
    <x v="2"/>
    <s v="N2"/>
    <x v="1"/>
    <s v="Etat H.O : HO Non finalisé entre 301 et 202_x000a_* qualité /niveau de signal : dl rx-qual=7 , dl rx level = -52 dbm_x000a_*Requête de déconnexion a été envoyée par le RBC"/>
    <m/>
    <x v="0"/>
    <s v="En attente de mise en place des tiroires filtrés "/>
    <s v="HO non Complet entre 301 et 202"/>
    <s v="dl Rxqual=7"/>
    <s v="dl rx level= -52"/>
    <s v="NOK"/>
    <s v="OK"/>
    <s v="Mauvais"/>
    <s v="retransmission des trames HDLC*5"/>
    <m/>
    <s v="HARIRI Bahaeddine"/>
    <m/>
    <m/>
    <m/>
    <m/>
    <m/>
    <m/>
    <m/>
  </r>
  <r>
    <n v="755"/>
    <x v="0"/>
    <x v="259"/>
    <d v="1899-12-30T18:04:01"/>
    <n v="1041"/>
    <x v="5"/>
    <x v="1"/>
    <n v="1027"/>
    <m/>
    <s v="Casa/Tanger"/>
    <n v="7.3810000000000002"/>
    <x v="2"/>
    <s v="N2"/>
    <x v="0"/>
    <s v="Etat H.O : HO Non finalisé entre 302 et 702_x000a_* qualité /niveau de signal : dl rx-qual=2 , dl rx level = -74 dbm_x000a_*Requête de déconnexion a été envoyée par le RBC"/>
    <m/>
    <x v="3"/>
    <s v="En attente de pousser les analyses côté RBC"/>
    <s v="HO non Complet entre 302 et 702"/>
    <s v="dl Rxqual=2"/>
    <s v="dl rx level= -74"/>
    <s v="NOK"/>
    <s v="OK"/>
    <s v="Mauvais"/>
    <s v="retransmission des trames HDLC*5"/>
    <m/>
    <s v="ELGUEZZAR Anas"/>
    <m/>
    <m/>
    <m/>
    <m/>
    <m/>
    <m/>
    <m/>
  </r>
  <r>
    <n v="756"/>
    <x v="0"/>
    <x v="259"/>
    <d v="1899-12-30T18:49:39"/>
    <n v="1045"/>
    <x v="8"/>
    <x v="1"/>
    <n v="1031"/>
    <m/>
    <s v="Casa/Tanger"/>
    <n v="78.155000000000001"/>
    <x v="11"/>
    <s v="N2"/>
    <x v="0"/>
    <s v="Etat H.O : HO  finalisé entre 315 et 314_x000a_* qualité /niveau de signal : dl rx-qual=0 , dl rx level = -53 dbm_x000a_*Requête de déconnexion a été envoyée par le RBC"/>
    <m/>
    <x v="0"/>
    <s v="En attente de pousser les analyses côté BORD"/>
    <s v="HO  Complet entre 315 et 314"/>
    <s v="dl Rxqual=0"/>
    <s v="dl rx level= -53"/>
    <s v="OK"/>
    <s v="OK"/>
    <s v="Mauvais"/>
    <s v="retransmission des trames HDLC*5"/>
    <m/>
    <s v="ELGUEZZAR Anas"/>
    <m/>
    <m/>
    <m/>
    <m/>
    <m/>
    <m/>
    <m/>
  </r>
  <r>
    <n v="757"/>
    <x v="0"/>
    <x v="259"/>
    <d v="1899-12-30T19:04:42"/>
    <n v="2053"/>
    <x v="0"/>
    <x v="0"/>
    <n v="1031"/>
    <m/>
    <s v="Tanger/Casa"/>
    <n v="6.13"/>
    <x v="2"/>
    <s v="N2"/>
    <x v="1"/>
    <s v="Etat H.O : HO  finalisé entre 202 et 701_x000a_* qualité /niveau de signal : dl rx-qual=7 , dl rx level = -52 dbm_x000a_*Requête de déconnexion a été envoyée par le RBC"/>
    <m/>
    <x v="0"/>
    <s v="En attente de mise en place des tiroires filtrés "/>
    <s v="HO  Complet entre 202 et 701"/>
    <s v="dl Rxqual=7"/>
    <s v="dl rx level= -52"/>
    <s v="OK"/>
    <s v="OK"/>
    <s v="Mauvais"/>
    <s v="retransmission des trames HDLC*5"/>
    <m/>
    <s v="ELGUEZZAR Anas"/>
    <m/>
    <m/>
    <m/>
    <m/>
    <m/>
    <m/>
    <m/>
  </r>
  <r>
    <n v="758"/>
    <x v="0"/>
    <x v="259"/>
    <d v="1899-12-30T21:05:23"/>
    <n v="2061"/>
    <x v="6"/>
    <x v="0"/>
    <n v="1056"/>
    <m/>
    <s v="Tanger/Casa"/>
    <n v="6.13"/>
    <x v="2"/>
    <s v="N2"/>
    <x v="0"/>
    <s v="Etat H.O : HO  finalisé entre 302 et  701_x000a_* qualité /niveau de signal : dl rx-qual=0 , dl rx level = -48 dbm_x000a_*Requête de déconnexion a été envoyée par le RBC"/>
    <m/>
    <x v="0"/>
    <s v="En attente de mise en place des tiroires filtrés "/>
    <s v="HO  Complet entre 302 et 701"/>
    <s v="dl Rxqual=0"/>
    <s v="dl rx level= -48"/>
    <s v="OK"/>
    <s v="OK"/>
    <s v="Mauvais"/>
    <s v="retransmission des trames HDLC*5"/>
    <m/>
    <s v="HARIRI Bahaeddine"/>
    <m/>
    <m/>
    <m/>
    <m/>
    <m/>
    <m/>
    <m/>
  </r>
  <r>
    <n v="759"/>
    <x v="0"/>
    <x v="260"/>
    <d v="1899-12-30T04:16:28"/>
    <n v="2081"/>
    <x v="3"/>
    <x v="0"/>
    <n v="1047"/>
    <m/>
    <s v="Tanger/Casa"/>
    <n v="31.350999999999999"/>
    <x v="25"/>
    <s v="N2"/>
    <x v="0"/>
    <s v="Etat H.O : HO  finalisé entre 206 et  207_x000a_* qualité /niveau de signal : dl rx-qual=0 , dl rx level = -48 dbm_x000a_*Requête de déconnexion a été envoyée par le RBC"/>
    <m/>
    <x v="0"/>
    <s v="En attente de mise en place des tiroires filtrés "/>
    <s v="HO  Complet entre 206 et 207"/>
    <s v="dl Rxqual=0"/>
    <s v="dl rx level= -48"/>
    <s v="OK"/>
    <s v="OK"/>
    <s v="Mauvais"/>
    <s v="retransmission des trames HDLC*5"/>
    <m/>
    <s v="HARIRI Bahaeddine"/>
    <m/>
    <m/>
    <m/>
    <m/>
    <m/>
    <m/>
    <m/>
  </r>
  <r>
    <n v="760"/>
    <x v="0"/>
    <x v="260"/>
    <d v="1899-12-30T06:05:29"/>
    <n v="2001"/>
    <x v="10"/>
    <x v="0"/>
    <n v="1043"/>
    <m/>
    <s v="Tanger/Casa"/>
    <n v="7.3810000000000002"/>
    <x v="2"/>
    <s v="N2"/>
    <x v="1"/>
    <s v="Etat H.O : HO Complete entre 701 et 702_x000a_* qualité /niveau de signal : dl rx-qual=0, dl rx level = -72 dbm_x000a_*Requête de déconnexion a été envoyée par le RBC"/>
    <m/>
    <x v="0"/>
    <s v="En attente de mise en place des tiroires filtrés "/>
    <s v="HO Complete entre 701 et 702"/>
    <s v="dl Rxqual=0"/>
    <s v="dl rx level= -72"/>
    <s v="OK"/>
    <s v="OK"/>
    <s v="Mauvais"/>
    <s v="retransmission des trames HDLC*5"/>
    <m/>
    <s v="HARIRI Bahaeddine"/>
    <m/>
    <m/>
    <m/>
    <m/>
    <m/>
    <m/>
    <m/>
  </r>
  <r>
    <n v="761"/>
    <x v="0"/>
    <x v="260"/>
    <d v="1899-12-30T08:46:33"/>
    <n v="1005"/>
    <x v="6"/>
    <x v="1"/>
    <n v="1023"/>
    <m/>
    <s v="Casa/Tanger"/>
    <n v="94.953999999999994"/>
    <x v="8"/>
    <s v="N2"/>
    <x v="0"/>
    <s v="Etat H.O : HO non finalisé entre 318 et 317_x000a_* qualité /niveau de signal : dl rx-qual=7, dl rx level = -84dbm_x000a_*Requête de déconnexion a été envoyée par le RBC"/>
    <m/>
    <x v="2"/>
    <s v="zone sous surveillance par équipe NOC GSMR"/>
    <s v="HO non finalisé entre 318 et 317"/>
    <s v="dl Rxqual=7"/>
    <s v="dl rx level= -84"/>
    <s v="OK"/>
    <s v="OK"/>
    <s v="Mauvais"/>
    <s v="Retransmission des trames HDLC*6"/>
    <m/>
    <s v="Saad Elhabib"/>
    <m/>
    <m/>
    <m/>
    <m/>
    <m/>
    <m/>
    <m/>
  </r>
  <r>
    <n v="762"/>
    <x v="0"/>
    <x v="260"/>
    <d v="1899-12-30T12:09:00"/>
    <n v="1018"/>
    <x v="5"/>
    <x v="1"/>
    <n v="1023"/>
    <m/>
    <s v="Casa/Tanger"/>
    <n v="9.07"/>
    <x v="2"/>
    <s v="N2"/>
    <x v="1"/>
    <s v="HO  finalisé entre 303 et 702_x000a_* qualité /niveau de signal : dl rx-qual=0, dl rx level = -73dbm_x000a_*Requête de déconnexion a été envoyée par le RBC"/>
    <m/>
    <x v="0"/>
    <s v="En attente de mise en place des tiroires filtrés "/>
    <s v="HO  finalisé entre 303 et 702"/>
    <s v="dl Rxqual=0"/>
    <s v="dl rx level= -73"/>
    <s v="OK"/>
    <s v="NOK"/>
    <s v="Mauvais"/>
    <s v="Retransmission des trames HDLC*6"/>
    <m/>
    <s v="Saad Elhabib"/>
    <m/>
    <m/>
    <m/>
    <m/>
    <m/>
    <m/>
    <m/>
  </r>
  <r>
    <n v="763"/>
    <x v="0"/>
    <x v="260"/>
    <d v="1899-12-30T12:05:48"/>
    <n v="2025"/>
    <x v="8"/>
    <x v="0"/>
    <n v="1042"/>
    <m/>
    <s v="Tanger/Casa"/>
    <n v="7.3810000000000002"/>
    <x v="2"/>
    <s v="N2"/>
    <x v="1"/>
    <s v="HO  non finalisé entre 701 et 702_x000a_* qualité /niveau de signal : dl rx-qual=6, dl rx level = -75dbm_x000a_*Requête de déconnexion a été envoyée par le RBC"/>
    <m/>
    <x v="0"/>
    <s v="En attente de mise en place des tiroires filtrés "/>
    <s v="HO  non finalisé entre 701 et 702"/>
    <s v="dl Rxqual=6"/>
    <s v="dl rx level= -75"/>
    <s v="OK"/>
    <s v="OK"/>
    <s v="Mauvais"/>
    <s v="retransmission des trames HDLC*5"/>
    <m/>
    <s v="Saad Elhabib"/>
    <m/>
    <m/>
    <m/>
    <m/>
    <m/>
    <m/>
    <m/>
  </r>
  <r>
    <n v="764"/>
    <x v="0"/>
    <x v="260"/>
    <d v="1899-12-30T13:04:25"/>
    <n v="1021"/>
    <x v="4"/>
    <x v="1"/>
    <n v="1016"/>
    <m/>
    <s v="Casa/Tanger"/>
    <n v="8.9700000000000006"/>
    <x v="2"/>
    <s v="N2"/>
    <x v="0"/>
    <s v="HO  finalisé entre 303 et 702_x000a_* qualité /niveau de signal : dl rx-qual=0, dl rx level = -67dbm_x000a_*Requête de déconnexion a été envoyée par le RBC"/>
    <m/>
    <x v="0"/>
    <s v="En attente de mise en place des tiroires filtrés "/>
    <s v="HO  finalisé entre 303 et 702"/>
    <s v="dl Rxqual=0"/>
    <s v="dl rx level= -67"/>
    <s v="OK"/>
    <s v="OK"/>
    <s v="Mauvais"/>
    <s v="retransmission des trames HDLC*5"/>
    <m/>
    <s v="ELGUEZZAR Anas"/>
    <m/>
    <m/>
    <m/>
    <m/>
    <m/>
    <m/>
    <m/>
  </r>
  <r>
    <n v="765"/>
    <x v="0"/>
    <x v="260"/>
    <d v="1899-12-30T20:07:46"/>
    <n v="1049"/>
    <x v="2"/>
    <x v="1"/>
    <n v="1034"/>
    <m/>
    <s v="Casa/Tanger"/>
    <n v="7.3810000000000002"/>
    <x v="2"/>
    <s v="N2"/>
    <x v="1"/>
    <s v="HO  finalisé entre 702 et 701_x000a_* qualité /niveau de signal : dl rx-qual=7, dl rx level = -54dbm_x000a_*Requête de déconnexion a été envoyée par le RBC"/>
    <m/>
    <x v="0"/>
    <s v="En attente de mise en place des tiroires filtrés "/>
    <s v="HO  finalisé entre 702 et 701"/>
    <s v="dl Rxqual=7"/>
    <s v="dl rx level= -54"/>
    <s v="OK"/>
    <s v="OK"/>
    <s v="Mauvais"/>
    <s v="retransmission des trames HDLC*5"/>
    <m/>
    <s v="ELGUEZZAR Anas"/>
    <m/>
    <m/>
    <m/>
    <m/>
    <m/>
    <m/>
    <m/>
  </r>
  <r>
    <n v="766"/>
    <x v="0"/>
    <x v="260"/>
    <d v="1899-12-30T21:03:10"/>
    <n v="1054"/>
    <x v="7"/>
    <x v="1"/>
    <n v="1041"/>
    <m/>
    <s v="Casa/Tanger"/>
    <n v="8.9700000000000006"/>
    <x v="2"/>
    <s v="N2"/>
    <x v="1"/>
    <s v="HO  finalisé entre 303 et 702_x000a_* qualité /niveau de signal : dl rx-qual=0, dl rx level = -48dbm_x000a_*Requête de déconnexion a été envoyée par le RBC"/>
    <m/>
    <x v="0"/>
    <s v="En attente de mise en place des tiroires filtrés "/>
    <s v="HO  finalisé entre 303 et 702"/>
    <s v="dl Rxqual=0"/>
    <s v="dl rx level= -48"/>
    <s v="OK"/>
    <s v="OK"/>
    <s v="Mauvais"/>
    <s v="retransmission des trames HDLC*5"/>
    <m/>
    <s v="HARIRI Bahaeddine"/>
    <m/>
    <m/>
    <m/>
    <m/>
    <m/>
    <m/>
    <m/>
  </r>
  <r>
    <n v="767"/>
    <x v="0"/>
    <x v="261"/>
    <d v="1899-12-30T09:04:33"/>
    <n v="1005"/>
    <x v="2"/>
    <x v="1"/>
    <n v="1035"/>
    <m/>
    <s v="Casa/Tanger"/>
    <n v="8.9700000000000006"/>
    <x v="2"/>
    <s v="N2"/>
    <x v="0"/>
    <s v="Etat H.O : HO  finalisé entre 303 et 702 _x000a_* qualité /niveau de signal : dl rx-qual=0, dl rx level = -50dbm_x000a_*Requête de déconnexion a été envoyée par le RBC"/>
    <m/>
    <x v="0"/>
    <s v="En attente de mise en place des tiroires filtrés "/>
    <s v="HO  finalisé entre 303 et 702"/>
    <s v="dl Rxqual=0"/>
    <s v="dl rx level= -50"/>
    <s v="OK"/>
    <s v="OK"/>
    <s v="Mauvais"/>
    <s v="retransmission des trames HDLC*5"/>
    <m/>
    <s v="Saad Elhabib"/>
    <m/>
    <m/>
    <m/>
    <m/>
    <m/>
    <m/>
    <m/>
  </r>
  <r>
    <n v="768"/>
    <x v="0"/>
    <x v="261"/>
    <d v="1899-12-30T13:04:19"/>
    <n v="1021"/>
    <x v="8"/>
    <x v="1"/>
    <n v="1031"/>
    <m/>
    <s v="Casa/Tanger"/>
    <n v="8.9700000000000006"/>
    <x v="2"/>
    <s v="N2"/>
    <x v="1"/>
    <s v="* Etat H.O : HO  finalisé entre 303 et 702 _x000a_* qualité /niveau de signal : dl rx-qual=5, dl rx level = -48dbm_x000a_*Requête de déconnexion a été envoyée par le RBC"/>
    <m/>
    <x v="0"/>
    <s v="En attente de mise en place des tiroires filtrés "/>
    <s v="HO  finalisé entre 303 et 702 "/>
    <s v="dl Rxqual=5"/>
    <s v="dl rx level= -48"/>
    <s v="OK"/>
    <s v="NOK"/>
    <s v="Mauvais"/>
    <s v="retransmission des trames HDLC*5"/>
    <m/>
    <s v="Saad Elhabib"/>
    <m/>
    <m/>
    <m/>
    <m/>
    <m/>
    <m/>
    <m/>
  </r>
  <r>
    <n v="769"/>
    <x v="0"/>
    <x v="261"/>
    <d v="1899-12-30T14:06:01"/>
    <n v="2033"/>
    <x v="11"/>
    <x v="0"/>
    <n v="1049"/>
    <m/>
    <s v="Tanger/Casa"/>
    <n v="7.3810000000000002"/>
    <x v="2"/>
    <s v="N2"/>
    <x v="1"/>
    <s v="* Etat H.O : HO  complet entre 701 et 702 _x000a_* qualité /niveau de signal : dl rx-qual=1, dl rx level = -75dbm_x000a_* Requête de déconnexion a été envoyé par le RBC_x000a_"/>
    <m/>
    <x v="0"/>
    <s v="En attente de mise en place des tiroires filtrés "/>
    <s v="HO  finalisé entre 701 et 702"/>
    <s v="dl Rxqual=1"/>
    <s v="dl rx level= -75"/>
    <s v="OK"/>
    <s v="OK"/>
    <s v="Mauvais"/>
    <s v="retransmission des trames HDLC*5"/>
    <m/>
    <s v="Fahd OUSSALH"/>
    <m/>
    <m/>
    <m/>
    <m/>
    <m/>
    <m/>
    <m/>
  </r>
  <r>
    <n v="770"/>
    <x v="0"/>
    <x v="261"/>
    <d v="1899-12-30T14:12:36"/>
    <n v="1026"/>
    <x v="6"/>
    <x v="1"/>
    <n v="1022"/>
    <m/>
    <s v="Casa/Tanger"/>
    <n v="8.9700000000000006"/>
    <x v="2"/>
    <s v="N2"/>
    <x v="1"/>
    <s v="* Etat H.O : HO  complet entre 702 et 701 _x000a_* qualité /niveau de signal : dl rx-qual=7, dl rx level = -56dbm_x000a_* Requête de déconnexion a été envoyé par le RBC_x000a_"/>
    <m/>
    <x v="0"/>
    <s v="En attente de mise en place des tiroires filtrés "/>
    <s v="HO  finalisé entre 702 et 701"/>
    <s v="dl Rxqual=7"/>
    <s v="dl rx level= -56"/>
    <s v="OK"/>
    <s v="OK"/>
    <s v="Mauvais"/>
    <s v="pas de retransmission des trames HDLC"/>
    <m/>
    <s v="Fahd OUSSALH"/>
    <m/>
    <m/>
    <m/>
    <m/>
    <m/>
    <m/>
    <m/>
  </r>
  <r>
    <n v="771"/>
    <x v="0"/>
    <x v="261"/>
    <d v="1899-12-30T15:05:27"/>
    <n v="2037"/>
    <x v="6"/>
    <x v="0"/>
    <n v="1057"/>
    <m/>
    <s v="Tanger/Casa"/>
    <n v="6.13"/>
    <x v="2"/>
    <s v="N2"/>
    <x v="1"/>
    <s v="* Etat H.O : HO non finalisé entre 202 et 701 _x000a_* qualité /niveau de signal : dl rx-qual=0, dl rx level = -57 dbm_x000a_*Requête de déconnexion a été envoyée par le BORD"/>
    <m/>
    <x v="0"/>
    <s v="En attente de mise en place des tiroires filtrés "/>
    <s v="HO  non finalisé entre 202 et 701"/>
    <s v="dl Rxqual=0"/>
    <s v="dl rx level= -57"/>
    <s v="OK"/>
    <s v="OK"/>
    <s v="Mauvais"/>
    <s v="pas de retransmission des trames HDLC"/>
    <m/>
    <s v="Fahd OUSSALH"/>
    <m/>
    <m/>
    <m/>
    <m/>
    <m/>
    <m/>
    <m/>
  </r>
  <r>
    <n v="772"/>
    <x v="0"/>
    <x v="262"/>
    <d v="1899-12-30T08:08:17"/>
    <n v="2009"/>
    <x v="0"/>
    <x v="0"/>
    <n v="1037"/>
    <m/>
    <s v="Tanger/Casa"/>
    <n v="16.29"/>
    <x v="22"/>
    <s v="N2"/>
    <x v="0"/>
    <s v="* Etat H.O : HO  finalisé entre 303 et 304 _x000a_* qualité /niveau de signal : dl rx-qual=0, dl rx level = -48 dbm_x000a_*Requête de déconnexion a été envoyée par le RBC"/>
    <m/>
    <x v="0"/>
    <s v="En attente de mise en place des tiroires filtrés "/>
    <s v="HO   finalisé entre 303 et 304"/>
    <s v="dl Rxqual=0"/>
    <s v="dl rx level= -48"/>
    <s v="OK"/>
    <s v="OK"/>
    <s v="Mauvais"/>
    <s v=" Retransmission des trames HDLC*5"/>
    <m/>
    <s v="ELGUEZZAR Anas"/>
    <m/>
    <m/>
    <m/>
    <m/>
    <m/>
    <m/>
    <m/>
  </r>
  <r>
    <n v="773"/>
    <x v="0"/>
    <x v="262"/>
    <d v="1899-12-30T09:35:20"/>
    <n v="2013"/>
    <x v="2"/>
    <x v="0"/>
    <n v="7218"/>
    <m/>
    <s v="Tanger/Casa"/>
    <n v="145.6"/>
    <x v="3"/>
    <s v="N2"/>
    <x v="0"/>
    <s v="* Etat H.O : HO  finalisé entre 225 et 226_x000a_* qualité /niveau de signal : dl rx-qual=0, dl rx level = -63 dbm_x000a_*Requête de déconnexion a été envoyée par le RBC"/>
    <m/>
    <x v="3"/>
    <s v="En attente de pousser les analyses côté RBC"/>
    <s v="HO   finalisé entre 225 et 226"/>
    <s v="dl Rxqual=0"/>
    <s v="dl rx level= -63"/>
    <s v="OK"/>
    <s v="OK"/>
    <s v="Mauvais"/>
    <s v=" Retransmission des trames HDLC*5"/>
    <m/>
    <s v="ELGUEZZAR Anas"/>
    <m/>
    <m/>
    <m/>
    <m/>
    <m/>
    <m/>
    <m/>
  </r>
  <r>
    <n v="774"/>
    <x v="0"/>
    <x v="262"/>
    <d v="1899-12-30T12:47:05"/>
    <n v="1017"/>
    <x v="0"/>
    <x v="1"/>
    <n v="1045"/>
    <m/>
    <s v="Tanger/Casa"/>
    <n v="90.108000000000004"/>
    <x v="12"/>
    <s v="N2"/>
    <x v="0"/>
    <s v="* Etat H.O : HO  finalisé entre 317 et 316_x000a_* qualité /niveau de signal : dl rx-qual=0, dl rx level = -57 dbm_x000a_*Requête de déconnexion a été envoyée par le RBC"/>
    <m/>
    <x v="0"/>
    <s v="En attente de mise en place des tiroires filtrés "/>
    <s v="HO   finalisé entre 317 et 316"/>
    <s v="dl Rxqual=0"/>
    <s v="dl rx level= -57"/>
    <s v="OK"/>
    <s v="OK"/>
    <s v="Mauvais"/>
    <s v=" Retransmission des trames HDLC*5"/>
    <m/>
    <s v="ELGUEZZAR Anas"/>
    <m/>
    <m/>
    <m/>
    <m/>
    <m/>
    <m/>
    <m/>
  </r>
  <r>
    <n v="775"/>
    <x v="0"/>
    <x v="262"/>
    <d v="1899-12-30T14:35:50"/>
    <n v="2033"/>
    <x v="0"/>
    <x v="0"/>
    <n v="1037"/>
    <m/>
    <s v="Tanger/Casa"/>
    <n v="144.32599999999999"/>
    <x v="3"/>
    <s v="N2"/>
    <x v="1"/>
    <s v="* Etat H.O : HO  finalisé entre 224 et 225_x000a_* qualité /niveau de signal : dl rx-qual=0, dl rx level = -66 dbm_x000a_*Requête de déconnexion a été envoyée par le RBC"/>
    <m/>
    <x v="0"/>
    <s v="En attente de mise en place des tiroires filtrés "/>
    <s v="HO   finalisé entre 317 et 316"/>
    <s v="dl Rxqual=0"/>
    <s v="dl rx level= -66"/>
    <s v="OK"/>
    <s v="OK"/>
    <s v="Mauvais"/>
    <s v=" Retransmission des trames HDLC*5"/>
    <m/>
    <s v="Fahd OUSSALH"/>
    <m/>
    <m/>
    <m/>
    <m/>
    <m/>
    <m/>
    <m/>
  </r>
  <r>
    <n v="776"/>
    <x v="0"/>
    <x v="262"/>
    <d v="1899-12-30T14:36:12"/>
    <n v="2033"/>
    <x v="0"/>
    <x v="0"/>
    <n v="1045"/>
    <m/>
    <s v="Tanger/Casa"/>
    <n v="152.86199999999999"/>
    <x v="18"/>
    <s v="N2"/>
    <x v="1"/>
    <s v="* Etat H.O : HO  non finalisé entre 226 et 327_x000a_* qualité /niveau de signal : dl rx-qual=7, dl rx level = -56 dbm_x000a_*Requête de déconnexion a été envoyée par le RBC"/>
    <m/>
    <x v="2"/>
    <s v="zone sous surveillance par équipe NOC GSMR"/>
    <s v="HO  non finalisé entre 226 et 327"/>
    <s v="dl Rxqual=7"/>
    <s v="dl rx level= -56"/>
    <s v="OK"/>
    <s v="OK"/>
    <s v="Mauvais"/>
    <s v=" Retransmission des trames HDLC*5"/>
    <m/>
    <s v="Fahd OUSSALH"/>
    <m/>
    <m/>
    <m/>
    <m/>
    <m/>
    <m/>
    <m/>
  </r>
  <r>
    <n v="777"/>
    <x v="0"/>
    <x v="262"/>
    <d v="1899-12-30T16:03:31"/>
    <n v="1034"/>
    <x v="4"/>
    <x v="1"/>
    <n v="1033"/>
    <m/>
    <s v="Casa/Tanger"/>
    <n v="8.9700000000000006"/>
    <x v="2"/>
    <s v="N2"/>
    <x v="1"/>
    <s v="* Etat H.O : HO  non finalisé entre 303 et 202_x000a_* qualité /niveau de signal : dl rx-qual=5 dl rx level = -63 dbm_x000a_*Requête de déconnexion a été envoyée par le RBC"/>
    <m/>
    <x v="0"/>
    <s v="En attente de mise en place des tiroires filtrés "/>
    <s v="HO  non finalisé entre 303 et 202"/>
    <s v="dl Rxqual=5"/>
    <s v="dl rx level= -63"/>
    <s v="OK"/>
    <s v="OK"/>
    <s v="Mauvais"/>
    <s v=" Retransmission des trames HDLC*5"/>
    <m/>
    <s v="Fahd OUSSALH"/>
    <m/>
    <m/>
    <m/>
    <m/>
    <m/>
    <m/>
    <m/>
  </r>
  <r>
    <n v="778"/>
    <x v="0"/>
    <x v="262"/>
    <d v="1899-12-30T16:15:27"/>
    <n v="2041"/>
    <x v="6"/>
    <x v="0"/>
    <n v="1057"/>
    <m/>
    <s v="Tanger/Casa"/>
    <n v="43.170999999999999"/>
    <x v="16"/>
    <s v="N2"/>
    <x v="0"/>
    <s v="* Etat H.O : HO  finalisé entre 207 et 208_x000a_* qualité /niveau de signal : dl rx-qual=3, dl rx level = -56 dbm_x000a_*Requête de déconnexion a été envoyée par le RBC"/>
    <m/>
    <x v="0"/>
    <s v="En attente de mise en place des tiroires filtrés "/>
    <s v="HO   finalisé entre 207 et 208"/>
    <s v="dl Rxqual=3"/>
    <s v="dl rx level= -56"/>
    <s v="OK"/>
    <s v="OK"/>
    <s v="Mauvais"/>
    <s v=" Retransmission des trames HDLC*5"/>
    <m/>
    <s v="Fahd OUSSALH"/>
    <m/>
    <m/>
    <m/>
    <m/>
    <m/>
    <m/>
    <m/>
  </r>
  <r>
    <n v="779"/>
    <x v="0"/>
    <x v="262"/>
    <d v="1899-12-30T17:04:50"/>
    <n v="2045"/>
    <x v="4"/>
    <x v="0"/>
    <n v="7208"/>
    <m/>
    <s v="Tanger/Casa"/>
    <n v="6.13"/>
    <x v="2"/>
    <s v="N2"/>
    <x v="1"/>
    <s v="* Etat H.O : HO non finalisé entre 302 et 203 _x000a_* qualité /niveau de signal : dl rx-qual=6, dl rx level = -53 dbm_x000a_*Requête de déconnexion a été envoyée par le BORD"/>
    <m/>
    <x v="0"/>
    <s v="En attente de mise en place des tiroires filtrés "/>
    <s v="HO  non finalisé entre 302 et 203"/>
    <s v="dl Rxqual=6"/>
    <s v="dl rx level= -53"/>
    <s v="NOK"/>
    <s v="OK"/>
    <s v="Mauvais"/>
    <s v=" Pas Retransmission des trames HDLC*5"/>
    <m/>
    <s v="Fahd OUSSALH"/>
    <m/>
    <m/>
    <m/>
    <m/>
    <m/>
    <m/>
    <m/>
  </r>
  <r>
    <n v="780"/>
    <x v="0"/>
    <x v="262"/>
    <d v="1899-12-30T17:04:50"/>
    <n v="2049"/>
    <x v="11"/>
    <x v="0"/>
    <n v="1048"/>
    <m/>
    <s v="Tanger/Casa"/>
    <n v="6.13"/>
    <x v="2"/>
    <s v="N2"/>
    <x v="1"/>
    <s v="* Etat H.O : HO non finalisé entre 202 et 303 _x000a_* qualité /niveau de signal : dl rx-qual=7, dl rx level = -55 dbm_x000a_*Requête de déconnexion a été envoyée par le BORD"/>
    <m/>
    <x v="0"/>
    <s v="En attente de mise en place des tiroires filtrés "/>
    <s v="HO  non finalisé entre 202 et 303"/>
    <s v="dl Rxqual=7"/>
    <s v="dl rx level= -55"/>
    <s v="NOK"/>
    <s v="OK"/>
    <s v="Mauvais"/>
    <s v=" Pas Retransmission des trames HDLC*5"/>
    <m/>
    <s v="Fahd OUSSALH"/>
    <m/>
    <m/>
    <m/>
    <m/>
    <m/>
    <m/>
    <m/>
  </r>
  <r>
    <n v="781"/>
    <x v="0"/>
    <x v="262"/>
    <d v="1899-12-30T21:16:47"/>
    <n v="2061"/>
    <x v="2"/>
    <x v="0"/>
    <n v="7218"/>
    <m/>
    <s v="Tanger/Casa"/>
    <n v="53.600999999999999"/>
    <x v="29"/>
    <s v="N2"/>
    <x v="0"/>
    <s v="* Etat H.O : HO  finalisé entre 209 et 210_x000a_* qualité /niveau de signal : dl rx-qual=0, dl rx level = -48 dbm_x000a_*Requête de déconnexion a été envoyée par le RBC"/>
    <m/>
    <x v="0"/>
    <s v="En attente de mise en place des tiroires filtrés "/>
    <s v="HO   finalisé entre 209 et 210"/>
    <s v="dl Rxqual=0"/>
    <s v="dl rx level= -48"/>
    <s v="OK"/>
    <s v="OK"/>
    <s v="Mauvais"/>
    <s v=" Retransmission des trames HDLC*5"/>
    <m/>
    <s v="HARIRI Bahaeddine"/>
    <m/>
    <m/>
    <m/>
    <m/>
    <m/>
    <m/>
    <m/>
  </r>
  <r>
    <n v="782"/>
    <x v="0"/>
    <x v="263"/>
    <d v="1899-12-30T04:16:49"/>
    <n v="2081"/>
    <x v="8"/>
    <x v="0"/>
    <n v="1043"/>
    <m/>
    <s v="Tanger/Casa"/>
    <n v="32.625999999999998"/>
    <x v="25"/>
    <s v="N2"/>
    <x v="0"/>
    <s v="* Etat H.O : HO  finalisé entre 206 et 207_x000a_* qualité /niveau de signal : dl rx-qual=0, dl rx level = -52 dbm_x000a_*Requête de déconnexion a été envoyée par le RBC"/>
    <m/>
    <x v="0"/>
    <s v="En attente de mise en place des tiroires filtrés "/>
    <s v="HO   finalisé entre 206 et 207"/>
    <s v="dl Rxqual=0"/>
    <s v="dl rx level= -52"/>
    <s v="OK"/>
    <s v="OK"/>
    <s v="Mauvais"/>
    <s v=" Retransmission des trames HDLC*5"/>
    <m/>
    <s v="HARIRI Bahaeddine"/>
    <m/>
    <m/>
    <m/>
    <m/>
    <m/>
    <m/>
    <m/>
  </r>
  <r>
    <n v="783"/>
    <x v="0"/>
    <x v="263"/>
    <d v="1899-12-30T13:05:04"/>
    <n v="1021"/>
    <x v="8"/>
    <x v="1"/>
    <n v="1030"/>
    <m/>
    <s v="Casa/Tanger"/>
    <n v="7.3209999999999997"/>
    <x v="2"/>
    <s v="N2"/>
    <x v="0"/>
    <s v="* Etat H.O : HO non finalisé entre 303 et 302_x000a_* qualité /niveau de signal : dl rx-qual=7, dl rx level = -64 dbm_x000a_*Requête de déconnexion a été envoyée par le RBC"/>
    <m/>
    <x v="0"/>
    <s v="En attente de mise en place des tiroires filtrés "/>
    <s v="HO non finalisé entre 303 et 302"/>
    <s v="dl Rxqual=7"/>
    <s v="dl rx level= -64"/>
    <s v="OK"/>
    <s v="OK"/>
    <s v="Mauvais"/>
    <s v=" Retransmission des trames HDLC*5"/>
    <m/>
    <s v="Noura MOUSSAOUI"/>
    <m/>
    <m/>
    <m/>
    <m/>
    <m/>
    <m/>
    <m/>
  </r>
  <r>
    <n v="784"/>
    <x v="0"/>
    <x v="263"/>
    <d v="1899-12-30T14:35:29"/>
    <n v="2033"/>
    <x v="5"/>
    <x v="0"/>
    <n v="1031"/>
    <m/>
    <s v="Tanger/Casa"/>
    <n v="138.30199999999999"/>
    <x v="26"/>
    <s v="N2"/>
    <x v="0"/>
    <s v="* Etat H.O :  HO complet entre 223 et 224_x000a_* qualité /niveau de signal : dl rx-qual=1, dl rx level = -71 dbm_x000a_*Requête de déconnexion a été envoyée par le RBC"/>
    <m/>
    <x v="3"/>
    <s v="En attente de pousser les analyses côté RBC"/>
    <s v=" HO complet entre 223 et 224"/>
    <s v="dl Rxqual=1"/>
    <s v="dl rx level= -71"/>
    <s v="OK"/>
    <s v="OK"/>
    <s v="Mauvais"/>
    <s v=" Pas de Retransmission des trames HDLC"/>
    <m/>
    <s v="Noura MOUSSAOUI"/>
    <m/>
    <m/>
    <m/>
    <m/>
    <m/>
    <m/>
    <m/>
  </r>
  <r>
    <n v="785"/>
    <x v="0"/>
    <x v="263"/>
    <d v="1899-12-30T15:04:51"/>
    <n v="2037"/>
    <x v="4"/>
    <x v="0"/>
    <n v="7208"/>
    <m/>
    <s v="Tanger/Casa"/>
    <n v="6.13"/>
    <x v="2"/>
    <s v="N2"/>
    <x v="0"/>
    <s v="* Etat H.O :  HO non finalisé entre 302 et 303_x000a_* qualité /niveau de signal : dl rx-qual=7, dl rx level = -55 dbm_x000a_*Requête de déconnexion a été envoyée par le RBC"/>
    <m/>
    <x v="0"/>
    <s v="En attente de mise en place des tiroires filtrés "/>
    <s v=" HO non finalisé entre 302 et 303"/>
    <s v="dl Rxqual=7"/>
    <s v="dl rx level= -55"/>
    <s v="NOK"/>
    <s v="OK"/>
    <s v="Mauvais"/>
    <s v=" Retransmission des trames HDLC*5"/>
    <m/>
    <s v="Noura MOUSSAOUI"/>
    <m/>
    <m/>
    <m/>
    <m/>
    <m/>
    <m/>
    <m/>
  </r>
  <r>
    <n v="786"/>
    <x v="0"/>
    <x v="263"/>
    <d v="1899-12-30T16:27:35"/>
    <n v="2041"/>
    <x v="11"/>
    <x v="0"/>
    <n v="1048"/>
    <m/>
    <s v="Tanger/Casa"/>
    <n v="109.495"/>
    <x v="1"/>
    <s v="N2"/>
    <x v="0"/>
    <s v="* Etat H.O :  HO non finalisé entre 219 et 220_x000a_* qualité /niveau de signal : dl rx-qual=6, dl rx level = -58 dbm_x000a_*Requête de déconnexion a été envoyée par le RBC"/>
    <m/>
    <x v="2"/>
    <s v="zone sous surveillance par équipe NOC GSMR"/>
    <s v=" HO non finalisé entre 219 et 220"/>
    <s v="dl Rxqual=6"/>
    <s v="dl rx level= -58"/>
    <s v="OK"/>
    <s v="OK"/>
    <s v="Mauvais"/>
    <s v=" Retransmission des trames HDLC*5"/>
    <m/>
    <s v="Fahd OUSSALH"/>
    <m/>
    <m/>
    <m/>
    <m/>
    <m/>
    <m/>
    <m/>
  </r>
  <r>
    <n v="787"/>
    <x v="0"/>
    <x v="263"/>
    <d v="1899-12-30T16:26:26"/>
    <n v="1034"/>
    <x v="2"/>
    <x v="1"/>
    <n v="1034"/>
    <m/>
    <s v="Casa/Tanger"/>
    <n v="7.3209999999999997"/>
    <x v="2"/>
    <s v="N2"/>
    <x v="0"/>
    <s v="* Etat H.O :  HO non finalisé entre 303 et 202_x000a_* qualité /niveau de signal : dl rx-qual=5  dl rx level = -53 dbm_x000a_*Requête de déconnexion a été envoyée par le RBC"/>
    <m/>
    <x v="0"/>
    <s v="En attente de mise en place des tiroires filtrés "/>
    <s v=" HO non finalisé entre 303 et 202"/>
    <s v="dl Rxqual=5"/>
    <s v="dl rx level= -53"/>
    <s v="NOK"/>
    <s v="OK"/>
    <s v="Mauvais"/>
    <s v=" Retransmission des trames HDLC*5"/>
    <m/>
    <s v="Fahd OUSSALH"/>
    <m/>
    <m/>
    <m/>
    <m/>
    <m/>
    <m/>
    <m/>
  </r>
  <r>
    <n v="788"/>
    <x v="0"/>
    <x v="263"/>
    <d v="1899-12-30T21:05:49"/>
    <n v="2061"/>
    <x v="4"/>
    <x v="0"/>
    <n v="7208"/>
    <m/>
    <s v="Tanger/Casa"/>
    <n v="6.13"/>
    <x v="2"/>
    <s v="N2"/>
    <x v="0"/>
    <s v="*Etat H.O : HO non finalisé entre 202 et 203 _x000a_* qualité /niveau de signal : dl rx-qual=7, dl rx level = -51dbm_x000a_*Requête de déconnexion a été envoyée par le RBC"/>
    <m/>
    <x v="0"/>
    <s v="En attente de mise en place des tiroires filtrés "/>
    <s v="HO non finalisé entre 202 et 203 "/>
    <s v="dl Rxqual=7"/>
    <s v="dl rx level= -51"/>
    <s v="NOK"/>
    <s v="OK"/>
    <s v="Mauvais"/>
    <s v=" Retransmission des trames HDLC*5"/>
    <m/>
    <s v="Saad Elhabib"/>
    <m/>
    <m/>
    <m/>
    <m/>
    <m/>
    <m/>
    <m/>
  </r>
  <r>
    <n v="789"/>
    <x v="0"/>
    <x v="264"/>
    <d v="1899-12-30T16:46:49"/>
    <n v="1038"/>
    <x v="2"/>
    <x v="1"/>
    <n v="1035"/>
    <m/>
    <s v="Casa/Tanger"/>
    <n v="94.953999999999994"/>
    <x v="8"/>
    <s v="N2"/>
    <x v="0"/>
    <s v="*Etat H.O : HO finalisé entre 318 et 317 _x000a_* qualité /niveau de signal : dl rx-qual=0, dl rx level = -51 dbm_x000a_*Requête de déconnexion a été envoyée par le RBC"/>
    <m/>
    <x v="0"/>
    <s v="En attente de mise en place des tiroires filtrés "/>
    <s v="HO finalisé entre 318 et 317 "/>
    <s v="dl Rxqual=0"/>
    <s v="dl rx level= -51"/>
    <s v="NOK"/>
    <s v="OK"/>
    <s v="Mauvais"/>
    <s v=" Retransmission des trames HDLC*5"/>
    <m/>
    <s v="Fahd OUSSALH"/>
    <m/>
    <m/>
    <m/>
    <m/>
    <m/>
    <m/>
    <m/>
  </r>
  <r>
    <n v="790"/>
    <x v="0"/>
    <x v="265"/>
    <s v="10:12:30 "/>
    <n v="2017"/>
    <x v="7"/>
    <x v="0"/>
    <n v="1055"/>
    <m/>
    <s v="Tanger/Casa"/>
    <n v="33.960999999999999"/>
    <x v="25"/>
    <s v="N2"/>
    <x v="0"/>
    <s v="*Etat H.O :HO complet entre 206 et 207_x000a_* qualité /niveau de signal : dl rx-qual=0, dl rx level = -48 dbm_x000a_*Requête de déconnexion a été envoyée par le RBC"/>
    <m/>
    <x v="0"/>
    <s v="En attente de mise en place des tiroires filtrés "/>
    <s v="HO complet entre 206 et 207"/>
    <s v="dl Rxqual=0"/>
    <s v="dl rx level= -48"/>
    <s v="OK"/>
    <s v="OK"/>
    <s v="Mauvais"/>
    <s v=" Retransmission des trames HDLC*5"/>
    <m/>
    <s v="Noura MOUSSAOUI"/>
    <m/>
    <m/>
    <m/>
    <m/>
    <m/>
    <m/>
    <m/>
  </r>
  <r>
    <n v="791"/>
    <x v="0"/>
    <x v="265"/>
    <s v="10:38:52 "/>
    <n v="2017"/>
    <x v="7"/>
    <x v="0"/>
    <n v="1054"/>
    <m/>
    <s v="Tanger/Casa"/>
    <n v="161.72200000000001"/>
    <x v="9"/>
    <s v="N2"/>
    <x v="1"/>
    <s v="*Etat H.O :HO complet entre 327 et 228_x000a_* qualité /niveau de signal : dl rx-qual=0, dl rx level = -48 dbm_x000a_*Requête de déconnexion a été envoyée par le RBC"/>
    <m/>
    <x v="0"/>
    <s v="En attente de mise en place des tiroires filtrés "/>
    <s v="HO complet entre 327 et 228"/>
    <s v="dl Rxqual=0"/>
    <s v="dl rx level= -48"/>
    <s v="OK"/>
    <s v="OK"/>
    <s v="Mauvais"/>
    <s v=" Retransmission des trames HDLC*5"/>
    <m/>
    <s v="Noura MOUSSAOUI"/>
    <m/>
    <m/>
    <m/>
    <m/>
    <m/>
    <m/>
    <m/>
  </r>
  <r>
    <n v="792"/>
    <x v="0"/>
    <x v="265"/>
    <d v="1899-12-30T10:44:39"/>
    <n v="1012"/>
    <x v="8"/>
    <x v="1"/>
    <n v="1055"/>
    <m/>
    <s v="Casa/Tanger"/>
    <s v=" 118,562"/>
    <x v="17"/>
    <s v="N2"/>
    <x v="0"/>
    <s v="*Etat H.O :HO non finalisé entre 321 et 320_x000a_* qualité /niveau de signal : dl rx-qual=0, dl rx level = -69 dbm_x000a_*Requête de déconnexion a été envoyée par le RBC"/>
    <m/>
    <x v="0"/>
    <s v="En attente de mise en place des tiroires filtrés "/>
    <s v=" HO non finalisé entre 321 et 320"/>
    <s v="dl Rxqual=0"/>
    <s v="dl rx level= -69"/>
    <s v="NOK"/>
    <s v="OK"/>
    <s v="Mauvais"/>
    <s v=" Retransmission des trames HDLC*5"/>
    <m/>
    <s v="Noura MOUSSAOUI"/>
    <m/>
    <m/>
    <m/>
    <m/>
    <m/>
    <m/>
    <m/>
  </r>
  <r>
    <n v="793"/>
    <x v="0"/>
    <x v="265"/>
    <s v="15:05:05 "/>
    <n v="2037"/>
    <x v="13"/>
    <x v="0"/>
    <n v="1029"/>
    <m/>
    <s v="Tanger/Casa"/>
    <n v="6.13"/>
    <x v="2"/>
    <s v="N2"/>
    <x v="0"/>
    <s v="*Etat H.O :non finalisé entre 202 et 303_x000a_* qualité /niveau de signal : dl rx-qual=0, dl rx level = -73 dbm_x000a_*Requête de déconnexion a été envoyée par le RBC"/>
    <m/>
    <x v="0"/>
    <s v="En attente de mise en place des tiroires filtrés "/>
    <s v="HO non finalisé entre 202 et 303"/>
    <s v="dl Rxqual=2"/>
    <s v="dl rx level= -73"/>
    <s v="NOK"/>
    <s v="OK"/>
    <s v="Mauvais"/>
    <s v=" Retransmission des trames HDLC*5"/>
    <m/>
    <s v="Fahd OUSSALH"/>
    <m/>
    <m/>
    <m/>
    <m/>
    <m/>
    <m/>
    <m/>
  </r>
  <r>
    <n v="794"/>
    <x v="0"/>
    <x v="265"/>
    <d v="1899-12-30T17:04:59"/>
    <n v="2045"/>
    <x v="5"/>
    <x v="0"/>
    <n v="1025"/>
    <m/>
    <s v="Tanger/Casa"/>
    <n v="6.13"/>
    <x v="2"/>
    <s v="N2"/>
    <x v="0"/>
    <s v="*Etat H.O :non finalisé entre 202 et 203_x000a_* qualité /niveau de signal : dl rx-qual=0, dl rx level = -65 dbm_x000a_*Requête de déconnexion a été envoyée par le RBC"/>
    <m/>
    <x v="0"/>
    <s v="En attente de mise en place des tiroires filtrés "/>
    <s v="HO finalisé entre 202 et 303"/>
    <s v="dl Rxqual=2"/>
    <s v="dl rx level= -65"/>
    <s v="NOK"/>
    <s v="OK"/>
    <s v="Mauvais"/>
    <s v=" Retransmission des trames HDLC*5"/>
    <m/>
    <s v="Fahd OUSSALH"/>
    <m/>
    <m/>
    <m/>
    <m/>
    <m/>
    <m/>
    <m/>
  </r>
  <r>
    <n v="795"/>
    <x v="0"/>
    <x v="266"/>
    <d v="1899-12-30T13:04:42"/>
    <n v="1021"/>
    <x v="11"/>
    <x v="1"/>
    <n v="1072"/>
    <m/>
    <s v="Casa/Tanger"/>
    <n v="7.3209999999999997"/>
    <x v="2"/>
    <s v="N2"/>
    <x v="0"/>
    <s v="*Etat H.O :finalisé entre 303 et 302_x000a_* qualité /niveau de signal : dl rx-qual=5, dl rx level = -55 dbm_x000a_*Requête de déconnexion a été envoyée par le RBC"/>
    <m/>
    <x v="0"/>
    <s v="En attente de mise en place des tiroires filtrés "/>
    <s v="HO finalisé entre 303 et 302"/>
    <s v="dl Rxqual=5"/>
    <s v="dl rx level= -55"/>
    <s v="NOK"/>
    <s v="OK"/>
    <s v="Mauvais"/>
    <s v=" Retransmission des trames HDLC*5"/>
    <m/>
    <s v="ELGUEZZAR Anas"/>
    <m/>
    <m/>
    <m/>
    <m/>
    <m/>
    <m/>
    <m/>
  </r>
  <r>
    <n v="796"/>
    <x v="0"/>
    <x v="266"/>
    <d v="1899-12-30T18:26:18"/>
    <n v="1046"/>
    <x v="11"/>
    <x v="1"/>
    <n v="1072"/>
    <m/>
    <s v="Casa/Tanger"/>
    <n v="188.05600000000001"/>
    <x v="5"/>
    <s v="N2"/>
    <x v="0"/>
    <s v="*Etat H.O :finalisé entre 234 et 233_x000a_* qualité /niveau de signal : dl rx-qual=2, dl rx level = -55 dbm_x000a_*Requête de déconnexion a été envoyée par le RBC"/>
    <m/>
    <x v="0"/>
    <s v="En attente de mise en place des tiroires filtrés "/>
    <s v="HO finalisé entre 234 et 233"/>
    <s v="dl Rxqual=2"/>
    <s v="dl rx level= -55"/>
    <s v="OK"/>
    <s v="OK"/>
    <s v="Mauvais"/>
    <s v=" Retransmission des trames HDLC*5"/>
    <m/>
    <s v="HARIRI Bahaeddine"/>
    <m/>
    <m/>
    <m/>
    <m/>
    <m/>
    <m/>
    <m/>
  </r>
  <r>
    <n v="797"/>
    <x v="0"/>
    <x v="266"/>
    <d v="1899-12-30T21:05:36"/>
    <n v="2061"/>
    <x v="6"/>
    <x v="0"/>
    <n v="1056"/>
    <m/>
    <s v="Tanger/Casa"/>
    <n v="6.13"/>
    <x v="2"/>
    <s v="N2"/>
    <x v="1"/>
    <s v="*HO non finalisé entre 202 et 303_x000a_* qualité /niveau de signal : dl rx-qual=7, dl rx level = -85dbm_x000a_*Requête de déconnexion a été envoyée par le BORD"/>
    <m/>
    <x v="0"/>
    <s v="En attente de mise en place des tiroires filtrés "/>
    <s v="HO non finalisé entre 202 et 303"/>
    <s v="dl Rxqual=7"/>
    <s v="dl rx level= -85"/>
    <s v="NOK"/>
    <s v="OK"/>
    <s v="Mauvais"/>
    <s v=" Retransmission des trames HDLC*5"/>
    <m/>
    <s v="Saad Elhabib"/>
    <m/>
    <m/>
    <m/>
    <m/>
    <m/>
    <m/>
    <m/>
  </r>
  <r>
    <n v="798"/>
    <x v="0"/>
    <x v="266"/>
    <d v="1899-12-30T22:45:48"/>
    <n v="1062"/>
    <x v="8"/>
    <x v="1"/>
    <n v="1031"/>
    <m/>
    <s v="Casa/Tanger"/>
    <n v="94.953999999999994"/>
    <x v="8"/>
    <s v="N2"/>
    <x v="0"/>
    <s v="*Etat H.O :  HO non finalisé entre 318 et 317_x000a_* qualité /niveau de signal : dl rx-qual=7, dl rx level = -83dbm_x000a_*Requête de déconnexion a été envoyée par le RBC"/>
    <m/>
    <x v="0"/>
    <s v="En attente de mise en place des tiroires filtrés "/>
    <s v="HO non finalisé entre 318 et 317"/>
    <s v="dl Rxqual=7"/>
    <s v="dl rx level= -83"/>
    <s v="OK"/>
    <s v="OK"/>
    <s v="Mauvais"/>
    <s v=" Retransmission des trames HDLC*5"/>
    <m/>
    <s v="Saad Elhabib"/>
    <m/>
    <m/>
    <m/>
    <m/>
    <m/>
    <m/>
    <m/>
  </r>
  <r>
    <n v="799"/>
    <x v="0"/>
    <x v="267"/>
    <s v=" 11:04:45 "/>
    <n v="1013"/>
    <x v="10"/>
    <x v="1"/>
    <n v="1061"/>
    <m/>
    <s v="Casa/Tanger"/>
    <s v=" 7,381"/>
    <x v="2"/>
    <s v="N2"/>
    <x v="0"/>
    <s v="*Etat H.O : HO complet entre 303 et 202_x000a_* qualité /niveau de signal : dl rx-qual=2, dl rx level = -56dbm_x000a_*Requête de déconnexion a été envoyée par le RBC"/>
    <m/>
    <x v="0"/>
    <s v="En attente de mise en place des tiroires filtrés "/>
    <s v="HO complet entre 303 et 202"/>
    <s v="dl Rxqual=2"/>
    <s v="dl rx level= -56"/>
    <s v="OK"/>
    <s v="OK"/>
    <s v="Mauvais"/>
    <s v=" Retransmission des trames HDLC*5"/>
    <m/>
    <s v="Noura MOUSSAOUI"/>
    <m/>
    <m/>
    <m/>
    <m/>
    <m/>
    <m/>
    <m/>
  </r>
  <r>
    <n v="800"/>
    <x v="0"/>
    <x v="267"/>
    <s v=" 20:13:14 "/>
    <n v="2057"/>
    <x v="0"/>
    <x v="0"/>
    <n v="1036"/>
    <m/>
    <s v="Tanger/Casa"/>
    <n v="33.960999999999999"/>
    <x v="25"/>
    <s v="N2"/>
    <x v="0"/>
    <s v="*Etat H.O : HO complet entre 206 et 207_x000a_* qualité /niveau de signal : dl rx-qual=0, dl rx level = -48dbm_x000a_*Requête de déconnexion a été envoyée par le RBC"/>
    <m/>
    <x v="0"/>
    <s v="En attente de mise en place des tiroires filtrés "/>
    <s v="HO complet entre 206 et 207"/>
    <s v="dl Rxqual=0"/>
    <s v="dl rx level= -48"/>
    <s v="OK"/>
    <s v="OK"/>
    <s v="Mauvais"/>
    <s v=" Retransmission des trames HDLC*5"/>
    <m/>
    <s v="HARIRI Bahaeddine"/>
    <m/>
    <m/>
    <m/>
    <m/>
    <m/>
    <m/>
    <m/>
  </r>
  <r>
    <n v="801"/>
    <x v="0"/>
    <x v="267"/>
    <d v="1899-12-30T23:13:40"/>
    <n v="1061"/>
    <x v="10"/>
    <x v="1"/>
    <n v="1060"/>
    <m/>
    <s v="Tanger/Casa"/>
    <n v="5.73"/>
    <x v="2"/>
    <s v="N2"/>
    <x v="0"/>
    <s v="* Etat H.O : HO Non finalisé entre 202 et 203_x000a_* qualité /niveau de signal : dl rx-qual=6, dl rx level = -51 dbm_x000a_*Requête de déconnexion a été envoyée par le RBC"/>
    <m/>
    <x v="0"/>
    <s v="En attente de mise en place des tiroires filtrés "/>
    <s v="HO Non finalisé entre 202 et 203"/>
    <s v="dl Rxqual=6"/>
    <s v="dl rx level= -51"/>
    <s v="NOK"/>
    <s v="NOK"/>
    <s v="Mauvais"/>
    <s v=" Retransmission des trames HDLC*5"/>
    <m/>
    <s v="Saad Elhabib"/>
    <m/>
    <m/>
    <m/>
    <m/>
    <m/>
    <m/>
    <m/>
  </r>
  <r>
    <n v="802"/>
    <x v="0"/>
    <x v="268"/>
    <d v="1899-12-30T09:05:28"/>
    <n v="2013"/>
    <x v="8"/>
    <x v="0"/>
    <n v="1042"/>
    <m/>
    <s v="Tanger/Casa"/>
    <n v="6.13"/>
    <x v="2"/>
    <s v="N2"/>
    <x v="0"/>
    <s v="* Etat H.O : HO Non finalisé entre 201 et 302_x000a_* qualité /niveau de signal : dl rx-qual=7, dl rx level = -55 dbm_x000a_*Requête de déconnexion a été envoyée par le RBC"/>
    <m/>
    <x v="0"/>
    <s v="En attente de mise en place des tiroires filtrés "/>
    <s v="HO Non finalisé entre 201 et 302"/>
    <s v="dl Rxqual=7"/>
    <s v="dl rx level= -55"/>
    <s v="NOK"/>
    <s v="OK"/>
    <s v="Mauvais"/>
    <s v=" Retransmission des trames HDLC*5"/>
    <m/>
    <s v="Fahd OUSSALH"/>
    <m/>
    <m/>
    <m/>
    <m/>
    <m/>
    <m/>
    <m/>
  </r>
  <r>
    <n v="803"/>
    <x v="0"/>
    <x v="268"/>
    <d v="1899-12-30T10:13:28"/>
    <n v="2013"/>
    <x v="4"/>
    <x v="1"/>
    <n v="1032"/>
    <m/>
    <s v="Casa/Tanger"/>
    <n v="76.968000000000004"/>
    <x v="11"/>
    <s v="N2"/>
    <x v="0"/>
    <s v="* Etat H.O : HO  finalisé entre 315 et 314_x000a_* qualité /niveau de signal : dl rx-qual=0, dl rx level = -48 dbm_x000a_*Requête de déconnexion a été envoyée par le RBC"/>
    <m/>
    <x v="0"/>
    <s v="En attente de mise en place des tiroires filtrés "/>
    <s v="HO finalisé entre 315 et 314"/>
    <s v="dl Rxqual=0"/>
    <s v="dl rx level= -48"/>
    <s v="OK"/>
    <s v="OK"/>
    <s v="Mauvais"/>
    <s v=" Retransmission des trames HDLC*5"/>
    <m/>
    <s v="Fahd OUSSALH"/>
    <m/>
    <m/>
    <m/>
    <m/>
    <m/>
    <m/>
    <m/>
  </r>
  <r>
    <n v="804"/>
    <x v="0"/>
    <x v="268"/>
    <d v="1899-12-30T18:04:54"/>
    <n v="2049"/>
    <x v="5"/>
    <x v="0"/>
    <n v="1025"/>
    <m/>
    <s v="Tanger/Casa"/>
    <n v="6.13"/>
    <x v="2"/>
    <s v="N2"/>
    <x v="0"/>
    <s v="* Etat H.O : HO complète entre 303 et 202 avec downlink quality_x000a_* qualité /niveau de signal : dl rx-qual=7, dl rx level = -64 dbm_x000a_*Requête de déconnexion a été envoyée par le RBC"/>
    <m/>
    <x v="0"/>
    <s v="En attente de mise en place des tiroires filtrés "/>
    <s v="HO finalisé entre 303 et 302"/>
    <s v="dl Rxqual=7"/>
    <s v="dl rx level= -64"/>
    <s v="OK"/>
    <s v="OK"/>
    <s v="Mauvais"/>
    <s v=" Retransmission des trames HDLC*5"/>
    <m/>
    <s v="HARIRI Bahaeddine"/>
    <m/>
    <m/>
    <m/>
    <m/>
    <m/>
    <m/>
    <m/>
  </r>
  <r>
    <n v="805"/>
    <x v="0"/>
    <x v="268"/>
    <d v="1899-12-30T19:05:11"/>
    <n v="1046"/>
    <x v="10"/>
    <x v="1"/>
    <n v="1025"/>
    <m/>
    <s v="Casa/Tanger"/>
    <n v="5.73"/>
    <x v="2"/>
    <s v="N2"/>
    <x v="0"/>
    <s v="* Etat H.O : HO non finalisé entre 303 et 202 _x000a_* qualité /niveau de signal : dl rx-qual=7, dl rx level = -51 dbm_x000a_*Requête de déconnexion a été envoyée par le RBC"/>
    <m/>
    <x v="0"/>
    <s v="En attente de mise en place des tiroires filtrés "/>
    <s v="HO Non finalisé entre 303 et 202"/>
    <s v="dl Rxqual=7"/>
    <s v="dl rx level= -51"/>
    <s v="OK"/>
    <s v="OK"/>
    <s v="Mauvais"/>
    <s v=" Retransmission des trames HDLC*5"/>
    <m/>
    <s v="HARIRI Bahaeddine"/>
    <m/>
    <m/>
    <m/>
    <m/>
    <m/>
    <m/>
    <m/>
  </r>
  <r>
    <n v="806"/>
    <x v="0"/>
    <x v="268"/>
    <d v="1899-12-30T20:24:43"/>
    <n v="1053"/>
    <x v="3"/>
    <x v="1"/>
    <n v="1008"/>
    <m/>
    <s v="Casa/Tanger"/>
    <n v="198.98400000000001"/>
    <x v="5"/>
    <s v="N2"/>
    <x v="1"/>
    <s v="_x000a_* qualité /niveau de signal : dl rx-qual=0, dl rx level = -54 dbm_x000a_*Requête de déconnexion a été envoyée par le bord"/>
    <m/>
    <x v="3"/>
    <s v="En attente de pousser les analyses côté RBC"/>
    <m/>
    <s v="dl Rxqual=0"/>
    <s v="dl rx level= -54"/>
    <s v="OK"/>
    <s v="OK"/>
    <s v="Mauvais"/>
    <s v=" Pas de Retransmission des trames HDLC"/>
    <m/>
    <s v="ELHAJOUIA Achraf"/>
    <m/>
    <m/>
    <m/>
    <m/>
    <m/>
    <m/>
    <m/>
  </r>
  <r>
    <n v="807"/>
    <x v="0"/>
    <x v="269"/>
    <d v="1899-12-30T13:50:40"/>
    <n v="1025"/>
    <x v="6"/>
    <x v="1"/>
    <n v="1023"/>
    <m/>
    <s v="Casa/Tanger"/>
    <n v="75.84"/>
    <x v="13"/>
    <s v="N2"/>
    <x v="0"/>
    <s v="&quot;* Etat H.O : HO complet entre 315 et 314_x000a_* qualité /niveau de signal : dl rx-qual=3, dl rx level = -67 dbm_x000a_*Requête de déconnexion a été envoyée par le RBC&quot;"/>
    <m/>
    <x v="0"/>
    <s v="En attente de mise en place des tiroires filtrés "/>
    <s v="HO complet entre 315 et 314"/>
    <s v="dl Rxqual=3"/>
    <s v="dl rx level= -67"/>
    <s v="OK"/>
    <s v="OK"/>
    <s v="Mauvais"/>
    <s v=" Retransmission des trames HDLC*5"/>
    <m/>
    <s v="Noura MOUSSAOUI"/>
    <m/>
    <m/>
    <m/>
    <m/>
    <m/>
    <m/>
    <m/>
  </r>
  <r>
    <n v="808"/>
    <x v="0"/>
    <x v="269"/>
    <d v="1899-12-30T16:11:33"/>
    <n v="2041"/>
    <x v="5"/>
    <x v="0"/>
    <n v="1025"/>
    <m/>
    <s v="Casa/Tanger"/>
    <n v="25.91"/>
    <x v="7"/>
    <s v="N2"/>
    <x v="0"/>
    <s v="&quot;* Etat H.O : HO non finalisé entre 304 et 205_x000a_* qualité /niveau de signal : dl rx-qual=1, dl rx level = -73 dbm_x000a_*Requête de déconnexion a été envoyée par le RBC&quot;"/>
    <m/>
    <x v="0"/>
    <s v="En attente de mise en place des tiroires filtrés "/>
    <s v="HO Non finalisé entre 304 et 205"/>
    <s v="dl Rxqual=1"/>
    <s v="dl rx level= -73"/>
    <s v="OK"/>
    <s v="OK"/>
    <s v="Mauvais"/>
    <s v=" Retransmission des trames HDLC*5"/>
    <m/>
    <s v="Fahd OUSSALH"/>
    <m/>
    <m/>
    <m/>
    <m/>
    <m/>
    <m/>
    <m/>
  </r>
  <r>
    <n v="809"/>
    <x v="0"/>
    <x v="269"/>
    <d v="1899-12-30T18:35:30"/>
    <n v="2049"/>
    <x v="0"/>
    <x v="0"/>
    <n v="1037"/>
    <m/>
    <s v="Tanger/Casa"/>
    <n v="145.6"/>
    <x v="3"/>
    <s v="N2"/>
    <x v="0"/>
    <s v="&quot;* Etat H.O : HO finalisé entre 224 et 225_x000a_* qualité /niveau de signal : dl rx-qual=3, dl rx level = -75 dbm_x000a_*Requête de déconnexion a été envoyée par le RBC&quot;"/>
    <m/>
    <x v="0"/>
    <s v="En attente de mise en place des tiroires filtrés "/>
    <s v="HO finalisé entre 224 et 225"/>
    <s v="dl Rxqual=3"/>
    <s v="dl rx level= -75"/>
    <s v="OK"/>
    <s v="OK"/>
    <s v="Mauvais"/>
    <s v=" Retransmission des trames HDLC*5"/>
    <m/>
    <s v="Fahd OUSSALH"/>
    <m/>
    <m/>
    <m/>
    <m/>
    <m/>
    <m/>
    <m/>
  </r>
  <r>
    <n v="810"/>
    <x v="0"/>
    <x v="269"/>
    <d v="1899-12-30T18:44:15"/>
    <n v="1046"/>
    <x v="4"/>
    <x v="0"/>
    <n v="1033"/>
    <m/>
    <s v="Casa/Tanger"/>
    <n v="131.78899999999999"/>
    <x v="10"/>
    <s v="N2"/>
    <x v="0"/>
    <s v="&quot;* Etat H.O : HO finalisé entre 324 et 323_x000a_* qualité /niveau de signal : dl rx-qual=2, dl rx level = -48 dbm_x000a_*Requête de déconnexion a été envoyée par le RBC&quot;"/>
    <m/>
    <x v="0"/>
    <s v="En attente de mise en place des tiroires filtrés "/>
    <s v="HO finalisé entre 324 et 323"/>
    <s v="dl Rxqual=2"/>
    <s v="dl rx level= -48"/>
    <s v="OK"/>
    <s v="OK"/>
    <s v="Mauvais"/>
    <s v=" Retransmission des trames HDLC*5"/>
    <m/>
    <s v="Fahd OUSSALH"/>
    <m/>
    <m/>
    <m/>
    <m/>
    <m/>
    <m/>
    <m/>
  </r>
  <r>
    <n v="811"/>
    <x v="0"/>
    <x v="270"/>
    <d v="1899-12-30T06:19:12"/>
    <n v="2001"/>
    <x v="0"/>
    <x v="0"/>
    <n v="1037"/>
    <m/>
    <s v="Tanger/Casa"/>
    <n v="65.513999999999996"/>
    <x v="21"/>
    <s v="N2"/>
    <x v="0"/>
    <s v="&quot;* Etat H.O : HO complet entre 211 et 212_x000a_* qualité /niveau de signal : dl rx-qual=0, dl rx level = -48 dbm_x000a_*Requête de déconnexion a été envoyée par le RBC&quot;"/>
    <m/>
    <x v="0"/>
    <s v="En attente de mise en place des tiroires filtrés "/>
    <s v="HO complet entre 211 et 212"/>
    <s v="dl Rxqual=0"/>
    <s v="dl rx level= -48"/>
    <s v="OK"/>
    <s v="OK"/>
    <s v="Mauvais"/>
    <s v=" Retransmission des trames HDLC*5"/>
    <m/>
    <s v="ELHAJOUIA Achraf"/>
    <m/>
    <m/>
    <m/>
    <m/>
    <m/>
    <m/>
    <m/>
  </r>
  <r>
    <n v="812"/>
    <x v="0"/>
    <x v="270"/>
    <d v="1899-12-30T14:31:35"/>
    <n v="2033"/>
    <x v="3"/>
    <x v="0"/>
    <n v="1047"/>
    <m/>
    <s v="Tanger/Casa"/>
    <n v="123.901"/>
    <x v="30"/>
    <s v="N2"/>
    <x v="0"/>
    <s v="&quot;* Etat H.O : HO complet entre 221 et 222_x000a_* qualité /niveau de signal : dl rx-qual=1, dl rx level = -48 dbm_x000a_*Requête de déconnexion a été envoyée par le RBC"/>
    <m/>
    <x v="0"/>
    <s v="En attente de mise en place des tiroires filtrés "/>
    <s v="HO complet entre 221 et 222"/>
    <s v="dl Rxqual=1"/>
    <s v="dl rx level= -48"/>
    <s v="OK"/>
    <s v="OK"/>
    <s v="Mauvais"/>
    <s v=" Retransmission des trames HDLC*5"/>
    <m/>
    <s v="ELGUEZZAR Anas"/>
    <m/>
    <m/>
    <m/>
    <m/>
    <m/>
    <m/>
    <m/>
  </r>
  <r>
    <n v="813"/>
    <x v="0"/>
    <x v="270"/>
    <d v="1899-12-30T17:05:36"/>
    <n v="1037"/>
    <x v="0"/>
    <x v="1"/>
    <n v="1044"/>
    <m/>
    <s v="Casa/Tanger"/>
    <n v="7.3209999999999997"/>
    <x v="2"/>
    <s v="N2"/>
    <x v="0"/>
    <s v="* Etat H.O : HO non finalisé entre 202 et 303_x000a_* qualité /niveau de signal : dl rx-qual=7, dl rx level = -56 dbm_x000a_*Requête de déconnexion a été envoyée par le RBC"/>
    <m/>
    <x v="0"/>
    <s v="En attente de mise en place des tiroires filtrés "/>
    <s v="HO non finalisé entre 202 et 303"/>
    <s v="dl Rxqual=7"/>
    <s v="dl rx level= -56"/>
    <s v="NOK"/>
    <s v="OK"/>
    <s v="Mauvais"/>
    <s v=" Retransmission des trames HDLC*5"/>
    <m/>
    <s v="Saad Elhabib"/>
    <m/>
    <m/>
    <m/>
    <m/>
    <m/>
    <m/>
    <m/>
  </r>
  <r>
    <n v="814"/>
    <x v="0"/>
    <x v="270"/>
    <d v="1899-12-30T17:35:43"/>
    <n v="2045"/>
    <x v="6"/>
    <x v="0"/>
    <n v="1057"/>
    <m/>
    <s v="Tanger/Casa"/>
    <n v="140.65899999999999"/>
    <x v="26"/>
    <s v="N2"/>
    <x v="1"/>
    <s v="* Etat H.O : HO  finalisé entre 224 et 225_x000a_* qualité /niveau de signal : dl rx-qual=0, dl rx level = -61 dbm_x000a_*Requête de déconnexion a été envoyée par le RBC"/>
    <m/>
    <x v="3"/>
    <s v="En attente de pousser les analyses côté RBC"/>
    <s v="HO  finalisé entre 224 et 225"/>
    <s v="dl Rxqual=0"/>
    <s v="dl rx level= -61"/>
    <s v="OK"/>
    <s v="OK"/>
    <s v="Mauvais"/>
    <s v=" Pas de Retransmission des trames HDLC"/>
    <m/>
    <s v="Saad Elhabib"/>
    <m/>
    <m/>
    <m/>
    <m/>
    <m/>
    <m/>
    <m/>
  </r>
  <r>
    <n v="815"/>
    <x v="0"/>
    <x v="271"/>
    <d v="1899-12-30T06:08:57"/>
    <n v="1081"/>
    <x v="1"/>
    <x v="1"/>
    <n v="3063"/>
    <m/>
    <s v="Casa/Tanger"/>
    <n v="154.82400000000001"/>
    <x v="18"/>
    <s v="N2"/>
    <x v="0"/>
    <s v="&quot;* Etat H.O : HO complet entre 328 et 327_x000a_* qualité /niveau de signal : dl rx-qual=0, dl rx level = -60 dbm_x000a_*Requête de déconnexion a été envoyée par le RBC&quot;"/>
    <m/>
    <x v="0"/>
    <s v="En attente de mise en place des tiroires filtrés "/>
    <s v="HO complet entre 328 et 327"/>
    <s v="dl Rxqual=0"/>
    <s v="dl rx level= -60"/>
    <s v="OK"/>
    <s v="OK"/>
    <s v="Mauvais"/>
    <s v=" Retransmission des trames HDLC*5"/>
    <m/>
    <s v="ELHAJOUIA Achraf"/>
    <m/>
    <m/>
    <m/>
    <m/>
    <m/>
    <m/>
    <m/>
  </r>
  <r>
    <n v="816"/>
    <x v="0"/>
    <x v="271"/>
    <d v="1899-12-30T14:05:27"/>
    <n v="2033"/>
    <x v="1"/>
    <x v="0"/>
    <n v="3064"/>
    <m/>
    <s v="Tanger/Casa"/>
    <n v="6.13"/>
    <x v="2"/>
    <s v="N2"/>
    <x v="0"/>
    <s v="&quot;* Etat H.O :HO complet entre 202 et 303_x000a_* qualité /niveau de signal : dl rx-qual=3, dl rx level = -71dbm_x000a_*Requête de déconnexion a été envoyée par le RBC&quot;"/>
    <m/>
    <x v="0"/>
    <s v="En attente de mise en place des tiroires filtrés "/>
    <s v="HO complet entre 202 et 303"/>
    <s v="dl Rxqual=3"/>
    <s v="dl rx level= -71"/>
    <s v="OK"/>
    <s v="OK"/>
    <s v="Mauvais"/>
    <s v=" Retransmission des trames HDLC*5"/>
    <m/>
    <s v="Noura MOUSSAOUI"/>
    <m/>
    <m/>
    <m/>
    <m/>
    <m/>
    <m/>
    <m/>
  </r>
  <r>
    <n v="817"/>
    <x v="0"/>
    <x v="272"/>
    <s v=" 11:35:19"/>
    <n v="2021"/>
    <x v="10"/>
    <x v="0"/>
    <n v="7198"/>
    <m/>
    <s v="Tanger/Casa"/>
    <n v="144.32599999999999"/>
    <x v="3"/>
    <s v="N2"/>
    <x v="0"/>
    <s v="&quot;* Etat H.O :HO complet entre 224 et 225_x000a_* qualité /niveau de signal : dl rx-qual=0, dl rx level = -60dbm_x000a_*Requête de déconnexion a été envoyée par le RBC&quot;"/>
    <m/>
    <x v="3"/>
    <s v="En attente de pousser les analyses côté RBC"/>
    <s v="HO complet entre 224 et 225"/>
    <s v="dl Rxqual=0"/>
    <s v="dl rx level= -60"/>
    <s v="OK"/>
    <s v="OK"/>
    <s v="Mauvais"/>
    <s v=" Pas de Retransmission des trames HDLC"/>
    <m/>
    <s v="Noura MOUSSAOUI"/>
    <m/>
    <m/>
    <m/>
    <m/>
    <m/>
    <m/>
    <m/>
  </r>
  <r>
    <n v="818"/>
    <x v="0"/>
    <x v="272"/>
    <d v="1899-12-30T16:05:22"/>
    <n v="2041"/>
    <x v="6"/>
    <x v="0"/>
    <n v="1057"/>
    <m/>
    <s v="Tanger/Casa"/>
    <n v="6.13"/>
    <x v="2"/>
    <s v="N2"/>
    <x v="0"/>
    <s v="* Etat H.O : HO complet entre 202 et 303 (Avec Downlink quality )_x000a_* qualité /niveau de signal : dl rx-qual=6, dl rx level = -65dbm_x000a_*Requête de déconnexion a été envoyée par le RBC&quot;"/>
    <m/>
    <x v="0"/>
    <s v="En attente de mise en place des tiroires filtrés "/>
    <s v="HO complet entre 202 et 303"/>
    <s v="dl Rxqual=6"/>
    <s v="dl rx level= -65"/>
    <s v="OK"/>
    <s v="OK"/>
    <s v="Mauvais"/>
    <s v=" Retransmission des trames HDLC*5"/>
    <m/>
    <s v="Saad Elhabib"/>
    <m/>
    <m/>
    <m/>
    <m/>
    <m/>
    <m/>
    <m/>
  </r>
  <r>
    <n v="819"/>
    <x v="0"/>
    <x v="272"/>
    <d v="1899-12-30T18:57:39"/>
    <n v="1045"/>
    <x v="11"/>
    <x v="1"/>
    <n v="1020"/>
    <m/>
    <s v="Casa/Tanger"/>
    <n v="35.259"/>
    <x v="32"/>
    <s v="N2"/>
    <x v="0"/>
    <s v="* Etat H.O : HO complet entre 308 et 307 _x000a_* qualité /niveau de signal : dl rx-qual=0, dl rx level = -48dbm_x000a_*Requête de déconnexion a été envoyée par le RBC&quot;"/>
    <m/>
    <x v="0"/>
    <s v="En attente de mise en place des tiroires filtrés "/>
    <s v="HO complet entre 308 et 307 "/>
    <s v="dl Rxqual=0"/>
    <s v="dl rx level= -48"/>
    <s v="OK"/>
    <s v="OK"/>
    <s v="Mauvais"/>
    <s v=" Retransmission des trames HDLC*5"/>
    <m/>
    <s v="Saad Elhabib"/>
    <m/>
    <m/>
    <m/>
    <m/>
    <m/>
    <m/>
    <m/>
  </r>
  <r>
    <n v="820"/>
    <x v="0"/>
    <x v="272"/>
    <d v="1899-12-30T21:35:14"/>
    <n v="2061"/>
    <x v="8"/>
    <x v="0"/>
    <n v="1043"/>
    <m/>
    <s v="Tanger/Casa"/>
    <n v="144.32599999999999"/>
    <x v="3"/>
    <s v="N2"/>
    <x v="1"/>
    <s v="* Etat H.O : HO complet entre 224 et 225_x000a_* qualité /niveau de signal : dl rx-qual=0, dl rx level = -70dbm_x000a_*Requête de déconnexion a été envoyée par le RBC&quot;"/>
    <m/>
    <x v="1"/>
    <s v="En attente de pousser les analyses côté RBC"/>
    <s v="HO complet entre 224 et 225 "/>
    <s v="dl Rxqual=0"/>
    <s v="dl rx level= -70"/>
    <s v="OK"/>
    <s v="OK"/>
    <s v="Mauvais"/>
    <s v=" Pas Retransmission des trames HDLC*5"/>
    <m/>
    <s v="Fahd OUSSALH"/>
    <m/>
    <m/>
    <m/>
    <m/>
    <m/>
    <m/>
    <m/>
  </r>
  <r>
    <n v="821"/>
    <x v="0"/>
    <x v="272"/>
    <d v="1899-12-30T21:48:17"/>
    <n v="2061"/>
    <x v="8"/>
    <x v="0"/>
    <n v="1042"/>
    <m/>
    <s v="Tanger/Casa"/>
    <n v="152.548"/>
    <x v="18"/>
    <s v="N2"/>
    <x v="0"/>
    <s v="* Etat H.O : HO complet entre 226 et 327_x000a_* qualité /niveau de signal : dl rx-qual=7, dl rx level = -67dbm_x000a_*Requête de déconnexion a été envoyée par le RBC&quot;"/>
    <m/>
    <x v="2"/>
    <s v="zone sous surveillance par équipe NOC GSMR"/>
    <s v="HO complet entre 226 et 327 "/>
    <s v="dl Rxqual=7"/>
    <s v="dl rx level= -67"/>
    <s v="OK"/>
    <s v="OK"/>
    <s v="Mauvais"/>
    <s v="retransmission des trames HDLC*5"/>
    <m/>
    <s v="Fahd OUSSALH"/>
    <m/>
    <m/>
    <m/>
    <m/>
    <m/>
    <m/>
    <m/>
  </r>
  <r>
    <n v="822"/>
    <x v="0"/>
    <x v="273"/>
    <d v="1899-12-30T14:19:29"/>
    <n v="2033"/>
    <x v="7"/>
    <x v="0"/>
    <n v="1043"/>
    <m/>
    <s v="Tanger/Casa"/>
    <n v="60.945"/>
    <x v="21"/>
    <s v="N2"/>
    <x v="0"/>
    <s v="* Etat H.O : HO complet entre 210 et 211_x000a_* qualité /niveau de signal : dl rx-qual=0, dl rx level = -56dbm_x000a_*Requête de déconnexion a été envoyée par le RBC&quot;"/>
    <m/>
    <x v="0"/>
    <s v="En attente de mise en place des tiroires filtrés "/>
    <s v=" HO complet entre 210 et 211"/>
    <s v="dl Rxqual=0"/>
    <s v="dl rx level= -56"/>
    <s v="OK"/>
    <s v="OK"/>
    <s v="Mauvais"/>
    <s v="retransmission des trames HDLC*5"/>
    <m/>
    <s v="Noura MOUSSAOUI"/>
    <m/>
    <m/>
    <m/>
    <m/>
    <m/>
    <m/>
    <m/>
  </r>
  <r>
    <n v="823"/>
    <x v="0"/>
    <x v="273"/>
    <d v="1899-12-30T18:46:34"/>
    <n v="1045"/>
    <x v="4"/>
    <x v="1"/>
    <n v="1032"/>
    <m/>
    <s v="Casa/Tanger"/>
    <n v="94.953999999999994"/>
    <x v="8"/>
    <s v="N2"/>
    <x v="0"/>
    <s v="* Etat H.O : HO Non Finalisé entre 318 et 217_x000a_* qualité /niveau de signal : dl rx-qual=7, dl rx level = -76 dbm_x000a_*Requête de déconnexion a été envoyée par le BORD&quot;"/>
    <m/>
    <x v="0"/>
    <s v="En attente de pouser les analyses coté bord "/>
    <s v="HO Non Finalisé entre 318 et 217"/>
    <s v="dl Rxqual=7"/>
    <s v="dl rx level= -76"/>
    <s v="OK"/>
    <s v="OK"/>
    <s v="Mauvais"/>
    <s v="retransmission des trames HDLC*5"/>
    <m/>
    <s v="Saad Elhabib"/>
    <m/>
    <m/>
    <m/>
    <m/>
    <m/>
    <m/>
    <m/>
  </r>
  <r>
    <n v="824"/>
    <x v="0"/>
    <x v="274"/>
    <d v="1899-12-30T10:05:14"/>
    <n v="2017"/>
    <x v="3"/>
    <x v="0"/>
    <n v="1033"/>
    <m/>
    <s v="Tanger/Casa"/>
    <n v="6.13"/>
    <x v="2"/>
    <s v="N2"/>
    <x v="0"/>
    <s v="* Etat H.O :  HO non finalisé entre 302 et 203_x000a_* qualité /niveau de signal : dl rx-qual=6, dl rx level = -52 dbm_x000a_*Requête de déconnexion a été envoyée par le RBC"/>
    <m/>
    <x v="0"/>
    <s v="En attente de mise en place des tiroires filtrés "/>
    <s v=" HO non finalisé entre 302 et 203"/>
    <s v="dl Rxqual=6"/>
    <s v="dl rx level= -52"/>
    <s v="OK"/>
    <s v="OK"/>
    <s v="Mauvais"/>
    <s v="retransmission des trames HDLC*5"/>
    <m/>
    <s v="Noura MOUSSAOUI"/>
    <m/>
    <m/>
    <m/>
    <m/>
    <m/>
    <m/>
    <m/>
  </r>
  <r>
    <n v="825"/>
    <x v="0"/>
    <x v="274"/>
    <d v="1899-12-30T12:52:26"/>
    <n v="1022"/>
    <x v="6"/>
    <x v="0"/>
    <n v="1023"/>
    <m/>
    <s v="Tanger/Casa"/>
    <n v="65.513999999999996"/>
    <x v="21"/>
    <s v="N2"/>
    <x v="0"/>
    <s v="* Etat H.O : HO complet entre 313 et 312_x000a_* qualité /niveau de signal : dl rx-qual=0, dl rx level = -78dbm_x000a_*Requête de déconnexion a été envoyée par le RBC&quot;"/>
    <m/>
    <x v="2"/>
    <s v="En attente de pouser les analyses coté bord et GSMR"/>
    <s v=" HO complet entre 313 et 312"/>
    <s v="dl Rxqual=0"/>
    <s v="dl rx level= -78"/>
    <s v="OK"/>
    <s v="OK"/>
    <s v="Mauvais"/>
    <s v="retransmission des trames HDLC*5"/>
    <m/>
    <s v="Fahd OUSSALH"/>
    <m/>
    <m/>
    <m/>
    <m/>
    <m/>
    <m/>
    <m/>
  </r>
  <r>
    <n v="826"/>
    <x v="0"/>
    <x v="275"/>
    <d v="1899-12-30T21:12:13"/>
    <n v="1054"/>
    <x v="8"/>
    <x v="1"/>
    <n v="1031"/>
    <m/>
    <s v="Casa/Tanger"/>
    <n v="7.3209999999999997"/>
    <x v="2"/>
    <s v="N2"/>
    <x v="0"/>
    <s v="* Etat H.O : HO complet entre 202 et 303_x000a_* qualité /niveau de signal : dl rx-qual=4, dl rx level = -56dbm_x000a_*Requête de déconnexion a été envoyée par le RBC&quot;"/>
    <m/>
    <x v="0"/>
    <s v="En attente de mise en place des tiroires filtrés "/>
    <s v=" HO complet entre 202 et 303"/>
    <s v="dl Rxqual=4"/>
    <s v="dl rx level= -56"/>
    <s v="NOK"/>
    <s v="OK"/>
    <s v="Mauvais"/>
    <s v="Pas Retransmission des trames HDLC*5"/>
    <m/>
    <s v="Fahd OUSSALH"/>
    <m/>
    <m/>
    <m/>
    <m/>
    <m/>
    <m/>
    <m/>
  </r>
  <r>
    <n v="827"/>
    <x v="0"/>
    <x v="276"/>
    <d v="1899-12-30T07:09:10"/>
    <n v="2005"/>
    <x v="10"/>
    <x v="1"/>
    <n v="7198"/>
    <m/>
    <s v="Casa/Tanger"/>
    <n v="14.997999999999999"/>
    <x v="22"/>
    <s v="N2"/>
    <x v="0"/>
    <s v="* Etat H.O : HO complet entre 203 et 204_x000a_* qualité /niveau de signal : dl rx-qual=0, dl rx level = -48dbm_x000a_*Requête de déconnexion a été envoyée par le RBC&quot;"/>
    <m/>
    <x v="0"/>
    <s v="En attente de mise en place des tiroires filtrés "/>
    <s v=" HO complet entre 203 et 204"/>
    <s v="dl Rxqual=0"/>
    <s v="dl rx level= -48"/>
    <s v="OK"/>
    <s v="OK"/>
    <s v="Mauvais"/>
    <s v="Pas Retransmission des trames HDLC*5"/>
    <m/>
    <s v="Fahd OUSSALH"/>
    <m/>
    <m/>
    <m/>
    <m/>
    <m/>
    <m/>
    <m/>
  </r>
  <r>
    <n v="828"/>
    <x v="0"/>
    <x v="276"/>
    <d v="1899-12-30T11:04:38"/>
    <n v="2021"/>
    <x v="1"/>
    <x v="0"/>
    <n v="1028"/>
    <m/>
    <s v="Tanger/Casa"/>
    <n v="6.13"/>
    <x v="2"/>
    <s v="N2"/>
    <x v="1"/>
    <s v="* Etat H.O : HO non finalisé entre 202 et 303_x000a_* qualité /niveau de signal : dl rx-qual=7, dl rx level = -54 dbm_x000a_*Requête de déconnexion a été envoyée par le RBC&quot;"/>
    <m/>
    <x v="0"/>
    <s v="En attente de mise en place des tiroires filtrés "/>
    <s v="HO non finalisé entre 202 et 303"/>
    <s v="dl Rxqual=7"/>
    <s v="dl rx level= -54"/>
    <s v="NOK"/>
    <s v="OK"/>
    <s v="Mauvais"/>
    <s v="retransmission des trames HDLC*5"/>
    <m/>
    <s v="Saad Elhabib"/>
    <m/>
    <m/>
    <m/>
    <m/>
    <m/>
    <m/>
    <m/>
  </r>
  <r>
    <n v="829"/>
    <x v="0"/>
    <x v="277"/>
    <d v="1899-12-30T10:35:37"/>
    <n v="1013"/>
    <x v="3"/>
    <x v="1"/>
    <n v="1008"/>
    <m/>
    <s v="Casa/Tanger"/>
    <n v="167.761"/>
    <x v="28"/>
    <s v="N2"/>
    <x v="1"/>
    <s v="* Etat H.O : HO finalisé entre 330 et 329_x000a_* qualité /niveau de signal : dl rx-qual=0, dl rx level = -52 dbm_x000a_*Requête de déconnexion a été envoyée par le RBC&quot;"/>
    <m/>
    <x v="1"/>
    <s v="zone sous surveillance par équipe NOC GSMR"/>
    <s v="HO finalisé entre 330 et 329"/>
    <s v="dl Rxqual=0"/>
    <s v="dl rx level= -50"/>
    <s v="OK"/>
    <s v="OK"/>
    <s v="Mauvais"/>
    <s v="retransmission des trames HDLC*5"/>
    <m/>
    <s v="Saad Elhabib"/>
    <m/>
    <m/>
    <m/>
    <m/>
    <m/>
    <m/>
    <m/>
  </r>
  <r>
    <n v="830"/>
    <x v="0"/>
    <x v="277"/>
    <d v="1899-12-30T15:05:11"/>
    <n v="2037"/>
    <x v="6"/>
    <x v="0"/>
    <n v="1057"/>
    <m/>
    <s v="Tanger/Casa"/>
    <n v="6.13"/>
    <x v="2"/>
    <s v="N2"/>
    <x v="0"/>
    <s v="* Etat H.O : HO Non finalisé entre 202 et 301_x000a_* qualité /niveau de signal : dl rx-qual=5, dl rx level = -53 dbm_x000a_*Requête de déconnexion a été envoyée par le bord"/>
    <m/>
    <x v="0"/>
    <s v="En attente de mise en place des tiroires filtrés "/>
    <s v="HO Non finalisé entre 202 et 301"/>
    <s v="dl Rxqual=5"/>
    <s v="dl rx level= -53"/>
    <s v="OK"/>
    <s v="OK"/>
    <s v="Mauvais"/>
    <s v="retransmission des trames HDLC*5"/>
    <m/>
    <s v="ELHAJOUIA Achraf"/>
    <m/>
    <m/>
    <m/>
    <m/>
    <m/>
    <m/>
    <m/>
  </r>
  <r>
    <n v="831"/>
    <x v="0"/>
    <x v="277"/>
    <d v="1899-12-30T20:32:18"/>
    <n v="2054"/>
    <x v="0"/>
    <x v="1"/>
    <n v="1044"/>
    <m/>
    <s v="Casa/Tanger"/>
    <n v="177.85"/>
    <x v="4"/>
    <s v="N2"/>
    <x v="0"/>
    <s v="* Etat H.O : HO complet  entre 231 et 229 avec downlink quality_x000a_* qualité /niveau de signal : dl rx-qual=7, dl rx level = -71 dbm_x000a_*Requête de déconnexion a été envoyée par le RBC&quot;"/>
    <m/>
    <x v="2"/>
    <s v="En attente de mise en place des tiroires filtrés /zone sous surveillance par équipe NOC GSMR"/>
    <s v=" HO complet  entre 231 et 229 avec downlink quality"/>
    <s v="dl Rxqual=7"/>
    <s v="dl rx level= -72"/>
    <s v="OK"/>
    <s v="OK"/>
    <s v="Mauvais"/>
    <s v="pas de Retransmission des trames HDLC*5"/>
    <m/>
    <s v="HARIRI Bahaeddine"/>
    <m/>
    <m/>
    <m/>
    <m/>
    <m/>
    <m/>
    <m/>
  </r>
  <r>
    <n v="832"/>
    <x v="0"/>
    <x v="278"/>
    <d v="1899-12-30T12:46:27"/>
    <n v="1021"/>
    <x v="4"/>
    <x v="1"/>
    <n v="1032"/>
    <m/>
    <s v="Casa/Tanger"/>
    <n v="94.953999999999994"/>
    <x v="8"/>
    <s v="N2"/>
    <x v="0"/>
    <s v="* Etat H.O : HO complet  entre 318 et 317 _x000a_* qualité /niveau de signal : dl rx-qual=1, dl rx level = -48 dbm_x000a_*Requête de déconnexion a été envoyée par le RBC&quot;"/>
    <m/>
    <x v="0"/>
    <s v="En attente de mise en place des tiroires filtrés "/>
    <s v="HO complet  entre 318 et 317 "/>
    <s v="dl Rxqual=1"/>
    <s v="dl rx level= -48"/>
    <s v="OK"/>
    <s v="OK"/>
    <s v="Mauvais"/>
    <s v="retransmission des trames HDLC*5"/>
    <m/>
    <s v="Saad Elhabib"/>
    <m/>
    <m/>
    <m/>
    <m/>
    <m/>
    <m/>
    <m/>
  </r>
  <r>
    <n v="833"/>
    <x v="0"/>
    <x v="278"/>
    <d v="1899-12-30T19:35:10"/>
    <n v="2053"/>
    <x v="3"/>
    <x v="0"/>
    <n v="1047"/>
    <m/>
    <s v="Tanger/Casa"/>
    <n v="143.11199999999999"/>
    <x v="26"/>
    <s v="N2"/>
    <x v="0"/>
    <s v="* Etat H.O : HO complet  entre 224 et 225 _x000a_* qualité /niveau de signal : dl rx-qual=0, dl rx level = -58 dbm_x000a_*Requête de déconnexion a été envoyée par le RBC&quot;"/>
    <m/>
    <x v="0"/>
    <s v="En attente de mise en place des tiroires filtrés "/>
    <s v="HO complete  entre 224 et 225 "/>
    <s v="dl Rxqual=0"/>
    <s v="dl rx level= -58"/>
    <s v="OK"/>
    <s v="OK"/>
    <s v="Mauvais"/>
    <s v="retransmission des trames HDLC*5"/>
    <m/>
    <s v="ELHAJOUIA Achraf"/>
    <m/>
    <m/>
    <m/>
    <m/>
    <m/>
    <m/>
    <m/>
  </r>
  <r>
    <n v="834"/>
    <x v="0"/>
    <x v="279"/>
    <d v="1899-12-30T08:49:11"/>
    <n v="1005"/>
    <x v="6"/>
    <x v="1"/>
    <n v="1023"/>
    <m/>
    <s v="Casa/Tanger"/>
    <n v="76.968000000000004"/>
    <x v="11"/>
    <s v="N2"/>
    <x v="0"/>
    <s v="* Etat H.O : HO complet  entre 315 et 314 _x000a_* qualité /niveau de signal : dl rx-qual=4, dl rx level = -48 dbm_x000a_*Requête de déconnexion a été envoyée par le RBC&quot;"/>
    <m/>
    <x v="0"/>
    <s v="En attente de mise en place des tiroires filtrés "/>
    <s v="HO complete  entre 315 et 314"/>
    <s v="dl Rxqual=4"/>
    <s v="dl rx level= -48"/>
    <s v="OK"/>
    <s v="OK"/>
    <s v="Mauvais"/>
    <s v="retransmission des trames HDLC*5"/>
    <m/>
    <s v="ELHAJOUIA Achraf"/>
    <m/>
    <m/>
    <m/>
    <m/>
    <m/>
    <m/>
    <m/>
  </r>
  <r>
    <n v="835"/>
    <x v="0"/>
    <x v="279"/>
    <d v="1899-12-30T10:05:38"/>
    <n v="2017"/>
    <x v="6"/>
    <x v="0"/>
    <n v="1056"/>
    <m/>
    <s v="Tanger/Casa"/>
    <n v="6.13"/>
    <x v="2"/>
    <s v="N2"/>
    <x v="1"/>
    <s v="* Etat H.O : HO Non finalisé  entre 302 et 203 _x000a_* qualité /niveau de signal : dl rx-qual=7, dl rx level = -50 dbm_x000a_*Requête de déconnexion a été envoyée par le bord"/>
    <m/>
    <x v="0"/>
    <s v="En attente de mise en place des tiroires filtrés "/>
    <s v="HO Non finalisé entre 302 et 203"/>
    <s v="dl Rxqual=7"/>
    <s v="dl rx level= -50"/>
    <s v="OK"/>
    <s v="OK"/>
    <s v="Mauvais"/>
    <s v="retransmission des trames HDLC*5"/>
    <m/>
    <s v="ELHAJOUIA Achraf"/>
    <m/>
    <m/>
    <m/>
    <m/>
    <m/>
    <m/>
    <m/>
  </r>
  <r>
    <n v="836"/>
    <x v="0"/>
    <x v="279"/>
    <d v="1899-12-30T11:36:19"/>
    <n v="2021"/>
    <x v="3"/>
    <x v="0"/>
    <n v="1047"/>
    <m/>
    <s v="Tanger/Casa"/>
    <n v="145.6"/>
    <x v="3"/>
    <s v="N2"/>
    <x v="0"/>
    <s v="* Etat H.O : HO complete  entre 224 et 225 _x000a_* qualité /niveau de signal : dl rx-qual=3, dl rx level = -68 dbm_x000a_*Requête de déconnexion a été envoyée par le RBC"/>
    <m/>
    <x v="0"/>
    <s v="En attente de mise en place des tiroires filtrés "/>
    <s v="HO Complete entre 224 et 225"/>
    <s v="dl Rxqual=3"/>
    <s v="dl rx level= -68"/>
    <s v="OK"/>
    <s v="OK"/>
    <s v="Mauvais"/>
    <s v="retransmission des trames HDLC*5"/>
    <m/>
    <s v="ELHAJOUIA Achraf"/>
    <m/>
    <m/>
    <m/>
    <m/>
    <m/>
    <m/>
    <m/>
  </r>
  <r>
    <n v="837"/>
    <x v="0"/>
    <x v="279"/>
    <d v="1899-12-30T17:04:41"/>
    <n v="1038"/>
    <x v="8"/>
    <x v="1"/>
    <n v="1060"/>
    <m/>
    <s v="Casa/Tanger"/>
    <n v="7.3209999999999997"/>
    <x v="2"/>
    <s v="N2"/>
    <x v="0"/>
    <s v="* Etat H.O : HO non finalisé entre 202 et 303 _x000a_* qualité /niveau de signal : dl rx-qual=7, dl rx level = -54 dbm_x000a_*Requête de déconnexion a été envoyée par le RBC"/>
    <m/>
    <x v="0"/>
    <s v="En attente de mise en place des tiroires filtrés "/>
    <s v="HO non finalisé entre 202 et 303 "/>
    <s v="dl Rxqual=7"/>
    <s v="dl rx level= -54"/>
    <s v="NOK"/>
    <s v="OK"/>
    <s v="Mauvais"/>
    <s v="retransmission des trames HDLC*5"/>
    <m/>
    <s v="Saad Elhabib"/>
    <m/>
    <m/>
    <m/>
    <m/>
    <m/>
    <m/>
    <m/>
  </r>
  <r>
    <n v="838"/>
    <x v="0"/>
    <x v="280"/>
    <d v="1899-12-30T17:04:07"/>
    <n v="1038"/>
    <x v="4"/>
    <x v="1"/>
    <n v="1033"/>
    <m/>
    <s v="Casa/Tanger"/>
    <n v="10.125"/>
    <x v="22"/>
    <s v="N2"/>
    <x v="0"/>
    <s v="* Etat H.O : HO complete  entre 304 et 303 _x000a_* qualité /niveau de signal : dl rx-qual=0, dl rx level = -49 dbm_x000a_*Requête de déconnexion a été envoyée par le RBC"/>
    <m/>
    <x v="3"/>
    <s v="En attente de pousser les analyses coté RBC"/>
    <s v="HO Complete entre 304 et 303"/>
    <s v="dl Rxqual=0"/>
    <s v="dl rx level= -49"/>
    <s v="NOK"/>
    <s v="OK"/>
    <s v="Mauvais"/>
    <s v="Pas Retransmission des trames HDLC*5"/>
    <m/>
    <s v="Fahd OUSSALH"/>
    <m/>
    <m/>
    <m/>
    <m/>
    <m/>
    <m/>
    <m/>
  </r>
  <r>
    <n v="839"/>
    <x v="0"/>
    <x v="280"/>
    <d v="1899-12-30T18:33:50"/>
    <n v="1046"/>
    <x v="5"/>
    <x v="1"/>
    <n v="1026"/>
    <m/>
    <s v="Casa/Tanger"/>
    <n v="177.85"/>
    <x v="4"/>
    <s v="N2"/>
    <x v="0"/>
    <s v="* Etat H.O : HO complete  entre 231 et 229 _x000a_* qualité /niveau de signal : dl rx-qual=0, dl rx level = -110 dbm_x000a_*Requête de déconnexion a été envoyée par le RBC"/>
    <m/>
    <x v="2"/>
    <s v="En attente de mise en place des tiroires filtrés / zone sous surveillence par le NOC"/>
    <s v="HO Complete entre 231 et 229"/>
    <s v="dl Rxqual=0"/>
    <s v="dl rx level= -110"/>
    <s v="OK"/>
    <s v="OK"/>
    <s v="Mauvais"/>
    <s v=" Retransmission des trames HDLC*5"/>
    <m/>
    <s v="Fahd OUSSALH"/>
    <m/>
    <m/>
    <m/>
    <m/>
    <m/>
    <m/>
    <m/>
  </r>
  <r>
    <n v="840"/>
    <x v="0"/>
    <x v="281"/>
    <d v="1899-12-30T16:05:00"/>
    <n v="2041"/>
    <x v="3"/>
    <x v="0"/>
    <n v="1046"/>
    <m/>
    <s v="Tanger/Casa"/>
    <n v="6.13"/>
    <x v="2"/>
    <s v="N2"/>
    <x v="1"/>
    <s v="* Etat H.O : HO non finalisé entre 202 et 303 _x000a_* qualité /niveau de signal : dl rx-qual=7, dl rx level = -56 dbm_x000a_*Requête de déconnexion a été envoyée par le Bord"/>
    <m/>
    <x v="0"/>
    <s v="En attente de mise en place des tiroires filtrés "/>
    <s v="HO non finalisé entre 202 et 303 "/>
    <s v="dl Rxqual=7"/>
    <s v="dl rx level= -56"/>
    <s v="NOK"/>
    <s v="OK"/>
    <s v="Mauvais"/>
    <s v=" Retransmission des trames HDLC*5"/>
    <m/>
    <s v="Fahd OUSSALH"/>
    <m/>
    <m/>
    <m/>
    <m/>
    <m/>
    <m/>
    <m/>
  </r>
  <r>
    <n v="841"/>
    <x v="0"/>
    <x v="281"/>
    <d v="1899-12-30T17:05:27"/>
    <n v="2045"/>
    <x v="11"/>
    <x v="0"/>
    <n v="1048"/>
    <m/>
    <s v="Tanger/Casa"/>
    <n v="6.13"/>
    <x v="2"/>
    <s v="N2"/>
    <x v="1"/>
    <s v="* Etat H.O : HO non finalisé entre 202 et 301_x000a_* qualité /niveau de signal : dl rx-qual=7, dl rx level = -51 dbm_x000a_*Requête de déconnexion a été envoyée par le RBC"/>
    <m/>
    <x v="0"/>
    <s v="En attente de mise en place des tiroires filtrés "/>
    <s v="HO non finalisé entre 202 et 301"/>
    <s v="dl Rxqual=7"/>
    <s v="dl rx level= -51"/>
    <s v="NOK"/>
    <s v="OK"/>
    <s v="Mauvais"/>
    <s v=" Retransmission des trames HDLC*5"/>
    <m/>
    <s v="Fahd OUSSALH"/>
    <m/>
    <m/>
    <m/>
    <m/>
    <m/>
    <m/>
    <m/>
  </r>
  <r>
    <n v="842"/>
    <x v="0"/>
    <x v="281"/>
    <d v="1899-12-30T14:05:51"/>
    <n v="2033"/>
    <x v="6"/>
    <x v="0"/>
    <n v="1056"/>
    <m/>
    <s v="Tanger/Casa"/>
    <n v="6.13"/>
    <x v="2"/>
    <s v="N2"/>
    <x v="1"/>
    <s v="* Etat H.O : HO non finalisé entre 202 et 303_x000a_* qualité /niveau de signal : dl rx-qual=7, dl rx level = -55dbm_x000a_*Requête de déconnexion a été envoyée par le RBC"/>
    <m/>
    <x v="0"/>
    <s v="En attente de mise en place des tiroires filtrés "/>
    <s v="HO non finalisé entre 202 et 303"/>
    <s v="dl Rxqual=7"/>
    <s v="dl rx level= -55"/>
    <s v="NOK"/>
    <s v="OK"/>
    <s v="Mauvais"/>
    <s v=" Retransmission des trames HDLC*5"/>
    <m/>
    <s v="Fahd OUSSALH"/>
    <m/>
    <m/>
    <m/>
    <m/>
    <m/>
    <m/>
    <m/>
  </r>
  <r>
    <n v="843"/>
    <x v="0"/>
    <x v="281"/>
    <d v="1899-12-30T14:09:52"/>
    <n v="2033"/>
    <x v="6"/>
    <x v="0"/>
    <n v="1057"/>
    <m/>
    <s v="Tanger/Casa"/>
    <n v="19.03"/>
    <x v="20"/>
    <s v="N2"/>
    <x v="1"/>
    <s v="* Etat H.O : le train s'est déconnecté et reconnecté a la cellule 203_x000a_*Requête de déconnexion a été envoyée par le RBC"/>
    <m/>
    <x v="0"/>
    <s v="En attente de mise en place des tiroires filtrés "/>
    <m/>
    <m/>
    <m/>
    <s v="NOK"/>
    <s v="OK"/>
    <s v="Mauvais"/>
    <s v=" Retransmission des trames HDLC*5"/>
    <m/>
    <s v="Fahd OUSSALH"/>
    <m/>
    <m/>
    <m/>
    <m/>
    <m/>
    <m/>
    <m/>
  </r>
  <r>
    <n v="844"/>
    <x v="0"/>
    <x v="281"/>
    <d v="1899-12-30T20:06:17"/>
    <n v="1050"/>
    <x v="10"/>
    <x v="1"/>
    <n v="1060"/>
    <m/>
    <s v="Casa/Tanger"/>
    <n v="7.3209999999999997"/>
    <x v="2"/>
    <s v="N2"/>
    <x v="0"/>
    <s v="* Etat H.O : HO complet entre 303 et 202_x000a_* qualité /niveau de signal : dl rx-qual=7, dl rx level = -53 dbm_x000a_*Requête de déconnexion a été envoyée par le RBC"/>
    <m/>
    <x v="0"/>
    <s v="En attente de mise en place des tiroires filtrés "/>
    <s v="HO Complete entre 303 et 202"/>
    <s v="dl Rxqual=7"/>
    <s v="dl rx level= -53"/>
    <s v="OK"/>
    <s v="OK"/>
    <s v="Mauvais"/>
    <s v=" Retransmission des trames HDLC*5"/>
    <m/>
    <s v="HARIRI Bahaeddine"/>
    <m/>
    <m/>
    <m/>
    <m/>
    <m/>
    <m/>
    <m/>
  </r>
  <r>
    <n v="845"/>
    <x v="0"/>
    <x v="282"/>
    <d v="1899-12-30T12:52:50"/>
    <n v="1021"/>
    <x v="5"/>
    <x v="1"/>
    <n v="1027"/>
    <m/>
    <s v="Casa/Tanger"/>
    <n v="58.71"/>
    <x v="23"/>
    <s v="N2"/>
    <x v="0"/>
    <s v="* Etat H.O : HO complet entre 311 et 310_x000a_* qualité /niveau de signal : dl rx-qual=0, dl rx level = -54 dbm_x000a_*Requête de déconnexion a été envoyée par le RBC"/>
    <m/>
    <x v="0"/>
    <s v="En attente de mise en place des tiroires filtrés "/>
    <s v="HO Complete entre 311 et 310"/>
    <s v="dl Rxqual=0"/>
    <s v="dl rx level= -54"/>
    <s v="OK"/>
    <s v="OK"/>
    <s v="Mauvais"/>
    <s v=" Retransmission des trames HDLC*5"/>
    <m/>
    <s v="ELHAJOUIA Achraf"/>
    <m/>
    <m/>
    <m/>
    <m/>
    <m/>
    <m/>
    <m/>
  </r>
  <r>
    <n v="846"/>
    <x v="0"/>
    <x v="282"/>
    <d v="1899-12-30T19:36:38"/>
    <n v="2053"/>
    <x v="0"/>
    <x v="0"/>
    <n v="1037"/>
    <m/>
    <s v="Casa/Tanger"/>
    <n v="153.68600000000001"/>
    <x v="18"/>
    <s v="N2"/>
    <x v="0"/>
    <s v="* Etat H.O : HO non finalisé entre 225 et 226_x000a_* qualité /niveau de signal : dl rx-qual=1, dl rx level = -73 dbm_x000a_*Requête de déconnexion a été envoyée par le RBC"/>
    <m/>
    <x v="2"/>
    <s v="En attente de mise en place des tiroires filtrés / zone sous surveillence par le NOC"/>
    <s v="HO non finalisé entre 225 et 226"/>
    <s v="dl Rxqual=1"/>
    <s v="dl rx level= -73"/>
    <s v="OK"/>
    <s v="OK"/>
    <s v="Mauvais"/>
    <s v=" Retransmission des trames HDLC*5"/>
    <m/>
    <s v="Fahd OUSSALH"/>
    <m/>
    <m/>
    <m/>
    <m/>
    <m/>
    <m/>
    <m/>
  </r>
  <r>
    <n v="847"/>
    <x v="0"/>
    <x v="282"/>
    <d v="1899-12-30T20:54:21"/>
    <n v="1054"/>
    <x v="5"/>
    <x v="1"/>
    <n v="1027"/>
    <m/>
    <s v="Casa/Tanger"/>
    <n v="147.876"/>
    <x v="3"/>
    <s v="N2"/>
    <x v="0"/>
    <s v="* Etat H.O : HO finalisé entre 327 et 326_x000a_* qualité /niveau de signal : dl rx-qual=0, dl rx level = -64 dbm_x000a_*Requête de déconnexion a été envoyée par le RBC"/>
    <m/>
    <x v="0"/>
    <s v="En attente de mise en place des tiroires filtrés "/>
    <s v="HO finalisé entre 327 et 326"/>
    <s v="dl Rxqual=0"/>
    <s v="dl rx level= -64"/>
    <s v="OK"/>
    <s v="OK"/>
    <s v="Mauvais"/>
    <s v=" Retransmission des trames HDLC*5"/>
    <m/>
    <s v="Saad Elhabib"/>
    <m/>
    <m/>
    <m/>
    <m/>
    <m/>
    <m/>
    <m/>
  </r>
  <r>
    <n v="848"/>
    <x v="0"/>
    <x v="282"/>
    <d v="1899-12-30T21:24:42"/>
    <n v="1054"/>
    <x v="5"/>
    <x v="1"/>
    <n v="1026"/>
    <m/>
    <s v="Casa/Tanger"/>
    <n v="7.3209999999999997"/>
    <x v="2"/>
    <s v="N2"/>
    <x v="1"/>
    <s v="* Etat H.O : HO non finalisé entre 202 et 203_x000a_* qualité /niveau de signal : dl rx-qual=7, dl rx level = -54 dbm_x000a_*Requête de déconnexion a été envoyée par le RBC"/>
    <m/>
    <x v="0"/>
    <s v="En attente de mise en place des tiroires filtrés "/>
    <s v="HO non finalisé entre 202 et 203"/>
    <s v="dl Rxqual=7"/>
    <s v="dl rx level= -54"/>
    <s v="OK"/>
    <s v="OK"/>
    <s v="Mauvais"/>
    <s v=" Retransmission des trames HDLC*5"/>
    <m/>
    <s v="Saad Elhabib"/>
    <m/>
    <m/>
    <m/>
    <m/>
    <m/>
    <m/>
    <m/>
  </r>
  <r>
    <n v="849"/>
    <x v="0"/>
    <x v="283"/>
    <d v="1899-12-30T06:05:43"/>
    <n v="1081"/>
    <x v="9"/>
    <x v="1"/>
    <n v="1035"/>
    <m/>
    <s v="Casa/Tanger"/>
    <n v="162.83500000000001"/>
    <x v="9"/>
    <s v="N2"/>
    <x v="0"/>
    <s v="* Etat H.O : HO finalisé entre 329 et 328_x000a_* qualité /niveau de signal : dl rx-qual=0, dl rx level = -48 dbm_x000a_*Requête de déconnexion a été envoyée par le RBC"/>
    <m/>
    <x v="0"/>
    <s v="En attente de mise en place des tiroires filtrés "/>
    <s v="HO finalisé entre 329 et 328"/>
    <s v="dl Rxqual=0"/>
    <s v="dl rx level= -48"/>
    <s v="OK"/>
    <s v="OK"/>
    <s v="Mauvais"/>
    <s v=" Retransmission des trames HDLC*5"/>
    <m/>
    <s v="Saad Elhabib"/>
    <m/>
    <m/>
    <m/>
    <m/>
    <m/>
    <m/>
    <m/>
  </r>
  <r>
    <n v="850"/>
    <x v="0"/>
    <x v="283"/>
    <d v="1899-12-30T06:05:21"/>
    <n v="2001"/>
    <x v="11"/>
    <x v="0"/>
    <n v="1048"/>
    <m/>
    <s v="Tanger/Casa"/>
    <n v="6.13"/>
    <x v="2"/>
    <s v="N2"/>
    <x v="1"/>
    <s v="* Etat H.O : HO non finalisé entre 202 et 203_x000a_* qualité /niveau de signal : dl rx-qual=7, dl rx level = -53 dbm_x000a_*Requête de déconnexion a été envoyée par le RBC"/>
    <m/>
    <x v="0"/>
    <s v="En attente de mise en place des tiroires filtrés "/>
    <s v="HO non finalisé entre 202 et 203"/>
    <s v="dl Rxqual=7"/>
    <s v="dl rx level= -53"/>
    <s v="NOK"/>
    <s v="OK"/>
    <s v="Mauvais"/>
    <s v=" Retransmission des trames HDLC*5"/>
    <m/>
    <s v="Saad Elhabib"/>
    <m/>
    <m/>
    <m/>
    <m/>
    <m/>
    <m/>
    <m/>
  </r>
  <r>
    <n v="851"/>
    <x v="0"/>
    <x v="283"/>
    <d v="1899-12-30T08:47:51"/>
    <n v="1005"/>
    <x v="0"/>
    <x v="1"/>
    <n v="1045"/>
    <m/>
    <s v="Casa/Tanger"/>
    <n v="94.953999999999994"/>
    <x v="8"/>
    <s v="N2"/>
    <x v="0"/>
    <s v="* Etat H.O : HO non finalisé entre 318 et 317_x000a_* qualité /niveau de signal : dl rx-qual=7, dl rx level = -56 dbm_x000a_*Requête de déconnexion a été envoyée par le RBC"/>
    <m/>
    <x v="0"/>
    <s v="En attente de mise en place des tiroires filtrés "/>
    <s v="HO non finalisé entre 318 et 317"/>
    <s v="dl Rxqual=7"/>
    <s v="dl rx level= -56"/>
    <s v="OK"/>
    <s v="OK"/>
    <s v="Mauvais"/>
    <s v=" Retransmission des trames HDLC*5"/>
    <m/>
    <s v="SGHAYER Achraf"/>
    <m/>
    <m/>
    <m/>
    <m/>
    <m/>
    <m/>
    <m/>
  </r>
  <r>
    <n v="852"/>
    <x v="0"/>
    <x v="283"/>
    <d v="1899-12-30T10:05:27"/>
    <n v="2017"/>
    <x v="0"/>
    <x v="0"/>
    <n v="1037"/>
    <m/>
    <s v="Tanger/Casa"/>
    <n v="6.13"/>
    <x v="2"/>
    <s v="N2"/>
    <x v="0"/>
    <s v="* Etat H.O : HO complet entre 202 et 303_x000a_* qualité /niveau de signal : dl rx-qual=3, dl rx level = -67 dbm_x000a_*Requête de déconnexion a été envoyée par le RBC"/>
    <m/>
    <x v="0"/>
    <s v="En attente de mise en place des tiroires filtrés "/>
    <s v="HO Complete entre 202 et 303"/>
    <s v="dl Rxqual=3"/>
    <s v="dl rx level= -67"/>
    <s v="OK"/>
    <s v="OK"/>
    <s v="Mauvais"/>
    <s v=" Retransmission des trames HDLC*5"/>
    <m/>
    <s v="ELHAJOUIA Achraf"/>
    <m/>
    <m/>
    <m/>
    <m/>
    <m/>
    <m/>
    <m/>
  </r>
  <r>
    <n v="853"/>
    <x v="0"/>
    <x v="283"/>
    <d v="1899-12-30T18:04:42"/>
    <n v="2048"/>
    <x v="11"/>
    <x v="0"/>
    <n v="1048"/>
    <m/>
    <s v="Tanger/Casa"/>
    <n v="6.13"/>
    <x v="2"/>
    <s v="N2"/>
    <x v="1"/>
    <s v="* Etat H.O : HO non finalisé entre 202 et 203_x000a_* qualité /niveau de signal : dl rx-qual=7, dl rx level = -54 dbm_x000a_*Requête de déconnexion a été envoyée par le RBC"/>
    <m/>
    <x v="0"/>
    <s v="zone sous surveillence par le NOC"/>
    <s v="HO non finalisé entre 202 et 203"/>
    <s v="dl Rxqual=7"/>
    <s v="dl rx level= -54"/>
    <s v="NOK"/>
    <s v="OK"/>
    <s v="Mauvais"/>
    <s v=" Retransmission des trames HDLC*5"/>
    <m/>
    <s v="ELHAJOUIA Achraf"/>
    <m/>
    <m/>
    <m/>
    <m/>
    <m/>
    <m/>
    <m/>
  </r>
  <r>
    <n v="854"/>
    <x v="0"/>
    <x v="284"/>
    <d v="1899-12-30T06:11:46"/>
    <n v="2001"/>
    <x v="6"/>
    <x v="0"/>
    <n v="1057"/>
    <m/>
    <s v="Tanger/Casa"/>
    <n v="25.91"/>
    <x v="7"/>
    <s v="N2"/>
    <x v="0"/>
    <s v="* Etat H.O : HO finalisé entre 205 et 206_x000a_* qualité /niveau de signal : dl rx-qual=0, dl rx level = -56 dbm_x000a_*Requête de déconnexion a été envoyée par le RBC"/>
    <m/>
    <x v="0"/>
    <s v="En attente de mise en place des tiroires filtrés "/>
    <s v="HO finalisé entre 205 et 206"/>
    <s v="dl Rxqual=0"/>
    <s v="dl rx level= -50"/>
    <s v="OK"/>
    <s v="OK"/>
    <s v="Mauvais"/>
    <s v=" Retransmission des trames HDLC*5"/>
    <m/>
    <s v="Saad Elhabib"/>
    <m/>
    <m/>
    <m/>
    <m/>
    <m/>
    <m/>
    <m/>
  </r>
  <r>
    <n v="855"/>
    <x v="0"/>
    <x v="284"/>
    <d v="1899-12-30T16:39:15"/>
    <n v="1038"/>
    <x v="6"/>
    <x v="1"/>
    <n v="1022"/>
    <m/>
    <s v="Tanger/Casa"/>
    <n v="134.30000000000001"/>
    <x v="10"/>
    <s v="N2"/>
    <x v="0"/>
    <s v="* Etat H.O : HO finalisé entre 325 et 324_x000a_* qualité /niveau de signal : dl rx-qual=7, dl rx level = -65 dbm_x000a_*Requête de déconnexion a été envoyée par le RBC"/>
    <m/>
    <x v="1"/>
    <s v="zone sous surveillence par le NOC"/>
    <s v="HO non finalisé entre 325 et 324"/>
    <s v="dl Rxqual=7"/>
    <s v="dl rx level= -65"/>
    <s v="OK"/>
    <s v="OK"/>
    <s v="Mauvais"/>
    <s v=" Retransmission des trames HDLC*5"/>
    <m/>
    <s v="Fahd OUSSALH"/>
    <m/>
    <m/>
    <m/>
    <m/>
    <m/>
    <m/>
    <m/>
  </r>
  <r>
    <n v="856"/>
    <x v="0"/>
    <x v="285"/>
    <d v="1899-12-30T04:29:37"/>
    <n v="2081"/>
    <x v="4"/>
    <x v="0"/>
    <n v="1058"/>
    <m/>
    <s v="Tanger/Casa"/>
    <n v="67.828999999999994"/>
    <x v="0"/>
    <s v="N2"/>
    <x v="0"/>
    <s v="* Etat H.O : HO finalisé entre 211 et 212_x000a_* qualité /niveau de signal : dl rx-qual=0, dl rx level = -56 dbm_x000a_*Requête de déconnexion a été envoyée par le RBC"/>
    <m/>
    <x v="0"/>
    <s v="En attente de mise en place des tiroires filtrés "/>
    <s v=" HO finalisé entre 211 et 212"/>
    <s v="dl Rxqual=0"/>
    <s v="dl rx level= -56"/>
    <s v="OK"/>
    <s v="OK"/>
    <s v="Mauvais"/>
    <s v=" Retransmission des trames HDLC*5"/>
    <m/>
    <s v="Saad Elhabib"/>
    <m/>
    <m/>
    <m/>
    <m/>
    <m/>
    <m/>
    <m/>
  </r>
  <r>
    <n v="857"/>
    <x v="0"/>
    <x v="285"/>
    <d v="1899-12-30T06:24:45"/>
    <n v="2001"/>
    <x v="6"/>
    <x v="0"/>
    <n v="1057"/>
    <m/>
    <s v="Tanger/Casa"/>
    <n v="86.238"/>
    <x v="12"/>
    <s v="N2"/>
    <x v="0"/>
    <s v="* Etat H.O : HO finalisé entre 215 et 216_x000a_* qualité /niveau de signal : dl rx-qual=4, dl rx level = -55 dbm_x000a_*Requête de déconnexion a été envoyée par le RBC"/>
    <m/>
    <x v="0"/>
    <s v="En attente de mise en place des tiroires filtrés "/>
    <s v="HO finalisé entre 215 et 216"/>
    <s v="dl Rxqual=4"/>
    <s v="dl rx level= -55"/>
    <s v="OK"/>
    <s v="OK"/>
    <s v="Mauvais"/>
    <s v=" Retransmission des trames HDLC*5"/>
    <m/>
    <s v="Saad Elhabib"/>
    <m/>
    <m/>
    <m/>
    <m/>
    <m/>
    <m/>
    <m/>
  </r>
  <r>
    <n v="858"/>
    <x v="0"/>
    <x v="285"/>
    <d v="1899-12-30T10:49:58"/>
    <n v="1013"/>
    <x v="6"/>
    <x v="1"/>
    <n v="1023"/>
    <m/>
    <s v="Casa/Tanger"/>
    <n v="94.953999999999994"/>
    <x v="8"/>
    <s v="N2"/>
    <x v="0"/>
    <s v="* Etat H.O : HO complet entre 318 et 317_x000a_* qualité /niveau de signal : dl rx-qual=4, dl rx level = -48dbm_x000a_*Requête de déconnexion a été envoyée par le RBC"/>
    <m/>
    <x v="0"/>
    <s v="En attente de mise en place des tiroires filtrés "/>
    <s v="HO Complete entre 318 et 317"/>
    <s v="dl Rxqual=4"/>
    <s v="dl rx level= -48"/>
    <s v="OK"/>
    <s v="OK"/>
    <s v="Mauvais"/>
    <s v=" Retransmission des trames HDLC*5"/>
    <m/>
    <s v="ELHAJOUIA Achraf"/>
    <m/>
    <m/>
    <m/>
    <m/>
    <m/>
    <m/>
    <m/>
  </r>
  <r>
    <n v="859"/>
    <x v="0"/>
    <x v="285"/>
    <d v="1899-12-30T12:35:58"/>
    <n v="2025"/>
    <x v="6"/>
    <x v="0"/>
    <n v="1057"/>
    <m/>
    <s v="Tanger/Casa"/>
    <n v="140.65899999999999"/>
    <x v="26"/>
    <s v="N2"/>
    <x v="0"/>
    <s v="* Etat H.O : HO complet entre 223 et 224_x000a_* qualité /niveau de signal : dl rx-qual=0 dl rx level = -72dbm_x000a_*Requête de déconnexion a été envoyée par le RBC"/>
    <m/>
    <x v="0"/>
    <s v="En attente de mise en place des tiroires filtrés "/>
    <s v="HO Complete entre 223 et 224"/>
    <s v="dl Rxqual=0"/>
    <s v="dl rx level= -72"/>
    <s v="OK"/>
    <s v="OK"/>
    <s v="Mauvais"/>
    <s v=" Retransmission des trames HDLC*5"/>
    <m/>
    <s v="ELHAJOUIA Achraf"/>
    <m/>
    <m/>
    <m/>
    <m/>
    <m/>
    <m/>
    <m/>
  </r>
  <r>
    <n v="860"/>
    <x v="0"/>
    <x v="285"/>
    <d v="1899-12-30T18:35:56"/>
    <n v="2049"/>
    <x v="6"/>
    <x v="0"/>
    <n v="1057"/>
    <m/>
    <s v="Tanger/Casa"/>
    <n v="138.30199999999999"/>
    <x v="26"/>
    <s v="N2"/>
    <x v="0"/>
    <s v="* Etat H.O : HO complet entre 223 et 224_x000a_* qualité /niveau de signal : dl rx-qual=0 dl rx level = -72dbm_x000a_*Requête de déconnexion a été envoyée par le RBC"/>
    <m/>
    <x v="3"/>
    <s v="En attente de pousser les analyses coté RBC"/>
    <s v="HO Complete entre 223 et 224"/>
    <s v="dl Rxqual=0"/>
    <s v="dl rx level= -72"/>
    <s v="OK"/>
    <s v="OK"/>
    <s v="Mauvais"/>
    <s v=" Pas de Retransmission des trames HDLC*5"/>
    <m/>
    <s v="HARIRI Bahaeddine"/>
    <m/>
    <m/>
    <m/>
    <m/>
    <m/>
    <m/>
    <m/>
  </r>
  <r>
    <n v="861"/>
    <x v="0"/>
    <x v="286"/>
    <d v="1899-12-30T12:23:36"/>
    <n v="1022"/>
    <x v="6"/>
    <x v="1"/>
    <n v="1023"/>
    <m/>
    <s v="Casa/Tanger"/>
    <n v="198.98400000000001"/>
    <x v="5"/>
    <s v="N2"/>
    <x v="1"/>
    <s v="* Etat H.O : HO non finalisé entre 99 et 333_x000a_* qualité /niveau de signal : dl rx-qual=7, dl rx level = -63 dbm_x000a_*Requête de déconnexion a été envoyée par le RBC"/>
    <m/>
    <x v="1"/>
    <s v="zone sous surveillence par le NOC"/>
    <s v="HO non finalisé entre 99 et 333"/>
    <s v="dl Rxqual=7"/>
    <s v="dl rx level= -63"/>
    <s v="OK"/>
    <s v="OK"/>
    <s v="Mauvais"/>
    <s v=" Retransmission des trames HDLC*5"/>
    <m/>
    <s v="HARIRI Bahaeddine"/>
    <m/>
    <m/>
    <m/>
    <m/>
    <m/>
    <m/>
    <m/>
  </r>
  <r>
    <n v="862"/>
    <x v="0"/>
    <x v="286"/>
    <d v="1899-12-30T19:04:08"/>
    <n v="1046"/>
    <x v="6"/>
    <x v="1"/>
    <n v="1022"/>
    <m/>
    <s v="Casa/Tanger"/>
    <n v="7.3209999999999997"/>
    <x v="2"/>
    <s v="N2"/>
    <x v="0"/>
    <s v="* Etat H.O : HO non finalisé entre 303 et 202_x000a_* qualité /niveau de signal : dl rx-qual=7, dl rx level = -70 dbm_x000a_*Requête de déconnexion a été envoyée par le RBC"/>
    <m/>
    <x v="0"/>
    <s v="En attente de mise en place des tiroires filtrés "/>
    <s v=" HO non finalisé entre 303 et 202"/>
    <s v="dl Rxqual=7"/>
    <s v="dl rx level= -70"/>
    <s v="OK"/>
    <s v="OK"/>
    <s v="Mauvais"/>
    <s v=" Retransmission des trames HDLC*5"/>
    <m/>
    <s v="HARIRI Bahaeddine"/>
    <m/>
    <m/>
    <m/>
    <m/>
    <m/>
    <m/>
    <m/>
  </r>
  <r>
    <n v="863"/>
    <x v="0"/>
    <x v="286"/>
    <d v="1899-12-30T21:06:18"/>
    <n v="1054"/>
    <x v="11"/>
    <x v="1"/>
    <n v="1020"/>
    <m/>
    <s v="Casa/Tanger"/>
    <n v="7.3209999999999997"/>
    <x v="2"/>
    <s v="N2"/>
    <x v="1"/>
    <s v="* Etat H.O : HO non finalisé entre 202 et 203_x000a_* qualité /niveau de signal : dl rx-qual=6, dl rx level = -54 dbm_x000a_*Requête de déconnexion a été envoyée par le RBC"/>
    <m/>
    <x v="0"/>
    <s v="En attente de mise en place des tiroires filtrés "/>
    <s v=" HO non finalisé entre 303 et 202"/>
    <s v="dl Rxqual=6"/>
    <s v="dl rx level= -54"/>
    <s v="NOK"/>
    <s v="OK"/>
    <s v="Mauvais"/>
    <s v=" Retransmission des trames HDLC*5"/>
    <m/>
    <s v="Saad Elhabib"/>
    <m/>
    <m/>
    <m/>
    <m/>
    <m/>
    <m/>
    <m/>
  </r>
  <r>
    <n v="864"/>
    <x v="0"/>
    <x v="287"/>
    <d v="1899-12-30T14:06:02"/>
    <n v="2033"/>
    <x v="1"/>
    <x v="0"/>
    <n v="1029"/>
    <m/>
    <s v="Tanger/Casa"/>
    <n v="6.13"/>
    <x v="2"/>
    <s v="N2"/>
    <x v="1"/>
    <s v="* Etat H.O : HO complet entre 202 et 303_x000a_* qualité /niveau de signal : dl rx-qual=7, dl rx level = -66 dbm_x000a_*Requête de déconnexion a été envoyée par le RBC"/>
    <m/>
    <x v="0"/>
    <s v="En attente de mise en place des tiroires filtrés "/>
    <s v=" HO complet entre 202 et 303"/>
    <s v="dl Rxqual=7"/>
    <s v="dl rx level= -66"/>
    <s v="NOK"/>
    <s v="OK"/>
    <s v="Mauvais"/>
    <s v=" Retransmission des trames HDLC*5"/>
    <m/>
    <s v="Noura MOUSSAOUI"/>
    <m/>
    <m/>
    <m/>
    <m/>
    <m/>
    <m/>
    <m/>
  </r>
  <r>
    <n v="865"/>
    <x v="0"/>
    <x v="287"/>
    <d v="1899-12-30T15:04:58"/>
    <n v="2037"/>
    <x v="5"/>
    <x v="0"/>
    <n v="1024"/>
    <m/>
    <s v="Tanger/Casa"/>
    <n v="6.13"/>
    <x v="2"/>
    <s v="N2"/>
    <x v="0"/>
    <s v="* Etat H.O : HO Non finalisé entre 202 et 303_x000a_* qualité /niveau de signal : dl rx-qual=7, dl rx level = -56 dbm_x000a_*Requête de déconnexion a été envoyée par le RBC"/>
    <m/>
    <x v="0"/>
    <s v="En attente de mise en place des tiroires filtrés "/>
    <s v=" HO non finalisé entre 202 et 303"/>
    <s v="dl Rxqual=7"/>
    <s v="dl rx level= -56"/>
    <s v="NOK"/>
    <s v="OK"/>
    <s v="Mauvais"/>
    <s v=" Retransmission des trames HDLC*5"/>
    <m/>
    <s v="HARIRI Bahaeddine"/>
    <m/>
    <m/>
    <m/>
    <m/>
    <m/>
    <m/>
    <m/>
  </r>
  <r>
    <n v="866"/>
    <x v="0"/>
    <x v="287"/>
    <d v="1899-12-30T17:05:14"/>
    <n v="2045"/>
    <x v="0"/>
    <x v="0"/>
    <n v="1036"/>
    <m/>
    <s v="Tanger/Casa"/>
    <n v="6.13"/>
    <x v="2"/>
    <s v="N2"/>
    <x v="1"/>
    <s v="* Etat H.O : HO Non finalisé entre 301 et 202_x000a_* qualité /niveau de signal : dl rx-qual=7, dl rx level = -56 dbm_x000a_*Requête de déconnexion a été envoyée par le bord"/>
    <m/>
    <x v="0"/>
    <s v="En attente de mise en place des tiroires filtrés "/>
    <s v=" HO non finalisé entre 301 et 202"/>
    <s v="dl Rxqual=7"/>
    <s v="dl rx level= -56"/>
    <s v="OK"/>
    <s v="OK"/>
    <s v="Mauvais"/>
    <s v=" Retransmission des trames HDLC*5"/>
    <m/>
    <s v="HARIRI Bahaeddine"/>
    <m/>
    <m/>
    <m/>
    <m/>
    <m/>
    <m/>
    <m/>
  </r>
  <r>
    <n v="867"/>
    <x v="0"/>
    <x v="288"/>
    <d v="1899-12-30T15:05:48"/>
    <n v="2037"/>
    <x v="8"/>
    <x v="0"/>
    <n v="1042"/>
    <m/>
    <s v="Tanger/Casa"/>
    <n v="6.13"/>
    <x v="2"/>
    <s v="N2"/>
    <x v="0"/>
    <s v="* Etat H.O : HO non finalisé entre 202 et 203_x000a_* qualité /niveau de signal : dl rx-qual=7, dl rx level = -58 dbm_x000a_* Requête de déconnexion a été envoyé par le RBC _x000a_"/>
    <m/>
    <x v="0"/>
    <s v="En attente de mise en place des tiroires filtrés "/>
    <s v=" HO non finalisé entre 202 et 203"/>
    <s v="dl Rxqual=7"/>
    <s v="dl rx level= -58"/>
    <s v="NOK"/>
    <s v="OK"/>
    <s v="Mauvais"/>
    <s v=" Retransmission des trames HDLC*5"/>
    <m/>
    <s v="HARIRI Bahaeddine"/>
    <m/>
    <m/>
    <m/>
    <m/>
    <m/>
    <m/>
    <m/>
  </r>
  <r>
    <n v="868"/>
    <x v="0"/>
    <x v="288"/>
    <d v="1899-12-30T16:07:46"/>
    <n v="2041"/>
    <x v="9"/>
    <x v="0"/>
    <n v="1053"/>
    <m/>
    <s v="Tanger/Casa"/>
    <n v="11.28"/>
    <x v="22"/>
    <s v="N2"/>
    <x v="1"/>
    <s v="* Etat H.O : HO complet entre 202 et 203_x000a_* qualité /niveau de signal : dl rx-qual=0, dl rx level = -60 dbm_x000a_* Requête de déconnexion a été envoyé par le bord_x000a_"/>
    <m/>
    <x v="0"/>
    <s v="En attente de mise en place des tiroires filtrés "/>
    <s v=" HO complet entre 202 et 303"/>
    <s v="dl Rxqual=0"/>
    <s v="dl rx level= -60"/>
    <s v="OK"/>
    <s v="OK"/>
    <s v="Mauvais"/>
    <s v=" Retransmission des trames HDLC*5"/>
    <m/>
    <s v="HARIRI Bahaeddine"/>
    <m/>
    <m/>
    <m/>
    <m/>
    <m/>
    <m/>
    <m/>
  </r>
  <r>
    <n v="869"/>
    <x v="0"/>
    <x v="288"/>
    <d v="1899-12-30T17:05:33"/>
    <n v="2045"/>
    <x v="11"/>
    <x v="0"/>
    <n v="1048"/>
    <m/>
    <s v="Tanger/Casa"/>
    <n v="6.13"/>
    <x v="2"/>
    <s v="N2"/>
    <x v="0"/>
    <s v="* Etat H.O : HO non finalisé entre 202 et 203_x000a_* qualité /niveau de signal : dl rx-qual=7, dl rx level = -53 dbm_x000a_* Requête de déconnexion a été envoyé par le Bord _x000a_"/>
    <m/>
    <x v="0"/>
    <s v="En attente de mise en place des tiroires filtrés "/>
    <s v=" HO non finalisé entre 202 et 203"/>
    <s v="dl Rxqual=7"/>
    <s v="dl rx level= -53"/>
    <s v="OK"/>
    <s v="OK"/>
    <s v="Mauvais"/>
    <s v=" Retransmission des trames HDLC*5"/>
    <m/>
    <s v="HARIRI Bahaeddine"/>
    <m/>
    <m/>
    <m/>
    <m/>
    <m/>
    <m/>
    <m/>
  </r>
  <r>
    <n v="870"/>
    <x v="0"/>
    <x v="288"/>
    <d v="1899-12-30T20:28:48"/>
    <n v="1053"/>
    <x v="9"/>
    <x v="1"/>
    <n v="1034"/>
    <m/>
    <s v="Casa/Tanger"/>
    <n v="177.85"/>
    <x v="4"/>
    <s v="N2"/>
    <x v="0"/>
    <s v="* Etat H.O : HO non finalisé entre 330 et 229_x000a_* qualité /niveau de signal : dl rx-qual=7, dl rx level = -53 dbm_x000a_* Requête de déconnexion a été envoyé par le Bord _x000a_"/>
    <m/>
    <x v="2"/>
    <s v="En attente de mise en place des tiroires filtrés / zone sous surveillence par le NOC"/>
    <s v=" HO non finalisé entre 330 et 229"/>
    <s v="dl Rxqual=7"/>
    <s v="dl rx level= -53"/>
    <s v="OK"/>
    <s v="OK"/>
    <s v="Mauvais"/>
    <s v=" Retransmission des trames HDLC*5"/>
    <m/>
    <s v="HARIRI Bahaeddine"/>
    <m/>
    <m/>
    <m/>
    <m/>
    <m/>
    <m/>
    <m/>
  </r>
  <r>
    <n v="871"/>
    <x v="0"/>
    <x v="289"/>
    <d v="1899-12-30T06:53:57"/>
    <n v="10075"/>
    <x v="9"/>
    <x v="1"/>
    <n v="1034"/>
    <m/>
    <s v="Casa/Tanger"/>
    <n v="180.38800000000001"/>
    <x v="4"/>
    <s v="N2"/>
    <x v="0"/>
    <s v="* Etat H.O : HO Complete  entre 331 et 330_x000a_* qualité /niveau de signal : dl rx-qual=0, dl rx level = -56 dbm_x000a_* Requête de déconnexion a été envoyé par le RBC_x000a_"/>
    <m/>
    <x v="0"/>
    <s v="En attente de mise en place des tiroires filtrés "/>
    <s v=" HO Complete entre 331et 330"/>
    <s v="dl Rxqual=0"/>
    <s v="dl rx level= -56"/>
    <s v="OK"/>
    <s v="OK"/>
    <s v="Mauvais"/>
    <s v=" Retransmission des trames HDLC*5"/>
    <m/>
    <s v="ELHAJOUIA Achraf"/>
    <m/>
    <m/>
    <m/>
    <m/>
    <m/>
    <m/>
    <m/>
  </r>
  <r>
    <n v="872"/>
    <x v="0"/>
    <x v="289"/>
    <d v="1899-12-30T14:04:45"/>
    <n v="1025"/>
    <x v="9"/>
    <x v="1"/>
    <n v="1034"/>
    <m/>
    <s v="Casa/Tanger"/>
    <n v="7.3209999999999997"/>
    <x v="2"/>
    <s v="N2"/>
    <x v="1"/>
    <s v="* Etat H.O : HO Complete  entre 202 et 303_x000a_* qualité /niveau de signal : dl rx-qual=5, dl rx level = -82 dbm_x000a_* Requête de déconnexion a été envoyé par le RBC_x000a_"/>
    <m/>
    <x v="0"/>
    <s v="En attente de mise en place des tiroires filtrés "/>
    <s v=" HO Complete entre 202 et 303"/>
    <s v="dl Rxqual=5"/>
    <s v="dl rx level= -82"/>
    <s v="NOK"/>
    <s v="OK"/>
    <s v="Mauvais"/>
    <s v="Pss Retransmission des trames HDLC*5"/>
    <m/>
    <s v="Fahd OUSSALH"/>
    <m/>
    <m/>
    <m/>
    <m/>
    <m/>
    <m/>
    <m/>
  </r>
  <r>
    <n v="873"/>
    <x v="0"/>
    <x v="289"/>
    <d v="1899-12-30T15:35:04"/>
    <n v="2037"/>
    <x v="9"/>
    <x v="1"/>
    <n v="1053"/>
    <m/>
    <s v="Casa/Tanger"/>
    <n v="144.32599999999999"/>
    <x v="3"/>
    <s v="N2"/>
    <x v="0"/>
    <s v="* Etat H.O : HO Complete  entre 224 et 225_x000a_* qualité /niveau de signal : dl rx-qual=0, dl rx level = -66 dbm_x000a_* Requête de déconnexion a été envoyé par le RBC_x000a_"/>
    <m/>
    <x v="3"/>
    <s v="En attente de pousser les analyses coté RBC"/>
    <s v=" HO Complete entre 224 et 225"/>
    <s v="dl Rxqual=0"/>
    <s v="dl rx level= -66"/>
    <s v="OK"/>
    <s v="OK"/>
    <s v="Mauvais"/>
    <s v="Pss Retransmission des trames HDLC*5"/>
    <m/>
    <s v="Fahd OUSSALH"/>
    <m/>
    <m/>
    <m/>
    <m/>
    <m/>
    <m/>
    <m/>
  </r>
  <r>
    <n v="874"/>
    <x v="0"/>
    <x v="289"/>
    <d v="1899-12-30T18:45:20"/>
    <n v="1046"/>
    <x v="4"/>
    <x v="1"/>
    <n v="1033"/>
    <m/>
    <s v="Casa/Tanger"/>
    <n v="97.619"/>
    <x v="8"/>
    <s v="N2"/>
    <x v="0"/>
    <s v="* Etat H.O : HO non finalisé entre 219 et 318_x000a_* qualité /niveau de signal : dl rx-qual=0, dl rx level = -48 dbm_x000a_* Requête de déconnexion a été envoyé par le RBC _x000a_"/>
    <m/>
    <x v="0"/>
    <s v="En attente de mise en place des tiroires filtrés "/>
    <s v=" HO non finalisé entre 219 et 318"/>
    <s v="dl Rxqual=0"/>
    <s v="dl rx level= -48"/>
    <s v="NOK"/>
    <s v="OK"/>
    <s v="Mauvais"/>
    <s v="Pss Retransmission des trames HDLC*5"/>
    <m/>
    <s v="Fahd OUSSALH"/>
    <m/>
    <m/>
    <m/>
    <m/>
    <m/>
    <m/>
    <m/>
  </r>
  <r>
    <n v="875"/>
    <x v="0"/>
    <x v="289"/>
    <d v="1899-12-30T20:05:09"/>
    <n v="2057"/>
    <x v="4"/>
    <x v="0"/>
    <n v="1033"/>
    <m/>
    <s v="Tanger/Casa"/>
    <n v="6.13"/>
    <x v="2"/>
    <s v="N2"/>
    <x v="0"/>
    <s v="* Etat H.O : HO Complete  entre 301 et 202_x000a_* qualité /niveau de signal : dl rx-qual=0, dl rx level = -54dbm_x000a_* Requête de déconnexion a été envoyé par le RBC_x000a_"/>
    <m/>
    <x v="0"/>
    <s v="En attente de mise en place des tiroires filtrés "/>
    <s v=" HO Complete entre 301 et 202"/>
    <s v="dl Rxqual=0"/>
    <s v="dl rx level= -54"/>
    <s v="NOK"/>
    <s v="OK"/>
    <s v="Mauvais"/>
    <s v="Pss Retransmission des trames HDLC*5"/>
    <m/>
    <s v="Fahd OUSSALH"/>
    <m/>
    <m/>
    <m/>
    <m/>
    <m/>
    <m/>
    <m/>
  </r>
  <r>
    <n v="876"/>
    <x v="0"/>
    <x v="289"/>
    <d v="1899-12-30T21:32:40"/>
    <n v="2061"/>
    <x v="9"/>
    <x v="0"/>
    <n v="1053"/>
    <m/>
    <s v="Tanger/Casa"/>
    <n v="133.07400000000001"/>
    <x v="10"/>
    <s v="N2"/>
    <x v="0"/>
    <s v="* Etat H.O : HO Complete  entre 222 et 323_x000a_* qualité /niveau de signal : dl rx-qual=4, dl rx level = -72dbm_x000a_* Requête de déconnexion a été envoyé par le RBC_x000a_"/>
    <m/>
    <x v="3"/>
    <s v="En attente de pousser les analyses coté RBC"/>
    <s v=" HO Complete entre 222 et 323"/>
    <s v="dl Rxqual=4"/>
    <s v="dl rx level= -72"/>
    <s v="OK"/>
    <s v="OK"/>
    <s v="Mauvais"/>
    <s v=" Retransmission des trames HDLC*5"/>
    <m/>
    <s v="ELHAJOUIA Achraf"/>
    <m/>
    <m/>
    <m/>
    <m/>
    <m/>
    <m/>
    <m/>
  </r>
  <r>
    <n v="877"/>
    <x v="0"/>
    <x v="290"/>
    <d v="1899-12-30T11:04:45"/>
    <n v="1014"/>
    <x v="5"/>
    <x v="1"/>
    <n v="1027"/>
    <m/>
    <s v="Casa/Tanger"/>
    <n v="7.3209999999999997"/>
    <x v="2"/>
    <s v="N2"/>
    <x v="0"/>
    <s v="* Etat H.O : HO Complete  entre 202 et 303_x000a_* qualité /niveau de signal : dl rx-qual=6, dl rx level = -74dbm_x000a_* Requête de déconnexion a été envoyé par le RBC_x000a_"/>
    <m/>
    <x v="0"/>
    <s v="En attente de mise en place des tiroires filtrés "/>
    <s v=" HO Complete entre 202 et 303"/>
    <s v="dl Rxqual=6"/>
    <s v="dl rx level= -74"/>
    <s v="OK"/>
    <s v="OK"/>
    <s v="Mauvais"/>
    <s v="retransmission des trames HDLC*5"/>
    <m/>
    <s v="Fahd OUSSALH"/>
    <m/>
    <m/>
    <m/>
    <m/>
    <m/>
    <m/>
    <m/>
  </r>
  <r>
    <n v="878"/>
    <x v="0"/>
    <x v="290"/>
    <d v="1899-12-30T16:50:23"/>
    <n v="1038"/>
    <x v="9"/>
    <x v="1"/>
    <n v="1035"/>
    <m/>
    <s v="Casa/Tanger"/>
    <n v="75.84"/>
    <x v="13"/>
    <s v="N2"/>
    <x v="0"/>
    <s v="* Etat H.O : HO complet entre 315 et 314_x000a_* qualité /niveau de signal : dl rx-qual=3, dl rx level = -63dbm_x000a_* Requête de déconnexion a été envoyé par le RBC_x000a_"/>
    <m/>
    <x v="0"/>
    <s v="En attente de mise en place des tiroires filtrés "/>
    <s v=" HO complet entre 315 et 314"/>
    <s v="dl Rxqual=3"/>
    <s v="dl rx level= -63"/>
    <s v="OK"/>
    <s v="OK"/>
    <s v="Mauvais"/>
    <s v="retransmission des trames HDLC*5"/>
    <m/>
    <s v="Saad Elhabib"/>
    <m/>
    <m/>
    <m/>
    <m/>
    <m/>
    <m/>
    <m/>
  </r>
  <r>
    <n v="879"/>
    <x v="0"/>
    <x v="290"/>
    <d v="1899-12-30T18:58:45"/>
    <n v="1045"/>
    <x v="11"/>
    <x v="1"/>
    <n v="1020"/>
    <m/>
    <s v="Casa/Tanger"/>
    <n v="28.396999999999998"/>
    <x v="7"/>
    <s v="N2"/>
    <x v="0"/>
    <s v="* Etat H.O : HO complet entre 307 et 306_x000a_* qualité /niveau de signal : dl rx-qual=0, dl rx level = -60dbm_x000a_* Requête de déconnexion a été envoyé par le RBC_x000a_"/>
    <m/>
    <x v="0"/>
    <s v="En attente de mise en place des tiroires filtrés "/>
    <s v="HO complet entre 307 et 306"/>
    <s v="dl Rxqual=0"/>
    <s v="dl rx level= -60"/>
    <s v="OK"/>
    <s v="OK"/>
    <s v="Mauvais"/>
    <s v="retransmission des trames HDLC*5"/>
    <m/>
    <s v="Saad Elhabib"/>
    <m/>
    <m/>
    <m/>
    <m/>
    <m/>
    <m/>
    <m/>
  </r>
  <r>
    <n v="880"/>
    <x v="0"/>
    <x v="290"/>
    <d v="1899-12-30T19:04:57"/>
    <n v="1046"/>
    <x v="11"/>
    <x v="1"/>
    <n v="1020"/>
    <m/>
    <s v="Casa/Tanger"/>
    <n v="7.3209999999999997"/>
    <x v="2"/>
    <s v="N2"/>
    <x v="1"/>
    <s v="* Etat H.O : HO non Finalisé entre 302 et 203_x000a_* qualité /niveau de signal : dl rx-qual=6, dl rx level = -53 dbm_x000a_* Requête de déconnexion a été envoyé par le BORD_x000a_"/>
    <m/>
    <x v="0"/>
    <s v="En attente de mise en place des tiroires filtrés "/>
    <s v="HO non Finalisé entre 302 et 203"/>
    <s v="dl Rxqual=6"/>
    <s v="dl rx level= -53"/>
    <s v="OK"/>
    <s v="OK"/>
    <s v="Mauvais"/>
    <s v="retransmission des trames HDLC*5"/>
    <m/>
    <s v="Saad Elhabib"/>
    <m/>
    <m/>
    <m/>
    <m/>
    <m/>
    <m/>
    <m/>
  </r>
  <r>
    <n v="881"/>
    <x v="0"/>
    <x v="291"/>
    <d v="1899-12-30T12:05:25"/>
    <n v="2025"/>
    <x v="6"/>
    <x v="0"/>
    <n v="1056"/>
    <m/>
    <s v="Tanger/Casa"/>
    <n v="6.13"/>
    <x v="2"/>
    <s v="N2"/>
    <x v="0"/>
    <s v="* Etat H.O : HO non finalisé entre 302 et 203_x000a_* qualité /niveau de signal : dl rx-qual=7, dl rx level = -52dbm_x000a_* Requête de déconnexion a été envoyé par le BORD_x000a_"/>
    <m/>
    <x v="0"/>
    <s v="En attente de mise en place des tiroires filtrés "/>
    <s v="HO non Finalisé entre 302 et 203"/>
    <s v="dl Rxqual=7"/>
    <s v="dl rx level= -52"/>
    <s v="OK"/>
    <s v="OK"/>
    <s v="Mauvais"/>
    <s v="retransmission des trames HDLC*5"/>
    <m/>
    <s v="HARIRI Bahaeddine"/>
    <m/>
    <m/>
    <m/>
    <m/>
    <m/>
    <m/>
    <m/>
  </r>
  <r>
    <n v="882"/>
    <x v="0"/>
    <x v="291"/>
    <d v="1899-12-30T14:02:20"/>
    <n v="1025"/>
    <x v="9"/>
    <x v="1"/>
    <n v="1035"/>
    <m/>
    <s v="Casa/Tanger"/>
    <n v="12.496"/>
    <x v="22"/>
    <s v="N2"/>
    <x v="0"/>
    <s v="* Etat H.O : HO non finalisé entre 204 et 303_x000a_* qualité /niveau de signal : dl rx-qual=0, dl rx level = -69dbm_x000a_* Requête de déconnexion a été envoyé par le BORD_x000a_"/>
    <m/>
    <x v="2"/>
    <s v="zone sous surveillence par le NOC/En attente de mise en place des tiroires filtrés "/>
    <s v="HO non finalisé entre 204 et 303"/>
    <s v="dl Rxqual=0"/>
    <s v="dl rx level= -69"/>
    <s v="NOK"/>
    <s v="OK"/>
    <s v="Mauvais"/>
    <s v="retransmission des trames HDLC*5"/>
    <m/>
    <s v="Saad Elhabib"/>
    <m/>
    <m/>
    <m/>
    <m/>
    <m/>
    <m/>
    <m/>
  </r>
  <r>
    <n v="883"/>
    <x v="0"/>
    <x v="291"/>
    <d v="1899-12-30T15:05:44"/>
    <n v="2037"/>
    <x v="9"/>
    <x v="0"/>
    <n v="1052"/>
    <m/>
    <s v="Tanger/Casa"/>
    <n v="6.13"/>
    <x v="2"/>
    <s v="N2"/>
    <x v="0"/>
    <s v="* Etat H.O : HO non finalisé entre 202 et 303_x000a_* qualité /niveau de signal : dl rx-qual=7, dl rx level = -110dbm_x000a_* Requête de déconnexion a été envoyé par le BORD_x000a_"/>
    <m/>
    <x v="0"/>
    <s v="En attente de mise en place des tiroires filtrés "/>
    <s v="HO non finalisé entre 202 et 303"/>
    <s v="dl Rxqual=7"/>
    <s v="dl rx level= -110"/>
    <s v="NOK"/>
    <s v="NOK"/>
    <s v="Mauvais"/>
    <s v="retransmission des trames HDLC*5"/>
    <m/>
    <s v="Saad Elhabib"/>
    <m/>
    <m/>
    <m/>
    <m/>
    <m/>
    <m/>
    <m/>
  </r>
  <r>
    <n v="884"/>
    <x v="0"/>
    <x v="291"/>
    <d v="1899-12-30T18:05:23"/>
    <n v="2049"/>
    <x v="6"/>
    <x v="0"/>
    <n v="1052"/>
    <m/>
    <s v="Tanger/Casa"/>
    <n v="6.13"/>
    <x v="2"/>
    <s v="N2"/>
    <x v="0"/>
    <s v="* Etat H.O : HO non finalisé entre 202 et 303_x000a_* qualité /niveau de signal : dl rx-qual=5, dl rx level = -52dbm_x000a_* Requête de déconnexion a été envoyé par le RBC_x000a_"/>
    <m/>
    <x v="0"/>
    <s v="En attente de mise en place des tiroires filtrés "/>
    <s v="HO non finalisé entre 202 et 303_x000a_"/>
    <s v="dl Rxqual=5"/>
    <s v="dl rx level= -52"/>
    <s v="NOK"/>
    <s v="OK"/>
    <s v="Mauvais"/>
    <s v="retransmission des trames HDLC*5"/>
    <m/>
    <s v="Saad Elhabib"/>
    <m/>
    <m/>
    <m/>
    <m/>
    <m/>
    <m/>
    <m/>
  </r>
  <r>
    <n v="885"/>
    <x v="0"/>
    <x v="292"/>
    <d v="1899-12-30T08:05:30"/>
    <n v="2009"/>
    <x v="3"/>
    <x v="0"/>
    <n v="1046"/>
    <m/>
    <s v="Tanger/Casa"/>
    <n v="6.13"/>
    <x v="2"/>
    <s v="N2"/>
    <x v="1"/>
    <s v="* Etat H.O : HO non finalisé entre 202 et 303_x000a_* qualité /niveau de signal : dl rx-qual=7, dl rx level = -57dbm_x000a_* Requête de déconnexion a été envoyé par le BORD_x000a_"/>
    <m/>
    <x v="0"/>
    <s v="En attente de mise en place des tiroires filtrés "/>
    <s v="HO non finalisé entre 202 et 303_x000a_"/>
    <s v="dl Rxqual=7"/>
    <s v="dl rx level= -57"/>
    <s v="OK"/>
    <s v="OK"/>
    <s v="Mauvais"/>
    <s v="Pss Retransmission des trames HDLC*5"/>
    <m/>
    <s v="HARIRI Bahaeddine"/>
    <m/>
    <m/>
    <m/>
    <m/>
    <m/>
    <m/>
    <m/>
  </r>
  <r>
    <n v="886"/>
    <x v="0"/>
    <x v="292"/>
    <d v="1899-12-30T09:01:56"/>
    <n v="1041"/>
    <x v="7"/>
    <x v="1"/>
    <n v="1041"/>
    <m/>
    <s v="Casa/Tanger"/>
    <n v="21.55"/>
    <x v="20"/>
    <s v="N2"/>
    <x v="0"/>
    <s v="* Etat H.O : HO complet  entre 306 et 305_x000a_* qualité /niveau de signal : dl rx-qual=0, dl rx level = -71dbm_x000a_* Requête de déconnexion a été envoyé par le RBC_x000a_"/>
    <m/>
    <x v="0"/>
    <s v="En attente de mise en place des tiroires filtrés "/>
    <s v="HO complet entre 306 et 305"/>
    <s v="dl Rxqual=0"/>
    <s v="dl rx level= -71"/>
    <s v="OK"/>
    <s v="OK"/>
    <s v="Mauvais"/>
    <s v="retransmission des trames HDLC*5"/>
    <m/>
    <s v="HARIRI Bahaeddine"/>
    <m/>
    <m/>
    <m/>
    <m/>
    <m/>
    <m/>
    <m/>
  </r>
  <r>
    <n v="887"/>
    <x v="0"/>
    <x v="292"/>
    <d v="1899-12-30T15:33:41"/>
    <n v="2037"/>
    <x v="5"/>
    <x v="0"/>
    <n v="1024"/>
    <m/>
    <s v="Tanger/Casa"/>
    <n v="135.52500000000001"/>
    <x v="10"/>
    <s v="N2"/>
    <x v="0"/>
    <s v="* Etat H.O : HO complet  entre 323 et 324_x000a_* qualité /niveau de signal : dl rx-qual=3 , dl rx level = -48dbm_x000a_* Requête de déconnexion a été envoyé par le RBC_x000a_"/>
    <m/>
    <x v="0"/>
    <s v="En attente de mise en place des tiroires filtrés "/>
    <s v="HO complet  entre 323 et 324"/>
    <s v="dl Rxqual=3"/>
    <s v="dl rx level= -48"/>
    <s v="OK"/>
    <s v="OK"/>
    <s v="Mauvais"/>
    <s v="retransmission des trames HDLC*5"/>
    <m/>
    <s v="Saad Elhabib"/>
    <m/>
    <m/>
    <m/>
    <m/>
    <m/>
    <m/>
    <m/>
  </r>
  <r>
    <n v="888"/>
    <x v="0"/>
    <x v="293"/>
    <d v="1899-12-30T06:05:29"/>
    <n v="2001"/>
    <x v="6"/>
    <x v="0"/>
    <n v="1057"/>
    <m/>
    <s v="Tanger/Casa"/>
    <n v="6.13"/>
    <x v="2"/>
    <s v="N2"/>
    <x v="1"/>
    <s v="* Etat H.O : HO complet  entre 201 et 202_x000a_* qualité /niveau de signal : dl rx-qual=0 , dl rx level = -60dbm_x000a_* Requête de déconnexion a été envoyé par le RBC_x000a_"/>
    <m/>
    <x v="0"/>
    <s v="En attente de mise en place des tiroires filtrés "/>
    <s v="HO complet  entre 201 et 202"/>
    <s v="dl Rxqual=0"/>
    <s v="dl rx level= -60"/>
    <s v="NOK"/>
    <s v="OK"/>
    <s v="Mauvais"/>
    <s v="retransmission des trames HDLC*5"/>
    <m/>
    <s v="Fahd OUSSALH"/>
    <m/>
    <m/>
    <m/>
    <m/>
    <m/>
    <m/>
    <m/>
  </r>
  <r>
    <n v="889"/>
    <x v="0"/>
    <x v="293"/>
    <d v="1899-12-30T12:35:36"/>
    <n v="2025"/>
    <x v="6"/>
    <x v="0"/>
    <n v="1057"/>
    <m/>
    <s v="Tanger/Casa"/>
    <n v="141.898"/>
    <x v="26"/>
    <s v="N2"/>
    <x v="0"/>
    <s v="* Etat H.O : HO complet  entre 224 et 225_x000a_* qualité /niveau de signal : dl rx-qual=0 , dl rx level = -48dbm_x000a_* Requête de déconnexion a été envoyé par le RBC_x000a_"/>
    <m/>
    <x v="3"/>
    <s v="En attente de pousser les analyses coté RBC"/>
    <s v="HO complet  entre 224 et 225"/>
    <s v="dl Rxqual=0"/>
    <s v="dl rx level= -48"/>
    <s v="OK"/>
    <s v="OK"/>
    <s v="Mauvais"/>
    <s v="Pss Retransmission des trames HDLC*5"/>
    <m/>
    <s v="HARIRI Bahaeddine"/>
    <m/>
    <m/>
    <m/>
    <m/>
    <m/>
    <m/>
    <m/>
  </r>
  <r>
    <n v="890"/>
    <x v="0"/>
    <x v="293"/>
    <d v="1899-12-30T16:35:06"/>
    <n v="2041"/>
    <x v="1"/>
    <x v="0"/>
    <n v="1029"/>
    <m/>
    <s v="Tanger/Casa"/>
    <n v="144.32599999999999"/>
    <x v="3"/>
    <s v="N2"/>
    <x v="1"/>
    <s v="* Etat H.O : HO complet  entre 224 et 225_x000a_* qualité /niveau de signal : dl rx-qual=0 , dl rx level = -65dbm_x000a_* Requête de déconnexion a été envoyé par le RBC_x000a_"/>
    <m/>
    <x v="3"/>
    <s v="En attente de pousser les analyses coté RBC"/>
    <s v="HO complet  entre 224 et 225"/>
    <s v="dl Rxqual=0"/>
    <s v="dl rx level= -65"/>
    <s v="OK"/>
    <s v="OK"/>
    <s v="Mauvais"/>
    <s v="Pss Retransmission des trames HDLC*5"/>
    <m/>
    <s v="Saad Elhabib"/>
    <m/>
    <m/>
    <m/>
    <m/>
    <m/>
    <m/>
    <m/>
  </r>
  <r>
    <n v="891"/>
    <x v="0"/>
    <x v="293"/>
    <d v="1899-12-30T17:31:05"/>
    <n v="1041"/>
    <x v="5"/>
    <x v="1"/>
    <n v="1027"/>
    <m/>
    <s v="Casa/Tanger"/>
    <n v="182.86500000000001"/>
    <x v="31"/>
    <s v="N2"/>
    <x v="1"/>
    <s v="* Etat H.O : HO complet  entre 332 et 331_x000a_* qualité /niveau de signal : dl rx-qual=0 , dl rx level = -50dbm_x000a_* Requête de déconnexion a été envoyé par le RBC_x000a_"/>
    <m/>
    <x v="0"/>
    <s v="En attente de mise en place des tiroires filtrés "/>
    <s v="HO complet  entre 332 et 331"/>
    <s v="dl Rxqual=0"/>
    <s v="dl rx level= -50"/>
    <s v="OK"/>
    <s v="OK"/>
    <s v="Mauvais"/>
    <s v="retransmission des trames HDLC*5"/>
    <m/>
    <s v="Saad Elhabib"/>
    <m/>
    <m/>
    <m/>
    <m/>
    <m/>
    <m/>
    <m/>
  </r>
  <r>
    <n v="892"/>
    <x v="0"/>
    <x v="293"/>
    <d v="1899-12-30T23:01:50"/>
    <n v="1062"/>
    <x v="6"/>
    <x v="1"/>
    <n v="1023"/>
    <m/>
    <s v="Casa/Tanger"/>
    <n v="16.29"/>
    <x v="22"/>
    <s v="N2"/>
    <x v="0"/>
    <s v="* Etat H.O : HO complet  entre 305 et 204_x000a_* qualité /niveau de signal : dl rx-qual=0 , dl rx level = -52dbm_x000a_* Requête de déconnexion a été envoyé par le RBC_x000a_"/>
    <m/>
    <x v="0"/>
    <s v="En attente de mise en place des tiroires filtrés "/>
    <s v="HO complet  entre 305 et 204"/>
    <s v="dl Rxqual=0"/>
    <s v="dl rx level= -52"/>
    <s v="OK"/>
    <s v="OK"/>
    <s v="Mauvais"/>
    <s v=" Retransmission des trames HDLC*5"/>
    <m/>
    <s v="Fahd OUSSALH"/>
    <m/>
    <m/>
    <m/>
    <m/>
    <m/>
    <m/>
    <m/>
  </r>
  <r>
    <n v="893"/>
    <x v="0"/>
    <x v="294"/>
    <d v="1899-12-30T09:21:32"/>
    <n v="2013"/>
    <x v="4"/>
    <x v="0"/>
    <n v="1023"/>
    <m/>
    <s v="Tanger/Casa"/>
    <n v="77.028000000000006"/>
    <x v="11"/>
    <s v="N2"/>
    <x v="0"/>
    <s v="* Etat H.O : HO complet  entre 213 et 214_x000a_* qualité /niveau de signal : dl rx-qual=0 , dl rx level = -55dbm_x000a_* Requête de déconnexion a été envoyé par le RBC_x000a_"/>
    <m/>
    <x v="0"/>
    <m/>
    <s v="HO complet  entre 213 et 214"/>
    <s v="dl Rxqual=0"/>
    <s v="dl rx level= -55"/>
    <s v="OK"/>
    <s v="OK"/>
    <s v="Mauvais"/>
    <s v=" Retransmission des trames HDLC*5"/>
    <m/>
    <s v="HARIRI Bahaeddine"/>
    <m/>
    <m/>
    <m/>
    <m/>
    <m/>
    <m/>
    <m/>
  </r>
  <r>
    <n v="894"/>
    <x v="0"/>
    <x v="294"/>
    <d v="1899-12-30T11:35:03"/>
    <n v="2021"/>
    <x v="7"/>
    <x v="0"/>
    <n v="1055"/>
    <m/>
    <s v="Tanger/Casa"/>
    <n v="145.6"/>
    <x v="3"/>
    <s v="N2"/>
    <x v="0"/>
    <s v="* Etat H.O : HO complet  entre 225 et 226_x000a_* qualité /niveau de signal : dl rx-qual=0 , dl rx level = -60dbm_x000a_* Requête de déconnexion a été envoyé par le RBC_x000a_"/>
    <m/>
    <x v="0"/>
    <m/>
    <s v="HO complet  entre 225 et 226"/>
    <s v="dl Rxqual=0"/>
    <s v="dl rx level= -60"/>
    <s v="OK"/>
    <s v="OK"/>
    <s v="Mauvais"/>
    <s v=" Retransmission des trames HDLC*5"/>
    <m/>
    <s v="HARIRI Bahaeddine"/>
    <m/>
    <m/>
    <m/>
    <m/>
    <m/>
    <m/>
    <m/>
  </r>
  <r>
    <n v="895"/>
    <x v="0"/>
    <x v="294"/>
    <d v="1899-12-30T12:30:04"/>
    <n v="2025"/>
    <x v="3"/>
    <x v="0"/>
    <n v="1046"/>
    <m/>
    <s v="Tanger/Casa"/>
    <n v="119.92700000000001"/>
    <x v="30"/>
    <s v="N2"/>
    <x v="0"/>
    <s v="* Etat H.O : HO complet  entre 220 et 221_x000a_* qualité /niveau de signal : dl rx-qual=0 , dl rx level = -48dbm_x000a_* Requête de déconnexion a été envoyé par le RBC_x000a_"/>
    <m/>
    <x v="0"/>
    <m/>
    <s v="HO complet  entre 220 et 221"/>
    <s v="dl Rxqual=0"/>
    <s v="dl rx level= -48"/>
    <s v="OK"/>
    <s v="OK"/>
    <s v="Mauvais"/>
    <s v=" Retransmission des trames HDLC*5"/>
    <m/>
    <s v="HARIRI Bahaeddine"/>
    <m/>
    <m/>
    <m/>
    <m/>
    <m/>
    <m/>
    <m/>
  </r>
  <r>
    <n v="896"/>
    <x v="0"/>
    <x v="295"/>
    <d v="1899-12-30T08:01:55"/>
    <n v="2076"/>
    <x v="6"/>
    <x v="1"/>
    <n v="1023"/>
    <m/>
    <s v="Casa/Tanger"/>
    <n v="7.3209999999999997"/>
    <x v="2"/>
    <s v="N2"/>
    <x v="0"/>
    <s v="* Etat H.O : HO complet  entre 303 et 202_x000a_* qualité /niveau de signal : dl rx-qual=0 , dl rx level = -58dbm_x000a_* Requête de déconnexion a été envoyé par le RBC_x000a_"/>
    <m/>
    <x v="0"/>
    <m/>
    <s v="HO complet  entre 303 et 202"/>
    <s v="dl Rxqual=0"/>
    <s v="dl rx level= -58"/>
    <s v="OK"/>
    <s v="OK"/>
    <s v="Mauvais"/>
    <s v=" Retransmission des trames HDLC*5"/>
    <m/>
    <s v="HARIRI Bahaeddine"/>
    <m/>
    <m/>
    <m/>
    <m/>
    <m/>
    <m/>
    <m/>
  </r>
  <r>
    <n v="897"/>
    <x v="0"/>
    <x v="295"/>
    <d v="1899-12-30T10:45:30"/>
    <n v="1014"/>
    <x v="4"/>
    <x v="1"/>
    <n v="1032"/>
    <m/>
    <s v="Casa/Tanger"/>
    <n v="94.953999999999994"/>
    <x v="8"/>
    <s v="N2"/>
    <x v="0"/>
    <s v="* Etat H.O : HO complet avec downlik quality entre 318 et 317_x000a_* qualité /niveau de signal : dl rx-qual=7 , dl rx level = -73dbm_x000a_* Requête de déconnexion a été envoyé par le RBC_x000a_"/>
    <m/>
    <x v="2"/>
    <m/>
    <s v="HO complet  entre 318 et 317"/>
    <s v="dl Rxqual=7"/>
    <s v="dl rx level= -73"/>
    <s v="OK"/>
    <s v="OK"/>
    <s v="Mauvais"/>
    <s v=" Retransmission des trames HDLC*5"/>
    <m/>
    <s v="HARIRI Bahaeddine"/>
    <m/>
    <m/>
    <m/>
    <m/>
    <m/>
    <m/>
    <m/>
  </r>
  <r>
    <n v="898"/>
    <x v="0"/>
    <x v="295"/>
    <d v="1899-12-30T14:35:16"/>
    <n v="2033"/>
    <x v="5"/>
    <x v="0"/>
    <n v="1025"/>
    <m/>
    <s v="Tanger/Casa"/>
    <n v="144.32599999999999"/>
    <x v="3"/>
    <s v="N2"/>
    <x v="1"/>
    <s v="* Etat H.O : HO complet  entre 224 et 225_x000a_* qualité /niveau de signal : dl rx-qual=0 , dl rx level = -68dbm_x000a_* Requête de déconnexion a été envoyé par le RBC_x000a_"/>
    <m/>
    <x v="3"/>
    <m/>
    <s v="HO complet  entre 224 et 225"/>
    <s v="dl Rxqual=0"/>
    <s v="dl rx level= -68"/>
    <s v="OK"/>
    <s v="OK"/>
    <s v="Mauvais"/>
    <s v=" Pas de Retransmission des trames HDLC"/>
    <m/>
    <s v="ELGUEZZAR Anas"/>
    <m/>
    <m/>
    <m/>
    <m/>
    <m/>
    <m/>
    <m/>
  </r>
  <r>
    <n v="899"/>
    <x v="0"/>
    <x v="296"/>
    <d v="1899-12-30T05:31:06"/>
    <n v="10071"/>
    <x v="9"/>
    <x v="0"/>
    <n v="1053"/>
    <m/>
    <s v="Tanger/Casa"/>
    <n v="80.47"/>
    <x v="11"/>
    <s v="N2"/>
    <x v="0"/>
    <s v="* Etat H.O : HO complet  entre 214 et 215_x000a_* qualité /niveau de signal : dl rx-qual=0 , dl rx level = -48dbm_x000a_* Requête de déconnexion a été envoyé par le RBC_x000a_"/>
    <m/>
    <x v="3"/>
    <m/>
    <s v="HO complet  entre 214 et 215"/>
    <s v="dl Rxqual=0"/>
    <s v="dl rx level= -48"/>
    <s v="OK"/>
    <s v="OK"/>
    <s v="Mauvais"/>
    <s v=" Pas de Retransmission des trames HDLC"/>
    <m/>
    <s v="Fahd OUSSALH"/>
    <m/>
    <m/>
    <m/>
    <m/>
    <m/>
    <m/>
    <m/>
  </r>
  <r>
    <n v="900"/>
    <x v="0"/>
    <x v="296"/>
    <d v="1899-12-30T09:26:29"/>
    <n v="2013"/>
    <x v="9"/>
    <x v="0"/>
    <n v="1052"/>
    <m/>
    <s v="Tanger/Casa"/>
    <n v="102.95"/>
    <x v="24"/>
    <s v="N2"/>
    <x v="0"/>
    <s v="* Etat H.O : HO non finalisé entre 218 et 219_x000a_* qualité /niveau de signal : dl rx-qual=0 , dl rx level = -52dbm_x000a_* Requête de déconnexion a été envoyé par le RBC_x000a_"/>
    <m/>
    <x v="2"/>
    <m/>
    <s v="HO non finalisé entre 218 et 219"/>
    <s v="dl Rxqual=0"/>
    <s v="dl rx level= -52"/>
    <s v="NOK"/>
    <s v="OK"/>
    <s v="Mauvais"/>
    <s v=" Retransmission des trames HDLC*5"/>
    <m/>
    <s v="Saad Elhabib"/>
    <m/>
    <m/>
    <m/>
    <m/>
    <m/>
    <m/>
    <m/>
  </r>
  <r>
    <n v="901"/>
    <x v="0"/>
    <x v="296"/>
    <d v="1899-12-30T15:34:48"/>
    <n v="2037"/>
    <x v="11"/>
    <x v="0"/>
    <n v="1049"/>
    <m/>
    <s v="Tanger/Casa"/>
    <n v="139.48099999999999"/>
    <x v="26"/>
    <s v="N2"/>
    <x v="0"/>
    <s v="* Etat H.O : HO complet entre 223 et 224_x000a_* qualité /niveau de signal : dl rx-qual=0 , dl rx level = -75dbm_x000a_* Requête de déconnexion a été envoyé par le RBC_x000a_"/>
    <m/>
    <x v="0"/>
    <m/>
    <s v="HO non finalisé entre 223 et 224"/>
    <s v="dl Rxqual=0"/>
    <s v="dl rx level= -75"/>
    <s v="OK"/>
    <s v="OK"/>
    <s v="Mauvais"/>
    <s v=" Pas de Retransmission des trames HDLC"/>
    <m/>
    <s v="ELGUEZZAR Anas"/>
    <m/>
    <m/>
    <m/>
    <m/>
    <m/>
    <m/>
    <m/>
  </r>
  <r>
    <n v="902"/>
    <x v="0"/>
    <x v="297"/>
    <d v="1899-12-30T08:50:08"/>
    <n v="1005"/>
    <x v="5"/>
    <x v="1"/>
    <n v="1026"/>
    <m/>
    <s v="Casa/Tanger"/>
    <n v="68.956000000000003"/>
    <x v="0"/>
    <s v="N2"/>
    <x v="0"/>
    <s v="* Etat H.O : HO non finalisé entre 213 et 312_x000a_* qualité /niveau de signal : dl rx-qual=3 , dl rx level = -64dbm_x000a_* Requête de déconnexion a été envoyé par le Bord_x000a_"/>
    <m/>
    <x v="0"/>
    <m/>
    <s v="HO non finalisé entre 213 et 312"/>
    <s v="dl Rxqual=3"/>
    <s v="dl rx level= -64"/>
    <s v="OK"/>
    <s v="OK"/>
    <s v="Mauvais"/>
    <s v=" Pas de Retransmission des trames HDLC"/>
    <m/>
    <s v="Noura MOUSSAOUI"/>
    <m/>
    <m/>
    <m/>
    <m/>
    <m/>
    <m/>
    <m/>
  </r>
  <r>
    <n v="903"/>
    <x v="0"/>
    <x v="297"/>
    <d v="1899-12-30T11:45:45"/>
    <n v="1017"/>
    <x v="0"/>
    <x v="1"/>
    <n v="1045"/>
    <m/>
    <s v="Casa/Tanger"/>
    <n v="94.953999999999994"/>
    <x v="8"/>
    <s v="N2"/>
    <x v="0"/>
    <s v="* Etat H.O :  HO non finalisé entre 318 et 317_x000a_* qualité /niveau de signal : dl rx-qual=7, dl rx level = -84dbm_x000a_* Requête de déconnexion a été envoyé par le RBC_x000a_"/>
    <m/>
    <x v="2"/>
    <m/>
    <s v=" HO non finalisé entre 318 et 317"/>
    <s v="dl Rxqual=7"/>
    <s v="dl rx level= -84"/>
    <s v="OK"/>
    <s v="OK"/>
    <s v="Mauvais"/>
    <s v=" Retransmission des trames HDLC*5"/>
    <m/>
    <s v="Noura MOUSSAOUI"/>
    <m/>
    <m/>
    <m/>
    <m/>
    <m/>
    <m/>
    <m/>
  </r>
  <r>
    <n v="904"/>
    <x v="0"/>
    <x v="297"/>
    <d v="1899-12-30T13:25:05"/>
    <n v="1025"/>
    <x v="3"/>
    <x v="1"/>
    <n v="1008"/>
    <m/>
    <s v="Casa/Tanger"/>
    <n v="202.125"/>
    <x v="5"/>
    <s v="N2"/>
    <x v="0"/>
    <s v="* Etat H.O :  HO complet avec downlink quality entre 99 et 233_x000a_* qualité /niveau de signal : dl rx-qual=0, dl rx level = -110dbm_x000a_* Requête de déconnexion a été envoyé par le RBC_x000a_"/>
    <m/>
    <x v="2"/>
    <m/>
    <s v="HO complet avec downlink quality entre 99 et 233"/>
    <s v="dl Rxqual=0"/>
    <s v="dl rx level= -110"/>
    <s v="OK"/>
    <s v="OK"/>
    <s v="Mauvais"/>
    <s v=" Retransmission des trames HDLC*5"/>
    <m/>
    <s v="Noura MOUSSAOUI"/>
    <m/>
    <m/>
    <m/>
    <m/>
    <m/>
    <m/>
    <m/>
  </r>
  <r>
    <n v="905"/>
    <x v="0"/>
    <x v="297"/>
    <d v="1899-12-30T16:35:25"/>
    <n v="2041"/>
    <x v="0"/>
    <x v="0"/>
    <n v="1037"/>
    <m/>
    <s v="Tanger/Casa"/>
    <n v="144.32599999999999"/>
    <x v="3"/>
    <s v="N2"/>
    <x v="1"/>
    <s v="* Etat H.O :  HO complet avec entre 224 et 225_x000a_* qualité /niveau de signal : dl rx-qual=1, dl rx level = -71dbm_x000a_* Requête de déconnexion a été envoyé par le RBC_x000a_"/>
    <m/>
    <x v="3"/>
    <m/>
    <s v="HO complet  entre 224 et 225"/>
    <s v="dl Rxqual=1"/>
    <s v="dl rx level= -71"/>
    <s v="OK"/>
    <s v="OK"/>
    <s v="Mauvais"/>
    <s v=" Pas de Retransmission des trames HDLC"/>
    <m/>
    <s v="ELGUEZZAR Anas"/>
    <m/>
    <m/>
    <m/>
    <m/>
    <m/>
    <m/>
    <m/>
  </r>
  <r>
    <n v="906"/>
    <x v="0"/>
    <x v="297"/>
    <d v="1899-12-30T18:04:01"/>
    <n v="1042"/>
    <x v="5"/>
    <x v="1"/>
    <n v="1027"/>
    <m/>
    <s v="Casa/Tanger"/>
    <n v="7.3209999999999997"/>
    <x v="2"/>
    <s v="N2"/>
    <x v="1"/>
    <s v="* Etat H.O :  HO complet avec entre 202 et 203_x000a_* qualité /niveau de signal : dl rx-qual=7, dl rx level = -70dbm_x000a_* Requête de déconnexion a été envoyé par le RBC_x000a_"/>
    <m/>
    <x v="0"/>
    <m/>
    <s v="HO complet  entre 202 et 203"/>
    <s v="dl Rxqual=7"/>
    <s v="dl rx level= -70"/>
    <s v="OK"/>
    <s v="OK"/>
    <s v="Mauvais"/>
    <s v=" Retransmission des trames HDLC*5"/>
    <m/>
    <s v="ELGUEZZAR Anas"/>
    <m/>
    <m/>
    <m/>
    <m/>
    <m/>
    <m/>
    <m/>
  </r>
  <r>
    <n v="907"/>
    <x v="0"/>
    <x v="297"/>
    <d v="1899-12-30T19:04:58"/>
    <n v="2053"/>
    <x v="11"/>
    <x v="0"/>
    <n v="1049"/>
    <m/>
    <s v="Tanger/Casa"/>
    <n v="6.13"/>
    <x v="2"/>
    <s v="N2"/>
    <x v="0"/>
    <s v="* Etat H.O :  HO complet avec entre 202 et 303_x000a_* qualité /niveau de signal : dl rx-qual=7, dl rx level = -62dbm_x000a_* Requête de déconnexion a été envoyé par le RBC_x000a_"/>
    <m/>
    <x v="0"/>
    <m/>
    <s v="HO complet  entre 202 et 303"/>
    <s v="dl Rxqual=7"/>
    <s v="dl rx level= -62"/>
    <s v="NOK"/>
    <s v="OK"/>
    <s v="Mauvais"/>
    <s v=" Retransmission des trames HDLC*5"/>
    <m/>
    <s v="ELGUEZZAR Anas"/>
    <m/>
    <m/>
    <m/>
    <m/>
    <m/>
    <m/>
    <m/>
  </r>
  <r>
    <n v="908"/>
    <x v="0"/>
    <x v="297"/>
    <d v="1899-12-30T19:09:15"/>
    <n v="2053"/>
    <x v="11"/>
    <x v="0"/>
    <n v="1048"/>
    <m/>
    <s v="Tanger/Casa"/>
    <n v="11.28"/>
    <x v="22"/>
    <s v="N2"/>
    <x v="0"/>
    <s v="* Etat H.O :  absence des traces radio_x000a_* qualité /niveau de signal : dl rx-qual=0, dl rx level = -75dbm_x000a_* Requête de déconnexion a été envoyé par le RBC_x000a_"/>
    <m/>
    <x v="0"/>
    <m/>
    <s v="absence des traces radio"/>
    <s v="dl Rxqual=0"/>
    <s v="dl rx level= -75"/>
    <s v="absence des traces radio"/>
    <s v="OK"/>
    <s v="Mauvais"/>
    <s v=" Retransmission des trames HDLC*5"/>
    <m/>
    <s v="ELGUEZZAR Anas"/>
    <m/>
    <m/>
    <m/>
    <m/>
    <m/>
    <m/>
    <m/>
  </r>
  <r>
    <n v="909"/>
    <x v="0"/>
    <x v="298"/>
    <s v="09:49:49 "/>
    <n v="1009"/>
    <x v="4"/>
    <x v="1"/>
    <n v="1032"/>
    <m/>
    <s v="Casa/Tanger"/>
    <n v="12.28"/>
    <x v="22"/>
    <s v="N2"/>
    <x v="0"/>
    <s v="* Etat H.O : HO non finalisé entre 318 et 317_x000a_* qualité /niveau de signal : dl rx-qual=7, dl rx level = -80dbm_x000a_* Requête de déconnexion a été envoyé par le RBC_x000a_"/>
    <m/>
    <x v="0"/>
    <m/>
    <s v="HO non finalisé entre 318 et 317"/>
    <s v="dl Rxqual=7"/>
    <s v="dl rx level= -70"/>
    <s v="OK"/>
    <s v="OK"/>
    <s v="Mauvais"/>
    <s v=" Retransmission des trames HDLC*5"/>
    <m/>
    <s v="Noura MOUSSAOUI"/>
    <m/>
    <m/>
    <m/>
    <m/>
    <m/>
    <m/>
    <m/>
  </r>
  <r>
    <n v="910"/>
    <x v="0"/>
    <x v="298"/>
    <s v="12:27:15 "/>
    <n v="1021"/>
    <x v="1"/>
    <x v="1"/>
    <n v="3063"/>
    <m/>
    <s v="Casa/Tanger"/>
    <n v="182.86500000000001"/>
    <x v="31"/>
    <s v="N2"/>
    <x v="0"/>
    <s v="* Etat H.O : HO complet entre 332 et 331_x000a_* qualité /niveau de signal : dl rx-qual=0, dl rx level = -60dbm_x000a_* Requête de déconnexion a été envoyé par le RBC_x000a_"/>
    <m/>
    <x v="0"/>
    <m/>
    <s v="HO complet entre 332 et 331"/>
    <s v="dl Rxqual=0"/>
    <s v="dl rx level= -60"/>
    <s v="OK"/>
    <s v="NOK"/>
    <s v="Mauvais"/>
    <s v=" Retransmission des trames HDLC*5"/>
    <m/>
    <s v="Noura MOUSSAOUI"/>
    <m/>
    <m/>
    <m/>
    <m/>
    <m/>
    <m/>
    <m/>
  </r>
  <r>
    <n v="911"/>
    <x v="0"/>
    <x v="298"/>
    <d v="1899-12-30T13:48:16"/>
    <n v="1025"/>
    <x v="8"/>
    <x v="1"/>
    <n v="1031"/>
    <m/>
    <s v="Casa/Tanger"/>
    <n v="94.953999999999994"/>
    <x v="8"/>
    <s v="N2"/>
    <x v="0"/>
    <s v="* Etat H.O : HO non complet entre 318 et 317_x000a_* qualité /niveau de signal : dl rx-qual=7, dl rx level = -84dbm_x000a_* Requête de déconnexion a été envoyé par le RBC_x000a_"/>
    <m/>
    <x v="2"/>
    <m/>
    <s v="HO non complet entre 318 et 317"/>
    <s v="dl Rxqual=0"/>
    <s v="dl rx level= -84"/>
    <s v="OK"/>
    <s v="OK"/>
    <s v="Mauvais"/>
    <s v=" Retransmission des trames HDLC*5"/>
    <m/>
    <s v="ELGUEZZAR Anas"/>
    <m/>
    <m/>
    <m/>
    <m/>
    <m/>
    <m/>
    <m/>
  </r>
  <r>
    <n v="912"/>
    <x v="0"/>
    <x v="299"/>
    <d v="1899-12-30T06:30:46"/>
    <n v="1025"/>
    <x v="4"/>
    <x v="0"/>
    <n v="1058"/>
    <m/>
    <s v="Tanger/Casa"/>
    <n v="121.232"/>
    <x v="30"/>
    <s v="N2"/>
    <x v="0"/>
    <s v="* Etat H.O : HO  complet entre 221 et 222_x000a_* qualité /niveau de signal : dl rx-qual=3, dl rx level = -79dbm_x000a_* Requête de déconnexion a été envoyé par le RBC_x000a_"/>
    <m/>
    <x v="0"/>
    <m/>
    <s v="HO non complet entre 221 et 222"/>
    <s v="dl Rxqual=3"/>
    <s v="dl rx level= -79"/>
    <s v="OK"/>
    <s v="OK"/>
    <s v="Mauvais"/>
    <s v=" Retransmission des trames HDLC*5"/>
    <m/>
    <s v="HARIRI Bahaeddine"/>
    <m/>
    <m/>
    <m/>
    <m/>
    <m/>
    <m/>
    <m/>
  </r>
  <r>
    <n v="913"/>
    <x v="0"/>
    <x v="299"/>
    <d v="1899-12-30T08:48:18"/>
    <n v="1005"/>
    <x v="11"/>
    <x v="1"/>
    <n v="1072"/>
    <m/>
    <s v="Casa/Tanger"/>
    <n v="94.953999999999994"/>
    <x v="8"/>
    <s v="N2"/>
    <x v="0"/>
    <s v="* Etat H.O : HO non finalisé entre 318 et 317_x000a_* qualité /niveau de signal : dl rx-qual=7, dl rx level = -83dbm_x000a_* Requête de déconnexion a été envoyé par le RBC_x000a_"/>
    <m/>
    <x v="2"/>
    <m/>
    <s v="HO non finalisé entre 318 et 317"/>
    <s v="dl Rxqual=7"/>
    <s v="dl rx level= -83"/>
    <s v="OK"/>
    <s v="OK"/>
    <s v="Mauvais"/>
    <s v=" Retransmission des trames HDLC*5"/>
    <m/>
    <s v="Noura MOUSSAOUI"/>
    <m/>
    <m/>
    <m/>
    <m/>
    <m/>
    <m/>
    <m/>
  </r>
  <r>
    <n v="914"/>
    <x v="0"/>
    <x v="299"/>
    <d v="1899-12-30T10:16:06"/>
    <n v="2017"/>
    <x v="11"/>
    <x v="0"/>
    <n v="1073"/>
    <m/>
    <s v="Tanger/Casa"/>
    <n v="52.289000000000001"/>
    <x v="29"/>
    <s v="N2"/>
    <x v="0"/>
    <s v="* Etat H.O : HO complet entre 208 et 209_x000a_* qualité /niveau de signal : dl rx-qual=1, dl rx level = -67dbm_x000a_* Requête de déconnexion a été envoyé par le RBC_x000a_"/>
    <m/>
    <x v="0"/>
    <m/>
    <s v="HO complet entre 208 et 209"/>
    <s v="dl Rxqual=1"/>
    <s v="dl rx level= -67"/>
    <s v="OK"/>
    <s v="OK"/>
    <s v="Mauvais"/>
    <s v=" Retransmission des trames HDLC*5"/>
    <m/>
    <s v="Noura MOUSSAOUI"/>
    <m/>
    <m/>
    <m/>
    <m/>
    <m/>
    <m/>
    <m/>
  </r>
  <r>
    <n v="915"/>
    <x v="0"/>
    <x v="299"/>
    <d v="1899-12-30T11:35:33"/>
    <n v="2021"/>
    <x v="5"/>
    <x v="0"/>
    <n v="1025"/>
    <m/>
    <s v="Tanger/Casa"/>
    <n v="53.289000000000001"/>
    <x v="29"/>
    <s v="N2"/>
    <x v="0"/>
    <s v="* Etat H.O : HO complet entre 224 et 225_x000a_* qualité /niveau de signal : dl rx-qual=0, dl rx level = -61dbm_x000a_* Requête de déconnexion a été envoyé par le RBC_x000a_"/>
    <m/>
    <x v="0"/>
    <m/>
    <s v="HO complet entre 224 et 225"/>
    <s v="dl Rxqual=0"/>
    <s v="dl rx level= -61"/>
    <s v="OK"/>
    <s v="OK"/>
    <s v="Mauvais"/>
    <s v=" Retransmission des trames HDLC*5"/>
    <m/>
    <s v="Noura MOUSSAOUI"/>
    <m/>
    <m/>
    <m/>
    <m/>
    <m/>
    <m/>
    <m/>
  </r>
  <r>
    <n v="916"/>
    <x v="0"/>
    <x v="299"/>
    <d v="1899-12-30T15:44:50"/>
    <n v="2037"/>
    <x v="9"/>
    <x v="0"/>
    <n v="1023"/>
    <m/>
    <s v="Tanger/Casa"/>
    <n v="186.315"/>
    <x v="19"/>
    <s v="N2"/>
    <x v="0"/>
    <s v="* Etat H.O : HO complet entre 231 et 232_x000a_* qualité /niveau de signal : dl rx-qual=1, dl rx level = -50dbm_x000a_* Requête de déconnexion a été envoyé par le RBC_x000a_"/>
    <m/>
    <x v="0"/>
    <m/>
    <s v="HO complet entre 231 et 232"/>
    <s v="dl Rxqual=1"/>
    <s v="dl rx level= -50"/>
    <s v="OK"/>
    <s v="OK"/>
    <s v="Mauvais"/>
    <s v=" Retransmission des trames HDLC*5"/>
    <m/>
    <s v="Saad Elhabib"/>
    <m/>
    <m/>
    <m/>
    <m/>
    <m/>
    <m/>
    <m/>
  </r>
  <r>
    <n v="917"/>
    <x v="0"/>
    <x v="299"/>
    <d v="1899-12-30T16:49:36"/>
    <n v="1038"/>
    <x v="4"/>
    <x v="1"/>
    <n v="1033"/>
    <m/>
    <s v="Casa/Tanger"/>
    <n v="74.712999999999994"/>
    <x v="13"/>
    <s v="N2"/>
    <x v="0"/>
    <s v="* Etat H.O : HO non finalisé entre 314 et 213_x000a_* qualité /niveau de signal : dl rx-qual=0, dl rx level = -64dbm_x000a_* Requête de déconnexion a été envoyé par le Bord_x000a_"/>
    <m/>
    <x v="0"/>
    <m/>
    <s v="HO non finalisé entre 314 et 213"/>
    <s v="dl Rxqual=0"/>
    <s v="dl rx level= -64"/>
    <s v="NOK"/>
    <s v="OK"/>
    <s v="Mauvais"/>
    <s v=" Retransmission des trames HDLC*5"/>
    <m/>
    <s v="Saad Elhabib"/>
    <m/>
    <m/>
    <m/>
    <m/>
    <m/>
    <m/>
    <m/>
  </r>
  <r>
    <n v="918"/>
    <x v="0"/>
    <x v="299"/>
    <d v="1899-12-30T19:34:31"/>
    <n v="1049"/>
    <x v="9"/>
    <x v="1"/>
    <n v="1034"/>
    <m/>
    <s v="Casa/Tanger"/>
    <n v="152.488"/>
    <x v="18"/>
    <s v="N2"/>
    <x v="0"/>
    <s v="* Etat H.O : HO non finalisé entre 227 et 326_x000a_* qualité /niveau de signal : dl rx-qual=2, dl rx level = -60dbm_x000a_* Requête de déconnexion a été envoyé par le Bord_x000a_"/>
    <m/>
    <x v="0"/>
    <m/>
    <s v="HO non finalisé entre 227 et 326"/>
    <s v="dl Rxqual=2"/>
    <s v="dl rx level= -60"/>
    <s v="NOK"/>
    <s v="OK"/>
    <s v="Mauvais"/>
    <s v=" Retransmission des trames HDLC*5"/>
    <m/>
    <s v="Saad Elhabib"/>
    <m/>
    <m/>
    <m/>
    <m/>
    <m/>
    <m/>
    <m/>
  </r>
  <r>
    <n v="919"/>
    <x v="0"/>
    <x v="300"/>
    <d v="1899-12-30T08:08:00"/>
    <n v="2009"/>
    <x v="2"/>
    <x v="0"/>
    <n v="7217"/>
    <m/>
    <s v="Tanger/Casa"/>
    <n v="13.712999999999999"/>
    <x v="22"/>
    <s v="N2"/>
    <x v="0"/>
    <s v="* Etat H.O : HO finalisé entre 203 et 204_x000a_* qualité /niveau de signal : dl rx-qual=0, dl rx level = -54dbm_x000a_* Requête de déconnexion a été envoyé par le RBC_x000a_"/>
    <m/>
    <x v="0"/>
    <m/>
    <s v="HO finalisé entre 203 et 204"/>
    <s v="dl Rxqual=0"/>
    <s v="dl rx level= -54"/>
    <s v="OK"/>
    <s v="OK"/>
    <s v="Mauvais"/>
    <s v=" Retransmission des trames HDLC*5"/>
    <m/>
    <s v="Saad Elhabib"/>
    <m/>
    <m/>
    <m/>
    <m/>
    <m/>
    <m/>
    <m/>
  </r>
  <r>
    <n v="920"/>
    <x v="0"/>
    <x v="300"/>
    <d v="1899-12-30T08:38:12"/>
    <n v="1005"/>
    <x v="4"/>
    <x v="1"/>
    <n v="1033"/>
    <m/>
    <s v="Casa/Tanger"/>
    <n v="131.78899999999999"/>
    <x v="10"/>
    <s v="N2"/>
    <x v="0"/>
    <s v="* Etat H.O : HO finalisé entre 324 et 323_x000a_* qualité /niveau de signal : dl rx-qual=2, dl rx level = -48dbm_x000a_* Requête de déconnexion a été envoyé par le RBC_x000a_"/>
    <m/>
    <x v="0"/>
    <m/>
    <s v=" HO finalisé entre 324 et 323"/>
    <s v="dl Rxqual=2"/>
    <s v="dl rx level= -48"/>
    <s v="OK"/>
    <s v="OK"/>
    <s v="Mauvais"/>
    <s v=" Retransmission des trames HDLC*5"/>
    <m/>
    <s v="Saad Elhabib"/>
    <m/>
    <m/>
    <m/>
    <m/>
    <m/>
    <m/>
    <m/>
  </r>
  <r>
    <n v="921"/>
    <x v="0"/>
    <x v="300"/>
    <d v="1899-12-30T19:35:03"/>
    <n v="2053"/>
    <x v="11"/>
    <x v="0"/>
    <n v="1033"/>
    <m/>
    <s v="Casa/Tanger"/>
    <n v="144.32599999999999"/>
    <x v="3"/>
    <s v="N2"/>
    <x v="1"/>
    <s v="* Etat H.O : HO complet entre 224 et 225_x000a_* qualité /niveau de signal : dl rx-qual=0, dl rx level = -69dbm_x000a_* Requête de déconnexion a été envoyé par le RBC_x000a_"/>
    <m/>
    <x v="3"/>
    <m/>
    <s v=" HO complete entre 224et 225"/>
    <s v="dl Rxqual=0"/>
    <s v="dl rx level= -69"/>
    <s v="OK"/>
    <s v="OK"/>
    <s v="Mauvais"/>
    <s v="pas de retransmission des trames HDLC"/>
    <m/>
    <s v="MAROUANI Otmane"/>
    <m/>
    <m/>
    <m/>
    <m/>
    <m/>
    <m/>
    <m/>
  </r>
  <r>
    <n v="922"/>
    <x v="0"/>
    <x v="300"/>
    <d v="1899-12-30T23:04:37"/>
    <n v="1062"/>
    <x v="11"/>
    <x v="0"/>
    <n v="1026"/>
    <m/>
    <s v="Tanger/Casa"/>
    <n v="7.3209999999999997"/>
    <x v="2"/>
    <s v="N2"/>
    <x v="0"/>
    <s v="* Etat H.O : HO non finalisé entre 303 et 202_x000a_* qualité /niveau de signal : dl rx-qual=7, dl rx level = -59dbm_x000a_* Requête de déconnexion a été envoyé par le RBC_x000a_"/>
    <m/>
    <x v="0"/>
    <m/>
    <s v=" HO non finalisé entre 303 et 202"/>
    <s v="dl Rxqual=7"/>
    <s v="dl rx level= -59"/>
    <s v="OK"/>
    <s v="OK"/>
    <s v="Mauvais"/>
    <s v="pas de retransmission des trames HDLC"/>
    <m/>
    <s v="HARIRI Bahaeddine"/>
    <m/>
    <m/>
    <m/>
    <m/>
    <m/>
    <m/>
    <m/>
  </r>
  <r>
    <n v="923"/>
    <x v="0"/>
    <x v="301"/>
    <d v="1899-12-30T04:34:13"/>
    <n v="1062"/>
    <x v="11"/>
    <x v="0"/>
    <n v="7218"/>
    <m/>
    <s v="Tanger/Casa"/>
    <n v="75.84"/>
    <x v="13"/>
    <s v="N2"/>
    <x v="0"/>
    <s v="* Etat H.O : HO complet entre 213 et 214_x000a_* qualité /niveau de signal : dl rx-qual=0, dl rx level = -63dbm_x000a_* Requête de déconnexion a été envoyé par le RBC_x000a_"/>
    <m/>
    <x v="3"/>
    <s v="En attente de pousser les analyses coté RBC"/>
    <s v=" HO finalisé entre 213 et 214"/>
    <s v="dl Rxqual=0"/>
    <s v="dl rx level= -63"/>
    <s v="OK"/>
    <s v="OK"/>
    <s v="Mauvais"/>
    <s v="pas de retransmission des trames HDLC"/>
    <m/>
    <s v="HARIRI Bahaeddine"/>
    <m/>
    <m/>
    <m/>
    <m/>
    <m/>
    <m/>
    <m/>
  </r>
  <r>
    <n v="924"/>
    <x v="0"/>
    <x v="301"/>
    <d v="1899-12-30T09:46:31"/>
    <n v="1009"/>
    <x v="0"/>
    <x v="1"/>
    <n v="1045"/>
    <m/>
    <s v="Casa/Tanger"/>
    <n v="90.108000000000004"/>
    <x v="12"/>
    <s v="N2"/>
    <x v="0"/>
    <s v="* Etat H.O : HO complet entre 317 et 316_x000a_* qualité /niveau de signal : dl rx-qual=0, dl rx level = -56dbm_x000a_* Requête de déconnexion a été envoyé par le RBC_x000a_"/>
    <m/>
    <x v="0"/>
    <s v="En attente de mise en place des tiroires filtrés"/>
    <s v="HO complet entre 317 et 316"/>
    <s v="dl Rxqual=0"/>
    <s v="dl rx level= -56"/>
    <s v="OK"/>
    <s v="OK"/>
    <s v="Mauvais"/>
    <s v=" Retransmission des trames HDLC*5"/>
    <m/>
    <s v="Noura MOUSSAOUI"/>
    <m/>
    <m/>
    <m/>
    <m/>
    <m/>
    <m/>
    <m/>
  </r>
  <r>
    <n v="925"/>
    <x v="0"/>
    <x v="301"/>
    <d v="1899-12-30T10:30:29"/>
    <n v="1013"/>
    <x v="4"/>
    <x v="1"/>
    <n v="1032"/>
    <m/>
    <s v="Casa/Tanger"/>
    <n v="170.298"/>
    <x v="27"/>
    <s v="N2"/>
    <x v="0"/>
    <s v="* Etat H.O :  HO complet entre 330 et 329_x000a_* qualité /niveau de signal : dl rx-qual=0, dl rx level = -48dbm_x000a_* Requête de déconnexion a été envoyé par le RBC_x000a_"/>
    <m/>
    <x v="0"/>
    <s v="En attente de mise en place des tiroires filtrés"/>
    <s v=": HO complet entre 330 et 329"/>
    <s v="dl Rxqual=0"/>
    <s v="dl rx level= -48"/>
    <s v="OK"/>
    <s v="OK"/>
    <s v="Mauvais"/>
    <s v=" Retransmission des trames HDLC*5"/>
    <m/>
    <s v="Noura MOUSSAOUI"/>
    <m/>
    <m/>
    <m/>
    <m/>
    <m/>
    <m/>
    <m/>
  </r>
  <r>
    <n v="926"/>
    <x v="0"/>
    <x v="301"/>
    <d v="1899-12-30T12:05:49"/>
    <n v="2025"/>
    <x v="4"/>
    <x v="0"/>
    <n v="7208"/>
    <m/>
    <s v="Tanger/Casa"/>
    <n v="6.13"/>
    <x v="2"/>
    <s v="N2"/>
    <x v="1"/>
    <s v="* Etat H.O :HO non finalisé entre 202 et 203_x000a_* qualité /niveau de signal : dl rx-qual=7, dl rx level = -53dbm_x000a_* Requête de déconnexion a été envoyé par le RBC_x000a_"/>
    <m/>
    <x v="0"/>
    <s v="En attente de mise en place des tiroires filtrés"/>
    <s v=": HO complet entre 330 et 329"/>
    <s v="dl Rxqual=7"/>
    <s v="dl rx level= -53"/>
    <s v="NOK"/>
    <s v="OK"/>
    <s v="Mauvais"/>
    <s v=" Retransmission des trames HDLC*5"/>
    <m/>
    <s v="Noura MOUSSAOUI"/>
    <m/>
    <m/>
    <m/>
    <m/>
    <m/>
    <m/>
    <m/>
  </r>
  <r>
    <n v="927"/>
    <x v="0"/>
    <x v="301"/>
    <d v="1899-12-30T12:47:28"/>
    <n v="1021"/>
    <x v="2"/>
    <x v="1"/>
    <n v="1061"/>
    <m/>
    <s v="Tanger/Casa"/>
    <n v="94.953999999999994"/>
    <x v="8"/>
    <s v="N2"/>
    <x v="0"/>
    <s v="* Etat H.O :HO complet entre 318 et 317_x000a_* qualité /niveau de signal : dl rx-qual=0, dl rx level = -48dbm_x000a_* Requête de déconnexion a été envoyé par le RBC_x000a_"/>
    <m/>
    <x v="0"/>
    <s v="En attente de mise en place des tiroires filtrés"/>
    <s v="HO complet entre 318 et 317"/>
    <s v="dl Rxqual=0"/>
    <s v="dl rx level= -48"/>
    <s v="OK"/>
    <s v="OK"/>
    <s v="Mauvais"/>
    <s v=" Retransmission des trames HDLC*5"/>
    <m/>
    <s v="Noura MOUSSAOUI"/>
    <m/>
    <m/>
    <m/>
    <m/>
    <m/>
    <m/>
    <m/>
  </r>
  <r>
    <n v="928"/>
    <x v="0"/>
    <x v="301"/>
    <d v="1899-12-30T15:05:53"/>
    <n v="2045"/>
    <x v="0"/>
    <x v="0"/>
    <n v="1036"/>
    <m/>
    <s v="Tanger/Casa"/>
    <n v="6.13"/>
    <x v="2"/>
    <s v="N2"/>
    <x v="1"/>
    <s v="* Etat H.O :HO non complet entre 202 et 203_x000a_* qualité /niveau de signal : dl rx-qual=7, dl rx level = -53dbm_x000a_* Requête de déconnexion a été envoyé par le RBC_x000a_"/>
    <m/>
    <x v="0"/>
    <s v="En attente de mise en place des tiroires filtrés"/>
    <s v="HO non complet entre 202 et 203"/>
    <s v="dl Rxqual=7"/>
    <s v="dl rx level= -53"/>
    <s v="NOK"/>
    <s v="OK"/>
    <s v="Mauvais"/>
    <s v=" Retransmission des trames HDLC*5"/>
    <m/>
    <s v="ELGUEZZAR Anas"/>
    <m/>
    <m/>
    <m/>
    <m/>
    <m/>
    <m/>
    <m/>
  </r>
  <r>
    <n v="929"/>
    <x v="0"/>
    <x v="302"/>
    <d v="1899-12-30T08:03:30"/>
    <n v="10075"/>
    <x v="1"/>
    <x v="1"/>
    <n v="3062"/>
    <m/>
    <s v="Casa/Tanger"/>
    <n v="7.3209999999999997"/>
    <x v="2"/>
    <s v="N2"/>
    <x v="0"/>
    <s v="* Etat H.O :HO non finalisé entre 203 et 202_x000a_* qualité /niveau de signal : dl rx-qual=7, dl rx level = -67dbm_x000a_* Requête de déconnexion a été envoyé par le RBC_x000a_"/>
    <m/>
    <x v="0"/>
    <s v="En attente de mise en place des tiroires filtrés"/>
    <s v=" HO non finalisé entre 203 et 202"/>
    <s v="dl Rxqual=7"/>
    <s v="dl rx level= -67"/>
    <s v="OK"/>
    <s v="OK"/>
    <s v="Mauvais"/>
    <s v=" Retransmission des trames HDLC*5"/>
    <m/>
    <s v="ELHAJOUIA Achraf"/>
    <m/>
    <m/>
    <m/>
    <m/>
    <m/>
    <m/>
    <m/>
  </r>
  <r>
    <n v="930"/>
    <x v="0"/>
    <x v="303"/>
    <d v="1899-12-30T11:35:24"/>
    <n v="2021"/>
    <x v="4"/>
    <x v="0"/>
    <n v="1058"/>
    <m/>
    <s v="Tanger/Casa"/>
    <n v="146.738"/>
    <x v="3"/>
    <s v="N2"/>
    <x v="0"/>
    <s v="* Etat H.O :HO complet entre 225 et 226_x000a_* qualité /niveau de signal : dl rx-qual=3, dl rx level = -68dbm_x000a_* Requête de déconnexion a été envoyé par le RBC_x000a_"/>
    <m/>
    <x v="0"/>
    <s v="En attente de mise en place des tiroires filtrés"/>
    <s v=" HO Complete  entre 225 et 226"/>
    <s v="dl Rxqual=3"/>
    <s v="dl rx level= -68"/>
    <s v="OK"/>
    <s v="OK"/>
    <s v="Mauvais"/>
    <s v=" Retransmission des trames HDLC*5"/>
    <m/>
    <s v="ELHAJOUIA Achraf"/>
    <m/>
    <m/>
    <m/>
    <m/>
    <m/>
    <m/>
    <m/>
  </r>
  <r>
    <n v="931"/>
    <x v="0"/>
    <x v="303"/>
    <d v="1899-12-30T13:33:33"/>
    <n v="1025"/>
    <x v="2"/>
    <x v="1"/>
    <n v="1060"/>
    <m/>
    <s v="Casa/Tanger"/>
    <n v="152.488"/>
    <x v="18"/>
    <s v="N2"/>
    <x v="0"/>
    <s v="* Etat H.O :HO non finalisé entre 227 et 326_x000a_* qualité /niveau de signal : dl rx-qual=3, dl rx level = -62dbm_x000a_* Requête de déconnexion a été envoyé par le bord_x000a_"/>
    <m/>
    <x v="2"/>
    <s v="zone sous surveillence par le NOC/En attente de mise en place des tiroires filtrés "/>
    <s v=" HO non finalisé entre 227 et 326"/>
    <s v="dl Rxqual=3"/>
    <s v="dl rx level= -62"/>
    <s v="OK"/>
    <s v="OK"/>
    <s v="Mauvais"/>
    <s v=" Retransmission des trames HDLC*5"/>
    <m/>
    <s v="ELHAJOUIA Achraf"/>
    <m/>
    <m/>
    <m/>
    <m/>
    <m/>
    <m/>
    <m/>
  </r>
  <r>
    <n v="932"/>
    <x v="0"/>
    <x v="303"/>
    <d v="1899-12-30T18:47:33"/>
    <n v="2049"/>
    <x v="6"/>
    <x v="0"/>
    <n v="7206"/>
    <m/>
    <s v="Tanger/Casa"/>
    <n v="185.82499999999999"/>
    <x v="19"/>
    <s v="N2"/>
    <x v="0"/>
    <s v="* Etat H.O :HO non finalisé entre 230 et 231_x000a_* qualité /niveau de signal : dl rx-qual=0, dl rx level = -55dbm_x000a_* Requête de déconnexion a été envoyé par le RBC_x000a_"/>
    <m/>
    <x v="2"/>
    <s v="zone sous surveillence par le NOC/En attente de mise en place des tiroires filtrés "/>
    <s v=" HO non finalisé entre 230 et 231"/>
    <s v="dl Rxqual=0"/>
    <s v="dl rx level= -55"/>
    <s v="OK"/>
    <s v="OK"/>
    <s v="Mauvais"/>
    <s v=" Retransmission des trames HDLC*5"/>
    <m/>
    <s v="Fahd OUSSALH"/>
    <m/>
    <m/>
    <m/>
    <m/>
    <m/>
    <m/>
    <m/>
  </r>
  <r>
    <n v="933"/>
    <x v="0"/>
    <x v="303"/>
    <d v="1899-12-30T21:07:24"/>
    <n v="1053"/>
    <x v="7"/>
    <x v="1"/>
    <n v="1040"/>
    <m/>
    <s v="Casa/Tanger"/>
    <n v="7.3209999999999997"/>
    <x v="2"/>
    <s v="N2"/>
    <x v="0"/>
    <s v="* Etat H.O : HO Non finalisé entre 203 et 302_x000a_* qualité /niveau de signal : dl rx-qual=7, dl rx level = -56dbm_x000a_* Requête de déconnexion a été envoyé par le BORD_x000a_"/>
    <m/>
    <x v="0"/>
    <s v=" En attente de mise en place des tiroires filtrés "/>
    <s v="HO Non finalisé entre 203 et 302"/>
    <s v="dl Rxqual=7"/>
    <s v="dl rx level= -56"/>
    <s v="OK"/>
    <s v="OK"/>
    <s v="Mauvais"/>
    <s v=" Retransmission des trames HDLC*5"/>
    <m/>
    <s v="Saad Elhabib"/>
    <m/>
    <m/>
    <m/>
    <m/>
    <m/>
    <m/>
    <m/>
  </r>
  <r>
    <n v="934"/>
    <x v="0"/>
    <x v="304"/>
    <d v="1899-12-30T08:46:03"/>
    <n v="1005"/>
    <x v="2"/>
    <x v="1"/>
    <n v="1061"/>
    <m/>
    <s v="Casa/Tanger"/>
    <n v="94.953999999999994"/>
    <x v="8"/>
    <s v="N2"/>
    <x v="0"/>
    <s v="* Etat H.O : HO non finalisé entre 318 et 317_x000a_* qualité /niveau de signal : dl rx-qual=7, dl rx level = -81 dbm_x000a_* Requête de déconnexion a été envoyé par le RBC_x000a_"/>
    <m/>
    <x v="1"/>
    <s v="zone sous surveillence par le NOC"/>
    <s v=" HO non finalisé entre 318 et 317"/>
    <s v="dl Rxqual=7"/>
    <s v="dl rx level= -81"/>
    <s v="OK"/>
    <s v="OK"/>
    <s v="Mauvais"/>
    <s v=" Retransmission des trames HDLC*5"/>
    <m/>
    <s v="Noura MOUSSAOUI"/>
    <m/>
    <m/>
    <m/>
    <m/>
    <m/>
    <m/>
    <m/>
  </r>
  <r>
    <n v="935"/>
    <x v="0"/>
    <x v="304"/>
    <d v="1899-12-30T14:35:23"/>
    <n v="2033"/>
    <x v="0"/>
    <x v="0"/>
    <n v="1037"/>
    <m/>
    <s v="Tanger/Casa"/>
    <n v="144.32599999999999"/>
    <x v="3"/>
    <s v="N2"/>
    <x v="1"/>
    <s v="* Etat H.O : HO complet entre 224 et 225_x000a_* qualité /niveau de signal : dl rx-qual=1, dl rx level = -73 dbm_x000a_* Requête de déconnexion a été envoyé par le RBC_x000a_"/>
    <m/>
    <x v="3"/>
    <s v="En attente de pousser les analyses coté RBC"/>
    <s v="HO complet entre 224 et 225"/>
    <s v="dl Rxqual=1"/>
    <s v="dl rx level= -73"/>
    <s v="OK"/>
    <s v="OK"/>
    <s v="Mauvais"/>
    <s v="pas de retransmission des trames HDLC"/>
    <m/>
    <s v="Noura MOUSSAOUI"/>
    <m/>
    <m/>
    <m/>
    <m/>
    <m/>
    <m/>
    <m/>
  </r>
  <r>
    <n v="936"/>
    <x v="0"/>
    <x v="304"/>
    <d v="1899-12-30T14:45:33"/>
    <n v="2033"/>
    <x v="0"/>
    <x v="0"/>
    <n v="1036"/>
    <m/>
    <s v="Tanger/Casa"/>
    <n v="152.548"/>
    <x v="18"/>
    <s v="N2"/>
    <x v="1"/>
    <s v="* Etat H.O : HO non finalisé entre 226 et 327_x000a_* qualité /niveau de signal : dl rx-qual=7, dl rx level = -57 dbm_x000a_* Requête de déconnexion a été envoyé par le RBC_x000a_"/>
    <m/>
    <x v="3"/>
    <s v="En attente de pousser les analyses coté RBC"/>
    <s v="HO non finalisé entre 226 et 327"/>
    <s v="dl Rxqual=7"/>
    <s v="dl rx level= -57"/>
    <s v="OK"/>
    <s v="OK"/>
    <s v="Mauvais"/>
    <s v="pas de retransmission des trames HDLC"/>
    <m/>
    <s v="Noura MOUSSAOUI"/>
    <m/>
    <m/>
    <m/>
    <m/>
    <m/>
    <m/>
    <m/>
  </r>
  <r>
    <n v="937"/>
    <x v="0"/>
    <x v="304"/>
    <d v="1899-12-30T16:12:46"/>
    <n v="2041"/>
    <x v="6"/>
    <x v="0"/>
    <n v="7198"/>
    <m/>
    <s v="Tanger/Casa"/>
    <n v="30.076000000000001"/>
    <x v="25"/>
    <s v="N2"/>
    <x v="0"/>
    <s v="* Etat H.O : HO complet entre 205 et 206_x000a_* qualité /niveau de signal : dl rx-qual=0, dl rx level = -50 dbm_x000a_* Requête de déconnexion a été envoyé par le RBC_x000a_"/>
    <m/>
    <x v="3"/>
    <s v="En attente de pousser les analyses coté RBC"/>
    <s v="HO complet entre 205 et 206"/>
    <s v="dl Rxqual=0"/>
    <s v="dl rx level= -50"/>
    <s v="OK"/>
    <s v="OK"/>
    <s v="Mauvais"/>
    <s v=" Pas Retransmission des trames HDLC"/>
    <m/>
    <s v="Fahd OUSSALH"/>
    <m/>
    <m/>
    <m/>
    <m/>
    <m/>
    <m/>
    <m/>
  </r>
  <r>
    <n v="938"/>
    <x v="0"/>
    <x v="304"/>
    <d v="1899-12-30T18:45:58"/>
    <n v="1046"/>
    <x v="0"/>
    <x v="1"/>
    <n v="1045"/>
    <m/>
    <s v="Casa/Tanger"/>
    <n v="94.953999999999994"/>
    <x v="8"/>
    <s v="N2"/>
    <x v="0"/>
    <s v="* Etat H.O : HO non finalisé entre 318 et 317_x000a_* qualité /niveau de signal : dl rx-qual=7, dl rx level = -52 dbm_x000a_* Requête de déconnexion a été envoyé par le RBC_x000a_"/>
    <m/>
    <x v="1"/>
    <s v="zone sous surveillence par le NOC"/>
    <s v="HO non finalisé entre 318 et 317"/>
    <s v="dl Rxqual=7"/>
    <s v="dl rx level= -82"/>
    <s v="OK"/>
    <s v="OK"/>
    <s v="Mauvais"/>
    <s v="  Retransmission des trames HDLC*5"/>
    <m/>
    <s v="Fahd OUSSALH"/>
    <m/>
    <m/>
    <m/>
    <m/>
    <m/>
    <m/>
    <m/>
  </r>
  <r>
    <n v="939"/>
    <x v="0"/>
    <x v="304"/>
    <d v="1899-12-30T19:48:01"/>
    <n v="1032"/>
    <x v="4"/>
    <x v="1"/>
    <n v="1050"/>
    <m/>
    <s v="Casa/Tanger"/>
    <n v="94.953999999999994"/>
    <x v="8"/>
    <s v="N2"/>
    <x v="0"/>
    <s v="* Etat H.O : HO non finalisé entre 318 et 219_x000a_* qualité /niveau de signal : dl rx-qual=5, dl rx level = -60 dbm_x000a_* Requête de déconnexion a été envoyé par le RBC_x000a_"/>
    <m/>
    <x v="1"/>
    <s v="zone sous surveillence par le NOC"/>
    <s v="HO non finalisé entre 318 et 219"/>
    <s v="dl Rxqual=5"/>
    <s v="dl rx level= -60"/>
    <s v="OK"/>
    <s v="OK"/>
    <s v="Mauvais"/>
    <s v="  Retransmission des trames HDLC*5"/>
    <m/>
    <s v="Fahd OUSSALH"/>
    <m/>
    <m/>
    <m/>
    <m/>
    <m/>
    <m/>
    <m/>
  </r>
  <r>
    <n v="940"/>
    <x v="0"/>
    <x v="304"/>
    <d v="1899-12-30T21:28:08"/>
    <n v="2061"/>
    <x v="4"/>
    <x v="0"/>
    <n v="7208"/>
    <m/>
    <s v="Tanger/Casa"/>
    <n v="108.206"/>
    <x v="1"/>
    <s v="N2"/>
    <x v="0"/>
    <s v="* Etat H.O : HO non finalisé  entre 219 et 320_x000a_* qualité /niveau de signal : dl rx-qual=7, dl rx level = -70dbm_x000a_* Requête de déconnexion a été envoyé par le BORD_x000a_"/>
    <m/>
    <x v="0"/>
    <s v="En attente de mise en place des tiroires filtrés "/>
    <s v="HO non finalisé  entre 219 et 320"/>
    <s v="dl Rxqual=7"/>
    <s v="dl rx level= -70"/>
    <s v="OK"/>
    <s v="OK"/>
    <s v="Mauvais"/>
    <s v="  Retransmission des trames HDLC*5"/>
    <m/>
    <s v="Saad Elhabib"/>
    <m/>
    <m/>
    <m/>
    <m/>
    <m/>
    <m/>
    <m/>
  </r>
  <r>
    <n v="941"/>
    <x v="0"/>
    <x v="304"/>
    <d v="1899-12-30T22:28:57"/>
    <n v="1061"/>
    <x v="5"/>
    <x v="1"/>
    <n v="1026"/>
    <m/>
    <s v="Casa/Tanger"/>
    <n v="177.85"/>
    <x v="4"/>
    <s v="N2"/>
    <x v="0"/>
    <s v="* Etat H.O : HO finalisé  entre 231 et 229 avec downlink quality_x000a_* qualité /niveau de signal : dl rx-qual=7, dl rx level = -66dbm_x000a_* Requête de déconnexion a été envoyé par le RBC_x000a_"/>
    <m/>
    <x v="2"/>
    <s v="zone sous surveillence par le NOC/En attente de mise en place des tiroires filtrés "/>
    <s v="HO finalisé  entre 231 et 229 avec downlink quality"/>
    <s v="dl Rxqual=7"/>
    <s v="dl rx level= -66"/>
    <s v="OK"/>
    <s v="OK"/>
    <s v="Mauvais"/>
    <s v="  Retransmission des trames HDLC*5"/>
    <m/>
    <s v="Saad Elhabib"/>
    <m/>
    <m/>
    <m/>
    <m/>
    <m/>
    <m/>
    <m/>
  </r>
  <r>
    <n v="942"/>
    <x v="0"/>
    <x v="305"/>
    <d v="1899-12-30T06:25:46"/>
    <n v="2001"/>
    <x v="9"/>
    <x v="0"/>
    <n v="1052"/>
    <m/>
    <s v="Tanger/Casa"/>
    <n v="93.757999999999996"/>
    <x v="8"/>
    <s v="N2"/>
    <x v="0"/>
    <s v="* Etat H.O : HO Non finalisé  entre 217 et 318                                                                                               * qualité /niveau de signal : dl rx-qual=7, dl rx level = -66dbm_x000a_* Requête de déconnexion a été envoyé par le RBC_x000a_"/>
    <m/>
    <x v="2"/>
    <s v="zone sous surveillence par le NOC/En attente de mise en place des tiroires filtrés "/>
    <s v="HO Non finalisé  entre 217 et 318 "/>
    <s v="dl Rxqual=2"/>
    <s v="dl rx level= -75"/>
    <s v="NOK"/>
    <s v="OK"/>
    <s v="Mauvais"/>
    <s v="  Retransmission des trames HDLC*5"/>
    <m/>
    <s v="Saad Elhabib"/>
    <m/>
    <m/>
    <m/>
    <m/>
    <m/>
    <m/>
    <m/>
  </r>
  <r>
    <n v="943"/>
    <x v="0"/>
    <x v="305"/>
    <d v="1899-12-30T07:38:22"/>
    <n v="1001"/>
    <x v="8"/>
    <x v="1"/>
    <n v="1031"/>
    <m/>
    <s v="Casa/Tanger"/>
    <n v="131.78899999999999"/>
    <x v="10"/>
    <s v="N2"/>
    <x v="0"/>
    <s v="* Etat H.O : HO Complet entre 324 et 323                                                                                               * qualité /niveau de signal : dl rx-qual=0, dl rx level = -61dbm_x000a_* Requête de déconnexion a été envoyé par le RBC_x000a_"/>
    <m/>
    <x v="0"/>
    <s v="En attente de mise en place des tiroires filtrés "/>
    <s v="HO Complete   entre 324 et 323"/>
    <s v="dl Rxqual=0"/>
    <s v="dl rx level= -61"/>
    <s v="OK"/>
    <s v="OK"/>
    <s v="Mauvais"/>
    <s v="  Retransmission des trames HDLC*5"/>
    <m/>
    <s v="ELHAJOUIA Achraf"/>
    <m/>
    <m/>
    <m/>
    <m/>
    <m/>
    <m/>
    <m/>
  </r>
  <r>
    <n v="944"/>
    <x v="0"/>
    <x v="305"/>
    <d v="1899-12-30T09:06:04"/>
    <n v="1005"/>
    <x v="2"/>
    <x v="1"/>
    <n v="1060"/>
    <m/>
    <s v="Casa/Tanger"/>
    <n v="7.3209999999999997"/>
    <x v="2"/>
    <s v="N2"/>
    <x v="0"/>
    <s v="* Etat H.O : HO non finalisé entre 303 et 302                                                                                              * qualité /niveau de signal : dl rx-qual=7, dl rx level = -67dbm_x000a_* Requête de déconnexion a été envoyé par le RBC_x000a_"/>
    <m/>
    <x v="0"/>
    <s v="En attente de mise en place des tiroires filtrés "/>
    <s v="HO non finalisé entre 303 et 302"/>
    <s v="dl Rxqual=7"/>
    <s v="dl rx level= -67"/>
    <s v="OK"/>
    <s v="OK"/>
    <s v="Mauvais"/>
    <s v="  Retransmission des trames HDLC*5"/>
    <m/>
    <s v="Noura MOUSSAOUI"/>
    <m/>
    <m/>
    <m/>
    <m/>
    <m/>
    <m/>
    <m/>
  </r>
  <r>
    <n v="945"/>
    <x v="0"/>
    <x v="305"/>
    <d v="1899-12-30T14:06:26"/>
    <n v="1025"/>
    <x v="5"/>
    <x v="1"/>
    <n v="1027"/>
    <m/>
    <s v="Casa/Tanger"/>
    <n v="7.3209999999999997"/>
    <x v="2"/>
    <s v="N2"/>
    <x v="1"/>
    <s v="* Etat H.O : HO finalisé entre 303 et 302                                                                                              * qualité /niveau de signal : dl rx-qual=7, dl rx level = -71dbm_x000a_* Requête de déconnexion a été envoyé par le RBC_x000a_"/>
    <m/>
    <x v="0"/>
    <s v="En attente de mise en place des tiroires filtrés "/>
    <s v="HO  finalisé entre 303 et 302"/>
    <s v="dl Rxqual=7"/>
    <s v="dl rx level= -71"/>
    <s v="OK"/>
    <s v="OK"/>
    <s v="Mauvais"/>
    <s v="  Retransmission des trames HDLC*5"/>
    <m/>
    <s v="Noura MOUSSAOUI"/>
    <m/>
    <m/>
    <m/>
    <m/>
    <m/>
    <m/>
    <m/>
  </r>
  <r>
    <n v="946"/>
    <x v="0"/>
    <x v="305"/>
    <d v="1899-12-30T16:35:16"/>
    <n v="2041"/>
    <x v="0"/>
    <x v="0"/>
    <n v="1037"/>
    <m/>
    <s v="Tanger/Casa"/>
    <n v="143.11199999999999"/>
    <x v="26"/>
    <s v="N2"/>
    <x v="0"/>
    <s v="* Etat H.O : HO Complete entre 224 et 225                                                                                              * qualité /niveau de signal : dl rx-qual=0, dl rx level = -61dbm_x000a_* Requête de déconnexion a été envoyé par le RBC_x000a_"/>
    <m/>
    <x v="3"/>
    <s v="En attente de pousser les analyses coté RBC"/>
    <s v="HO  Complete entre 224 et 225"/>
    <s v="dl Rxqual=0"/>
    <s v="dl rx level= -61"/>
    <s v="OK"/>
    <s v="OK"/>
    <s v="Mauvais"/>
    <s v="  Pas de Retransmission des trames HDLC"/>
    <m/>
    <s v="MAROUANI Otmane"/>
    <m/>
    <m/>
    <m/>
    <m/>
    <m/>
    <m/>
    <m/>
  </r>
  <r>
    <n v="947"/>
    <x v="0"/>
    <x v="305"/>
    <d v="1899-12-30T17:37:44"/>
    <n v="1041"/>
    <x v="2"/>
    <x v="1"/>
    <n v="1061"/>
    <m/>
    <s v="Casa/Tanger"/>
    <n v="140.65899999999999"/>
    <x v="26"/>
    <s v="N2"/>
    <x v="0"/>
    <s v="* Etat H.O : HO non finalisé entre 325 et 324                                                                                              * qualité /niveau de signal : dl rx-qual=4, dl rx level = -81dbm_x000a_* Requête de déconnexion a été envoyé par le RBC_x000a_"/>
    <m/>
    <x v="2"/>
    <s v="zone sous surveillence par le NOC/En attente de mise en place des tiroires filtrés "/>
    <s v="HO  non finalisé entre 325 et 324  "/>
    <s v="dl Rxqual=4"/>
    <s v="dl rx level= -81"/>
    <s v="OK"/>
    <s v="OK"/>
    <s v="Mauvais"/>
    <s v="  Retransmission des trames HDLC*5"/>
    <m/>
    <s v="MAROUANI Otmane"/>
    <m/>
    <m/>
    <m/>
    <m/>
    <m/>
    <m/>
    <m/>
  </r>
  <r>
    <n v="948"/>
    <x v="0"/>
    <x v="306"/>
    <s v="09:05:47 "/>
    <n v="1037"/>
    <x v="0"/>
    <x v="0"/>
    <n v="1062"/>
    <m/>
    <s v="Tanger/Casa"/>
    <n v="6.13"/>
    <x v="2"/>
    <s v="N2"/>
    <x v="0"/>
    <s v="* Etat H.O : HO complet entre 202 et 303                                                                                              * qualité /niveau de signal : dl rx-qual=2, dl rx level = -68dbm_x000a_* Requête de déconnexion a été envoyé par le RBC_x000a_"/>
    <m/>
    <x v="0"/>
    <s v="En attente de mise en place des tiroires filtrés "/>
    <s v="HO complet entre 202 et 303"/>
    <s v="dl Rxqual=2"/>
    <s v="dl rx level= -68"/>
    <s v="OK"/>
    <s v="OK"/>
    <s v="Mauvais"/>
    <s v="  Retransmission des trames HDLC*5"/>
    <m/>
    <s v="Noura MOUSSAOUI"/>
    <m/>
    <m/>
    <m/>
    <m/>
    <m/>
    <m/>
    <m/>
  </r>
  <r>
    <n v="949"/>
    <x v="0"/>
    <x v="306"/>
    <s v="14:36:17 "/>
    <n v="2033"/>
    <x v="7"/>
    <x v="0"/>
    <n v="1055"/>
    <m/>
    <s v="Tanger/Casa"/>
    <n v="144.32599999999999"/>
    <x v="3"/>
    <s v="N2"/>
    <x v="1"/>
    <s v="* Etat H.O : HO complet entre 224 et 225                                                                                             * qualité /niveau de signal : dl rx-qual=0, dl rx level = -67 dbm_x000a_* Requête de déconnexion a été envoyé par le RBC_x000a_"/>
    <m/>
    <x v="0"/>
    <s v="En attente de mise en place des tiroires filtrés "/>
    <s v="HO complet entre 224 et 225"/>
    <s v="dl Rxqual=0"/>
    <s v="dl rx level= -67"/>
    <s v="OK"/>
    <s v="OK"/>
    <s v="Mauvais"/>
    <s v="  Retransmission des trames HDLC*5"/>
    <m/>
    <s v="Noura MOUSSAOUI"/>
    <m/>
    <m/>
    <m/>
    <m/>
    <m/>
    <m/>
    <m/>
  </r>
  <r>
    <n v="950"/>
    <x v="0"/>
    <x v="306"/>
    <d v="1899-12-30T15:45:39"/>
    <n v="1033"/>
    <x v="11"/>
    <x v="1"/>
    <n v="1056"/>
    <m/>
    <s v="Casa/Tanger"/>
    <n v="94.953999999999994"/>
    <x v="8"/>
    <s v="N2"/>
    <x v="0"/>
    <s v="* Etat H.O : HO non finalisé entre 318 et 317                                                                                          * qualité /niveau de signal : dl rx-qual=7, dl rx level = -84 dbm_x000a_* Requête de déconnexion a été envoyé par le RBC_x000a_"/>
    <m/>
    <x v="1"/>
    <s v="zone sous surveillence par le NOC"/>
    <s v="HO non finalisé entre 318 et 317"/>
    <s v="dl Rxqual=7"/>
    <s v="dl rx level= -84"/>
    <s v="OK"/>
    <s v="OK"/>
    <s v="Mauvais"/>
    <s v="  Retransmission des trames HDLC*5"/>
    <m/>
    <s v="Noura MOUSSAOUI"/>
    <m/>
    <m/>
    <m/>
    <m/>
    <m/>
    <m/>
    <m/>
  </r>
  <r>
    <n v="951"/>
    <x v="0"/>
    <x v="307"/>
    <d v="1899-12-30T17:05:26"/>
    <n v="2045"/>
    <x v="6"/>
    <x v="0"/>
    <n v="7206"/>
    <m/>
    <s v="Tanger/Casa"/>
    <n v="6.13"/>
    <x v="2"/>
    <s v="N2"/>
    <x v="1"/>
    <s v="* Etat H.O : HO complet entre 202 et 301_x000a_* qualité /niveau de signal : dl rx-qual=7, dl rx level = -53 dbm_x000a_* Requête de déconnexion a été envoyé par le Bord_x000a_"/>
    <m/>
    <x v="0"/>
    <s v="En attente de mise en place des tiroires filtrés "/>
    <s v="HO non finalisé entre 202 et 301"/>
    <s v="dl Rxqual=7"/>
    <s v="dl rx level= -53"/>
    <s v="NOK"/>
    <s v="OK"/>
    <s v="Mauvais"/>
    <s v="  Retransmission des trames HDLC*5"/>
    <m/>
    <s v="Oussama ZEHOUANI"/>
    <m/>
    <m/>
    <m/>
    <m/>
    <m/>
    <m/>
    <m/>
  </r>
  <r>
    <n v="952"/>
    <x v="0"/>
    <x v="307"/>
    <d v="1899-12-30T21:05:17"/>
    <n v="2061"/>
    <x v="11"/>
    <x v="0"/>
    <n v="1048"/>
    <m/>
    <s v="Tanger/Casa"/>
    <n v="6.13"/>
    <x v="2"/>
    <s v="N2"/>
    <x v="1"/>
    <s v="* Etat H.O : HO Non finalisé entre 202 et 303_x000a_* qualité /niveau de signal : dl rx-qual=7, dl rx level = -53 dbm_x000a_* Requête de déconnexion a été envoyé par le Bord_x000a_"/>
    <m/>
    <x v="0"/>
    <s v="En attente de mise en place des tiroires filtrés "/>
    <s v="HO non finalisé entre 202 et 303"/>
    <s v="dl Rxqual=7"/>
    <s v="dl rx level= -53"/>
    <s v="OK"/>
    <s v="OK"/>
    <s v="Mauvais"/>
    <s v="  Retransmission des trames HDLC*5"/>
    <m/>
    <s v="ELHAJOUIA Achraf"/>
    <m/>
    <m/>
    <m/>
    <m/>
    <m/>
    <m/>
    <m/>
  </r>
  <r>
    <n v="953"/>
    <x v="0"/>
    <x v="308"/>
    <d v="1899-12-30T17:05:22"/>
    <n v="2045"/>
    <x v="11"/>
    <x v="0"/>
    <n v="1033"/>
    <m/>
    <s v="Tanger/Casa"/>
    <n v="6.13"/>
    <x v="2"/>
    <s v="N2"/>
    <x v="1"/>
    <s v="* Etat H.O : HO Non finalisé entre 202 et 303_x000a_* qualité /niveau de signal : dl rx-qual=7, dl rx level = -53 dbm_x000a_* Requête de déconnexion a été envoyé par le Bord_x000a_"/>
    <m/>
    <x v="0"/>
    <s v="En attente de mise en place des tiroires filtrés "/>
    <s v="HO complet entre 202 et 303"/>
    <s v="dl Rxqual=7"/>
    <s v="dl rx level= -64"/>
    <s v="OK"/>
    <s v="OK"/>
    <s v="Mauvais"/>
    <s v="  Retransmission des trames HDLC*5"/>
    <m/>
    <s v="Oussama ZEHOUANI"/>
    <m/>
    <m/>
    <m/>
    <m/>
    <m/>
    <m/>
    <m/>
  </r>
  <r>
    <n v="954"/>
    <x v="0"/>
    <x v="308"/>
    <d v="1899-12-30T19:00:19"/>
    <n v="1045"/>
    <x v="2"/>
    <x v="1"/>
    <n v="1061"/>
    <m/>
    <s v="Casa/Tanger"/>
    <n v="25.91"/>
    <x v="7"/>
    <s v="N2"/>
    <x v="0"/>
    <s v="* Etat H.O : HO complet entre 207 et 308_x000a_* qualité /niveau de signal : dl rx-qual=7, dl rx level = -83 dbm_x000a_* Requête de déconnexion a été envoyé par le Bord_x000a_"/>
    <m/>
    <x v="0"/>
    <s v="En attente de mise en place des tiroires filtrés "/>
    <s v="HO complet entre 207 et 308"/>
    <s v="dl Rxqual=7"/>
    <s v="dl rx level= -83"/>
    <s v="OK"/>
    <s v="OK"/>
    <s v="Mauvais"/>
    <s v="  Retransmission des trames HDLC*5"/>
    <m/>
    <s v="Oussama ZEHOUANI"/>
    <m/>
    <m/>
    <m/>
    <m/>
    <m/>
    <m/>
    <m/>
  </r>
  <r>
    <n v="955"/>
    <x v="0"/>
    <x v="309"/>
    <d v="1899-12-30T12:34:42"/>
    <n v="1037"/>
    <x v="0"/>
    <x v="0"/>
    <n v="1037"/>
    <m/>
    <s v="Tanger/Casa"/>
    <n v="145.6"/>
    <x v="3"/>
    <s v="N2"/>
    <x v="0"/>
    <s v="* Etat H.O : HO complet entre 225 et 226_x000a_* qualité /niveau de signal : dl rx-qual=0, dl rx level = -61 dbm_x000a_* Requête de déconnexion a été envoyé par le RBC_x000a_"/>
    <m/>
    <x v="3"/>
    <s v="En attente de pousser les analyses coté RBC"/>
    <s v="HO complet entre 225 et 226"/>
    <s v="dl Rxqual=0"/>
    <s v="dl rx level= -61"/>
    <s v="OK"/>
    <s v="OK"/>
    <s v="Mauvais"/>
    <s v="Pas  Retransmission des trames HDLC*5"/>
    <m/>
    <s v="Fahd OUSSALH"/>
    <m/>
    <m/>
    <m/>
    <m/>
    <m/>
    <m/>
    <m/>
  </r>
  <r>
    <n v="956"/>
    <x v="0"/>
    <x v="309"/>
    <d v="1899-12-30T12:46:42"/>
    <n v="1022"/>
    <x v="6"/>
    <x v="1"/>
    <n v="1023"/>
    <m/>
    <s v="Casa/Tanger"/>
    <n v="94.953999999999994"/>
    <x v="8"/>
    <s v="N2"/>
    <x v="0"/>
    <s v="* Etat H.O : HO Non finalisé entre 319 et 318_x000a_* qualité /niveau de signal : dl rx-qual=7, dl rx level = -64 dbm_x000a_* Requête de déconnexion a été envoyé par le RBC_x000a_"/>
    <m/>
    <x v="2"/>
    <s v="zone sous surveillence par le NOC / attente de mise en place des tiroires filtrés"/>
    <s v="HO non finalisé entre 319 et 318"/>
    <s v="dl Rxqual=7"/>
    <s v="dl rx level= -64"/>
    <s v="OK"/>
    <s v="OK"/>
    <s v="Mauvais"/>
    <s v="  Retransmission des trames HDLC*5"/>
    <m/>
    <s v="Fahd OUSSALH"/>
    <m/>
    <m/>
    <m/>
    <m/>
    <m/>
    <m/>
    <m/>
  </r>
  <r>
    <n v="957"/>
    <x v="0"/>
    <x v="309"/>
    <d v="1899-12-30T19:05:12"/>
    <n v="2053"/>
    <x v="11"/>
    <x v="0"/>
    <n v="1048"/>
    <m/>
    <s v="Tanger/Casa"/>
    <n v="6.13"/>
    <x v="2"/>
    <s v="N2"/>
    <x v="0"/>
    <s v="* Etat H.O : HO Non finalisé entre 202 et 303_x000a_* qualité /niveau de signal : dl rx-qual=7, dl rx level = -53 dbm_x000a_* Requête de déconnexion a été envoyé par le bord_x000a_"/>
    <m/>
    <x v="0"/>
    <s v="En attente de mise en place des tiroires filtrés "/>
    <s v="HO non finalisé entre 202 et 303"/>
    <s v="dl Rxqual=7"/>
    <s v="dl rx level= -53"/>
    <s v="OK"/>
    <s v="OK"/>
    <s v="Mauvais"/>
    <s v="  Retransmission des trames HDLC*5"/>
    <m/>
    <s v="LAGDEM Elmehdi"/>
    <m/>
    <m/>
    <m/>
    <m/>
    <m/>
    <m/>
    <m/>
  </r>
  <r>
    <n v="958"/>
    <x v="0"/>
    <x v="310"/>
    <d v="1899-12-30T14:37:47"/>
    <n v="2033"/>
    <x v="6"/>
    <x v="0"/>
    <n v="7198"/>
    <m/>
    <s v="Tanger/Casa"/>
    <n v="144.32599999999999"/>
    <x v="3"/>
    <s v="N2"/>
    <x v="0"/>
    <s v="* Etat H.O : HO  finalisé entre 224 et 225_x000a_* qualité /niveau de signal : dl rx-qual=0, dl rx level = -64 dbm_x000a_* Requête de déconnexion a été envoyé par le RBC_x000a_"/>
    <m/>
    <x v="0"/>
    <s v="En attente de mise en place des tiroires filtrés "/>
    <s v="HO  finalisé entre 224 et 225"/>
    <s v="dl Rxqual=0"/>
    <s v="dl rx level= -64"/>
    <s v="OK"/>
    <s v="OK"/>
    <s v="Mauvais"/>
    <s v="  Retransmission des trames HDLC*5"/>
    <m/>
    <s v="Saad Elhabib"/>
    <m/>
    <m/>
    <m/>
    <m/>
    <m/>
    <m/>
    <m/>
  </r>
  <r>
    <n v="959"/>
    <x v="0"/>
    <x v="311"/>
    <d v="1899-12-30T10:36:06"/>
    <n v="2017"/>
    <x v="0"/>
    <x v="0"/>
    <n v="1037"/>
    <m/>
    <s v="Tanger/Casa"/>
    <n v="143.11199999999999"/>
    <x v="26"/>
    <s v="N2"/>
    <x v="0"/>
    <s v="* Etat H.O : HO complet entre 224 et 225_x000a_* qualité /niveau de signal : dl rx-qual=0, dl rx level = -60dbm_x000a_* Requête de déconnexion a été envoyé par le RBC_x000a_"/>
    <m/>
    <x v="0"/>
    <s v="En attente de mise en place des tiroires filtrés "/>
    <s v="HO complet entre 224 et 225"/>
    <s v="dl Rxqual=0"/>
    <s v="dl rx level= -60"/>
    <s v="OK"/>
    <s v="OK"/>
    <s v="Mauvais"/>
    <s v="  Retransmission des trames HDLC*5"/>
    <m/>
    <s v="Noura MOUSSAOUI"/>
    <m/>
    <m/>
    <m/>
    <m/>
    <m/>
    <m/>
    <m/>
  </r>
  <r>
    <n v="960"/>
    <x v="0"/>
    <x v="311"/>
    <d v="1899-12-30T12:46:19"/>
    <n v="1021"/>
    <x v="2"/>
    <x v="1"/>
    <n v="1038"/>
    <m/>
    <s v="Casa/Tanger"/>
    <n v="94.953999999999994"/>
    <x v="8"/>
    <s v="N2"/>
    <x v="0"/>
    <s v="* Etat H.O : HO Non finalisé entre 318 et 217_x000a_* qualité /niveau de signal : dl rx-qual=7, dl rx level = -82dbm_x000a_* Requête de déconnexion a été envoyé par le Bord_x000a_"/>
    <m/>
    <x v="2"/>
    <s v="zone sous surveillence par le NOC / attente de mise en place des tiroires filtrés"/>
    <s v="HO non finalisé entre 318 et 217"/>
    <s v="dl Rxqual=7"/>
    <s v="dl rx level= -82"/>
    <s v="OK"/>
    <s v="OK"/>
    <s v="Mauvais"/>
    <s v="  Retransmission des trames HDLC*5"/>
    <m/>
    <s v="Noura MOUSSAOUI"/>
    <m/>
    <m/>
    <m/>
    <m/>
    <m/>
    <m/>
    <m/>
  </r>
  <r>
    <n v="961"/>
    <x v="0"/>
    <x v="312"/>
    <d v="1899-12-30T09:10:55"/>
    <n v="2013"/>
    <x v="0"/>
    <x v="0"/>
    <n v="1037"/>
    <m/>
    <s v="Tanger/Casa"/>
    <n v="21.564"/>
    <x v="20"/>
    <s v="N2"/>
    <x v="0"/>
    <s v="* Etat H.O : HO non finalisé entre 204 et 205_x000a_* qualité /niveau de signal : dl rx-qual=7, dl rx level = -102 dbm_x000a_* Requête de déconnexion a été envoyé par le RBC_x000a_"/>
    <m/>
    <x v="2"/>
    <s v="zone sous surveillence par le NOC / attente de mise en place des tiroires filtrés"/>
    <s v="HO non finalisé entre 204 et 205"/>
    <s v="dl Rxqual=7"/>
    <s v="dl rx level= -102"/>
    <s v="OK"/>
    <s v="OK"/>
    <s v="Mauvais"/>
    <s v="  Retransmission des trames HDLC*5"/>
    <m/>
    <s v="HARIRI Bahaeddine"/>
    <m/>
    <m/>
    <m/>
    <m/>
    <m/>
    <m/>
    <m/>
  </r>
  <r>
    <n v="962"/>
    <x v="0"/>
    <x v="312"/>
    <d v="1899-12-30T13:47:26"/>
    <n v="1025"/>
    <x v="0"/>
    <x v="1"/>
    <n v="1045"/>
    <m/>
    <s v="Casa/Tanger"/>
    <n v="94.953999999999994"/>
    <x v="8"/>
    <s v="N2"/>
    <x v="0"/>
    <s v="* Etat H.O : HO non finalisé entre 318et 317_x000a_* qualité /niveau de signal : dl rx-qual=7, dl rx level = -83 dbm_x000a_* Requête de déconnexion a été envoyé par le RBC_x000a_"/>
    <m/>
    <x v="2"/>
    <s v="zone sous surveillence par le NOC / attente de mise en place des tiroires filtrés"/>
    <s v="HO non finalisé entre 318 et 317"/>
    <s v="dl Rxqual=7"/>
    <s v="dl rx level=-83"/>
    <s v="OK"/>
    <s v="OK"/>
    <s v="Mauvais"/>
    <s v="  Retransmission des trames HDLC*5"/>
    <m/>
    <s v="Noura MOUSSAOUI"/>
    <m/>
    <m/>
    <m/>
    <m/>
    <m/>
    <m/>
    <m/>
  </r>
  <r>
    <n v="963"/>
    <x v="0"/>
    <x v="312"/>
    <d v="1899-12-30T19:50:40"/>
    <n v="1049"/>
    <x v="0"/>
    <x v="1"/>
    <n v="1045"/>
    <m/>
    <s v="Casa/Tanger"/>
    <n v="94.953999999999994"/>
    <x v="8"/>
    <s v="N2"/>
    <x v="0"/>
    <s v="* Etat H.O : HO finalisé entre 319 et 318_x000a_* qualité /niveau de signal : dl rx-qual=7, dl rx level = -81dbm_x000a_* Requête de déconnexion a été envoyé par le RBC_x000a_"/>
    <m/>
    <x v="2"/>
    <s v="zone sous surveillence par le NOC / attente de mise en place des tiroires filtrés"/>
    <s v="HO finalisé entre 319 et 318"/>
    <s v="dl Rxqual=7"/>
    <s v="dl rx level= -81"/>
    <s v="OK"/>
    <s v="OK"/>
    <s v="Mauvais"/>
    <s v="  Retransmission des trames HDLC*5"/>
    <m/>
    <s v="Saad Elhabib"/>
    <m/>
    <m/>
    <m/>
    <m/>
    <m/>
    <m/>
    <m/>
  </r>
  <r>
    <n v="964"/>
    <x v="0"/>
    <x v="312"/>
    <d v="1899-12-30T21:06:09"/>
    <n v="1054"/>
    <x v="6"/>
    <x v="1"/>
    <n v="1022"/>
    <m/>
    <s v="Casa/Tanger"/>
    <n v="7.3209999999999997"/>
    <x v="2"/>
    <s v="N2"/>
    <x v="0"/>
    <s v="* Etat H.O : HO non finalisé entre 303 et 202_x000a_* qualité /niveau de signal : dl rx-qual=6, dl rx level = -52dbm_x000a_* Requête de déconnexion a été envoyé par le RBC_x000a_"/>
    <m/>
    <x v="0"/>
    <s v="En attente de mise en place des tiroires filtrés "/>
    <s v="HO non  finalisé entre 303 et 202"/>
    <s v="dl Rxqual=6"/>
    <s v="dl rx level= -52"/>
    <s v="NOK"/>
    <s v="OK"/>
    <s v="Mauvais"/>
    <s v="  Retransmission des trames HDLC*5"/>
    <m/>
    <s v="Fahd OUSSALH"/>
    <m/>
    <m/>
    <m/>
    <m/>
    <m/>
    <m/>
    <m/>
  </r>
  <r>
    <n v="965"/>
    <x v="0"/>
    <x v="312"/>
    <d v="1899-12-30T22:27:45"/>
    <n v="1062"/>
    <x v="5"/>
    <x v="1"/>
    <n v="1027"/>
    <m/>
    <s v="Casa/Tanger"/>
    <n v="180.38800000000001"/>
    <x v="4"/>
    <s v="N2"/>
    <x v="0"/>
    <s v="* Etat H.O : HO non finalisé entre 332 et 331_x000a_* qualité /niveau de signal : dl rx-qual=3, dl rx level = -71dbm_x000a_* Requête de déconnexion a été envoyé par le RBC_x000a_"/>
    <m/>
    <x v="2"/>
    <s v="zone sous surveillence par le NOC / attente de mise en place des tiroires filtrés"/>
    <s v="HO non  finalisé entre 332 et 331"/>
    <s v="dl Rxqual=3"/>
    <s v="dl rx level= -71"/>
    <s v="OK"/>
    <s v="OK"/>
    <s v="Mauvais"/>
    <s v="  Retransmission des trames HDLC*5"/>
    <m/>
    <s v="Fahd OUSSALH"/>
    <m/>
    <m/>
    <m/>
    <m/>
    <m/>
    <m/>
    <m/>
  </r>
  <r>
    <n v="966"/>
    <x v="0"/>
    <x v="313"/>
    <d v="1899-12-30T12:59:47"/>
    <n v="1021"/>
    <x v="9"/>
    <x v="1"/>
    <n v="1034"/>
    <m/>
    <s v="Casa/Tanger"/>
    <n v="31.350999999999999"/>
    <x v="25"/>
    <s v="N2"/>
    <x v="0"/>
    <s v="* Etat H.O : HO Complet entre 307 et 306_x000a_* qualité /niveau de signal : dl rx-qual=0, dl rx level = -48 dbm_x000a_* Requête de déconnexion a été envoyé par le RBC_x000a_"/>
    <m/>
    <x v="0"/>
    <s v="En attente de mise en place des tiroires filtrés "/>
    <s v="HO Complet entre 307 et 306"/>
    <s v="dl Rxqual=0"/>
    <s v="dl rx level= -48"/>
    <s v="OK"/>
    <s v="OK"/>
    <s v="Mauvais"/>
    <s v="  Retransmission des trames HDLC*5"/>
    <m/>
    <s v="Saad Elhabib"/>
    <m/>
    <m/>
    <m/>
    <m/>
    <m/>
    <m/>
    <m/>
  </r>
  <r>
    <n v="967"/>
    <x v="0"/>
    <x v="314"/>
    <d v="1899-12-30T12:35:26"/>
    <n v="2025"/>
    <x v="6"/>
    <x v="0"/>
    <n v="7198"/>
    <m/>
    <s v="Tanger/Casa"/>
    <n v="144.32599999999999"/>
    <x v="3"/>
    <s v="N2"/>
    <x v="1"/>
    <s v="* Etat H.O : HO Complet entre 224 et 225_x000a_* qualité /niveau de signal : dl rx-qual=1, dl rx level = -68 dbm_x000a_* Requête de déconnexion a été envoyé par le RBC_x000a_"/>
    <m/>
    <x v="3"/>
    <s v="En attente de pousser les analyses coté RBC"/>
    <s v="HO Complet entre 224 et 225"/>
    <s v="dl Rxqual=1"/>
    <s v="dl rx level= -68"/>
    <s v="OK"/>
    <s v="OK"/>
    <s v="Mauvais"/>
    <s v="  Pas de Retransmission des trames HDLC"/>
    <m/>
    <s v="HAMZAOUI Youssef"/>
    <m/>
    <m/>
    <m/>
    <m/>
    <m/>
    <m/>
    <m/>
  </r>
  <r>
    <n v="968"/>
    <x v="0"/>
    <x v="314"/>
    <d v="1899-12-30T15:49:16"/>
    <n v="1033"/>
    <x v="2"/>
    <x v="1"/>
    <n v="1061"/>
    <m/>
    <s v="Casa/Tanger"/>
    <n v="94.953999999999994"/>
    <x v="8"/>
    <s v="N2"/>
    <x v="0"/>
    <s v="* Etat H.O : HO non finalisé entre 318 et 317_x000a_* qualité /niveau de signal : dl rx-qual=7, dl rx level = -81dbm_x000a_* Requête de déconnexion a été envoyé par le RBC_x000a_"/>
    <m/>
    <x v="1"/>
    <s v="Qualité de signal dégradée 18-&gt;17 / Attente Chantier Optimisation"/>
    <s v="HO Non finalisé entre 318 et 317"/>
    <s v="dl Rxqual=7"/>
    <s v="dl rx level= -81"/>
    <s v="OK"/>
    <s v="OK"/>
    <s v="Mauvais"/>
    <s v="  Retransmission des trames HDLC*5"/>
    <m/>
    <s v="ELHAJOUIA Achraf"/>
    <m/>
    <m/>
    <m/>
    <m/>
    <m/>
    <m/>
    <m/>
  </r>
  <r>
    <n v="969"/>
    <x v="0"/>
    <x v="314"/>
    <d v="1899-12-30T22:46:33"/>
    <n v="1062"/>
    <x v="6"/>
    <x v="1"/>
    <n v="1062"/>
    <m/>
    <s v="Casa/Tanger"/>
    <n v="94.953999999999994"/>
    <x v="8"/>
    <s v="N2"/>
    <x v="0"/>
    <s v="* Etat H.O : HO non finalisé entre 318 et 317_x000a_* qualité /niveau de signal : dl rx-qual=2, dl rx level = -78dbm_x000a_* Requête de déconnexion a été envoyé par le RBC_x000a_"/>
    <m/>
    <x v="1"/>
    <s v="Qualité de signal dégradée 18-&gt;17/ Attente Chantier Optimisation"/>
    <s v="HO Non finalisé entre 318 et 317"/>
    <s v="dl Rxqual=2"/>
    <s v="dl rx level= -78"/>
    <s v="OK"/>
    <s v="OK"/>
    <s v="Mauvais"/>
    <s v="  Retransmission des trames HDLC*5"/>
    <m/>
    <s v="Fahd OUSSALH"/>
    <m/>
    <m/>
    <m/>
    <m/>
    <m/>
    <m/>
    <m/>
  </r>
  <r>
    <n v="970"/>
    <x v="0"/>
    <x v="315"/>
    <d v="1899-12-30T16:05:06"/>
    <n v="2041"/>
    <x v="10"/>
    <x v="0"/>
    <n v="1056"/>
    <m/>
    <s v="Tanger/Casa"/>
    <n v="6.13"/>
    <x v="2"/>
    <s v="N2"/>
    <x v="0"/>
    <s v="* Etat H.O : HO non finalisé entre 202 et 303_x000a_* qualité /niveau de signal : dl rx-qual=7 dl rx level = -54dbm_x000a_* Requête de déconnexion a été envoyé par le bord_x000a_"/>
    <m/>
    <x v="0"/>
    <s v="En attente de mise en place des tiroires filtrés "/>
    <s v="HO Non finalisé entre 202 et 303"/>
    <s v="dl Rxqual=7"/>
    <s v="dl rx level= -54"/>
    <s v="OK"/>
    <s v="OK"/>
    <s v="Mauvais"/>
    <s v="  Retransmission des trames HDLC*5"/>
    <m/>
    <s v="ELHAJOUIA Achraf"/>
    <m/>
    <m/>
    <m/>
    <m/>
    <m/>
    <m/>
    <m/>
  </r>
  <r>
    <n v="971"/>
    <x v="0"/>
    <x v="315"/>
    <d v="1899-12-30T18:04:44"/>
    <n v="2049"/>
    <x v="4"/>
    <x v="0"/>
    <n v="7208"/>
    <m/>
    <s v="Tanger/Casa"/>
    <n v="6.13"/>
    <x v="2"/>
    <s v="N2"/>
    <x v="1"/>
    <s v="* Etat H.O : HO non finalisé entre 202 et 203_x000a_* qualité /niveau de signal : dl rx-qual=7 dl rx level = -51dbm_x000a_* Requête de déconnexion a été envoyé par le RBC_x000a_"/>
    <m/>
    <x v="0"/>
    <s v="En attente de mise en place des tiroires filtrés "/>
    <s v="HO Non finalisé entre 202 et 203"/>
    <s v="dl Rxqual=7"/>
    <s v="dl rx level= -51"/>
    <s v="NOK"/>
    <s v="OK"/>
    <s v="Mauvais"/>
    <s v="  Retransmission des trames HDLC*5"/>
    <m/>
    <s v="MAROUANI Otmane"/>
    <m/>
    <m/>
    <m/>
    <m/>
    <m/>
    <m/>
    <m/>
  </r>
  <r>
    <n v="972"/>
    <x v="0"/>
    <x v="315"/>
    <d v="1899-12-30T20:38:25"/>
    <n v="1053"/>
    <x v="10"/>
    <x v="1"/>
    <n v="1028"/>
    <m/>
    <s v="Casa/Tanger"/>
    <n v="180.38800000000001"/>
    <x v="4"/>
    <s v="N2"/>
    <x v="0"/>
    <s v="* Etat H.O : HO non finalisé entre 331 et 330_x000a_* qualité /niveau de signal : dl rx-qual=7 dl rx level = -63dbm_x000a_* Requête de déconnexion a été envoyé par le RBC_x000a_"/>
    <m/>
    <x v="2"/>
    <s v="En attente de mise en place des tiroires filtrés /zone sous surveillence par le NOC"/>
    <s v="HO Non finalisé entre 331 et 330"/>
    <s v="dl Rxqual=7"/>
    <s v="dl rx level= -63"/>
    <s v="NOK"/>
    <s v="OK"/>
    <s v="Mauvais"/>
    <s v="  Retransmission des trames HDLC*5"/>
    <m/>
    <s v="ELHAJOUIA Achraf"/>
    <m/>
    <m/>
    <m/>
    <m/>
    <m/>
    <m/>
    <m/>
  </r>
  <r>
    <n v="973"/>
    <x v="0"/>
    <x v="316"/>
    <d v="1899-12-30T13:46:59"/>
    <n v="1025"/>
    <x v="0"/>
    <x v="1"/>
    <n v="1045"/>
    <m/>
    <s v="Casa/Tanger"/>
    <n v="94.953999999999994"/>
    <x v="8"/>
    <s v="N2"/>
    <x v="0"/>
    <s v="* Etat H.O : HO complete  entre 318 et 317_x000a_* qualité /niveau de signal : dl rx-qual=0 dl rx level = -48dbm_x000a_* Requête de déconnexion a été envoyé par le RBC_x000a_"/>
    <m/>
    <x v="0"/>
    <s v="En attente de mise en place des tiroires filtrés "/>
    <s v="HO complete  entre 318 et 317"/>
    <s v="dl Rxqual=0"/>
    <s v="dl rx level= -48"/>
    <s v="OK"/>
    <s v="OK"/>
    <s v="Mauvais"/>
    <s v="  Retransmission des trames HDLC*5"/>
    <m/>
    <s v="ELHAJOUIA Achraf"/>
    <m/>
    <m/>
    <m/>
    <m/>
    <m/>
    <m/>
    <m/>
  </r>
  <r>
    <n v="974"/>
    <x v="0"/>
    <x v="316"/>
    <d v="1899-12-30T19:35:15"/>
    <n v="2053"/>
    <x v="5"/>
    <x v="0"/>
    <n v="1025"/>
    <m/>
    <s v="Tanger/Casa"/>
    <n v="144.32599999999999"/>
    <x v="3"/>
    <s v="N2"/>
    <x v="0"/>
    <s v="* Etat H.O : HO complete  entre 224 et 225_x000a_* qualité /niveau de signal : dl rx-qual=3 dl rx level = -64dbm_x000a_* Requête de déconnexion a été envoyé par le RBC_x000a_"/>
    <m/>
    <x v="3"/>
    <s v="En attente de pousser les analyses coté RBC"/>
    <s v="HO complete  entre 224 et 225"/>
    <s v="dl Rxqual=3"/>
    <s v="dl rx level= -64"/>
    <s v="OK"/>
    <s v="OK"/>
    <s v="Mauvais"/>
    <s v="  Pas de Retransmission des trames HDLC"/>
    <m/>
    <s v="ELHAJOUIA Achraf"/>
    <m/>
    <m/>
    <m/>
    <m/>
    <m/>
    <m/>
    <m/>
  </r>
  <r>
    <n v="975"/>
    <x v="0"/>
    <x v="317"/>
    <d v="1899-12-30T18:28:04"/>
    <n v="2049"/>
    <x v="10"/>
    <x v="0"/>
    <n v="1057"/>
    <m/>
    <s v="Tanger/Casa"/>
    <n v="108.206"/>
    <x v="1"/>
    <s v="N2"/>
    <x v="0"/>
    <s v="* Etat H.O : HO Non finalisé  entre 219 et 320_x000a_* qualité /niveau de signal : dl rx-qual=7 dl rx level = -81dbm_x000a_* Requête de déconnexion a été envoyé par le bord_x000a_"/>
    <m/>
    <x v="2"/>
    <s v="En attente de mise en place des tiroires filtrés / zone sous surveillence par le NOC"/>
    <s v="HO Non finalisé  entre 219 et 320"/>
    <s v="dl Rxqual=7"/>
    <s v="dl rx level= -81"/>
    <s v="OK"/>
    <s v="OK"/>
    <s v="Mauvais"/>
    <s v="  Pas de Retransmission des trames HDLC"/>
    <m/>
    <s v="ELHAJOUIA Achraf"/>
    <m/>
    <m/>
    <m/>
    <m/>
    <m/>
    <m/>
    <m/>
  </r>
  <r>
    <n v="976"/>
    <x v="0"/>
    <x v="318"/>
    <d v="1899-12-30T15:05:47"/>
    <n v="2037"/>
    <x v="6"/>
    <x v="0"/>
    <n v="1057"/>
    <m/>
    <s v="Tanger/Casa"/>
    <n v="6.13"/>
    <x v="2"/>
    <s v="N2"/>
    <x v="0"/>
    <s v="* Etat H.O : HO Non finalisé entre 202 et 303  _x000a_* qualité /niveau de signal : dl rx-qual=7, dl rx level = -52 dbm_x000a_* Requête de déconnexion a été envoyé par le RBC_x000a_"/>
    <m/>
    <x v="0"/>
    <s v="En attente de mise en place des tiroires filtrés "/>
    <s v="HO Non finalisé entre 202 et 303  "/>
    <s v="dl Rxqual=7"/>
    <s v="dl rx level= -52"/>
    <s v="NOK"/>
    <s v="OK"/>
    <s v="Mauvais"/>
    <s v="  Retransmission des trames HDLC*5"/>
    <m/>
    <s v="Saad Elhabib"/>
    <m/>
    <m/>
    <m/>
    <m/>
    <m/>
    <m/>
    <m/>
  </r>
  <r>
    <n v="977"/>
    <x v="0"/>
    <x v="318"/>
    <d v="1899-12-30T19:04:40"/>
    <n v="2053"/>
    <x v="8"/>
    <x v="0"/>
    <n v="1043"/>
    <m/>
    <s v="Tanger/Casa"/>
    <n v="6.13"/>
    <x v="2"/>
    <s v="N2"/>
    <x v="0"/>
    <s v="* Etat H.O : HO finalisé entre 202 et 303  (avec downlink quality)_x000a_* qualité /niveau de signal : dl rx-qual=6, dl rx level = -60 dbm_x000a_* Requête de déconnexion a été envoyé par le RBC_x000a_"/>
    <m/>
    <x v="0"/>
    <s v="En attente de mise en place des tiroires filtrés "/>
    <s v="HO finalisé entre 202 et 303"/>
    <s v="dl Rxqual=6"/>
    <s v="dl rx level= -60"/>
    <s v="NOK"/>
    <s v="OK"/>
    <s v="Mauvais"/>
    <s v="  Retransmission des trames HDLC*5"/>
    <m/>
    <s v="Saad Elhabib"/>
    <m/>
    <m/>
    <m/>
    <m/>
    <m/>
    <m/>
    <m/>
  </r>
  <r>
    <n v="978"/>
    <x v="0"/>
    <x v="319"/>
    <d v="1899-12-30T07:46:50"/>
    <n v="1001"/>
    <x v="6"/>
    <x v="1"/>
    <n v="1023"/>
    <m/>
    <s v="Casa/Tanger"/>
    <n v="94.953999999999994"/>
    <x v="8"/>
    <s v="N2"/>
    <x v="0"/>
    <s v="* Etat H.O : HO non finalisé entre 318 et 317_x000a_* qualité /niveau de signal : Dégradé_x000a_* Requête de déconnexion a été envoyé par le RBC_x000a_"/>
    <m/>
    <x v="1"/>
    <s v="Qualité de signal dégradée 18-&gt;17/ Attente Chantier Optimisation"/>
    <s v="HO Non finalisé entre 318 et 317 "/>
    <s v="dl Rxqual=7"/>
    <s v="dl rx level= -52"/>
    <s v="OK"/>
    <s v="OK"/>
    <s v="Mauvais"/>
    <s v="  Retransmission des trames HDLC*5"/>
    <m/>
    <s v="Noura MOUSSAOUI"/>
    <m/>
    <m/>
    <m/>
    <m/>
    <m/>
    <m/>
    <m/>
  </r>
  <r>
    <n v="979"/>
    <x v="0"/>
    <x v="319"/>
    <s v="09:45:56 "/>
    <n v="1011"/>
    <x v="2"/>
    <x v="1"/>
    <n v="1061"/>
    <m/>
    <s v="Casa/Tanger"/>
    <n v="94.953999999999994"/>
    <x v="8"/>
    <s v="N2"/>
    <x v="0"/>
    <s v="* Etat H.O : HO finalisé entre 318 et 217_x000a_* qualité /niveau de signal : Dégradé_x000a_* Requête de déconnexion a été envoyé par le RBC_x000a_"/>
    <m/>
    <x v="1"/>
    <s v="Qualité de signal dégradée 18-&gt;17/ Attente Chantier Optimisation"/>
    <s v="HO finalisé entre 318 et 317 "/>
    <s v="dl Rxqual=6"/>
    <s v="dl rx level= -60"/>
    <s v="NOK"/>
    <s v="OK"/>
    <s v="Mauvais"/>
    <s v="  Retransmission des trames HDLC*5"/>
    <m/>
    <s v="Noura MOUSSAOUI"/>
    <m/>
    <m/>
    <m/>
    <m/>
    <m/>
    <m/>
    <m/>
  </r>
  <r>
    <n v="980"/>
    <x v="0"/>
    <x v="320"/>
    <d v="1899-12-30T10:16:54"/>
    <n v="1009"/>
    <x v="0"/>
    <x v="1"/>
    <n v="1044"/>
    <m/>
    <s v="Casa/Tanger"/>
    <n v="7.3209999999999997"/>
    <x v="2"/>
    <s v="N2"/>
    <x v="0"/>
    <s v="* Etat H.O : HO complet entre 303 et 302(downlink quality)_x000a_* qualité /niveau de signal : dl rx-qual=7, dl rx level = -74 dbm_x000a_* Requête de déconnexion a été envoyé par le RBC_x000a_"/>
    <m/>
    <x v="0"/>
    <s v="En attente de mise en place des tiroires filtrés "/>
    <s v="HO finalisé entre 303 et 302"/>
    <s v="dl Rxqual=7"/>
    <s v="dl rx level= -74"/>
    <s v="OK"/>
    <s v="OK"/>
    <s v="Mauvais"/>
    <s v="  Retransmission des trames HDLC*5"/>
    <m/>
    <s v="Noura MOUSSAOUI"/>
    <m/>
    <m/>
    <m/>
    <m/>
    <m/>
    <m/>
    <m/>
  </r>
  <r>
    <n v="981"/>
    <x v="0"/>
    <x v="320"/>
    <d v="1899-12-30T20:04:41"/>
    <n v="2057"/>
    <x v="7"/>
    <x v="0"/>
    <n v="1054"/>
    <m/>
    <s v="Tanger/Casa"/>
    <n v="6.13"/>
    <x v="2"/>
    <s v="N2"/>
    <x v="1"/>
    <s v="* Etat H.O : HO Non finalisé entre 202 et 203_x000a_* qualité /niveau de signal : dl rx-qual=7, dl rx level = -51 dbm_x000a_* Requête de déconnexion a été envoyé par le RBC_x000a_"/>
    <m/>
    <x v="0"/>
    <s v="En attente de mise en place des tiroires filtrés "/>
    <s v="HO non finalisé entre 202 et 203"/>
    <s v="dl Rxqual=7"/>
    <s v="dl rx level= -51"/>
    <s v="OK"/>
    <s v="OK"/>
    <s v="Mauvais"/>
    <s v="  Retransmission des trames HDLC*5"/>
    <m/>
    <s v="MAROUANI Otmane"/>
    <m/>
    <m/>
    <m/>
    <m/>
    <m/>
    <m/>
    <m/>
  </r>
  <r>
    <n v="982"/>
    <x v="0"/>
    <x v="320"/>
    <d v="1899-12-30T21:06:49"/>
    <n v="1053"/>
    <x v="10"/>
    <x v="1"/>
    <n v="1028"/>
    <m/>
    <s v="Casa/Tanger"/>
    <n v="7.3209999999999997"/>
    <x v="2"/>
    <s v="N2"/>
    <x v="0"/>
    <s v="* Etat H.O : HO complet entre 202 et 303 (downlink quality)_x000a_* qualité /niveau de signal : dl rx-qual=7, dl rx level = -68 dbm_x000a_* Requête de déconnexion a été envoyé par le RBC_x000a_"/>
    <m/>
    <x v="0"/>
    <s v="En attente de mise en place des tiroires filtrés "/>
    <s v="HO complet entre 202 et 303"/>
    <s v="dl Rxqual=7"/>
    <s v="dl rx level= -68"/>
    <s v="OK"/>
    <s v="OK"/>
    <s v="Mauvais"/>
    <s v="  Retransmission des trames HDLC*5"/>
    <m/>
    <s v="Saad Elhabib"/>
    <m/>
    <m/>
    <m/>
    <m/>
    <m/>
    <m/>
    <m/>
  </r>
  <r>
    <n v="983"/>
    <x v="0"/>
    <x v="321"/>
    <d v="1899-12-30T06:12:24"/>
    <n v="10075"/>
    <x v="0"/>
    <x v="0"/>
    <n v="1036"/>
    <m/>
    <s v="Tanger/Casa"/>
    <n v="186.315"/>
    <x v="19"/>
    <s v="N2"/>
    <x v="0"/>
    <s v="* Etat H.O : HO complet entre 232 et 233 _x000a_* qualité /niveau de signal : dl rx-qual=0, dl rx level = -48 dbm_x000a_* Requête de déconnexion a été envoyé par le RBC_x000a_"/>
    <m/>
    <x v="0"/>
    <s v="En attente de mise en place des tiroires filtrés "/>
    <s v="HO complet entre 232 et 233 "/>
    <s v="dl Rxqual=0"/>
    <s v="dl rx level= -48"/>
    <s v="OK"/>
    <s v="OK"/>
    <s v="Mauvais"/>
    <s v="  Retransmission des trames HDLC*5"/>
    <m/>
    <s v="Saad Elhabib"/>
    <m/>
    <m/>
    <m/>
    <m/>
    <m/>
    <m/>
    <m/>
  </r>
  <r>
    <n v="984"/>
    <x v="0"/>
    <x v="321"/>
    <d v="1899-12-30T09:05:04"/>
    <n v="1005"/>
    <x v="5"/>
    <x v="1"/>
    <n v="1027"/>
    <m/>
    <s v="Casa/Tanger"/>
    <n v="7.3209999999999997"/>
    <x v="2"/>
    <s v="N2"/>
    <x v="0"/>
    <s v="* Etat H.O : HO complet entre 303 et 302_x000a_* qualité /niveau de signal : dl rx-qual=7 dl rx level = -74 dbm_x000a_* Requête de déconnexion a été envoyé par le RBC_x000a_"/>
    <m/>
    <x v="0"/>
    <s v="En attente de mise en place des tiroires filtrés "/>
    <s v="HO complet entre 303 et 302"/>
    <s v="dl Rxqual=7"/>
    <s v="dl rx level= -74"/>
    <s v="OK"/>
    <s v="OK"/>
    <s v="Mauvais"/>
    <s v="  Retransmission des trames HDLC*5"/>
    <m/>
    <m/>
    <m/>
    <m/>
    <m/>
    <m/>
    <m/>
    <m/>
    <m/>
  </r>
  <r>
    <n v="985"/>
    <x v="0"/>
    <x v="321"/>
    <d v="1899-12-30T10:35:16"/>
    <n v="2017"/>
    <x v="10"/>
    <x v="0"/>
    <n v="1041"/>
    <m/>
    <s v="Tanger/Casa"/>
    <n v="148.02199999999999"/>
    <x v="3"/>
    <s v="N2"/>
    <x v="1"/>
    <s v="* Etat H.O : HO complet entre 224 et 225_x000a_* qualité /niveau de signal : absence mesure_x000a_* Requête de déconnexion a été envoyé par le RBC_x000a_"/>
    <m/>
    <x v="3"/>
    <s v="En attente de pousser les analyses coté RBC"/>
    <s v="HO complet entre 224 et 225"/>
    <s v="dl Rxqual="/>
    <s v="dl rx level= "/>
    <m/>
    <s v="OK"/>
    <s v="Mauvais"/>
    <s v="Pas de retransmission"/>
    <m/>
    <s v="ISMALI ALAOUI Hamza"/>
    <m/>
    <m/>
    <m/>
    <m/>
    <m/>
    <m/>
    <m/>
  </r>
  <r>
    <n v="986"/>
    <x v="0"/>
    <x v="321"/>
    <d v="1899-12-30T16:05:12"/>
    <n v="2041"/>
    <x v="11"/>
    <x v="0"/>
    <n v="1049"/>
    <m/>
    <s v="Tanger/Casa"/>
    <n v="6.13"/>
    <x v="2"/>
    <s v="N2"/>
    <x v="1"/>
    <s v="* Etat H.O : HO complet entre 202 et 203_x000a_* qualité /niveau de signal : dl rx-qual=7 dl rx level = -65 dbm_x000a_* Requête de déconnexion a été envoyé par le RBC_x000a_"/>
    <m/>
    <x v="0"/>
    <s v="En attente de mise en place des tiroires filtrés "/>
    <s v="HO complet entre 202 et 303"/>
    <s v="dl Rxqual=7"/>
    <s v="dl rx level= -65"/>
    <s v="OK"/>
    <s v="OK"/>
    <s v="Mauvais"/>
    <s v="  Retransmission des trames HDLC*5"/>
    <m/>
    <s v="MAROUANI Otmane"/>
    <m/>
    <m/>
    <m/>
    <m/>
    <m/>
    <m/>
    <m/>
  </r>
  <r>
    <n v="987"/>
    <x v="0"/>
    <x v="321"/>
    <d v="1899-12-30T18:34:59"/>
    <n v="2049"/>
    <x v="2"/>
    <x v="0"/>
    <n v="7218"/>
    <m/>
    <s v="Tanger/Casa"/>
    <n v="144.32599999999999"/>
    <x v="3"/>
    <s v="N2"/>
    <x v="1"/>
    <s v="* Etat H.O : HO complet entre 224 et 225_x000a_* qualité /niveau de signal : dl rx-qual=2 dl rx level = -71 dbm_x000a_* Requête de déconnexion a été envoyé par le RBC_x000a_"/>
    <m/>
    <x v="0"/>
    <s v="En attente de mise en place des tiroires filtrés "/>
    <s v="HO complet entre 224 et 225"/>
    <s v="dl Rxqual=2"/>
    <s v="dl rx level= -71"/>
    <s v="OK"/>
    <s v="OK"/>
    <s v="Mauvais"/>
    <s v="  Retransmission des trames HDLC*5"/>
    <m/>
    <s v="MAROUANI Otmane"/>
    <m/>
    <m/>
    <m/>
    <m/>
    <m/>
    <m/>
    <m/>
  </r>
  <r>
    <n v="988"/>
    <x v="0"/>
    <x v="322"/>
    <d v="1899-12-30T09:45:11"/>
    <n v="1010"/>
    <x v="0"/>
    <x v="1"/>
    <n v="1045"/>
    <m/>
    <s v="Casa/Tanger"/>
    <n v="94.953999999999994"/>
    <x v="8"/>
    <s v="N2"/>
    <x v="0"/>
    <s v="* Etat H.O : HO non finalisé entre 318 et 317_x000a_* qualité /niveau de signal : dl rx-qual=7, dl rx level =-83dbm_x000a_* Requête de déconnexion a été envoyé par le RBC_x000a_"/>
    <m/>
    <x v="1"/>
    <s v="Qualité de signal dégradée 18-&gt;17/ Attente Chantier Optimisation"/>
    <s v="HO Non finalisé entre 318 et 317 "/>
    <s v="dl Rxqual=7"/>
    <s v="dl rx level= -83"/>
    <s v="OK"/>
    <s v="OK"/>
    <s v="Mauvais"/>
    <s v="  Retransmission des trames HDLC*5"/>
    <m/>
    <s v="LAGDEM Elmehdi"/>
    <m/>
    <m/>
    <m/>
    <m/>
    <m/>
    <m/>
    <m/>
  </r>
  <r>
    <n v="989"/>
    <x v="0"/>
    <x v="323"/>
    <d v="1899-12-30T16:35:51"/>
    <n v="2041"/>
    <x v="4"/>
    <x v="0"/>
    <n v="1058"/>
    <m/>
    <s v="Tanger/Casa"/>
    <n v="146.738"/>
    <x v="3"/>
    <s v="N2"/>
    <x v="0"/>
    <s v="* Etat H.O : HO  finalisé entre 225 et 226_x000a_* qualité /niveau de signal : dl rx-qual=1, dl rx level =-68dbm_x000a_* Requête de déconnexion a été envoyé par le RBC_x000a_"/>
    <m/>
    <x v="3"/>
    <s v="En attente de pousser les analyses coté RBC"/>
    <s v="HO  finalisé entre 225 et 226 "/>
    <s v="dl Rxqual=1"/>
    <s v="dl rx level= -68"/>
    <s v="OK"/>
    <s v="OK"/>
    <s v="Mauvais"/>
    <s v="  Pas de Retransmission des trames HDLC"/>
    <m/>
    <s v="ELGUEZZAR Anas"/>
    <m/>
    <m/>
    <m/>
    <m/>
    <m/>
    <m/>
    <m/>
  </r>
  <r>
    <n v="990"/>
    <x v="0"/>
    <x v="323"/>
    <d v="1899-12-30T14:05:39"/>
    <n v="2033"/>
    <x v="11"/>
    <x v="0"/>
    <n v="1049"/>
    <m/>
    <s v="Tanger/Casa"/>
    <n v="6.13"/>
    <x v="2"/>
    <s v="N2"/>
    <x v="1"/>
    <s v="* Etat H.O : HO complet entre 202 et 303 avec downlink quality_x000a_* qualité /niveau de signal : dl rx-qual=7, dl rx level =-65dbm_x000a_* Requête de déconnexion a été envoyé par le RBC_x000a_"/>
    <m/>
    <x v="0"/>
    <s v="En attente de mise en place des tiroires filtrés "/>
    <s v="HO complet entre 202 et 303 avec downlink quality"/>
    <s v="dl Rxqual=7"/>
    <s v="dl rx level= -65"/>
    <s v="OK"/>
    <s v="OK"/>
    <s v="Mauvais"/>
    <s v="  Retransmission des trames HDLC*5"/>
    <m/>
    <s v="Noura MOUSSAOUI"/>
    <m/>
    <m/>
    <m/>
    <m/>
    <m/>
    <m/>
    <m/>
  </r>
  <r>
    <n v="991"/>
    <x v="0"/>
    <x v="323"/>
    <d v="1899-12-30T14:09:17"/>
    <n v="2033"/>
    <x v="11"/>
    <x v="0"/>
    <n v="1049"/>
    <m/>
    <s v="Tanger/Casa"/>
    <n v="7.3810000000000002"/>
    <x v="2"/>
    <s v="N2"/>
    <x v="1"/>
    <s v="* Etat H.O : Ho recul non finalisé 303 et 202_x000a_* qualité /niveau de signal : Dégradé_x000a_* Requête de déconnexion a été envoyé par le BORD_x000a_"/>
    <m/>
    <x v="0"/>
    <s v="En attente de mise en place des tiroires filtrés "/>
    <s v="Ho recul non finalisé 303 et 202"/>
    <m/>
    <m/>
    <s v="NOK"/>
    <s v="OK"/>
    <m/>
    <s v="  Retransmission des trames HDLC*5"/>
    <m/>
    <s v="Noura MOUSSAOUI"/>
    <m/>
    <m/>
    <m/>
    <m/>
    <m/>
    <m/>
    <m/>
  </r>
  <r>
    <n v="992"/>
    <x v="0"/>
    <x v="323"/>
    <d v="1899-12-30T19:19:00"/>
    <n v="1045"/>
    <x v="11"/>
    <x v="1"/>
    <n v="1072"/>
    <m/>
    <s v="Casa/Tanger"/>
    <n v="7.3810000000000002"/>
    <x v="2"/>
    <s v="N2"/>
    <x v="1"/>
    <s v="* HO non finalisé  entre 302 et 203 avec downlink quality_x000a_* qualité /niveau de signal : dl rx-qual=7, dl rx level = -55dbm_x000a_* Requête de déconnexion a été envoyé par le RBC_x000a__x000a_"/>
    <m/>
    <x v="0"/>
    <s v="En attente de mise en place des tiroires filtrés "/>
    <s v="HO non finalisé  entre 302 et 203"/>
    <s v="dl Rxqual=7"/>
    <s v="dl rx level= -55"/>
    <s v="NOK"/>
    <s v="OK"/>
    <m/>
    <s v="  Retransmission des trames HDLC*5"/>
    <m/>
    <s v="Nassim NAJIM"/>
    <m/>
    <m/>
    <m/>
    <m/>
    <m/>
    <m/>
    <m/>
  </r>
  <r>
    <n v="993"/>
    <x v="0"/>
    <x v="323"/>
    <d v="1899-12-30T21:03:50"/>
    <n v="1053"/>
    <x v="2"/>
    <x v="1"/>
    <n v="1060"/>
    <m/>
    <s v="Casa/Tanger"/>
    <n v="7.3209999999999997"/>
    <x v="2"/>
    <s v="N2"/>
    <x v="1"/>
    <s v="* Etat H.O : HO non finalisé entre 302 et 203_x000a_* qualité /niveau de signal : dl rx-qual=7, dl rx level =-57dbm_x000a_* Requête de déconnexion a été envoyé par le Bord_x000a_"/>
    <m/>
    <x v="0"/>
    <s v="En attente de mise en place des tiroires filtrés "/>
    <s v="HO Non finalisé entre 302 et 203 "/>
    <s v="dl Rxqual=7"/>
    <s v="dl rx level= -57"/>
    <s v="OK"/>
    <s v="OK"/>
    <s v="Mauvais"/>
    <s v="  Retransmission des trames HDLC*5"/>
    <m/>
    <s v="HAMZAOUI Youssef"/>
    <m/>
    <m/>
    <m/>
    <m/>
    <m/>
    <m/>
    <m/>
  </r>
  <r>
    <n v="994"/>
    <x v="0"/>
    <x v="324"/>
    <d v="1899-12-30T11:46:46"/>
    <n v="2017"/>
    <x v="2"/>
    <x v="1"/>
    <n v="1061"/>
    <m/>
    <s v="Casa/Tanger"/>
    <n v="94.953999999999994"/>
    <x v="8"/>
    <s v="N2"/>
    <x v="0"/>
    <s v="* Etat H.O : HO non finalisé entre 318 et 317_x000a_* qualité /niveau de signal : dl rx-qual=7, dl rx level = -81dbm_x000a_* Requête de déconnexion a été envoyé par le RBC_x000a_"/>
    <m/>
    <x v="1"/>
    <s v="Qualité de signal dégradée 18-&gt;17/ Attente Chantier Optimisation"/>
    <s v="HO non finalisé entre 318 et 317"/>
    <s v="dl Rxqual=7"/>
    <s v="dl rx level= -81"/>
    <s v="OK"/>
    <s v="OK"/>
    <s v="Mauvais"/>
    <s v="  Retransmission des trames HDLC*5"/>
    <m/>
    <s v="Noura MOUSSAOUI"/>
    <m/>
    <m/>
    <m/>
    <m/>
    <m/>
    <m/>
    <m/>
  </r>
  <r>
    <n v="995"/>
    <x v="0"/>
    <x v="324"/>
    <d v="1899-12-30T12:45:18"/>
    <n v="2021"/>
    <x v="3"/>
    <x v="1"/>
    <n v="1008"/>
    <m/>
    <s v="Casa/Tanger"/>
    <n v="94.953999999999994"/>
    <x v="8"/>
    <s v="N2"/>
    <x v="0"/>
    <s v="* Etat H.O : HO non finalisé entre 318 et 317_x000a_* qualité /niveau de signal : dl rx-qual=7, dl rx level = -85dbm_x000a_* Requête de déconnexion a été envoyé par le RBC_x000a_"/>
    <m/>
    <x v="1"/>
    <s v="Qualité de signal dégradée 18-&gt;17/ Attente Chantier Optimisation"/>
    <s v="HO non finalisé entre 318 et 318"/>
    <s v="dl Rxqual=7"/>
    <s v="dl rx level= -85"/>
    <s v="OK"/>
    <s v="OK"/>
    <s v="Mauvais"/>
    <s v="  Retransmission des trames HDLC*5"/>
    <m/>
    <s v="Noura MOUSSAOUI"/>
    <m/>
    <m/>
    <m/>
    <m/>
    <m/>
    <m/>
    <m/>
  </r>
  <r>
    <n v="996"/>
    <x v="0"/>
    <x v="324"/>
    <d v="1899-12-30T18:05:25"/>
    <n v="2049"/>
    <x v="4"/>
    <x v="0"/>
    <n v="1058"/>
    <m/>
    <s v="Tanger/Casa"/>
    <n v="6.13"/>
    <x v="2"/>
    <s v="N2"/>
    <x v="1"/>
    <s v="finalisé  entre 202 et 303 avec downlink quality_x000a_* qualité /niveau de signal : dl rx-qual=7, dl rx level = -67dbm_x000a_* Requête de déconnexion a été envoyé par le RBC_x000a__x000a_"/>
    <m/>
    <x v="0"/>
    <s v="En attente de mise en place des tiroires filtrés "/>
    <s v="HO  finalisé entre 202 et 303"/>
    <s v="dl Rxqual=7"/>
    <s v="dl rx level= -67"/>
    <s v="OK"/>
    <s v="OK"/>
    <s v="Mauvais"/>
    <s v="  Retransmission des trames HDLC*5"/>
    <m/>
    <s v="Nassim NAJIM"/>
    <m/>
    <m/>
    <m/>
    <m/>
    <m/>
    <m/>
    <m/>
  </r>
  <r>
    <n v="997"/>
    <x v="0"/>
    <x v="325"/>
    <d v="1899-12-30T11:35:05"/>
    <n v="2021"/>
    <x v="4"/>
    <x v="0"/>
    <n v="1058"/>
    <m/>
    <s v="Tanger/Casa"/>
    <n v="144.32599999999999"/>
    <x v="3"/>
    <s v="N2"/>
    <x v="0"/>
    <s v="* Etat H.O : HO complet entre 224 et 225_x000a_* qualité /niveau de signal : dl rx-qual=0, dl rx level = -62dbm_x000a_* Requête de déconnexion a été envoyé par le RBC_x000a__x000a_"/>
    <m/>
    <x v="3"/>
    <s v="En attente de pousser les analyses coté RBC"/>
    <s v="HO complet entre 224 et 225"/>
    <s v="dl Rxqual=0"/>
    <s v="dl rx level= -62"/>
    <s v="OK"/>
    <s v="OK"/>
    <s v="Mauvais"/>
    <s v="  Pas de Retransmission des trames HDLC"/>
    <m/>
    <s v="Noura MOUSSAOUI"/>
    <m/>
    <m/>
    <m/>
    <m/>
    <m/>
    <m/>
    <m/>
  </r>
  <r>
    <n v="998"/>
    <x v="0"/>
    <x v="325"/>
    <d v="1899-12-30T22:38:28"/>
    <n v="1061"/>
    <x v="3"/>
    <x v="1"/>
    <n v="1007"/>
    <m/>
    <s v="Casa/Tanger"/>
    <n v="127.815"/>
    <x v="6"/>
    <s v="N2"/>
    <x v="0"/>
    <s v="* Etat H.O : HO Non finalisé entre 223 et 322_x000a_* qualité /niveau de signal : dl rx-qual=6, dl rx level = -76dbm_x000a_* Requête de déconnexion a été envoyé par le bord"/>
    <m/>
    <x v="2"/>
    <s v="Zone sous surveillence par le NOC/En attente de mise en place des tiroires filtrés "/>
    <s v="HO Non finalisé entre 223 et 322"/>
    <s v="dl Rxqual=6"/>
    <s v="dl rx level= -76"/>
    <s v="OK"/>
    <s v="OK"/>
    <s v="Mauvais"/>
    <s v="  Retransmission des trames HDLC*5"/>
    <m/>
    <s v="ELHAJOUIA Achraf"/>
    <m/>
    <m/>
    <m/>
    <m/>
    <m/>
    <m/>
    <m/>
  </r>
  <r>
    <n v="999"/>
    <x v="0"/>
    <x v="326"/>
    <d v="1899-12-30T15:05:03"/>
    <n v="2037"/>
    <x v="11"/>
    <x v="0"/>
    <n v="1049"/>
    <m/>
    <s v="Tanger/Casa"/>
    <n v="6.13"/>
    <x v="2"/>
    <s v="N2"/>
    <x v="0"/>
    <s v="* Etat H.O : HO complet entre 202 et 303 avec downlink quality_x000a_* qualité /niveau de signal : dl rx-qual=7, dl rx level = -67dbm_x000a_* Requête de déconnexion a été envoyé par le RBC"/>
    <m/>
    <x v="0"/>
    <s v="En attente de mise en place des tiroires filtrés "/>
    <s v="HO complet entre 202 et 303 avec downlink quality"/>
    <s v="dl Rxqual=7"/>
    <s v="dl rx level= -67"/>
    <s v="OK"/>
    <s v="OK"/>
    <s v="Mauvais"/>
    <s v="  Retransmission des trames HDLC*5"/>
    <m/>
    <s v="Noura MOUSSAOUI"/>
    <m/>
    <m/>
    <m/>
    <m/>
    <m/>
    <m/>
    <m/>
  </r>
  <r>
    <n v="1000"/>
    <x v="0"/>
    <x v="326"/>
    <d v="1899-12-30T19:56:49"/>
    <n v="1050"/>
    <x v="11"/>
    <x v="1"/>
    <n v="1020"/>
    <m/>
    <s v="Casa/Tanger"/>
    <n v="39.215000000000003"/>
    <x v="14"/>
    <s v="N2"/>
    <x v="0"/>
    <s v="* Etat H.O : Ho non finalisé entre 308 et 307_x000a_* qualité /niveau de signal :dl rx-qual=0, dl rx level = -67dbm_x000a_* Requête de déconnexion a été envoyé par le Bord_x000a__x000a_"/>
    <m/>
    <x v="2"/>
    <s v="Zone sous surveillence par le NOC/En attente de mise en place des tiroires filtrés "/>
    <s v="HO Non finalisé entre 308 et 307 "/>
    <s v="dl Rxqual=0"/>
    <s v="dl rx level= -67"/>
    <s v="NOK"/>
    <s v="OK"/>
    <s v="Mauvais"/>
    <s v="  Retransmission des trames HDLC*5"/>
    <m/>
    <s v="HARIRI Bahaeddine"/>
    <m/>
    <m/>
    <m/>
    <m/>
    <m/>
    <m/>
    <m/>
  </r>
  <r>
    <n v="1001"/>
    <x v="0"/>
    <x v="327"/>
    <d v="1899-12-30T07:24:29"/>
    <n v="2005"/>
    <x v="10"/>
    <x v="0"/>
    <n v="1057"/>
    <m/>
    <s v="Tanger/Casa"/>
    <n v="88.911000000000001"/>
    <x v="12"/>
    <s v="N2"/>
    <x v="0"/>
    <s v="* Etat H.O : Ho non finalisé entre 216 et 217_x000a_* qualité /niveau de signal :dl rx-qual=0, dl rx level = -67dbm_x000a_* Requête de déconnexion a été envoyé par le RBC _x000a_"/>
    <m/>
    <x v="2"/>
    <s v="Zone sous surveillence par le NOC/En attente de mise en place des tiroires filtrés "/>
    <s v="HO Non finalisé entre 216 et 217"/>
    <s v="dl Rxqual=0"/>
    <s v="dl rx level= -67"/>
    <s v="NOK"/>
    <s v="OK"/>
    <s v="Mauvais"/>
    <s v="  Retransmission des trames HDLC*5"/>
    <m/>
    <s v="ELHAJOUIA Achraf"/>
    <m/>
    <m/>
    <m/>
    <m/>
    <m/>
    <m/>
    <m/>
  </r>
  <r>
    <n v="1002"/>
    <x v="0"/>
    <x v="327"/>
    <d v="1899-12-30T11:05:03"/>
    <n v="2021"/>
    <x v="11"/>
    <x v="0"/>
    <n v="1048"/>
    <m/>
    <s v="Tanger/Casa"/>
    <n v="6.13"/>
    <x v="2"/>
    <s v="N2"/>
    <x v="0"/>
    <s v="* Etat H.O : Ho Complet entre 302 et 303_x000a_* qualité /niveau de signal :dl rx-qual=5, dl rx level = -68dbm_x000a_* Requête de déconnexion a été envoyé par le RBC _x000a_"/>
    <m/>
    <x v="0"/>
    <s v="En attente de mise en place des tiroires filtrés "/>
    <s v="HO complet entre 302 et 303"/>
    <s v="dl Rxqual=5"/>
    <s v="dl rx level= -68"/>
    <s v="NOK"/>
    <s v="OK"/>
    <s v="Mauvais"/>
    <s v="  Pas de Retransmission des trames HDLC"/>
    <m/>
    <s v="Fahd OUSSALH"/>
    <m/>
    <m/>
    <m/>
    <m/>
    <m/>
    <m/>
    <m/>
  </r>
  <r>
    <n v="1003"/>
    <x v="0"/>
    <x v="327"/>
    <d v="1899-12-30T16:37:02"/>
    <n v="1037"/>
    <x v="9"/>
    <x v="1"/>
    <n v="1035"/>
    <m/>
    <s v="Casa/Tanger"/>
    <n v="189.29900000000001"/>
    <x v="5"/>
    <s v="N2"/>
    <x v="1"/>
    <s v="* Etat H.O : Ho non finalisé entre 233 et 234_x000a_* qualité /niveau de signal :dl rx-qual=0, dl rx level = -54dbm_x000a_* Requête de déconnexion a été envoyé par le Bord"/>
    <m/>
    <x v="2"/>
    <s v="Zone sous surveillence par le NOC/En attente de mise en place des tiroires filtrés "/>
    <s v="HO complet entre 233 et 234"/>
    <s v="dl Rxqual=0"/>
    <s v="dl rx level= -54"/>
    <s v="OK"/>
    <s v="NOK"/>
    <s v="Mauvais"/>
    <s v="  Pas de Retransmission des trames HDLC"/>
    <m/>
    <s v="HAMZAOUI Youssef"/>
    <m/>
    <m/>
    <m/>
    <m/>
    <m/>
    <m/>
    <m/>
  </r>
  <r>
    <n v="1004"/>
    <x v="0"/>
    <x v="328"/>
    <d v="1899-12-30T12:05:19"/>
    <n v="2025"/>
    <x v="7"/>
    <x v="0"/>
    <n v="1039"/>
    <m/>
    <s v="Tanger/Casa"/>
    <n v="6.13"/>
    <x v="2"/>
    <s v="N2"/>
    <x v="1"/>
    <s v="* Etat H.O : Ho compet  entre 202  et 303_x000a_* qualité /niveau de signal :dl rx-qual=6, dl rx level = -67dbm_x000a_* Requête de déconnexion a été envoyé par le RBC _x000a_"/>
    <m/>
    <x v="0"/>
    <s v="En attente de mise en place des tiroires filtrés "/>
    <s v="HO complet entre 202 et 303"/>
    <s v="dl Rxqual=6"/>
    <s v="dl rx level= -67"/>
    <s v="OK"/>
    <s v="OK"/>
    <s v="Mauvais"/>
    <s v="  Retransmission des trames HDLC*5"/>
    <m/>
    <s v="Nassim NAJIM"/>
    <m/>
    <m/>
    <m/>
    <m/>
    <m/>
    <m/>
    <m/>
  </r>
  <r>
    <n v="1005"/>
    <x v="0"/>
    <x v="328"/>
    <d v="1899-12-30T14:03:41"/>
    <n v="1025"/>
    <x v="10"/>
    <x v="1"/>
    <n v="1028"/>
    <m/>
    <s v="Casa/Tanger"/>
    <n v="7.13"/>
    <x v="2"/>
    <s v="N2"/>
    <x v="1"/>
    <s v="* Etat H.O : Ho non compet  entre 202 et 303_x000a_* qualité /niveau de signal :dl rx-qual=5, dl rx level = -62dbm_x000a_* Requête de déconnexion a été envoyé par le Bord_x000a_"/>
    <m/>
    <x v="0"/>
    <s v="En attente de mise en place des tiroires filtrés "/>
    <s v="HO Non finalisé entre 202 et 303"/>
    <s v="dl Rxqual=5"/>
    <s v="dl rx level= -62"/>
    <s v="OK"/>
    <s v="OK"/>
    <s v="Mauvais"/>
    <s v="  Pas de Retransmission des trames HDLC"/>
    <m/>
    <s v="HAMZAOUI Youssef"/>
    <m/>
    <m/>
    <m/>
    <m/>
    <m/>
    <m/>
    <m/>
  </r>
  <r>
    <n v="1006"/>
    <x v="0"/>
    <x v="328"/>
    <d v="1899-12-30T15:43:03"/>
    <n v="2037"/>
    <x v="5"/>
    <x v="0"/>
    <n v="1024"/>
    <m/>
    <s v="Tanger/Casa"/>
    <n v="172.863"/>
    <x v="27"/>
    <s v="N2"/>
    <x v="0"/>
    <s v="* Etat H.O : Ho non finalisé entre 229 et 230_x000a_* qualité /niveau de signal :dl rx-qual=0, dl rx level = -60dbm_x000a_* Requête de déconnexion a été envoyé par le Bord"/>
    <m/>
    <x v="2"/>
    <s v="Zone sous surveillence par le NOC/En attente de mise en place des tiroires filtrés "/>
    <s v="HO Non finalisé entre 229 et 230"/>
    <s v="dl Rxqual=0"/>
    <s v="dl rx level= -60"/>
    <s v="OK"/>
    <s v="OK"/>
    <s v="Mauvais"/>
    <s v="  Retransmission des trames HDLC*5"/>
    <m/>
    <s v="LAGDEM Elmehdi"/>
    <m/>
    <m/>
    <m/>
    <m/>
    <m/>
    <m/>
    <m/>
  </r>
  <r>
    <n v="1007"/>
    <x v="0"/>
    <x v="328"/>
    <d v="1899-12-30T17:45:38"/>
    <n v="1041"/>
    <x v="2"/>
    <x v="1"/>
    <n v="1061"/>
    <m/>
    <s v="Casa/Tanger"/>
    <n v="94.653999999999996"/>
    <x v="8"/>
    <s v="N2"/>
    <x v="0"/>
    <s v="* Etat H.O : Ho non finalisé entre 318 et 317_x000a_* qualité /niveau de signal :dl rx-qual=7, dl rx level = -82dbm_x000a_* Requête de déconnexion a été envoyé par le RBC"/>
    <m/>
    <x v="1"/>
    <s v="Zone sous surveillence par le NOC"/>
    <s v="HO Non finalisé entre 318 et 317 "/>
    <s v="dl Rxqual=7"/>
    <s v="dl rx level= -82"/>
    <s v="OK"/>
    <s v="OK"/>
    <s v="Mauvais"/>
    <s v="  Retransmission des trames HDLC*5"/>
    <m/>
    <s v="LAGDEM Elmehdi"/>
    <m/>
    <m/>
    <m/>
    <m/>
    <m/>
    <m/>
    <m/>
  </r>
  <r>
    <n v="1008"/>
    <x v="0"/>
    <x v="328"/>
    <d v="1899-12-30T20:04:45"/>
    <n v="2057"/>
    <x v="4"/>
    <x v="0"/>
    <n v="1058"/>
    <m/>
    <s v="Tanger/Casa"/>
    <n v="6.13"/>
    <x v="2"/>
    <s v="N2"/>
    <x v="0"/>
    <s v="* Etat H.O : Ho complet  entre 202 et 303_x000a_* qualité /niveau de signal :dl rx-qual=7, dl rx level = -64dbm_x000a_* Requête de déconnexion a été envoyé par le RBC_x000a_"/>
    <m/>
    <x v="0"/>
    <s v="En attente de mise en place des tiroires filtrés "/>
    <s v="HO complet entre 202 et 303"/>
    <s v="dl Rxqual=7"/>
    <s v="dl rx level= -64"/>
    <s v="OK"/>
    <s v="OK"/>
    <s v="Mauvais"/>
    <s v="  Retransmission des trames HDLC*5"/>
    <m/>
    <s v="LAGDEM Elmehdi"/>
    <m/>
    <m/>
    <m/>
    <m/>
    <m/>
    <m/>
    <m/>
  </r>
  <r>
    <n v="1009"/>
    <x v="0"/>
    <x v="329"/>
    <s v="11:43:14 "/>
    <n v="2017"/>
    <x v="5"/>
    <x v="1"/>
    <n v="1027"/>
    <m/>
    <s v="Casa/Tanger"/>
    <n v="108.206"/>
    <x v="1"/>
    <s v="N2"/>
    <x v="0"/>
    <s v="* Etat H.O : Ho non finalisé  entre 220 et 319_x000a_* qualité /niveau de signal :dl rx-qual=0, dl rx level = -77dbm_x000a_* Requête de déconnexion a été envoyé par le RBC_x000a_"/>
    <m/>
    <x v="2"/>
    <s v="Zone sous surveillence par le NOC/En attente de mise en place des tiroires filtrés "/>
    <s v="HO Non finalisé entre 320 et 319"/>
    <s v="dl Rxqual=0"/>
    <s v="dl rx level= -77"/>
    <s v="NOK"/>
    <s v="OK"/>
    <s v="Mauvais"/>
    <s v="  Retransmission des trames HDLC*5"/>
    <m/>
    <s v="Noura MOUSSAOUI"/>
    <m/>
    <m/>
    <m/>
    <m/>
    <m/>
    <m/>
    <m/>
  </r>
  <r>
    <n v="1010"/>
    <x v="0"/>
    <x v="329"/>
    <s v=" 12:06:17"/>
    <n v="2017"/>
    <x v="5"/>
    <x v="1"/>
    <n v="1026"/>
    <m/>
    <s v="Casa/Tanger"/>
    <n v="7.3209999999999997"/>
    <x v="2"/>
    <s v="N2"/>
    <x v="0"/>
    <s v="* Etat H.O : Ho non finalisé  entre 202 et 303_x000a_* qualité /niveau de signal :dl rx-qual=4, dl rx level = -50dbm_x000a_* Requête de déconnexion a été envoyé par le RBC_x000a_"/>
    <m/>
    <x v="0"/>
    <s v="En attente de mise en place des tiroires filtrés "/>
    <s v="Ho non finalisé entre 202 et 303"/>
    <s v="dl Rxqual=4"/>
    <s v="dl rx level= -50"/>
    <s v="NOK"/>
    <s v="OK"/>
    <s v="Mauvais"/>
    <s v="  Retransmission des trames HDLC*5"/>
    <m/>
    <s v="Noura MOUSSAOUI"/>
    <m/>
    <m/>
    <m/>
    <m/>
    <m/>
    <m/>
    <m/>
  </r>
  <r>
    <n v="1011"/>
    <x v="0"/>
    <x v="329"/>
    <s v=" 17:05:16"/>
    <n v="2045"/>
    <x v="11"/>
    <x v="0"/>
    <n v="1048"/>
    <m/>
    <s v="Tanger/Casa"/>
    <n v="6.13"/>
    <x v="2"/>
    <s v="N2"/>
    <x v="1"/>
    <s v="* Etat H.O : Ho non finalisé  entre 202 et 201_x000a_* qualité /niveau de signal :dl rx-qual=7, dl rx level = -51dbm_x000a_* Requête de déconnexion a été envoyé par le Bord_x000a_"/>
    <m/>
    <x v="0"/>
    <s v="En attente de mise en place des tiroires filtrés "/>
    <s v="Ho non finalisé entre 202 et 201"/>
    <s v="dl Rxqual=7"/>
    <s v="dl rx level= -51"/>
    <s v="OK"/>
    <s v="OK"/>
    <s v="Mauvais"/>
    <s v="  Pas de Retransmission des trames HDLC"/>
    <m/>
    <s v="HAMZAOUI Youssef"/>
    <m/>
    <m/>
    <m/>
    <m/>
    <m/>
    <m/>
    <m/>
  </r>
  <r>
    <n v="1012"/>
    <x v="0"/>
    <x v="329"/>
    <d v="1899-12-30T18:43:12"/>
    <n v="1045"/>
    <x v="9"/>
    <x v="1"/>
    <n v="1035"/>
    <m/>
    <s v="Casa/Tanger"/>
    <n v="108.206"/>
    <x v="1"/>
    <s v="N2"/>
    <x v="0"/>
    <s v="* Etat H.O : Ho non finalisé entre 320 et 319_x000a_* qualité /niveau de signal :dl rx-qual=2, dl rx level = -77dbm_x000a_* Requête de déconnexion a été envoyé par le RBC_x000a_"/>
    <m/>
    <x v="2"/>
    <s v="Zone sous surveillence par le NOC/En attente de mise en place des tiroires filtrés "/>
    <s v="Ho non finalisé entre 320 et 319"/>
    <s v="dl Rxqual=2"/>
    <s v="dl rx level= -77"/>
    <s v="OK"/>
    <s v="OK"/>
    <s v="Mauvais"/>
    <s v="  Retransmission des trames HDLC*5"/>
    <m/>
    <s v="LAGDEM Elmehdi"/>
    <m/>
    <m/>
    <m/>
    <m/>
    <m/>
    <m/>
    <m/>
  </r>
  <r>
    <n v="1013"/>
    <x v="0"/>
    <x v="330"/>
    <d v="1899-12-30T15:05:16"/>
    <n v="2037"/>
    <x v="5"/>
    <x v="0"/>
    <n v="1025"/>
    <m/>
    <s v="Tanger/Casa"/>
    <n v="6.13"/>
    <x v="2"/>
    <s v="N2"/>
    <x v="0"/>
    <s v="* Etat H.O : HO complet entre 202 et 303_x000a_* qualité /niveau de signal :dl rx-qual=2, dl rx level = -66dbm_x000a_* Requête de déconnexion a été envoyé par le RBC_x000a_"/>
    <m/>
    <x v="0"/>
    <s v="En attente de mise en place des tiroires filtrés "/>
    <s v="HO complet entre 202 et 303"/>
    <s v="dl Rxqual=2"/>
    <s v="dl rx level= -66"/>
    <s v="OK"/>
    <s v="OK"/>
    <s v="Mauvais"/>
    <s v="  Retransmission des trames HDLC*5"/>
    <m/>
    <s v="Noura MOUSSAOUI"/>
    <m/>
    <m/>
    <m/>
    <m/>
    <m/>
    <m/>
    <m/>
  </r>
  <r>
    <n v="1014"/>
    <x v="0"/>
    <x v="330"/>
    <d v="1899-12-30T18:27:39"/>
    <n v="1045"/>
    <x v="2"/>
    <x v="1"/>
    <n v="1060"/>
    <m/>
    <s v="Casa/Tanger"/>
    <n v="189.98400000000001"/>
    <x v="5"/>
    <s v="N2"/>
    <x v="1"/>
    <s v="* Etat H.O : HO non finalisé entre 99 et 233_x000a_* qualité /niveau de signal :dl rx-qual=7, dl rx level = -71dbm_x000a_* Requête de déconnexion a été envoyé par le Bord"/>
    <m/>
    <x v="2"/>
    <s v="Zone sous surveillence par le NOC/En attente de mise en place des tiroires filtrés "/>
    <s v="Ho non finalisé entre 99 et 233"/>
    <s v="dl Rxqual=7"/>
    <s v="dl rx level= -71"/>
    <s v="OK"/>
    <s v="NOK"/>
    <s v="Mauvais"/>
    <s v="  Pas de Retransmission des trames HDLC"/>
    <m/>
    <s v="HAMZAOUI Youssef"/>
    <m/>
    <m/>
    <m/>
    <m/>
    <m/>
    <m/>
    <m/>
  </r>
  <r>
    <n v="1015"/>
    <x v="0"/>
    <x v="330"/>
    <d v="1899-12-30T21:35:34"/>
    <n v="2062"/>
    <x v="5"/>
    <x v="0"/>
    <n v="1025"/>
    <m/>
    <s v="Tanger/Casa"/>
    <n v="145.6"/>
    <x v="3"/>
    <s v="N2"/>
    <x v="0"/>
    <s v="* Etat H.O : HO complet entre 225 et 226_x000a_* qualité /niveau de signal :dl rx-qual=0, dl rx level = -58dbm_x000a_* Requête de déconnexion a été envoyé par le RBC_x000a_"/>
    <m/>
    <x v="3"/>
    <s v="En attente de pousser les analyses coté RBC"/>
    <s v="HO complet entre 225 et 226"/>
    <s v="dl Rxqual=0"/>
    <s v="dl rx level= -58"/>
    <s v="OK"/>
    <s v="OK"/>
    <s v="Mauvais"/>
    <s v="  Pas de Retransmission des trames HDLC"/>
    <m/>
    <s v="Fahd OUSSALH"/>
    <m/>
    <m/>
    <m/>
    <m/>
    <m/>
    <m/>
    <m/>
  </r>
  <r>
    <n v="1016"/>
    <x v="0"/>
    <x v="331"/>
    <d v="1899-12-30T10:05:18"/>
    <n v="2017"/>
    <x v="9"/>
    <x v="0"/>
    <n v="1053"/>
    <n v="35214500043740"/>
    <s v="Tanger/Casa"/>
    <n v="6.13"/>
    <x v="2"/>
    <s v="N2"/>
    <x v="0"/>
    <s v="* Etat H.O : HO non finalisé entre 202 et 203_x000a_* qualité /niveau de signal :dl rx-qual=7, dl rx level = -56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6"/>
    <s v="OK"/>
    <s v="OK"/>
    <s v="Mauvais"/>
    <s v="  Retransmission des trames HDLC*5"/>
    <m/>
    <s v="HARIRI Bahaeddine"/>
    <m/>
    <m/>
    <m/>
    <m/>
    <m/>
    <m/>
    <m/>
  </r>
  <r>
    <n v="1017"/>
    <x v="0"/>
    <x v="331"/>
    <d v="1899-12-30T23:05:25"/>
    <n v="1062"/>
    <x v="5"/>
    <x v="1"/>
    <n v="1027"/>
    <n v="35214500045329"/>
    <s v="Casa/Tanger"/>
    <n v="7.3209999999999997"/>
    <x v="2"/>
    <s v="N2"/>
    <x v="0"/>
    <s v="* Etat H.O : Ho complet entre 202 et 303_x000a_* qualité /niveau de signal :dl rx-qual=7, dl rx level = -75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complet entre 202 et 303 "/>
    <s v="dl Rxqual=7"/>
    <s v="dl rx level= -75"/>
    <s v="NOK"/>
    <s v="OK"/>
    <s v="Mauvais"/>
    <s v="  Pas de Retransmission des trames HDLC"/>
    <m/>
    <s v="Fahd OUSSALH"/>
    <m/>
    <m/>
    <m/>
    <m/>
    <m/>
    <m/>
    <m/>
  </r>
  <r>
    <n v="1018"/>
    <x v="0"/>
    <x v="332"/>
    <s v="12:46:04 "/>
    <n v="1021"/>
    <x v="0"/>
    <x v="1"/>
    <n v="1045"/>
    <n v="35214500045098"/>
    <s v="Casa/Tanger"/>
    <n v="94.953999999999994"/>
    <x v="8"/>
    <s v="N2"/>
    <x v="0"/>
    <s v="* Etat H.O : HO non finalisé entre 318 et 317_x000a_* qualité /niveau de signal :dl rx-qual=7, dl rx level = -85dbm_x000a_* Requête de déconnexion a été envoyé par le RBC_x000a_"/>
    <s v="Les derniers résultats de la vérification chaine antennaire conformes et mauvaise qualité de signale_x000a_Présence d'interférences externes  au niveau du GSMR_17/18_x000a_Zone sous surveillence par le NOC"/>
    <x v="1"/>
    <s v="Zone sous surveillence par le NOC"/>
    <s v="HO non finalisé entre 318 et 317"/>
    <s v="dl Rxqual=7"/>
    <s v="dl rx level= -85"/>
    <s v="OK"/>
    <s v="OK"/>
    <s v="Mauvais"/>
    <s v="  Retransmission des trames HDLC*5"/>
    <m/>
    <s v="Noura MOUSSAOUI"/>
    <m/>
    <m/>
    <m/>
    <m/>
    <m/>
    <m/>
    <m/>
  </r>
  <r>
    <n v="1019"/>
    <x v="0"/>
    <x v="333"/>
    <d v="1899-12-30T10:05:34"/>
    <n v="2017"/>
    <x v="6"/>
    <x v="0"/>
    <n v="7206"/>
    <n v="35214500040520"/>
    <s v="Tanger/Casa"/>
    <n v="6.13"/>
    <x v="2"/>
    <s v="N2"/>
    <x v="1"/>
    <s v="* Etat H.O : HO non finalisé entre 302 et 203_x000a_* qualité /niveau de signal :dl rx-qual=7, dl rx level = -54dbm_x000a_* Requête de déconnexion a été envoyé par le Bord_x000a_"/>
    <s v="Les derniers résultats de la vérification chaine antennaire conformes _x000a_Présence d'interférences externes  au niveau du GSMR_02/03_x000a_Probléme GSMR_x000a_"/>
    <x v="0"/>
    <s v="En attente de mise en place des tiroires filtrés "/>
    <s v="HO non finalisé entre 302 et 203"/>
    <s v="dl Rxqual=7"/>
    <s v="dl rx level= -54"/>
    <s v="OK"/>
    <s v="OK"/>
    <s v="Mauvais"/>
    <s v="  Retransmission des trames HDLC*5"/>
    <m/>
    <s v="Noura MOUSSAOUI"/>
    <m/>
    <m/>
    <m/>
    <m/>
    <m/>
    <m/>
    <m/>
  </r>
  <r>
    <n v="1020"/>
    <x v="0"/>
    <x v="333"/>
    <d v="1899-12-30T17:05:22"/>
    <n v="2045"/>
    <x v="5"/>
    <x v="0"/>
    <n v="1024"/>
    <n v="35214500045122"/>
    <s v="Tanger/Casa"/>
    <n v="6.13"/>
    <x v="2"/>
    <s v="N2"/>
    <x v="1"/>
    <s v="* Etat H.O : HO non finalisé entre 202 et 303_x000a_* qualité /niveau de signal :dl rx-qual=7, dl rx level = -53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non finalisé entre 302 et 203"/>
    <s v="dl Rxqual=7"/>
    <s v="dl rx level= -53"/>
    <s v="OK"/>
    <s v="OK"/>
    <s v="Mauvais"/>
    <s v="  Retransmission des trames HDLC*5"/>
    <m/>
    <s v="ISMALI ALAOUI Hamza"/>
    <m/>
    <m/>
    <m/>
    <m/>
    <m/>
    <m/>
    <m/>
  </r>
  <r>
    <n v="1021"/>
    <x v="0"/>
    <x v="333"/>
    <d v="1899-12-30T19:05:42"/>
    <n v="1045"/>
    <x v="9"/>
    <x v="1"/>
    <n v="1034"/>
    <n v="35214500046011"/>
    <s v="Casa/Tanger"/>
    <n v="7.3209999999999997"/>
    <x v="2"/>
    <s v="N2"/>
    <x v="0"/>
    <s v="* Etat H.O : HO non finalisé entre 303 et 202_x000a_* qualité /niveau de signal :dl rx-qual=5, dl rx level = -59dbm_x000a_* Requête de déconnexion a été envoyé par le bord_x000a_"/>
    <s v="Les derniers résultats de la vérification chaine antennaire conformes _x000a_Présence d'interférences externes  au niveau du GSMR_02/03_x000a_Probléme GSMR_x000a_"/>
    <x v="0"/>
    <s v="En attente de mise en place des tiroires filtrés "/>
    <s v="HO non finalisé entre 303 et 202"/>
    <s v="dl Rxqual=5"/>
    <s v="dl rx level= -59"/>
    <s v="OK"/>
    <s v="OK"/>
    <s v="Mauvais"/>
    <s v="  Retransmission des trames HDLC*5"/>
    <m/>
    <s v="ELHAJOUIA Achraf"/>
    <m/>
    <m/>
    <m/>
    <m/>
    <m/>
    <m/>
    <m/>
  </r>
  <r>
    <n v="1022"/>
    <x v="0"/>
    <x v="333"/>
    <d v="1899-12-30T19:46:11"/>
    <n v="1049"/>
    <x v="11"/>
    <x v="1"/>
    <n v="1072"/>
    <n v="35214500045494"/>
    <s v="Casa/Tanger"/>
    <n v="94.953999999999994"/>
    <x v="8"/>
    <s v="N2"/>
    <x v="0"/>
    <s v="* Etat H.O : HO non finalisé entre 318 et 317_x000a_* qualité /niveau de signal :dl rx-qual=7, dl rx level = -82dbm_x000a_* Requête de déconnexion a été envoyé par le RBC_x000a_"/>
    <s v="Les derniers résultats de la vérification chaine antennaire conformes et mauvaise qualité de signale_x000a_Présence d'interférences externes  au niveau du GSMR_17/18_x000a_Zone sous surveillence par le NOC"/>
    <x v="1"/>
    <s v="Zone sous surveillence par le NOC"/>
    <s v="HO non finalisé entre 318 et 317"/>
    <s v="dl Rxqual=7"/>
    <s v="dl rx level= -82"/>
    <s v="OK"/>
    <s v="OK"/>
    <s v="Mauvais"/>
    <s v="  Retransmission des trames HDLC*5"/>
    <m/>
    <s v="ELHAJOUIA Achraf"/>
    <m/>
    <m/>
    <m/>
    <m/>
    <m/>
    <m/>
    <m/>
  </r>
  <r>
    <n v="1023"/>
    <x v="0"/>
    <x v="334"/>
    <d v="1899-12-30T12:45:48"/>
    <n v="1021"/>
    <x v="0"/>
    <x v="1"/>
    <n v="1045"/>
    <n v="35214500045098"/>
    <s v="Casa/Tanger"/>
    <n v="93.757999999999996"/>
    <x v="8"/>
    <s v="N2"/>
    <x v="0"/>
    <s v="* Etat H.O : Ho finalisé entre 318 et 317 _x000a_* qualité /niveau de signal :dl rx-qual=0, dl rx level = -48dbm_x000a_* Requête de déconnexion a été envoyé par le RBC_x000a_"/>
    <s v="Les derniers résultats de la vérification chaine antennaire conformes et Bon qualité de signale_x000a_Présence d'interférences externes  au niveau du GSMR_17/18_x000a_Zone sous surveillence par le NOC"/>
    <x v="0"/>
    <s v="En attente de mise en place des tiroires filtrés "/>
    <s v="HO finalisé entre 318 et 317"/>
    <s v="dl Rxqual=0"/>
    <s v="dl rx level= -48"/>
    <s v="OK"/>
    <s v="OK"/>
    <s v="Mauvais"/>
    <s v="  Retransmission des trames HDLC*5"/>
    <m/>
    <s v="Saad Elhabib"/>
    <m/>
    <m/>
    <m/>
    <m/>
    <m/>
    <m/>
    <m/>
  </r>
  <r>
    <n v="1024"/>
    <x v="0"/>
    <x v="334"/>
    <d v="1899-12-30T21:04:32"/>
    <n v="1045"/>
    <x v="0"/>
    <x v="1"/>
    <n v="1033"/>
    <n v="35214500045098"/>
    <s v="Casa/Tanger"/>
    <n v="7.3209999999999997"/>
    <x v="2"/>
    <s v="N2"/>
    <x v="0"/>
    <s v="* Etat H.O : Ho finalisé entre 303 et 202_x000a_* qualité /niveau de signal :dl rx-qual=7, dl rx level = -49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finalisé entre 303 et 202"/>
    <s v="dl Rxqual=7"/>
    <s v="dl rx level= -49"/>
    <s v="OK"/>
    <s v="OK"/>
    <s v="Mauvais"/>
    <s v="  Retransmission des trames HDLC*5"/>
    <m/>
    <s v="HARIRI Bahaeddine"/>
    <m/>
    <m/>
    <m/>
    <m/>
    <m/>
    <m/>
    <m/>
  </r>
  <r>
    <n v="1025"/>
    <x v="0"/>
    <x v="335"/>
    <d v="1899-12-30T16:21:45"/>
    <n v="2041"/>
    <x v="0"/>
    <x v="0"/>
    <n v="1037"/>
    <n v="35214500045488"/>
    <s v="Tanger/Casa"/>
    <n v="78.155000000000001"/>
    <x v="11"/>
    <s v="N2"/>
    <x v="0"/>
    <s v="* Etat H.O : Ho Non finalisé entre 214 et 215_x000a_* qualité /niveau de signal :dl rx-qual=2, dl rx level = -65dbm_x000a_* Requête de déconnexion a été envoyé par le RBC_x000a_"/>
    <s v="Les derniers résultats de la vérification chaine antennaire conformes et Bon qualité de signale_x000a_Zone sous surveillence par le NOC"/>
    <x v="2"/>
    <s v="Zone sous surveillence par le NOC/En attente de mise en place des tiroires filtrés "/>
    <s v="HO non finalisé entre 214 et 215"/>
    <s v="dl Rxqual=2"/>
    <s v="dl rx level= -65"/>
    <s v="NOK"/>
    <s v="OK"/>
    <s v="Mauvais"/>
    <s v="  Retransmission des trames HDLC*5"/>
    <m/>
    <s v="ELHAJOUIA Achraf"/>
    <m/>
    <m/>
    <m/>
    <m/>
    <m/>
    <m/>
    <m/>
  </r>
  <r>
    <n v="1026"/>
    <x v="0"/>
    <x v="335"/>
    <d v="1899-12-30T20:05:20"/>
    <n v="2057"/>
    <x v="9"/>
    <x v="0"/>
    <n v="1036"/>
    <n v="35214500044497"/>
    <s v="Tanger/Casa"/>
    <n v="6.13"/>
    <x v="2"/>
    <s v="N2"/>
    <x v="1"/>
    <s v="* Etat H.O : Ho Non finalisé entre 202 et 303_x000a_* qualité /niveau de signal :dl rx-qual=7, dl rx level = -51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1"/>
    <s v="OK"/>
    <s v="OK"/>
    <s v="Mauvais"/>
    <s v="  Retransmission des trames HDLC*5"/>
    <m/>
    <s v="ISMALI ALAOUI Hamza"/>
    <m/>
    <m/>
    <m/>
    <m/>
    <m/>
    <m/>
    <m/>
  </r>
  <r>
    <n v="1027"/>
    <x v="0"/>
    <x v="336"/>
    <d v="1899-12-30T09:22:42"/>
    <n v="2013"/>
    <x v="8"/>
    <x v="0"/>
    <n v="1042"/>
    <n v="35214500045498"/>
    <s v="Tanger/Casa"/>
    <n v="83.084000000000003"/>
    <x v="15"/>
    <s v="N2"/>
    <x v="0"/>
    <s v="* Etat H.O : HO non finalisé entre 215 et 216_x000a_* qualité /niveau de signal :dl rx-qual=0, dl rx level = -58dbm_x000a_* Requête de déconnexion a été envoyé par le RBC_x000a_"/>
    <s v="Les derniers résultats de la vérification chaine antennaire conformes et Bon qualité de signale_x000a_Zone sous surveillence par le NOC"/>
    <x v="2"/>
    <s v="Zone sous surveillence par le NOC/En attente de mise en place des tiroires filtrés "/>
    <s v="HO non finalisé entre 215 et 216"/>
    <s v="dl Rxqual=0"/>
    <s v="dl rx level= -58"/>
    <s v="NOK"/>
    <s v="OK"/>
    <s v="Mauvais"/>
    <s v="  Retransmission des trames HDLC*5"/>
    <m/>
    <s v="Noura MOUSSAOUI"/>
    <m/>
    <m/>
    <m/>
    <m/>
    <m/>
    <m/>
    <m/>
  </r>
  <r>
    <n v="1028"/>
    <x v="0"/>
    <x v="336"/>
    <d v="1899-12-30T10:29:38"/>
    <n v="1014"/>
    <x v="11"/>
    <x v="1"/>
    <n v="1072"/>
    <n v="35214500045424"/>
    <s v="Tanger/Casa"/>
    <n v="185.47"/>
    <x v="19"/>
    <s v="N2"/>
    <x v="1"/>
    <s v="* Etat H.O : Ho non finalisé entre 233 et 332_x000a_* qualité /niveau de signal :dl rx-qual=0, dl rx level = -73dbm_x000a_* Requête de déconnexion a été envoyé par le Bord_x000a_"/>
    <s v="Les derniers résultats de la vérification chaine antennaire conformes et Bon qualité de signale_x000a_Zone sous surveillence par le NOC"/>
    <x v="2"/>
    <s v="Zone sous surveillence par le NOC/En attente de mise en place des tiroires filtrés "/>
    <s v=" Ho non finalisé entre 233 et 332"/>
    <s v="dl Rxqual=0"/>
    <s v="dl rx level= -73"/>
    <s v="OK"/>
    <s v="OK"/>
    <s v="Mauvais"/>
    <s v="  Pas de Retransmission des trames HDLC"/>
    <m/>
    <s v="Noura MOUSSAOUI"/>
    <m/>
    <m/>
    <m/>
    <m/>
    <m/>
    <m/>
    <m/>
  </r>
  <r>
    <n v="1029"/>
    <x v="0"/>
    <x v="336"/>
    <d v="1899-12-30T17:06:28"/>
    <n v="2045"/>
    <x v="6"/>
    <x v="0"/>
    <n v="7206"/>
    <n v="35214500040520"/>
    <s v="Tanger/Casa"/>
    <n v="6.13"/>
    <x v="2"/>
    <s v="N2"/>
    <x v="1"/>
    <s v="* Etat H.O : Ho non finalisé entre 202 et 203_x000a_* qualité /niveau de signal :dl rx-qual=7, dl rx level = -51dbm_x000a_* Requête de déconnexion a été envoyé par le RBC"/>
    <s v="Les derniers résultats de la vérification chaine antennaire conformes _x000a_Présence d'interférences externes  au niveau du GSMR_02/03_x000a_Probléme GSMR_x000a_"/>
    <x v="0"/>
    <s v="En attente de mise en place des tiroires filtrés "/>
    <s v=" Ho non finalisé entre 203 et 203"/>
    <s v="dl Rxqual=7"/>
    <s v="dl rx level= -51"/>
    <s v="NOK"/>
    <s v="OK"/>
    <s v="Mauvais"/>
    <s v="  Retransmission des trames HDLC*5"/>
    <m/>
    <s v="ISMALI ALAOUI Hamza"/>
    <m/>
    <m/>
    <m/>
    <m/>
    <m/>
    <m/>
    <m/>
  </r>
  <r>
    <n v="1030"/>
    <x v="0"/>
    <x v="337"/>
    <d v="1899-12-30T16:05:33"/>
    <n v="2041"/>
    <x v="10"/>
    <x v="0"/>
    <n v="1056"/>
    <n v="35214500045217"/>
    <s v="Tanger/Casa"/>
    <n v="6.13"/>
    <x v="2"/>
    <s v="N2"/>
    <x v="1"/>
    <s v="* Etat H.O : HO non finalisé entre 202 et 203_x000a_* qualité /niveau de signal :dl rx-qual=7, dl rx level = -56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 Ho non finalisé entre 203 et 203"/>
    <s v="dl Rxqual=7"/>
    <s v="dl rx level= -56"/>
    <s v="NOK"/>
    <s v="OK"/>
    <s v="Mauvais"/>
    <s v="  Retransmission des trames HDLC*5"/>
    <m/>
    <s v="Oussama ZEHOUANI"/>
    <m/>
    <m/>
    <m/>
    <m/>
    <m/>
    <m/>
    <m/>
  </r>
  <r>
    <n v="1031"/>
    <x v="0"/>
    <x v="337"/>
    <d v="1899-12-30T19:05:05"/>
    <n v="2053"/>
    <x v="8"/>
    <x v="0"/>
    <n v="1042"/>
    <n v="35214500045200"/>
    <s v="Tanger/Casa"/>
    <n v="6.13"/>
    <x v="2"/>
    <s v="N2"/>
    <x v="0"/>
    <s v="* Etat H.O : HO non finalisé entre 202 et 203_x000a_* qualité /niveau de signal :dl rx-qual=7, dl rx level = -55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 Ho non finalisé entre 203 et 203"/>
    <s v="dl Rxqual=7"/>
    <s v="dl rx level= -55"/>
    <s v="NOK"/>
    <s v="OK"/>
    <s v="Mauvais"/>
    <s v="  Retransmission des trames HDLC*5"/>
    <m/>
    <s v="Fahd OUSSALH"/>
    <m/>
    <m/>
    <m/>
    <m/>
    <m/>
    <m/>
    <m/>
  </r>
  <r>
    <n v="1032"/>
    <x v="0"/>
    <x v="337"/>
    <d v="1899-12-30T18:35:27"/>
    <n v="2049"/>
    <x v="11"/>
    <x v="0"/>
    <n v="1049"/>
    <n v="35214500046076"/>
    <s v="Tanger/Casa"/>
    <n v="144.32599999999999"/>
    <x v="3"/>
    <s v="N2"/>
    <x v="1"/>
    <s v="* Etat H.O : Ho non finalisé entre 224 et 225_x000a_* Qualité /niveau de signal :dl rx-qual=2, dl rx level = -67dbm_x000a_* Requête de déconnexion a été envoyé par le RBC_x000a_"/>
    <s v="La commission de déconnexion confirme lors de la réunion la présence de problèmes RBC au niveau de la zonne GSMR 25/26"/>
    <x v="2"/>
    <s v="Zone sous surveillence par le NOC/En attente de mise en place des tiroires filtrés "/>
    <s v=" Ho non finalisé entre 224 et 225"/>
    <s v="dl Rxqual=2"/>
    <s v="dl rx level= -67"/>
    <s v="OK"/>
    <s v="OK"/>
    <s v="Mauvais"/>
    <s v="  Retransmission des trames HDLC*5"/>
    <m/>
    <s v="Oussama ZEHOUANI"/>
    <m/>
    <m/>
    <m/>
    <m/>
    <m/>
    <m/>
    <m/>
  </r>
  <r>
    <n v="1033"/>
    <x v="0"/>
    <x v="338"/>
    <d v="1899-12-30T08:05:44"/>
    <n v="2009"/>
    <x v="2"/>
    <x v="0"/>
    <n v="7218"/>
    <n v="35214500044557"/>
    <s v="Tanger/Casa"/>
    <n v="6.13"/>
    <x v="2"/>
    <s v="N2"/>
    <x v="1"/>
    <s v="* Etat H.O : Ho complet entre 202 et 203(avec downlink quality)_x000a_* Qualité /niveau de signal :dl rx-qual=5, dl rx level = -67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complet entre 202 et 203"/>
    <s v="dl Rxqual=5"/>
    <s v="dl rx level= -67"/>
    <s v="OK"/>
    <s v="OK"/>
    <s v="Mauvais"/>
    <s v="  Retransmission des trames HDLC*5"/>
    <m/>
    <s v="Noura MOUSSAOUI"/>
    <m/>
    <m/>
    <m/>
    <m/>
    <m/>
    <m/>
    <m/>
  </r>
  <r>
    <n v="1034"/>
    <x v="0"/>
    <x v="338"/>
    <s v=" 09:05:12 "/>
    <n v="2013"/>
    <x v="11"/>
    <x v="0"/>
    <n v="1049"/>
    <n v="35214500046076"/>
    <s v="Tanger/Casa"/>
    <n v="6.13"/>
    <x v="2"/>
    <s v="N2"/>
    <x v="1"/>
    <s v="* Etat H.O : Ho complet entre 303 et 302_x000a_* Qualité /niveau de signal :dl rx-qual=0, dl rx level = -59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complet entre 303 et 302"/>
    <s v="dl Rxqual=0"/>
    <s v="dl rx level= -59"/>
    <s v="OK"/>
    <s v="OK"/>
    <s v="Mauvais"/>
    <s v="  Retransmission des trames HDLC*5"/>
    <m/>
    <s v="Noura MOUSSAOUI"/>
    <m/>
    <m/>
    <m/>
    <m/>
    <m/>
    <m/>
    <m/>
  </r>
  <r>
    <n v="1035"/>
    <x v="0"/>
    <x v="338"/>
    <s v=" 15:05:12"/>
    <n v="2037"/>
    <x v="11"/>
    <x v="0"/>
    <n v="1049"/>
    <n v="35214500046076"/>
    <s v="Tanger/Casa"/>
    <n v="6.13"/>
    <x v="2"/>
    <s v="N2"/>
    <x v="0"/>
    <s v="* Etat H.O : Ho complet entre 202 et 303_x000a_* Qualité /niveau de signal :dl rx-qual=6, dl rx level = -63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complet entre 202 et 303 "/>
    <s v="dl Rxqual=6"/>
    <s v="dl rx level= -63"/>
    <s v="OK"/>
    <s v="OK"/>
    <s v="Mauvais"/>
    <s v="  Retransmission des trames HDLC*5"/>
    <m/>
    <s v="Noura MOUSSAOUI"/>
    <m/>
    <m/>
    <m/>
    <m/>
    <m/>
    <m/>
    <m/>
  </r>
  <r>
    <n v="1036"/>
    <x v="0"/>
    <x v="338"/>
    <d v="1899-12-30T17:03:47"/>
    <n v="1038"/>
    <x v="10"/>
    <x v="1"/>
    <n v="1028"/>
    <n v="35214500045449"/>
    <s v="Casa/Tanger"/>
    <n v="7.3209999999999997"/>
    <x v="2"/>
    <s v="N2"/>
    <x v="0"/>
    <s v="* Etat H.O : Ho finalisé entre 303 et 202_x000a_* qualité /niveau de signal :dl rx-qual=0, dl rx level = -65dbm_x000a_* Requête de déconnexion a été envoyé par le Bord_x000a_"/>
    <s v="Les derniers résultats de la vérification chaine antennaire conformes _x000a_Présence d'interférences externes  au niveau du GSMR_02/03_x000a_Probléme GSMR_x000a_"/>
    <x v="0"/>
    <s v="En attente de mise en place des tiroires filtrés "/>
    <s v="HO finalisé entre 303 et 202"/>
    <s v="dl Rxqual=0"/>
    <s v="dl rx level= -65"/>
    <s v="NOK"/>
    <s v="OK"/>
    <s v="Mauvais"/>
    <s v="  Retransmission des trames HDLC*5"/>
    <m/>
    <s v="Fahd OUSSALH"/>
    <m/>
    <m/>
    <m/>
    <m/>
    <m/>
    <m/>
    <m/>
  </r>
  <r>
    <n v="1037"/>
    <x v="0"/>
    <x v="338"/>
    <d v="1899-12-30T19:35:21"/>
    <n v="2053"/>
    <x v="5"/>
    <x v="0"/>
    <n v="1025"/>
    <n v="35214500045122"/>
    <s v="Tanger/Casa"/>
    <n v="144.32599999999999"/>
    <x v="3"/>
    <s v="N2"/>
    <x v="0"/>
    <s v="* Etat H.O : Ho complet entre 224 et 225_x000a_* Qualité /niveau de signal :dl rx-qual=0 dl rx level = -65dbm_x000a_* Requête de déconnexion a été envoyé par le RBC_x000a_"/>
    <s v="La commission de déconnexion confirme lors de la réunion la présence de problèmes RBC au niveau de la zonne GSMR 25/26"/>
    <x v="0"/>
    <s v="En attente de mise en place des tiroires filtrés "/>
    <s v=" Ho finalisé entre 224 et 225"/>
    <s v="dl Rxqual=0"/>
    <s v="dl rx level= -65"/>
    <s v="NOK"/>
    <s v="OK"/>
    <s v="Mauvais"/>
    <s v="  Retransmission des trames HDLC*5"/>
    <m/>
    <s v="Fahd OUSSALH"/>
    <m/>
    <m/>
    <m/>
    <m/>
    <m/>
    <m/>
    <m/>
  </r>
  <r>
    <n v="1038"/>
    <x v="0"/>
    <x v="338"/>
    <d v="1899-12-30T23:05:15"/>
    <n v="1062"/>
    <x v="10"/>
    <x v="1"/>
    <n v="1028"/>
    <n v="35214500045449"/>
    <s v="Casa/Tanger"/>
    <n v="7.3209999999999997"/>
    <x v="2"/>
    <s v="N2"/>
    <x v="0"/>
    <s v="* Etat H.O : Ho finalisé entre 303 et 202_x000a_* qualité /niveau de signal :dl rx-qual=7, dl rx level = -67dbm_x000a_* Requête de déconnexion a été envoyé par le RBC"/>
    <s v="Les derniers résultats de la vérification chaine antennaire conformes _x000a_Présence d'interférences externes  au niveau du GSMR_02/03_x000a_Probléme GSMR_x000a_"/>
    <x v="0"/>
    <s v="En attente de mise en place des tiroires filtrés "/>
    <s v="HO finalisé entre 303 et 202"/>
    <s v="dl Rxqual=7"/>
    <s v="dl rx level= -67"/>
    <s v="OK"/>
    <s v="OK"/>
    <s v="Mauvais"/>
    <s v="  Retransmission des trames HDLC*5"/>
    <m/>
    <s v="HARIRI Bahaeddine"/>
    <m/>
    <m/>
    <m/>
    <m/>
    <m/>
    <m/>
    <m/>
  </r>
  <r>
    <n v="1039"/>
    <x v="0"/>
    <x v="339"/>
    <s v="14:35:24 "/>
    <n v="2033"/>
    <x v="9"/>
    <x v="0"/>
    <n v="1029"/>
    <n v="35214500044497"/>
    <s v="Tanger/Casa"/>
    <n v="141.898"/>
    <x v="26"/>
    <s v="N2"/>
    <x v="0"/>
    <s v="* Etat H.O : Ho complet entre 224 et 225_x000a_* qualité /niveau de signal :dl rx-qual=0, dl rx level = -48dbm_x000a_* Requête de déconnexion a été envoyé par le RBC"/>
    <s v="Les derniers résultats de la vérification chaine antennaire conformes et Bon qualité de signale"/>
    <x v="0"/>
    <s v="En attente de mise en place des tiroires filtrés "/>
    <s v="Ho complet entre 224 et 225"/>
    <s v="dl Rxqual=0"/>
    <s v="dl rx level= -48"/>
    <s v="OK"/>
    <s v="OK"/>
    <s v="Mauvais"/>
    <s v="  Retransmission des trames HDLC*5"/>
    <m/>
    <s v="Noura MOUSSAOUI"/>
    <m/>
    <m/>
    <m/>
    <m/>
    <m/>
    <m/>
    <m/>
  </r>
  <r>
    <n v="1040"/>
    <x v="0"/>
    <x v="340"/>
    <d v="1899-12-30T10:35:34"/>
    <n v="2017"/>
    <x v="5"/>
    <x v="0"/>
    <n v="1025"/>
    <n v="35214500045073"/>
    <s v="Tanger/Casa"/>
    <n v="145.6"/>
    <x v="3"/>
    <s v="N2"/>
    <x v="0"/>
    <s v="* Etat H.O : Ho complet entre 225 et 226_x000a_* qualité /niveau de signal :dl rx-qual=0, dl rx level = -62dbm_x000a_* Requête de déconnexion a été envoyé par le RBC"/>
    <s v="La commission de déconnexion confirme lors de la réunion la présence de problèmes RBC au niveau de la zonne GSMR 25/26"/>
    <x v="2"/>
    <s v="En attente de mise en place des tiroires filtrés "/>
    <s v="Ho complet entre 225 et 226"/>
    <s v="dl Rxqual=0"/>
    <s v="dl rx level= -62"/>
    <s v="OK"/>
    <s v="OK"/>
    <s v="Mauvais"/>
    <s v="  Retransmission des trames HDLC*5"/>
    <m/>
    <s v="Noura MOUSSAOUI"/>
    <m/>
    <m/>
    <m/>
    <m/>
    <m/>
    <m/>
    <m/>
  </r>
  <r>
    <n v="1041"/>
    <x v="0"/>
    <x v="340"/>
    <d v="1899-12-30T21:23:54"/>
    <n v="1057"/>
    <x v="5"/>
    <x v="1"/>
    <n v="1026"/>
    <n v="35214500045329"/>
    <s v="Casa/Tanger"/>
    <n v="198.98400000000001"/>
    <x v="5"/>
    <s v="N2"/>
    <x v="1"/>
    <s v="* Etat H.O : Ho finalisé entre 99 et 333_x000a_* qualité /niveau de signal :dl rx-qual=7, dl rx level = -70dbm_x000a_* Requête de déconnexion a été envoyé par le Bord_x000a_"/>
    <m/>
    <x v="2"/>
    <s v="Zone sous surveillence par le NOC/En attente de mise en place des tiroires filtrés "/>
    <s v="HO finalisé entre 99 et 333"/>
    <s v="dl Rxqual=7"/>
    <s v="dl rx level= -70"/>
    <s v="OK"/>
    <s v="OK"/>
    <s v="Mauvais"/>
    <s v="  Pas de Retransmission des trames HDLC"/>
    <m/>
    <s v="HAMZAOUI Youssef"/>
    <m/>
    <m/>
    <m/>
    <m/>
    <m/>
    <m/>
    <m/>
  </r>
  <r>
    <n v="1042"/>
    <x v="0"/>
    <x v="341"/>
    <d v="1899-12-30T16:04:59"/>
    <n v="2041"/>
    <x v="2"/>
    <x v="0"/>
    <n v="7217"/>
    <n v="35214500044557"/>
    <s v="Tanger/Casa"/>
    <n v="6.13"/>
    <x v="2"/>
    <s v="N2"/>
    <x v="1"/>
    <s v="* Etat H.O : Ho complet entre 202 et 303_x000a_* qualité /niveau de signal :dl rx-qual=0, dl rx level = -110 dbm_x000a_* Requête de déconnexion a été envoyé par le Bord_x000a_"/>
    <s v="Les derniers résultats de la vérification chaine antennaire conformes _x000a_Présence d'interférences externes  au niveau du GSMR_02/03_x000a_Probléme GSMR_x000a_"/>
    <x v="0"/>
    <s v="En attente de mise en place des tiroires filtrés "/>
    <s v="Ho complet entre 202 et 303"/>
    <s v="dl Rxqual=0"/>
    <s v="dl rx level= -110"/>
    <s v="NOK"/>
    <s v="OK"/>
    <s v="Mauvais"/>
    <s v="  Retransmission des trames HDLC*5"/>
    <m/>
    <s v="Oussama ZEHOUANI"/>
    <m/>
    <m/>
    <m/>
    <m/>
    <m/>
    <m/>
    <m/>
  </r>
  <r>
    <n v="1043"/>
    <x v="0"/>
    <x v="341"/>
    <d v="1899-12-30T21:05:09"/>
    <n v="2061"/>
    <x v="7"/>
    <x v="0"/>
    <n v="1054"/>
    <n v="35214500036582"/>
    <s v="Tanger/Casa"/>
    <n v="6.13"/>
    <x v="2"/>
    <s v="N2"/>
    <x v="0"/>
    <s v="Etat H.O : HO non finalisé  entre 302 et 201_x000a_* qualité /niveau de signal :dl rx-qual=7, dl rx level = -52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non finalisé  entre 302 et 201"/>
    <s v="dl Rxqual=7"/>
    <s v="dl rx level= -52"/>
    <s v="NOK"/>
    <s v="OK"/>
    <s v="Mauvais"/>
    <s v="  Retransmission des trames HDLC*5"/>
    <m/>
    <s v="Saad Elhabib"/>
    <m/>
    <m/>
    <m/>
    <m/>
    <m/>
    <m/>
    <m/>
  </r>
  <r>
    <n v="1044"/>
    <x v="0"/>
    <x v="342"/>
    <d v="1899-12-30T14:05:07"/>
    <n v="2033"/>
    <x v="10"/>
    <x v="0"/>
    <n v="1057"/>
    <n v="35214500045187"/>
    <s v="Tanger/Casa"/>
    <n v="6.13"/>
    <x v="2"/>
    <s v="N2"/>
    <x v="1"/>
    <s v="Etat H.O : HO Complet entre 202 et 303_x000a_* qualité /niveau de signal :dl rx-qual=6, dl rx level = -66dbm_x000a_* Requête de déconnexion a été envoyé par le RBC_x000a_"/>
    <s v="Les derniers résultats de la vérification chaine antennaire conformes _x000a_Présence d'interférences externes  au niveau du GSMR_02/03_x000a_Probléme GSMR_x000a_"/>
    <x v="0"/>
    <s v="En attente de mise en place des tiroires filtrés "/>
    <s v="Ho complet entre 202 et 303"/>
    <s v="dl Rxqual=6"/>
    <s v="dl rx level= -66"/>
    <s v="NOK"/>
    <s v="OK"/>
    <s v="Mauvais"/>
    <s v="  Pas de Retransmission des trames HDLC"/>
    <m/>
    <s v="LAGDEM Elmehdi"/>
    <m/>
    <m/>
    <m/>
    <m/>
    <m/>
    <m/>
    <m/>
  </r>
  <r>
    <n v="1045"/>
    <x v="0"/>
    <x v="342"/>
    <d v="1899-12-30T19:25:05"/>
    <n v="1049"/>
    <x v="7"/>
    <x v="1"/>
    <n v="1041"/>
    <n v="35214500045480"/>
    <s v="Tanger/Casa"/>
    <n v="198.25399999999999"/>
    <x v="5"/>
    <s v="N2"/>
    <x v="1"/>
    <s v="Etat H.O : HO Complet entre 234 et 233 ( Ho recul Vers 99 echoué )_x000a_* absence des mesures radio _x000a_* Requête de déconnexion a été envoyé par le Bord_x000a_"/>
    <m/>
    <x v="2"/>
    <s v="Zone sous surveillence par le NOC/En attente de mise en place des tiroires filtrés "/>
    <s v="Ho complet entre 234 et 233"/>
    <s v="-"/>
    <s v="-"/>
    <s v="-"/>
    <s v="-"/>
    <s v="Mauvais"/>
    <s v="-"/>
    <m/>
    <s v="HAMZAOUI Youssef"/>
    <m/>
    <m/>
    <m/>
    <m/>
    <m/>
    <m/>
    <m/>
  </r>
  <r>
    <n v="1046"/>
    <x v="0"/>
    <x v="343"/>
    <d v="1899-12-30T12:46:04"/>
    <n v="1022"/>
    <x v="9"/>
    <x v="1"/>
    <n v="1035"/>
    <n v="35214500046011"/>
    <s v="Tanger/Casa"/>
    <n v="96.316999999999993"/>
    <x v="8"/>
    <s v="N2"/>
    <x v="0"/>
    <s v="Etat H.O : HO Complet entre 319 et 318_x000a_* qualité /niveau de signal :dl rx-qual=0, dl rx level = -69dbm_x000a_* Requête de déconnexion a été envoyé par le bord _x000a_"/>
    <s v="Les derniers résultats de la vérification chaine antennaire conformes et Bon qualité de signale_x000a_Présence d'interférences externes  au niveau du GSMR_17/18_x000a_Zone sous surveillence par le NOC"/>
    <x v="2"/>
    <s v="Zone sous surveillence par le NOC/En attente de mise en place des tiroires filtrés "/>
    <s v="Ho complet entre 319 et 318"/>
    <s v="dl Rxqual=0"/>
    <s v="dl rx level= -69"/>
    <s v="OK"/>
    <s v="OK"/>
    <s v="Mauvais"/>
    <s v="  Pas de Retransmission des trames HDLC"/>
    <m/>
    <s v="Fahd OUSSALH"/>
    <m/>
    <m/>
    <m/>
    <m/>
    <m/>
    <m/>
    <m/>
  </r>
  <r>
    <n v="1047"/>
    <x v="0"/>
    <x v="343"/>
    <d v="1899-12-30T14:05:15"/>
    <n v="2033"/>
    <x v="9"/>
    <x v="0"/>
    <n v="1053"/>
    <n v="35214500044497"/>
    <s v="Tanger/Casa"/>
    <n v="6.13"/>
    <x v="2"/>
    <s v="N2"/>
    <x v="1"/>
    <s v=" Selon notre analyse, nous avons constaté que le HO est  non finalisé  entre 202 et 303 , Cependant, les conditions radio étaient mauvaises avant la déconnexion. La requete de deconnexion a ete envoyé par le RBC sans au retransmission des trames HDLC et l'ecart de la rame est mauvais, nous pensons que le sous systéme mis en cause est le Bord ,Justification d’arrêt :_x000a_une fois le train s'est déconnecté il a continué a se glisser sans accélération jusqu'à arrêt complet,_x000a__x000a_ _x000a_"/>
    <s v="Les derniers résultats de la vérification chaine antennaire conformes _x000a_Présence d'interférences externes  au niveau du GSMR_02/03_x000a_Probléme GSMR_x000a_"/>
    <x v="0"/>
    <s v="En attente de mise en place des tiroires filtrés "/>
    <s v="HO non finalisé  entre 202 et 303"/>
    <s v="dl Rxqual=6"/>
    <s v="dl rx level= -56"/>
    <s v="OK"/>
    <s v="OK"/>
    <s v="Mauvais"/>
    <s v="  Pas de Retransmission des trames HDLC"/>
    <m/>
    <s v="LAGDEM Elmehdi"/>
    <m/>
    <m/>
    <m/>
    <m/>
    <m/>
    <m/>
    <m/>
  </r>
  <r>
    <n v="1048"/>
    <x v="0"/>
    <x v="343"/>
    <d v="1899-12-30T17:05:38"/>
    <n v="1038"/>
    <x v="5"/>
    <x v="1"/>
    <n v="1027"/>
    <n v="35214500045083"/>
    <s v="Casa/Tanger"/>
    <n v="7.3209999999999997"/>
    <x v="2"/>
    <s v="N2"/>
    <x v="1"/>
    <s v=" Selon notre analyse, nous avons constaté que le HO est complet entre 202 et 303 , Cependant, les conditions radio étaient mauvaises avant la déconnexion. La requete de deconnexion a ete envoyé par le RBC sans au retransmission des trames HDLC et l'ecart de la rame est mauvais, nous pensons que le sous systéme mis en cause est le Bord ,Justification d’arrêt :_x000a_une fois le train s'est déconnecté il a continué a se glisser sans accélération jusqu'à arrêt complet,_x000a__x000a_ _x000a_"/>
    <s v="Les derniers résultats de la vérification chaine antennaire conformes _x000a_Présence d'interférences externes  au niveau du GSMR_02/03_x000a_Probléme GSMR_x000a_"/>
    <x v="0"/>
    <s v="En attente de mise en place des tiroires filtrés "/>
    <s v="HO complet entre 202 et 303 "/>
    <s v="dl Rxqual=7"/>
    <s v="dl rx level= -72"/>
    <s v="OK"/>
    <s v="OK"/>
    <s v="Mauvais"/>
    <s v="  Pas de Retransmission des trames HDLC"/>
    <m/>
    <s v="LAGDEM Elmehdi"/>
    <m/>
    <m/>
    <m/>
    <m/>
    <m/>
    <m/>
    <m/>
  </r>
  <r>
    <n v="1049"/>
    <x v="0"/>
    <x v="344"/>
    <d v="1899-12-30T21:05:12"/>
    <n v="2061"/>
    <x v="2"/>
    <x v="0"/>
    <n v="7217"/>
    <n v="35214500045735"/>
    <s v="Tanger/Casa"/>
    <n v="6.13"/>
    <x v="2"/>
    <s v="N2"/>
    <x v="0"/>
    <s v="_x000a_ Selon notre analyse, nous avons constaté que le HO est non finalisé entre 202 et 303 , Cependant, les conditions radio étaient mauvaises avant la déconnexion. La requete de deconnexion a ete envoyé par le bord sans retransmission des trames HDLC et 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49"/>
    <s v="OK"/>
    <s v="OK"/>
    <s v="Mauvais"/>
    <s v="  Pas de Retransmission des trames HDLC"/>
    <m/>
    <s v="ELHAJOUIA Achraf"/>
    <m/>
    <m/>
    <m/>
    <m/>
    <m/>
    <m/>
    <m/>
  </r>
  <r>
    <n v="1050"/>
    <x v="0"/>
    <x v="345"/>
    <d v="1899-12-30T08:05:28"/>
    <n v="2009"/>
    <x v="0"/>
    <x v="0"/>
    <n v="1037"/>
    <n v="35214500045488"/>
    <s v="Tanger/Casa"/>
    <n v="6.13"/>
    <x v="2"/>
    <s v="N2"/>
    <x v="0"/>
    <s v=" Selon notre analyse, nous avons constaté que le HO est Complet entre 202 et 201 , Cependant, les conditions radio étaient mauvaises avant la déconnexion. La requete de deconnexion a ete envoyé par le RBC suite au retransmission des trames HDLC et 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Complet entre 202 et 201"/>
    <s v="dl Rxqual=7"/>
    <s v="dl rx level= -88"/>
    <s v="NOK"/>
    <s v="OK"/>
    <s v="Mauvais"/>
    <s v="  Retransmission des trames HDLC*5"/>
    <m/>
    <s v="Noura MOUSSAOUI"/>
    <m/>
    <m/>
    <m/>
    <m/>
    <m/>
    <m/>
    <m/>
  </r>
  <r>
    <n v="1051"/>
    <x v="0"/>
    <x v="345"/>
    <d v="1899-12-30T09:07:00"/>
    <n v="1005"/>
    <x v="7"/>
    <x v="1"/>
    <n v="1040"/>
    <n v="35214500045477"/>
    <s v="Casa/Tanger"/>
    <n v="7.3209999999999997"/>
    <x v="2"/>
    <s v="N2"/>
    <x v="0"/>
    <s v=" Selon notre analyse, nous avons constaté que le Ho est non finalisé entre 202 et 203 , Cependant, les conditions radio étaient mauvaises avant la déconnexion. La requete de deconnexion a ete envoyé par le RBC suite au retransmission des trames HDLC et 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non finalisé entre 202 et 203"/>
    <s v="dl Rxqual=6"/>
    <s v="dl rx level= -54"/>
    <s v="NOK"/>
    <s v="OK"/>
    <s v="Mauvais"/>
    <s v="  Retransmission des trames HDLC*5"/>
    <m/>
    <s v="Noura MOUSSAOUI"/>
    <m/>
    <m/>
    <m/>
    <m/>
    <m/>
    <m/>
    <m/>
  </r>
  <r>
    <n v="1052"/>
    <x v="0"/>
    <x v="345"/>
    <d v="1899-12-30T17:05:43"/>
    <n v="2045"/>
    <x v="9"/>
    <x v="0"/>
    <n v="1052"/>
    <n v="35214500043740"/>
    <s v="Tanger/Casa"/>
    <n v="6.13"/>
    <x v="2"/>
    <s v="N2"/>
    <x v="0"/>
    <s v=" Selon notre analyse, nous avons constaté que le HO est non finalisé 202 et 203, Cependant, les conditions radio étaient mauvaises avant la déconnexion. La requete de deconnexion a ete envoyé par le RBC suite au retransmission des trames HDLC et 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non finalisé entre 202 et 203"/>
    <s v="dl Rxqual=7"/>
    <s v="dl rx level= -51"/>
    <s v="NOK"/>
    <s v="OK"/>
    <s v="Mauvais"/>
    <s v="  Retransmission des trames HDLC*5"/>
    <m/>
    <s v="Saad Elhabib"/>
    <m/>
    <m/>
    <m/>
    <m/>
    <m/>
    <m/>
    <m/>
  </r>
  <r>
    <n v="1053"/>
    <x v="0"/>
    <x v="345"/>
    <d v="1899-12-30T19:10:56"/>
    <n v="2053"/>
    <x v="7"/>
    <x v="0"/>
    <n v="1055"/>
    <n v="35214500022752"/>
    <s v="Tanger/Casa"/>
    <n v="25.91"/>
    <x v="7"/>
    <s v="N2"/>
    <x v="0"/>
    <s v=" Selon notre analyse, nous avons constaté que le HO est non finalisé 205 et 206, Cependant, les conditions radio étaient bonnes avant la déconnexion. La requete de deconnexion a ete envoyé par le RBC suite au retransmission des trames HDLC et l'ecart de la rame est mauvais ,nous pensons que le sous systéme mis en cause est le GSMR/BORD"/>
    <s v="Les derniers résultats de la vérification chaine antennaire conformes et Bon qualité de signale_x000a_Zone sous surveillence par le NOC"/>
    <x v="2"/>
    <s v="Zone sous surveillence par le NOC/En attente de mise en place des tiroires filtrés "/>
    <s v="Ho non finalisé entre 205 et 206"/>
    <s v="dl Rxqual=3"/>
    <s v="dl rx level= -83"/>
    <s v="NOK"/>
    <s v="OK"/>
    <s v="Mauvais"/>
    <s v="  Retransmission des trames HDLC*5"/>
    <m/>
    <s v="Saad Elhabib"/>
    <m/>
    <m/>
    <m/>
    <m/>
    <m/>
    <m/>
    <m/>
  </r>
  <r>
    <n v="1054"/>
    <x v="0"/>
    <x v="346"/>
    <d v="1899-12-30T19:03:56"/>
    <n v="1045"/>
    <x v="8"/>
    <x v="1"/>
    <n v="1030"/>
    <n v="35214500045491"/>
    <s v="Casa/Tanger"/>
    <n v="7.3209999999999997"/>
    <x v="2"/>
    <s v="N2"/>
    <x v="0"/>
    <s v=" 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non finalisé 303 et 202"/>
    <s v="dl Rxqual=6"/>
    <s v="dl rx level= -63"/>
    <s v="OK"/>
    <s v="NOK"/>
    <s v="Mauvais"/>
    <s v="  Retransmission des trames HDLC*5"/>
    <m/>
    <s v="Saad Elhabib"/>
    <m/>
    <m/>
    <m/>
    <m/>
    <m/>
    <m/>
    <m/>
  </r>
  <r>
    <n v="1055"/>
    <x v="0"/>
    <x v="346"/>
    <d v="1899-12-30T19:05:23"/>
    <n v="2053"/>
    <x v="0"/>
    <x v="0"/>
    <n v="1037"/>
    <n v="35214500045461"/>
    <s v="Tanger/Casa"/>
    <n v="6.13"/>
    <x v="2"/>
    <s v="N2"/>
    <x v="0"/>
    <s v=" Selon notre analyse, nous avons constaté que le HO est complet entre 202 et 303 avec Downlink quality, Cependant, les conditions radio étaient mauvaises avant la déconnexion. La requete de deconnexion a ete envoyé par le RBC,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complet entre 202 et 303 "/>
    <s v="dl Rxqual=6"/>
    <s v="dl rx level= -65"/>
    <s v="OK"/>
    <s v="OK"/>
    <s v="Mauvais"/>
    <s v="  Retransmission des trames HDLC*5"/>
    <m/>
    <s v="Saad Elhabib"/>
    <m/>
    <m/>
    <m/>
    <m/>
    <m/>
    <m/>
    <m/>
  </r>
  <r>
    <n v="1056"/>
    <x v="0"/>
    <x v="346"/>
    <d v="1899-12-30T20:09:44"/>
    <n v="1049"/>
    <x v="2"/>
    <x v="1"/>
    <n v="1060"/>
    <n v="35214500042751"/>
    <s v="Casa/Tanger"/>
    <n v="7.3209999999999997"/>
    <x v="2"/>
    <s v="N2"/>
    <x v="1"/>
    <s v=" Selon notre analyse, nous avons constaté que le HO estHo non finalisé entre 202 et 303, Cependant, les conditions radio étaient mauvaises avant la déconnexion. La requete de deconnexion a ete envoyé par le RBC,l'ecart de la rame est mauvais, nous pensons que le sous systéme mis en cause est le Bord ,                            Justification d’arrêt :_x000a_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6"/>
    <s v="OK"/>
    <s v="OK"/>
    <s v="Mauvais"/>
    <s v="  Retransmission des trames HDLC*5"/>
    <m/>
    <s v="HAMZAOUI Youssef"/>
    <m/>
    <m/>
    <m/>
    <m/>
    <m/>
    <m/>
    <m/>
  </r>
  <r>
    <n v="1057"/>
    <x v="0"/>
    <x v="347"/>
    <d v="1899-12-30T11:05:12"/>
    <n v="2025"/>
    <x v="9"/>
    <x v="0"/>
    <n v="1053"/>
    <n v="35214500044497"/>
    <s v="Tanger/Casa"/>
    <n v="6.13"/>
    <x v="2"/>
    <s v="N2"/>
    <x v="1"/>
    <s v=" Selon notre analyse, nous avons constaté que le HO est complet entre 202 et 303 avec Downlink quality, Cependant, les conditions radio étaient mauvaises avant la déconnexion. La requete de deconnexion a ete envoyé par le RBC,l'ecart de la rame est mauvais, nous pensons que le sous systéme mis en cause est le Bord ,Justification d’arrêt :_x000a_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entre 202 et 303 "/>
    <s v="dl Rxqual=7"/>
    <s v="dl rx level= -66"/>
    <s v="OK"/>
    <s v="OK"/>
    <s v="Mauvais"/>
    <s v="  Retransmission des trames HDLC*5"/>
    <m/>
    <s v="MAROUANI Otmane"/>
    <m/>
    <m/>
    <m/>
    <m/>
    <m/>
    <m/>
    <m/>
  </r>
  <r>
    <n v="1058"/>
    <x v="0"/>
    <x v="347"/>
    <d v="1899-12-30T14:18:01"/>
    <n v="2033"/>
    <x v="4"/>
    <x v="0"/>
    <n v="7208"/>
    <n v="35214500004427"/>
    <s v="Tanger/Casa"/>
    <n v="58.71"/>
    <x v="23"/>
    <s v="N2"/>
    <x v="0"/>
    <s v=" Selon notre analyse, nous avons constaté que le HO est non finalisé entre 210 et 211, Cependant, les conditions radio étaient bonnes avant la déconnexion. La requete de deconnexion a ete envoyé par le RBC,l'ecart de la rame est mauvais, nous pensons que le sous systéme mis en cause est le GSMR/BORD "/>
    <s v="Les derniers résultats de la vérification chaine antennaire conformes et Bon qualité de signale_x000a_Zone sous surveillence par le NOC"/>
    <x v="2"/>
    <s v="Zone sous surveillence par le NOC/En attente de mise en place des tiroires filtrés "/>
    <s v="HO non finalisé entre 210 et 211"/>
    <s v="dl Rxqual=0"/>
    <s v="dl rx level= -62"/>
    <s v="NOK"/>
    <s v="OK"/>
    <s v="Mauvais"/>
    <s v="  Retransmission des trames HDLC*5"/>
    <m/>
    <s v="Saad Elhabib"/>
    <m/>
    <m/>
    <m/>
    <m/>
    <m/>
    <m/>
    <m/>
  </r>
  <r>
    <n v="1059"/>
    <x v="0"/>
    <x v="347"/>
    <d v="1899-12-30T15:04:54"/>
    <n v="2037"/>
    <x v="10"/>
    <x v="0"/>
    <n v="1057"/>
    <n v="35214500045187"/>
    <s v="Tanger/Casa"/>
    <n v="6.13"/>
    <x v="2"/>
    <s v="N2"/>
    <x v="1"/>
    <s v=" Selon notre analyse, nous avons constaté que le HO est complet entre 202 et 303, Cependant, les conditions radio étaient bonnes avant la déconnexion. La requete de deconnexion a ete envoyé par le RBC,l'ecart de la rame est mauvais, nous pensons que le sous systéme mis en cause est le Bord ,                            Justification d’arrêt :_x000a_une fois le train s'est déconnecté il a continué a se glisser sans accélération jusqu'à arrêt complet,_x000a__x000a_ "/>
    <s v="Les derniers résultats de la vérification chaine antennaire conformes _x000a_Présence d'interférences externes  au niveau du GSMR_02/03_x000a_Probléme GSMR_x000a_"/>
    <x v="0"/>
    <s v="En attente de mise en place des tiroires filtrés "/>
    <s v="HO complet entre 202 et 303 "/>
    <s v="dl Rxqual=2"/>
    <s v="dl rx level= -71"/>
    <s v="OK"/>
    <s v="OK"/>
    <s v="Mauvais"/>
    <s v="  Retransmission des trames HDLC*5"/>
    <m/>
    <s v="HAMZAOUI Youssef"/>
    <m/>
    <m/>
    <m/>
    <m/>
    <m/>
    <m/>
    <m/>
  </r>
  <r>
    <n v="1060"/>
    <x v="0"/>
    <x v="348"/>
    <d v="1899-12-30T16:05:34"/>
    <n v="2041"/>
    <x v="14"/>
    <x v="0"/>
    <n v="1053"/>
    <n v="35214500044497"/>
    <s v="Tanger/Casa"/>
    <n v="6.13"/>
    <x v="2"/>
    <s v="N2"/>
    <x v="1"/>
    <s v=" Selon notre analyse, nous avons constaté que le HO est non finalisé entre 202 et 203, Cependant, les conditions radio étaient mauvaises avant la déconnexion. La requete de deconnexion a ete envoyé par le RBC,l'ecart de la rame est mauvais, nous pensons que le sous systéme mis en cause est le Bord ,                            Justification d’arrêt :_x000a_une fois le train s'est déconnecté il a continué a se glisser sans accélération jusqu'à arrêt complet,_x000a__x000a_ "/>
    <s v="Les derniers résultats de la vérification chaine antennaire conformes _x000a_Présence d'interférences externes  au niveau du GSMR_02/03_x000a_Probléme GSMR_x000a_"/>
    <x v="0"/>
    <s v="En attente de mise en place des tiroires filtrés "/>
    <s v=" HO non finalisé entre 202 et 203"/>
    <s v="dl Rxqual=7"/>
    <s v="dl rx level= -56"/>
    <s v="OK"/>
    <s v="OK"/>
    <s v="Mauvais"/>
    <s v="  Retransmission des trames HDLC*5"/>
    <m/>
    <s v="Noura MOUSSAOUI"/>
    <m/>
    <m/>
    <m/>
    <m/>
    <m/>
    <m/>
    <m/>
  </r>
  <r>
    <n v="1061"/>
    <x v="0"/>
    <x v="349"/>
    <d v="1899-12-30T20:24:33"/>
    <n v="1054"/>
    <x v="15"/>
    <x v="1"/>
    <n v="1029"/>
    <n v="35214500045449"/>
    <s v="Casa/Tanger"/>
    <n v="198.98400000000001"/>
    <x v="5"/>
    <s v="N2"/>
    <x v="1"/>
    <s v="le train s'est arrêté à cause d’une erreur de lecture de la balise 6625 due au mauvaises conditions radio, le train s’est reconnecté au niveau du pk 198,984.  "/>
    <m/>
    <x v="2"/>
    <s v="Zone sous surveillence par le NOC/En attente de mise en place des tiroires filtrés "/>
    <s v=" -"/>
    <s v=" -"/>
    <s v=" -"/>
    <s v=" -"/>
    <s v=" -"/>
    <s v="Mauvais"/>
    <m/>
    <m/>
    <s v="LAGDEM Elmehdi"/>
    <m/>
    <m/>
    <m/>
    <m/>
    <m/>
    <m/>
    <m/>
  </r>
  <r>
    <n v="1062"/>
    <x v="0"/>
    <x v="350"/>
    <d v="1899-12-30T21:03:50"/>
    <n v="1054"/>
    <x v="15"/>
    <x v="1"/>
    <n v="1028"/>
    <n v="35214500045268"/>
    <s v="Casa/Tanger"/>
    <n v="7.3209999999999997"/>
    <x v="2"/>
    <s v="N2"/>
    <x v="1"/>
    <s v="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                             Justification d’arrêt :_x000a_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303 et 202 avec Downlink quality"/>
    <s v="dl Rxqual=6"/>
    <s v="dl rx level= -62"/>
    <s v="OK"/>
    <s v="OK"/>
    <s v="Mauvais"/>
    <s v="  Retransmission des trames HDLC*5"/>
    <m/>
    <s v="LAGDEM Elmehdi"/>
    <m/>
    <m/>
    <m/>
    <m/>
    <m/>
    <m/>
    <m/>
  </r>
  <r>
    <n v="1063"/>
    <x v="0"/>
    <x v="351"/>
    <d v="1899-12-30T07:11:25"/>
    <n v="2005"/>
    <x v="3"/>
    <x v="0"/>
    <n v="1047"/>
    <n v="35214500038730"/>
    <s v="Tanger/Casa"/>
    <n v="25.91"/>
    <x v="7"/>
    <s v="N2"/>
    <x v="0"/>
    <s v=" Selon notre analyse, nous avons constaté que le HO est non finalisé  entre 205 et 206, Cependant, les conditions radio étaient bonnees avant la déconnexion. La requete de deconnexion a ete envoyé par le RBC,l'ecart de la rame est mauvais_x000a_"/>
    <s v="Les derniers résultats de la vérification chaine antennaire conformes et Bon qualité de signale_x000a_Zone sous surveillence par le NOC"/>
    <x v="2"/>
    <s v="Zone sous surveillence par le NOC/En attente de mise en place des tiroires filtrés "/>
    <s v="HO non finalisé  entre 205 et 206"/>
    <s v="dl Rxqual=3"/>
    <s v="dl rx level= -80"/>
    <s v="NOK"/>
    <s v="OK"/>
    <s v="Mauvais"/>
    <s v="  Retransmission des trames HDLC*5"/>
    <m/>
    <s v="Saad Elhabib"/>
    <m/>
    <m/>
    <m/>
    <m/>
    <m/>
    <m/>
    <m/>
  </r>
  <r>
    <n v="1064"/>
    <x v="0"/>
    <x v="351"/>
    <d v="1899-12-30T09:05:18"/>
    <n v="2013"/>
    <x v="8"/>
    <x v="0"/>
    <n v="1042"/>
    <n v="35214500045498"/>
    <s v="Tanger/Casa"/>
    <n v="6.13"/>
    <x v="2"/>
    <s v="N2"/>
    <x v="0"/>
    <s v="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Non finalisé entre 303 et 202"/>
    <s v="dl Rxqual=7"/>
    <s v="dl rx level= -54"/>
    <s v="NOK"/>
    <s v="OK"/>
    <s v="Mauvais"/>
    <s v="  Retransmission des trames HDLC*5"/>
    <m/>
    <s v="Saad Elhabib"/>
    <m/>
    <m/>
    <m/>
    <m/>
    <m/>
    <m/>
    <m/>
  </r>
  <r>
    <n v="1065"/>
    <x v="0"/>
    <x v="352"/>
    <d v="1899-12-30T12:44:54"/>
    <n v="2025"/>
    <x v="2"/>
    <x v="0"/>
    <n v="7218"/>
    <n v="35214500045735"/>
    <s v="Tanger/Casa"/>
    <n v="140.65899999999999"/>
    <x v="26"/>
    <s v="N2"/>
    <x v="1"/>
    <s v="Selon notre analyse, nous avons constaté que le HO est complet entre 224 et 225, Cependant, les conditions radio étaient bonnes avant la déconnexion. La requete de deconnexion a ete envoyé par le RBC sans retransmission des trames HDLC,l'ecart de la rame est mauvais,le train s'est arrêté due au dépassement du T_NVCONTACT,"/>
    <s v="Les derniers résultats de la vérification chaine antennaire conformes_x000a_En attente de pousser les analyses coté RBC"/>
    <x v="3"/>
    <s v="En attente de pousser les analyses coté RBC"/>
    <s v="HO complet entre 224 et 225"/>
    <s v="dl Rxqual=0"/>
    <s v="dl rx level= -59"/>
    <s v="OK"/>
    <s v="OK"/>
    <s v="Mauvais"/>
    <s v="  Pas Retransmission des trames HDLC"/>
    <m/>
    <s v="LAGDEM Elmehdi"/>
    <m/>
    <m/>
    <m/>
    <m/>
    <m/>
    <m/>
    <m/>
  </r>
  <r>
    <n v="1066"/>
    <x v="0"/>
    <x v="352"/>
    <d v="1899-12-30T20:04:58"/>
    <n v="1050"/>
    <x v="3"/>
    <x v="1"/>
    <n v="1046"/>
    <n v="35214500038727"/>
    <s v="Casa/Tanger"/>
    <n v="8.9700000000000006"/>
    <x v="2"/>
    <s v="N2"/>
    <x v="0"/>
    <s v="Selon notre analyse, nous avons constaté que le HO est  complet entre 304 et 303, Cependant, les conditions radio étaient bonnes avant la déconnexion. La requete de deconnexion a ete envoyé par le RBC,l'ecart de la rame est mauvais, nous pensons que le sous systéme mis en cause est le Bord "/>
    <s v="Les derniers résultats de la vérification chaine antennaire conformes _x000a_Présence d'interférences externes  au niveau du GSMR_02/03_x000a_Probléme GSMR_x000a_"/>
    <x v="0"/>
    <s v="En attente de mise en place des tiroires filtrés "/>
    <s v="HO complet entre 304 et 303"/>
    <s v="dl Rxqual=2"/>
    <s v="dl rx level= -66"/>
    <s v="NOK"/>
    <s v="OK"/>
    <s v="Mauvais"/>
    <s v="  Pas Retransmission des trames HDLC"/>
    <m/>
    <s v="Fahd OUSSALH"/>
    <m/>
    <m/>
    <m/>
    <m/>
    <m/>
    <m/>
    <m/>
  </r>
  <r>
    <n v="1067"/>
    <x v="0"/>
    <x v="353"/>
    <d v="1899-12-30T10:59:22"/>
    <n v="2013"/>
    <x v="8"/>
    <x v="1"/>
    <n v="1031"/>
    <n v="35214500045348"/>
    <s v="Casa/Tanger"/>
    <n v="32.625999999999998"/>
    <x v="25"/>
    <s v="N2"/>
    <x v="0"/>
    <s v="Selon notre analyse, nous avons constaté que le HO est non finalisé entre  307 et 306, Cependant, les conditions radio étaient bonnes avant la déconnexion. La requete de deconnexion a ete envoyé par le RB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307 et 306"/>
    <s v="dl Rxqual=1"/>
    <s v="dl rx level= -66"/>
    <s v="NOK"/>
    <s v="OK"/>
    <s v="Mauvais"/>
    <s v="  Retransmission des trames HDLC*5"/>
    <m/>
    <s v="Noura MOUSSAOUI"/>
    <m/>
    <m/>
    <m/>
    <m/>
    <m/>
    <m/>
    <m/>
  </r>
  <r>
    <n v="1068"/>
    <x v="0"/>
    <x v="354"/>
    <d v="1899-12-30T07:54:03"/>
    <n v="1001"/>
    <x v="5"/>
    <x v="1"/>
    <n v="1026"/>
    <n v="35214500045083"/>
    <s v="Casa/Tanger"/>
    <n v="58.71"/>
    <x v="23"/>
    <s v="N2"/>
    <x v="0"/>
    <s v="Selon notre analyse, nous avons constaté que le HO est non finalisé entre 311 et 310, Cependant, les conditions radio étaient bonnes avant la déconnexion. La requete de deconnexion a ete envoyé par le RB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311 et 310"/>
    <s v="dl Rxqual=3"/>
    <s v="dl rx level= -74"/>
    <s v="NOK"/>
    <s v="OK"/>
    <s v="Mauvais"/>
    <s v="  Retransmission des trames HDLC*5"/>
    <m/>
    <s v="ELHAJOUIA Achraf"/>
    <m/>
    <m/>
    <m/>
    <m/>
    <m/>
    <m/>
    <m/>
  </r>
  <r>
    <n v="1069"/>
    <x v="0"/>
    <x v="354"/>
    <d v="1899-12-30T11:05:15"/>
    <n v="2021"/>
    <x v="1"/>
    <x v="0"/>
    <n v="7195"/>
    <n v="35214500045671"/>
    <s v="Tanger/Casa"/>
    <n v="6.13"/>
    <x v="2"/>
    <s v="N2"/>
    <x v="1"/>
    <s v="Selon notre analyse, nous avons constaté que le HO est complet entre 202 et 303,Cependant, les conditions radio étaient mauvaises avant la déconnexion. La requete de deconnexion a ete envoyé par le RBC,l'ecart de la rame est mauvais, Justification d’arrêt :_x000a_ Après la reconnexion le train a continué à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202 et 303"/>
    <s v="dl Rxqual=1"/>
    <s v="dl rx level= -71"/>
    <s v="OK"/>
    <s v="OK"/>
    <s v="Mauvais"/>
    <s v="  Retransmission des trames HDLC*5"/>
    <m/>
    <s v="Noura MOUSSAOUI"/>
    <m/>
    <m/>
    <m/>
    <m/>
    <m/>
    <m/>
    <m/>
  </r>
  <r>
    <n v="1070"/>
    <x v="0"/>
    <x v="354"/>
    <d v="1899-12-30T18:35:14"/>
    <n v="2049"/>
    <x v="2"/>
    <x v="0"/>
    <n v="7218"/>
    <n v="35214500045735"/>
    <s v="Tanger/Casa"/>
    <n v="144.32599999999999"/>
    <x v="3"/>
    <s v="N2"/>
    <x v="1"/>
    <s v="Selon notre analyse, nous avons constaté que le HO est complet entre 224 et 225, Cependant, les conditions radio étaient bonnes avant la déconnexion. La requete de deconnexion a ete envoyé par le RBC sans retransmission des trames HDLC,l'ecart de la rame est mauvais,le train s'est arrêté due au dépassement du T_NVCONTACT,"/>
    <s v="Les derniers résultats de la vérification chaine antennaire conformes_x000a_En attente de pousser les analyses coté RBC"/>
    <x v="3"/>
    <s v="En attente de pousser les analyses coté RBC"/>
    <s v="HO complet entre 224 et 225"/>
    <s v="dl Rxqual=0"/>
    <s v="dl rx level= -69"/>
    <s v="OK"/>
    <s v="OK"/>
    <s v="Mauvais"/>
    <s v="  Pas Retransmission des trames HDLC"/>
    <m/>
    <s v="MAROUANI Otmane"/>
    <m/>
    <m/>
    <m/>
    <m/>
    <m/>
    <m/>
    <m/>
  </r>
  <r>
    <n v="1071"/>
    <x v="0"/>
    <x v="355"/>
    <d v="1899-12-30T18:34:52"/>
    <n v="2049"/>
    <x v="4"/>
    <x v="0"/>
    <n v="1058"/>
    <n v="35214500044293"/>
    <s v="Casa/Tanger"/>
    <n v="145.6"/>
    <x v="3"/>
    <s v="N2"/>
    <x v="0"/>
    <s v="Selon notre analyse, nous avons constaté que le HO est complet entre 224 et 225, Cependant, les conditions radio étaient bonnes avant la déconnexion. La requete de deconnexion a ete envoyé par le RBC sans retransmission des trames HDLC,l'ecart de la rame est mauvais"/>
    <s v="Les derniers résultats de la vérification chaine antennaire conformes_x000a_En attente de pousser les analyses coté RBC"/>
    <x v="3"/>
    <s v="En attente de pousser les analyses coté RBC"/>
    <s v="HO complet entre 224 et 225"/>
    <s v="dl Rxqual=0"/>
    <s v="dl rx level= -70"/>
    <s v="OK"/>
    <s v="OK"/>
    <s v="Mauvais"/>
    <s v="  Pas Retransmission des trames HDLC"/>
    <m/>
    <s v="Fahd OUSSALH"/>
    <m/>
    <m/>
    <m/>
    <m/>
    <m/>
    <m/>
    <m/>
  </r>
  <r>
    <n v="1072"/>
    <x v="0"/>
    <x v="356"/>
    <d v="1899-12-30T14:08:27"/>
    <n v="2049"/>
    <x v="5"/>
    <x v="1"/>
    <n v="1027"/>
    <n v="35214500045329"/>
    <s v="Casa/Tanger"/>
    <n v="7.3209999999999997"/>
    <x v="2"/>
    <s v="N2"/>
    <x v="0"/>
    <s v="Selon notre analyse, nous avons constaté que le HO est complet entre 202 et 303, Cependant, les conditions radio étaient mauvaises avant la déconnexion. La requete de deconnexion a ete envoyé par le RBC suite au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s v="dl Rxqual=4"/>
    <s v="dl rx level= -80"/>
    <s v="OK"/>
    <s v="OK"/>
    <s v="Mauvais"/>
    <s v="  Retransmission des trames HDLC*5"/>
    <m/>
    <s v="Nassim NAJIM"/>
    <m/>
    <m/>
    <m/>
    <m/>
    <m/>
    <m/>
    <m/>
  </r>
  <r>
    <n v="1073"/>
    <x v="0"/>
    <x v="357"/>
    <d v="1899-12-30T05:30:33"/>
    <n v="10071"/>
    <x v="9"/>
    <x v="0"/>
    <n v="1052"/>
    <n v="35214500044497"/>
    <s v="Tanger/Casa"/>
    <n v="78.155000000000001"/>
    <x v="11"/>
    <s v="N2"/>
    <x v="0"/>
    <s v="Selon notre analyse, nous avons constaté que le HO est complet entre 213 et 214, Cependant, les conditions radio étaient bonnes avant la déconnexion. La requete de deconnexion a ete envoyé par le RBC sans retransmission des trames HDLC,l'ecart de la rame est mauvais"/>
    <s v="Les derniers résultats de la vérification chaine antennaire conformes_x000a_En attente de pousser les analyses coté RBC"/>
    <x v="3"/>
    <s v="En attente de pousser les analyses coté RBC"/>
    <s v="HO complet entre 213 et 214"/>
    <s v="dl Rxqual=1"/>
    <s v="dl rx level= -54"/>
    <s v="OK"/>
    <s v="OK"/>
    <s v="Mauvais"/>
    <s v="  Pas de Retransmission des trames HDLC"/>
    <m/>
    <s v="HAMZAOUI Youssef"/>
    <m/>
    <m/>
    <m/>
    <m/>
    <m/>
    <m/>
    <m/>
  </r>
  <r>
    <n v="1074"/>
    <x v="0"/>
    <x v="357"/>
    <d v="1899-12-30T19:05:09"/>
    <n v="2053"/>
    <x v="0"/>
    <x v="0"/>
    <n v="1036"/>
    <n v="35214500045488"/>
    <s v="Tanger/Casa"/>
    <n v="6.13"/>
    <x v="2"/>
    <s v="N2"/>
    <x v="0"/>
    <s v="Selon notre analyse, nous avons constaté que le HO est non finalisé 302 et 203, Cependant, les conditions radio étaient mauvaises avant la déconnexion. La requete de deconnexion a ete envoyé par le RBC suite au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302 et 203"/>
    <s v="dl Rxqual=7"/>
    <s v="dl rx level= -54"/>
    <s v="NOK"/>
    <s v="OK"/>
    <s v="Mauvais"/>
    <s v="  Retransmission des trames HDLC*5"/>
    <m/>
    <s v="Fahd OUSSALH"/>
    <m/>
    <m/>
    <m/>
    <m/>
    <m/>
    <m/>
    <m/>
  </r>
  <r>
    <n v="1075"/>
    <x v="0"/>
    <x v="357"/>
    <d v="1899-12-30T20:34:49"/>
    <n v="2057"/>
    <x v="7"/>
    <x v="0"/>
    <n v="1055"/>
    <n v="35214500036582"/>
    <s v="Tanger/Casa"/>
    <n v="130.48400000000001"/>
    <x v="10"/>
    <s v="N2"/>
    <x v="1"/>
    <s v="Selon notre analyse, nous avons constaté que le HO est complet 222 et 223, Cependant, les conditions radio étaient bonnes avant la déconnexion. La requete de deconnexion a ete envoyé par le RBC sans retransmission des trames HDLC,l'ecart de la rame est mauvais,le train s'est arrêté due au dépassement du T_NVCONTACT,"/>
    <s v="Les derniers résultats de la vérification chaine antennaire conformes_x000a_En attente de pousser les analyses coté RBC"/>
    <x v="3"/>
    <s v="En attente de pousser les analyses coté RBC"/>
    <s v="HO complet 222 et 223"/>
    <s v="dl Rxqual=1"/>
    <s v="dl rx level= -58"/>
    <s v="OK"/>
    <s v="OK"/>
    <s v="Mauvais"/>
    <s v="  Pas de Retransmission des trames HDLC"/>
    <m/>
    <s v="Saad Elhabib"/>
    <m/>
    <m/>
    <m/>
    <m/>
    <m/>
    <m/>
    <m/>
  </r>
  <r>
    <n v="1076"/>
    <x v="0"/>
    <x v="357"/>
    <d v="1899-12-30T20:51:03"/>
    <n v="2057"/>
    <x v="7"/>
    <x v="0"/>
    <n v="1054"/>
    <n v="35214500036582"/>
    <s v="Tanger/Casa"/>
    <n v="153.84200000000001"/>
    <x v="18"/>
    <s v="N2"/>
    <x v="0"/>
    <s v="Selon notre analyse, nous avons constaté que le HO est non finalisé 326 et 227, Cependant, les conditions radio étaient bonnes avant la déconnexion. La requete de deconnexion a ete envoyé par le Bord sans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326 et 227"/>
    <s v="dl Rxqual=0"/>
    <s v="dl rx level= -67"/>
    <s v="OK"/>
    <s v="OK"/>
    <s v="Mauvais"/>
    <s v="  Pas de Retransmission des trames HDLC"/>
    <m/>
    <s v="HAMZAOUI Youssef"/>
    <m/>
    <m/>
    <m/>
    <m/>
    <m/>
    <m/>
    <m/>
  </r>
  <r>
    <n v="1077"/>
    <x v="0"/>
    <x v="358"/>
    <d v="1899-12-30T14:04:50"/>
    <n v="1026"/>
    <x v="9"/>
    <x v="1"/>
    <n v="1055"/>
    <n v="35214500046011"/>
    <s v="Casa/Tanger"/>
    <n v="7.3209999999999997"/>
    <x v="2"/>
    <s v="N2"/>
    <x v="1"/>
    <s v="Selon notre analyse, nous avons constaté que le HO recul est complet entre 202 et 303, Cependant, les conditions radio étaient mauvaise  avant la déconnexion. La requete de deconnexion a ete envoyé par le RBC  Avec retransmission des Justification d’arrêt :_x000a_ une fois le train s'est déconnecté il a continué à se glisser sans accélération jusqu'à arrêt complet "/>
    <s v="Les derniers résultats de la vérification chaine antennaire conformes _x000a_Présence d'interférences externes  au niveau du GSMR_02/03_x000a_Probléme GSMR_x000a_"/>
    <x v="0"/>
    <s v="En attente de mise en place des tiroires filtrés "/>
    <s v="HO Complet  202 et 303"/>
    <s v="dl Rxqual=7"/>
    <s v="dl rx level= -73"/>
    <s v="OK"/>
    <s v="OK"/>
    <s v="Mauvais"/>
    <s v="  Retransmission des trames HDLC*5"/>
    <m/>
    <s v="SGHAYER Achraf"/>
    <m/>
    <m/>
    <m/>
    <m/>
    <m/>
    <m/>
    <m/>
  </r>
  <r>
    <n v="1078"/>
    <x v="0"/>
    <x v="358"/>
    <d v="1899-12-30T21:04:39"/>
    <n v="1053"/>
    <x v="10"/>
    <x v="1"/>
    <n v="1028"/>
    <n v="35214500045449"/>
    <s v="Casa/Tanger"/>
    <n v="7.3209999999999997"/>
    <x v="2"/>
    <s v="N2"/>
    <x v="1"/>
    <s v="Selon notre analyse, nous avons constaté que le HO est Non finalisé entre 202 et 203, Cependant, les conditions radio étaient mauvaise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202 et 203"/>
    <s v="dl Rxqual=7"/>
    <s v="dl rx level= -54"/>
    <s v="OK"/>
    <s v="OK"/>
    <s v="Mauvais"/>
    <s v="  Retransmission des trames HDLC*5"/>
    <m/>
    <s v="ELHAJOUIA Achraf"/>
    <m/>
    <m/>
    <m/>
    <m/>
    <m/>
    <m/>
    <m/>
  </r>
  <r>
    <n v="1079"/>
    <x v="0"/>
    <x v="359"/>
    <d v="1899-12-30T13:24:25"/>
    <n v="1025"/>
    <x v="2"/>
    <x v="1"/>
    <n v="1061"/>
    <n v="35214500042751"/>
    <s v="Casa/Tanger"/>
    <n v="198.98400000000001"/>
    <x v="5"/>
    <s v="N2"/>
    <x v="1"/>
    <s v="Selon notre analyse, nous avons constaté que Le train s'est deconnecté deux fois, la requete de déconnexion a été envoyée par le bord pour les deux déconnexions, (pour la premiere déconnexion, les mesures radio ne sont pas diponibles) et pour la deuxieme les conditions radios était bonnes.                                         le train s'est arrêté due au dépassement du T_NVCONTACT,"/>
    <s v="Les derniers résultats de la vérification chaine antennaire conformes_x000a_En attente de pousser les analyses coté RBC"/>
    <x v="9"/>
    <s v="En attente de pousser les analyses coté RBC/En attente de mise en place des tiroires filtrés"/>
    <s v="Etat H.O : Pas de HO tenté (le train vient de se connecté en GSMR sur la LGV)."/>
    <s v="dl Rxqual=0"/>
    <s v="dl rx level= -51"/>
    <s v="OK"/>
    <s v="NOK"/>
    <s v="Mauvais"/>
    <s v="  Pas de Retransmission des trames HDLC"/>
    <m/>
    <s v="Noura MOUSSAOUI"/>
    <m/>
    <m/>
    <m/>
    <m/>
    <m/>
    <m/>
    <m/>
  </r>
  <r>
    <n v="1080"/>
    <x v="0"/>
    <x v="360"/>
    <d v="1899-12-30T17:04:35"/>
    <n v="2045"/>
    <x v="0"/>
    <x v="0"/>
    <n v="1036"/>
    <n v="35214500045488"/>
    <s v="Tanger/Casa"/>
    <n v="6.13"/>
    <x v="2"/>
    <s v="N2"/>
    <x v="1"/>
    <s v="Selon notre analyse, nous avons constaté que le HO est Non finalisé 202 et 301, Cependant, les conditions radio étaient mauvaise  avant la déconnexion. La requete de deconnexion a ete envoyé par le bord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202 et 301"/>
    <s v="dl Rxqual=7"/>
    <s v="dl rx level= -55"/>
    <s v="OK"/>
    <s v="NOK"/>
    <s v="Mauvais"/>
    <s v="  Retransmission des trames HDLC*5"/>
    <m/>
    <s v="MAROUANI Otmane"/>
    <m/>
    <m/>
    <m/>
    <m/>
    <m/>
    <m/>
    <m/>
  </r>
  <r>
    <n v="1081"/>
    <x v="0"/>
    <x v="360"/>
    <d v="1899-12-30T19:05:01"/>
    <n v="2053"/>
    <x v="4"/>
    <x v="0"/>
    <n v="1037"/>
    <n v="35214500044293"/>
    <s v="Tanger/Casa"/>
    <n v="6.13"/>
    <x v="2"/>
    <s v="N2"/>
    <x v="0"/>
    <s v="Selon notre analyse, nous avons constaté que le HO est Complet 202 et 303, Cependant, les conditions radio étaient mauvaises avant la déconnexion. La requete de deconnexion a ete envoyé par le RBC avec retransmission des trames HDLC,l'ecart de la rame est mauvais,                                                       "/>
    <s v="Les derniers résultats de la vérification chaine antennaire conformes _x000a_Présence d'interférences externes  au niveau du GSMR_02/03_x000a_Probléme GSMR_x000a_"/>
    <x v="0"/>
    <s v="En attente de mise en place des tiroires filtrés "/>
    <s v="HO Complet  202 et 303"/>
    <s v="dl Rxqual=6"/>
    <s v="dl rx level= -65"/>
    <s v="OK"/>
    <s v="OK"/>
    <s v="Mauvais"/>
    <s v="  Retransmission des trames HDLC*5"/>
    <m/>
    <s v="LAGDEM Elmehdi"/>
    <m/>
    <m/>
    <m/>
    <m/>
    <m/>
    <m/>
    <m/>
  </r>
  <r>
    <n v="1082"/>
    <x v="0"/>
    <x v="361"/>
    <d v="1899-12-30T15:05:17"/>
    <n v="2037"/>
    <x v="7"/>
    <x v="0"/>
    <n v="1055"/>
    <n v="35214500036582"/>
    <s v="Tanger/Casa"/>
    <n v="6.13"/>
    <x v="2"/>
    <s v="N2"/>
    <x v="1"/>
    <s v="Selon notre analyse, nous avons constaté que le HO est Complet 202 et 303, Cependant, les conditions radio étaient bonn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202 et 303"/>
    <s v="dl Rxqual=2"/>
    <s v="dl rx level= -68"/>
    <s v="NOK"/>
    <s v="OK"/>
    <s v="Mauvais"/>
    <s v="  Retransmission des trames HDLC*5"/>
    <m/>
    <s v="MAROUANI Otmane"/>
    <m/>
    <m/>
    <m/>
    <m/>
    <m/>
    <m/>
    <m/>
  </r>
  <r>
    <n v="1083"/>
    <x v="0"/>
    <x v="361"/>
    <d v="1899-12-30T20:04:49"/>
    <n v="1050"/>
    <x v="7"/>
    <x v="1"/>
    <n v="1040"/>
    <n v="35214500045477"/>
    <s v="Casa/Tanger"/>
    <n v="7.3209999999999997"/>
    <x v="2"/>
    <s v="N2"/>
    <x v="0"/>
    <s v="Selon notre analyse, nous avons constaté que le HO est Complet 202 et 303, Cependant, les conditions radio étaient mauvaises avant la déconnexion. La requete de deconnexion a ete envoyé par le RBC avec retransmission des trames HDLC,l'ecart de la rame est mauvais,                                                       "/>
    <s v="Les derniers résultats de la vérification chaine antennaire conformes _x000a_Présence d'interférences externes  au niveau du GSMR_02/03_x000a_Probléme GSMR_x000a_"/>
    <x v="0"/>
    <s v="En attente de mise en place des tiroires filtrés "/>
    <s v="HO Non finalisé 202 et 203"/>
    <s v="dl Rxqual=7"/>
    <s v="dl rx level= -54"/>
    <s v="NOK"/>
    <s v="OK"/>
    <s v="Mauvais"/>
    <s v="  Retransmission des trames HDLC*5"/>
    <m/>
    <s v="LAGDEM Elmehdi"/>
    <m/>
    <m/>
    <m/>
    <m/>
    <m/>
    <m/>
    <m/>
  </r>
  <r>
    <n v="1084"/>
    <x v="0"/>
    <x v="362"/>
    <d v="1899-12-30T06:08:31"/>
    <n v="10071"/>
    <x v="1"/>
    <x v="0"/>
    <n v="7195"/>
    <n v="35214500047160"/>
    <s v="Tanger/Casa"/>
    <n v="177.85"/>
    <x v="4"/>
    <s v="N2"/>
    <x v="0"/>
    <s v="Selon notre analyse, nous avons constaté que le HO est non finalisé 231 et 330, Cependant, les conditions radio étaient bonnees avant la déconnexion. La requete de deconnexion a ete envoyé par le RBC avec retransmission des trames HDLC,l'ecart de la rame est mauvais,                                                       "/>
    <s v="Les derniers résultats de la vérification chaine antennaire conformes et Bon qualité de signale_x000a_Zone sous surveillence par le NOC"/>
    <x v="2"/>
    <s v="Zone sous surveillence par le NOC/En attente de mise en place des tiroires filtrés "/>
    <s v="HO Non finalisé 231 et 330"/>
    <s v="dl Rxqual=0"/>
    <s v="dl rx level= -69"/>
    <s v="OK"/>
    <s v="OK"/>
    <s v="Mauvais"/>
    <s v="  Retransmission des trames HDLC*4"/>
    <m/>
    <s v="Nassim NAJIM"/>
    <m/>
    <m/>
    <m/>
    <m/>
    <m/>
    <m/>
    <m/>
  </r>
  <r>
    <n v="1085"/>
    <x v="0"/>
    <x v="362"/>
    <d v="1899-12-30T11:35:05"/>
    <n v="2021"/>
    <x v="9"/>
    <x v="0"/>
    <n v="1053"/>
    <n v="35214500044497"/>
    <s v="Tanger/Casa"/>
    <n v="143.54"/>
    <x v="3"/>
    <s v="N2"/>
    <x v="0"/>
    <s v="Selon notre analyse, nous avons constaté que le HO est Complet  224 et 225, Cependant, les conditions radio étaient bonnes avant la déconnexion. La requete de deconnexion a ete envoyé par le RBC sans retransmission des trames HDLC,l'ecart de la rame est mauvais,                                                       "/>
    <s v="Les derniers résultats de la vérification chaine antennaire conformes_x000a_En attente de pousser les analyses coté RBC"/>
    <x v="3"/>
    <s v="En attente de pousser les analyses coté RBC"/>
    <s v="HO finalisé 224 et 225"/>
    <s v="dl Rxqual=1"/>
    <s v="dl rx level= -70"/>
    <s v="OK"/>
    <s v="OK"/>
    <s v="Mauvais"/>
    <s v="  Pas de Retransmission des trames HDLC"/>
    <m/>
    <s v="Nassim NAJIM"/>
    <m/>
    <m/>
    <m/>
    <m/>
    <m/>
    <m/>
    <m/>
  </r>
  <r>
    <n v="1086"/>
    <x v="0"/>
    <x v="362"/>
    <d v="1899-12-30T13:31:47"/>
    <n v="1025"/>
    <x v="1"/>
    <x v="1"/>
    <n v="3062"/>
    <n v="35214500046055"/>
    <s v="Casa/Tanger"/>
    <n v="161.72200000000001"/>
    <x v="9"/>
    <s v="N2"/>
    <x v="0"/>
    <s v="Selon notre analyse, nous avons constaté que le HO est complet 328 et 327, Cependant, les conditions radio étaient bonnes avant la déconnexion. La requete de deconnexion a ete envoyé par le RBC avec retransmission des trames HDLC,l'ecart de la rame est mauvais,                                                       "/>
    <s v="Les derniers résultats de la vérification chaine antennaire conformes et Bon qualité de signale_x000a_Zone sous surveillence par le NOC"/>
    <x v="0"/>
    <s v="En attente de mise en place des tiroires filtrés "/>
    <s v="HO finalisé 328 et 327"/>
    <s v="dl Rxqual=1"/>
    <s v="dl rx level= -64"/>
    <s v="NOK"/>
    <s v="OK"/>
    <s v="Mauvais"/>
    <s v="  Retransmission des trames HDLC*5"/>
    <m/>
    <s v="LAGDEM Elmehdi"/>
    <m/>
    <m/>
    <m/>
    <m/>
    <m/>
    <m/>
    <m/>
  </r>
  <r>
    <n v="1087"/>
    <x v="0"/>
    <x v="362"/>
    <d v="1899-12-30T14:05:42"/>
    <n v="2033"/>
    <x v="4"/>
    <x v="0"/>
    <n v="1058"/>
    <n v="35214500004427"/>
    <s v="Tanger/Casa"/>
    <n v="6.13"/>
    <x v="2"/>
    <s v="N2"/>
    <x v="0"/>
    <s v="Selon notre analyse, nous avons constaté que le HO est HO Complet 202 et 303, Cependant, les conditions radio étaient bonnes avant la déconnexion. La requete de deconnexion a ete envoyé par le RBC avec retransmission des trames HDLC,l'ecart de la rame est mauvais,                                                       "/>
    <s v="Les derniers résultats de la vérification chaine antennaire conformes _x000a_Présence d'interférences externes  au niveau du GSMR_02/03_x000a_Probléme GSMR_x000a_"/>
    <x v="0"/>
    <s v="En attente de mise en place des tiroires filtrés "/>
    <s v="HO Complet 202 et 303"/>
    <s v="dl Rxqual=1"/>
    <s v="dl rx level= -68"/>
    <s v="OK"/>
    <s v="OK"/>
    <s v="Mauvais"/>
    <s v="  Retransmission des trames HDLC*5"/>
    <m/>
    <s v="LAGDEM Elmehdi"/>
    <m/>
    <m/>
    <m/>
    <m/>
    <m/>
    <m/>
    <m/>
  </r>
  <r>
    <n v="1088"/>
    <x v="0"/>
    <x v="362"/>
    <d v="1899-12-30T20:35:21"/>
    <n v="2057"/>
    <x v="4"/>
    <x v="0"/>
    <n v="1058"/>
    <n v="35214500004427"/>
    <s v="Tanger/Casa"/>
    <n v="144.32599999999999"/>
    <x v="3"/>
    <s v="N2"/>
    <x v="1"/>
    <s v="Selon notre analyse, nous avons constaté que le HO est Complet  224 et 225, Cependant, les conditions radio étaient bonnes avant la déconnexion. La requete de deconnexion a ete envoyé par le RBC sans retransmission des trames HDLC,l'ecart de la rame est mauvais,                                                       "/>
    <s v="Les derniers résultats de la vérification chaine antennaire conformes_x000a_En attente de pousser les analyses coté RBC"/>
    <x v="3"/>
    <s v="En attente de pousser les analyses coté RBC"/>
    <s v="HO Complet 224 et 225"/>
    <s v="dl Rxqual=4"/>
    <s v="dl rx level= -68"/>
    <s v="OK"/>
    <s v="OK"/>
    <s v="Mauvais"/>
    <s v=" Pas Retransmission des trames HDLC"/>
    <m/>
    <s v="Fahd OUSSALH"/>
    <m/>
    <m/>
    <m/>
    <m/>
    <m/>
    <m/>
    <m/>
  </r>
  <r>
    <n v="1089"/>
    <x v="0"/>
    <x v="363"/>
    <d v="1899-12-30T17:04:10"/>
    <n v="1038"/>
    <x v="3"/>
    <x v="1"/>
    <n v="1046"/>
    <n v="35214500038727"/>
    <s v="Casa/Tanger"/>
    <n v="7.3209999999999997"/>
    <x v="2"/>
    <s v="N2"/>
    <x v="0"/>
    <s v="Selon notre analyse, nous avons constaté que le HO est Non finalisé 202 et 301, Cependant, les conditions radio étaient mauvaises avant la déconnexion. La requete de deconnexion a ete envoyé par le RBC avec retransmission des trames HDLC,l'ecart de la rame est mauvais,                                                       "/>
    <s v="Les derniers résultats de la vérification chaine antennaire conformes _x000a_Présence d'interférences externes  au niveau du GSMR_02/03_x000a_Probléme GSMR_x000a_"/>
    <x v="0"/>
    <s v="En attente de mise en place des tiroires filtrés "/>
    <s v="HO Non finalisé 202 et 301"/>
    <s v="dl Rxqual=6"/>
    <s v="dl rx level= -54"/>
    <s v="NOK"/>
    <s v="OK"/>
    <s v="Mauvais"/>
    <s v="  Retransmission des trames HDLC*5"/>
    <m/>
    <s v="LAGDEM Elmehdi"/>
    <m/>
    <m/>
    <m/>
    <m/>
    <m/>
    <m/>
    <m/>
  </r>
  <r>
    <n v="1090"/>
    <x v="0"/>
    <x v="363"/>
    <d v="1899-12-30T20:30:00"/>
    <n v="1053"/>
    <x v="7"/>
    <x v="1"/>
    <n v="1047"/>
    <n v="35214500045477"/>
    <s v="Casa/Tanger"/>
    <n v="177.85"/>
    <x v="4"/>
    <s v="N2"/>
    <x v="0"/>
    <s v="Selon notre analyse, nous avons constaté que le HO est Complet 231 et 229, Cependant, les conditions radio étaient mauvaises avant la déconnexion. La requete de deconnexion a ete envoyé par le RBC avec retransmission des trames HDLC,l'ecart de la rame est mauvais,                                                       "/>
    <s v="Les derniers résultats de la vérification chaine antennaire conformes et Mauvaise qualité de signale_x000a_Zone sous surveillence par le NOC"/>
    <x v="2"/>
    <s v="Zone sous surveillence par le NOC/En attente de mise en place des tiroires filtrés "/>
    <s v="HO Complet 231 et 229"/>
    <s v="dl Rxqual=5"/>
    <s v="dl rx level= -63"/>
    <s v="NOK"/>
    <s v="OK"/>
    <s v="Mauvais"/>
    <s v="  Retransmission des trames HDLC*5"/>
    <m/>
    <s v="Oussama ZEHOUANI"/>
    <m/>
    <m/>
    <m/>
    <m/>
    <m/>
    <m/>
    <m/>
  </r>
  <r>
    <n v="1091"/>
    <x v="0"/>
    <x v="364"/>
    <d v="1899-12-30T10:36:30"/>
    <n v="1013"/>
    <x v="7"/>
    <x v="1"/>
    <n v="1040"/>
    <n v="35214500045477"/>
    <s v="Casa/Tanger"/>
    <n v="152.488"/>
    <x v="18"/>
    <s v="N2"/>
    <x v="0"/>
    <s v="Selon notre analyse, nous avons constaté que le HO est non finalisé 327 et 326, Cependant, les conditions radio étaient mauvaises avant la déconnexion. La requete de deconnexion a ete envoyé par le RBC avec retransmission des trames HDLC,l'ecart de la rame est mauvais"/>
    <s v="Les derniers résultats de la vérification chaine antennaire conformes et Mauvaise qualité de signale_x000a_Zone sous surveillence par le NOC"/>
    <x v="1"/>
    <s v="Zone sous surveillence par le NOC"/>
    <s v="HO non finalisé entre 327 et 326"/>
    <s v="dl Rxqual=7"/>
    <s v="dl rx level= -61"/>
    <s v="NOK"/>
    <s v="OK"/>
    <s v="Mauvais"/>
    <s v="  Retransmission des trames HDLC*5"/>
    <m/>
    <s v="Noura MOUSSAOUI"/>
    <m/>
    <m/>
    <m/>
    <m/>
    <m/>
    <m/>
    <m/>
  </r>
  <r>
    <n v="1092"/>
    <x v="0"/>
    <x v="365"/>
    <d v="1899-12-30T09:27:39"/>
    <n v="2013"/>
    <x v="2"/>
    <x v="0"/>
    <n v="7218"/>
    <n v="35214500044557"/>
    <s v="Tanger/Casa"/>
    <n v="101.587"/>
    <x v="24"/>
    <s v="N2"/>
    <x v="0"/>
    <s v="Selon notre analyse, nous avons constaté que le HO est non finalisé entre 218 et 219, Cependant, les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218 et 219"/>
    <s v="dl Rxqual=3"/>
    <s v="dl rx level= -67"/>
    <s v="NOK"/>
    <s v="OK"/>
    <s v="Mauvais"/>
    <s v="  Retransmission des trames HDLC*5"/>
    <m/>
    <s v="Noura MOUSSAOUI"/>
    <m/>
    <m/>
    <m/>
    <m/>
    <m/>
    <m/>
    <m/>
  </r>
  <r>
    <n v="1093"/>
    <x v="0"/>
    <x v="365"/>
    <d v="1899-12-30T21:08:52"/>
    <n v="1053"/>
    <x v="9"/>
    <x v="1"/>
    <n v="1034"/>
    <n v="35214500046011"/>
    <s v="Casa/Tanger"/>
    <n v="7.3209999999999997"/>
    <x v="2"/>
    <s v="N2"/>
    <x v="0"/>
    <s v="Selon notre analyse, nous avons constaté que le HO est non finalisé entre 302 et 203,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2 et 203"/>
    <s v="dl Rxqual=5"/>
    <s v="dl rx level= -51"/>
    <s v="OK"/>
    <s v="OK"/>
    <s v="Mauvais"/>
    <s v="  Retransmission des trames HDLC*5"/>
    <m/>
    <s v="Nassim NAJIM"/>
    <m/>
    <m/>
    <m/>
    <m/>
    <m/>
    <m/>
    <m/>
  </r>
  <r>
    <n v="1094"/>
    <x v="0"/>
    <x v="366"/>
    <d v="1899-12-30T15:05:16"/>
    <n v="2037"/>
    <x v="10"/>
    <x v="0"/>
    <n v="1056"/>
    <n v="35214500045217"/>
    <s v="Tanger/Casa"/>
    <n v="6.13"/>
    <x v="2"/>
    <s v="N2"/>
    <x v="1"/>
    <s v="Selon notre analyse, nous avons constaté que le HO est non finalisé entre 202 et 303, Cependant, les conditions radio étaient mauvais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2"/>
    <s v="OK"/>
    <s v="OK"/>
    <s v="Mauvais"/>
    <s v="  Retransmission des trames HDLC*5"/>
    <m/>
    <s v="Noura MOUSSAOUI"/>
    <m/>
    <m/>
    <m/>
    <m/>
    <m/>
    <m/>
    <m/>
  </r>
  <r>
    <n v="1095"/>
    <x v="0"/>
    <x v="367"/>
    <s v=" 10:35:23"/>
    <n v="2017"/>
    <x v="9"/>
    <x v="0"/>
    <n v="1053"/>
    <n v="35214500043740"/>
    <s v="Tanger/Casa"/>
    <n v="144.32599999999999"/>
    <x v="3"/>
    <s v="N2"/>
    <x v="1"/>
    <s v="Selon notre analyse, nous avons constaté que le HO est complet entre 224 et 225, Cependant, les conditions radio étaient bonnes avant la déconnexion. La requete de deconnexion a ete envoyé par le RBC avec retransmission des trames HDLC,l'ecart de la rame est mauvais,                                                              Justification d’arrêt :_x000a_Un AUC non acquitté par le bord a causé l'envoie d'un AUI depuis RBC suivi d'un trip"/>
    <s v="Les derniers résultats de la vérification chaine antennaire conformes_x000a_"/>
    <x v="0"/>
    <s v="En attente de mise en place des tiroires filtrés "/>
    <s v="HO Complet 224 et 225"/>
    <s v="dl Rxqual=0"/>
    <s v="dl rx level= -70"/>
    <s v="OK"/>
    <s v="OK"/>
    <s v="Mauvais"/>
    <s v="  Retransmission des trames HDLC*5"/>
    <m/>
    <s v="Noura MOUSSAOUI"/>
    <m/>
    <m/>
    <m/>
    <m/>
    <m/>
    <m/>
    <m/>
  </r>
  <r>
    <n v="1096"/>
    <x v="0"/>
    <x v="367"/>
    <s v=" 20:04:57"/>
    <n v="1049"/>
    <x v="2"/>
    <x v="1"/>
    <n v="1060"/>
    <n v="35214500042751"/>
    <s v="Casa/Tanger"/>
    <n v="7.3209999999999997"/>
    <x v="2"/>
    <s v="N2"/>
    <x v="1"/>
    <s v="Selon notre analyse, nous avons constaté que le HO est complet  entre 303 et 202 avec Downlik quality , Cependant, les conditions radio étaient mauvais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303 et 202"/>
    <s v="dl Rxqual=7"/>
    <s v="dl rx level= -50"/>
    <s v="OK"/>
    <s v="OK"/>
    <s v="Mauvais"/>
    <s v="  Retransmission des trames HDLC*5"/>
    <m/>
    <s v="ELHAJOUIA Achraf"/>
    <m/>
    <m/>
    <m/>
    <m/>
    <m/>
    <m/>
    <m/>
  </r>
  <r>
    <n v="1097"/>
    <x v="0"/>
    <x v="367"/>
    <s v=" 20:28:21"/>
    <n v="1053"/>
    <x v="8"/>
    <x v="1"/>
    <n v="1030"/>
    <n v="35214500045491"/>
    <s v="Casa/Tanger"/>
    <n v="177.85"/>
    <x v="4"/>
    <s v="N2"/>
    <x v="0"/>
    <s v="Selon notre analyse, nous avons constaté que le HO est non finalisé entre 330 et 229 avec Downlik quality , Cependant, les conditions radio étaient mauvaises avant la déconnexion. La requete de deconnexion a ete envoyé par le bord  avec retransmission des trames HDLC,l'ecart de la rame est mauvais"/>
    <s v="Les derniers résultats de la vérification chaine antennaire conformes et Mauvaise qualité de signale_x000a_Zone sous surveillence par le NOC"/>
    <x v="2"/>
    <s v="Zone sous surveillence par le NOC/En attente de mise en place des tiroires filtrés "/>
    <s v="HO Non finalisé 330 et 229"/>
    <s v="dl Rxqual=7"/>
    <s v="dl rx level= -55"/>
    <s v="OK"/>
    <s v="OK"/>
    <s v="Mauvais"/>
    <s v="  Retransmission des trames HDLC*5"/>
    <m/>
    <s v="ISMALI ALAOUI Hamza"/>
    <m/>
    <m/>
    <m/>
    <m/>
    <m/>
    <m/>
    <m/>
  </r>
  <r>
    <n v="1098"/>
    <x v="0"/>
    <x v="368"/>
    <d v="1899-12-30T09:12:47"/>
    <n v="2013"/>
    <x v="11"/>
    <x v="0"/>
    <n v="1051"/>
    <n v="35214500045357"/>
    <s v="Tanger/Casa"/>
    <n v="31.350999999999999"/>
    <x v="25"/>
    <s v="N2"/>
    <x v="0"/>
    <s v="Selon notre analyse, nous avons constaté que le HO est non finalisé entre 206 et 207, Cependant, les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 HO non finalisé entre 206 et 207"/>
    <s v="dl Rxqual=0"/>
    <s v="dl rx level= -57"/>
    <s v="OK"/>
    <s v="OK"/>
    <s v="Mauvais"/>
    <s v="  Retransmission des trames HDLC*5"/>
    <m/>
    <s v="LAGDEM Elmehdi"/>
    <m/>
    <m/>
    <m/>
    <m/>
    <m/>
    <m/>
    <m/>
  </r>
  <r>
    <n v="1099"/>
    <x v="0"/>
    <x v="368"/>
    <d v="1899-12-30T14:05:00"/>
    <n v="2033"/>
    <x v="10"/>
    <x v="0"/>
    <n v="1056"/>
    <n v="35214500045217"/>
    <s v="Tanger/Casa"/>
    <n v="6.13"/>
    <x v="2"/>
    <s v="N2"/>
    <x v="0"/>
    <s v="Selon notre analyse, nous avons constaté que le HO est non finalisé entre 302 et 201,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2 et 201"/>
    <s v="dl Rxqual=7"/>
    <s v="dl rx level= -55"/>
    <s v="NOK"/>
    <s v="OK"/>
    <s v="Mauvais"/>
    <s v="  Retransmission des trames HDLC*5"/>
    <m/>
    <s v="Oussama ZEHOUANI"/>
    <m/>
    <m/>
    <m/>
    <m/>
    <m/>
    <m/>
    <m/>
  </r>
  <r>
    <n v="1100"/>
    <x v="0"/>
    <x v="368"/>
    <d v="1899-12-30T16:05:00"/>
    <n v="2041"/>
    <x v="8"/>
    <x v="0"/>
    <n v="1043"/>
    <n v="35214500045200"/>
    <s v="Tanger/Casa"/>
    <n v="6.13"/>
    <x v="2"/>
    <s v="N2"/>
    <x v="0"/>
    <s v="Selon notre analyse, nous avons constaté que le HO est complet entre 202 et 303,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 HO Complet entre 202 et 303"/>
    <s v="dl Rxqual=7"/>
    <s v="dl rx level= -69"/>
    <s v="NOK"/>
    <s v="OK"/>
    <s v="Mauvais"/>
    <s v="  Retransmission des trames HDLC*5"/>
    <m/>
    <s v="Oussama ZEHOUANI"/>
    <m/>
    <m/>
    <m/>
    <m/>
    <m/>
    <m/>
    <m/>
  </r>
  <r>
    <n v="1101"/>
    <x v="0"/>
    <x v="368"/>
    <d v="1899-12-30T19:05:00"/>
    <n v="2053"/>
    <x v="3"/>
    <x v="0"/>
    <n v="1083"/>
    <n v="35214500043517"/>
    <s v="Tanger/Casa"/>
    <n v="6.13"/>
    <x v="2"/>
    <s v="N2"/>
    <x v="0"/>
    <s v="Selon notre analyse, nous avons constaté que le HO est non finalisé entre 302 et 203,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 HO non finalisé entre 302 et 203"/>
    <s v="dl Rxqual=6"/>
    <s v="dl rx level= -60"/>
    <s v="NOK"/>
    <s v="OK"/>
    <s v="Mauvais"/>
    <s v="  Retransmission des trames HDLC*5"/>
    <m/>
    <s v="Oussama ZEHOUANI"/>
    <m/>
    <m/>
    <m/>
    <m/>
    <m/>
    <m/>
    <m/>
  </r>
  <r>
    <n v="1102"/>
    <x v="0"/>
    <x v="368"/>
    <s v=" 23:05:50"/>
    <n v="1062"/>
    <x v="2"/>
    <x v="1"/>
    <n v="1060"/>
    <n v="35214500042751"/>
    <s v="Casa/Tanger"/>
    <n v="7.3209999999999997"/>
    <x v="2"/>
    <s v="N2"/>
    <x v="1"/>
    <s v="Selon notre analyse, nous avons constaté que le HO est complet  entre 303 et 202 avec Downlik quality , Cependant, les conditions radio étaient mauvais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303 et 202"/>
    <s v="dl Rxqual=7"/>
    <s v="dl rx level= -52"/>
    <s v="OK"/>
    <s v="OK"/>
    <s v="Mauvais"/>
    <s v="  Retransmission des trames HDLC*5"/>
    <m/>
    <s v="HARIRI Bahaeddine"/>
    <m/>
    <m/>
    <m/>
    <m/>
    <m/>
    <m/>
    <m/>
  </r>
  <r>
    <n v="1103"/>
    <x v="0"/>
    <x v="369"/>
    <s v=" 11:04:42"/>
    <n v="2021"/>
    <x v="11"/>
    <x v="0"/>
    <n v="1050"/>
    <n v="35214500045495"/>
    <s v="Tanger/Casa"/>
    <n v="6.13"/>
    <x v="2"/>
    <s v="N2"/>
    <x v="1"/>
    <s v="Selon notre analyse, nous avons constaté que le HO est complet  entre 302 et 203 avec Downlik quality , Cependant, les conditions radio étaient mauvais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e entre 302 et 203"/>
    <s v="dl Rxqual=7"/>
    <s v="dl rx level= -66"/>
    <s v="OK"/>
    <s v="OK"/>
    <s v="Mauvais"/>
    <s v="  Retransmission des trames HDLC*5"/>
    <m/>
    <s v="ELHAJOUIA Achraf"/>
    <m/>
    <m/>
    <m/>
    <m/>
    <m/>
    <m/>
    <m/>
  </r>
  <r>
    <n v="1104"/>
    <x v="0"/>
    <x v="369"/>
    <d v="1899-12-30T19:04:07"/>
    <n v="1045"/>
    <x v="10"/>
    <x v="1"/>
    <n v="1028"/>
    <n v="35214500045449"/>
    <s v="Casa/Tanger"/>
    <n v="7.3209999999999997"/>
    <x v="2"/>
    <s v="N2"/>
    <x v="1"/>
    <s v="Selon notre analyse, nous avons constaté que le HO non finalisé entre 202 et 303  avec Downlink quality  , Cependant, les conditions radio étaient mauvaises avant la déconnexion. La requete de deconnexion a ete envoyé par le RBC avec retransmission des trames HDLC,l'ecart de la rame est mauvais,                      Justification d’arrêt :_x000a_ une fois le train s'est déconnecté il a continué à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2 et 303  "/>
    <s v="dl Rxqual=7"/>
    <s v="dl rx level= -53"/>
    <s v="OK"/>
    <s v="OK"/>
    <s v="Mauvais"/>
    <s v="  Retransmission des trames HDLC*5"/>
    <m/>
    <s v="Saad Elhabib"/>
    <m/>
    <m/>
    <m/>
    <m/>
    <m/>
    <m/>
    <m/>
  </r>
  <r>
    <n v="1105"/>
    <x v="0"/>
    <x v="370"/>
    <s v=" 11:04:26"/>
    <n v="2021"/>
    <x v="8"/>
    <x v="0"/>
    <n v="1043"/>
    <n v="35214500045200"/>
    <s v="Tanger/Casa"/>
    <n v="6.13"/>
    <x v="2"/>
    <s v="N2"/>
    <x v="0"/>
    <s v="Selon notre analyse, nous avons constaté que le HO est complet entre 202 et 303 avec downlink quality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e entre 202 et 303"/>
    <s v="dl Rxqual=7"/>
    <s v="dl rx level= -69"/>
    <s v="OK"/>
    <s v="OK"/>
    <s v="Mauvais"/>
    <s v="  Retransmission des trames HDLC*5"/>
    <m/>
    <s v="ISMALI ALAOUI Hamza"/>
    <m/>
    <m/>
    <m/>
    <m/>
    <m/>
    <m/>
    <m/>
  </r>
  <r>
    <n v="1106"/>
    <x v="0"/>
    <x v="370"/>
    <d v="1899-12-30T16:05:10"/>
    <n v="2041"/>
    <x v="0"/>
    <x v="0"/>
    <n v="1037"/>
    <n v="35214500045488"/>
    <s v="Tanger/Casa"/>
    <n v="6.13"/>
    <x v="2"/>
    <s v="N2"/>
    <x v="1"/>
    <s v="Selon notre analyse, nous avons constaté que le HO est complet entre 202 et 303 avec downlink quality Cependan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e entre 202 et 303"/>
    <s v="dl Rxqual=7"/>
    <s v="dl rx level= -65"/>
    <s v="OK"/>
    <s v="OK"/>
    <s v="Mauvais"/>
    <s v="  Retransmission des trames HDLC*5"/>
    <m/>
    <s v="Saad Elhabib"/>
    <m/>
    <m/>
    <m/>
    <m/>
    <m/>
    <m/>
    <m/>
  </r>
  <r>
    <n v="1107"/>
    <x v="0"/>
    <x v="371"/>
    <d v="1899-12-30T05:07:47"/>
    <n v="2081"/>
    <x v="10"/>
    <x v="0"/>
    <n v="1057"/>
    <n v="35214500045187"/>
    <s v="Tanger/Casa"/>
    <n v="161.72200000000001"/>
    <x v="9"/>
    <s v="N2"/>
    <x v="0"/>
    <s v="Selon notre analyse, nous avons constaté que le HO est non finalisé entre 227 et 228 ,Cependant, les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227 et 228"/>
    <s v="dl Rxqual=2"/>
    <s v="dl rx level= -70"/>
    <s v="NOK"/>
    <s v="OK"/>
    <s v="Mauvais"/>
    <s v="  Retransmission des trames HDLC*5"/>
    <m/>
    <s v="LAGDEM Elmehdi"/>
    <m/>
    <m/>
    <m/>
    <m/>
    <m/>
    <m/>
    <m/>
  </r>
  <r>
    <n v="1108"/>
    <x v="0"/>
    <x v="371"/>
    <d v="1899-12-30T09:14:29"/>
    <n v="2013"/>
    <x v="5"/>
    <x v="0"/>
    <n v="1025"/>
    <n v="35214500045073"/>
    <s v="Tanger/Casa"/>
    <n v="39.215000000000003"/>
    <x v="14"/>
    <s v="N2"/>
    <x v="0"/>
    <s v="Selon notre analyse, nous avons constaté que le HO est non finalisé entre 207 et 208,Cependant, les conditions radio étaient bonnes avant la déconnexion. La requete de deconnexion a ete envoyé par le RBC avec retransmission des trames HDLC,l'ecart de la rame est mauvais,                                                                       "/>
    <s v="Les derniers résultats de la vérification chaine antennaire conformes et Bon qualité de signale_x000a_Zone sous surveillence par le NOC"/>
    <x v="2"/>
    <s v="Zone sous surveillence par le NOC/En attente de mise en place des tiroires filtrés "/>
    <s v="HO non finalisé entre 207 et 208"/>
    <s v="dl Rxqual=2"/>
    <s v="dl rx level= -68"/>
    <s v="NOK"/>
    <s v="OK"/>
    <s v="Mauvais"/>
    <s v="  Retransmission des trames HDLC*5"/>
    <m/>
    <s v="Noura MOUSSAOUI"/>
    <m/>
    <m/>
    <m/>
    <m/>
    <m/>
    <m/>
    <m/>
  </r>
  <r>
    <n v="1109"/>
    <x v="0"/>
    <x v="371"/>
    <d v="1899-12-30T18:35:56"/>
    <n v="2049"/>
    <x v="0"/>
    <x v="0"/>
    <n v="1037"/>
    <n v="35214500045488"/>
    <s v="Tanger/Casa"/>
    <n v="144.32599999999999"/>
    <x v="3"/>
    <s v="N2"/>
    <x v="1"/>
    <s v="Selon notre analyse, nous avons constaté que le HO est complet entre 224 et 225 , es conditions radio étaient bonnes  avant la déconnexion. La requete de deconnexion a ete envoyé par le RBC avec retransmission des trames HDLC,l'ecart de la rame est mauvais"/>
    <s v="Les derniers résultats de la vérification chaine antennaire conformes"/>
    <x v="0"/>
    <s v="En attente de mise en place des tiroires filtrés "/>
    <s v="HO complet entre 224 et 225   "/>
    <s v="dl Rxqual=0"/>
    <s v="dl rx level= -70"/>
    <s v="OK"/>
    <s v="OK"/>
    <s v="Mauvais"/>
    <s v="  Retransmission des trames HDLC*5"/>
    <m/>
    <s v="Saad Elhabib"/>
    <m/>
    <m/>
    <m/>
    <m/>
    <m/>
    <m/>
    <m/>
  </r>
  <r>
    <n v="1110"/>
    <x v="0"/>
    <x v="371"/>
    <d v="1899-12-30T18:43:21"/>
    <n v="1045"/>
    <x v="10"/>
    <x v="1"/>
    <n v="1028"/>
    <n v="35214500045449"/>
    <s v="Casa/Tanger"/>
    <n v="122.536"/>
    <x v="30"/>
    <s v="N2"/>
    <x v="0"/>
    <s v="Selon notre analyse, nous avons constaté que le HO est non finalisé entre 322 et 221  , es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 HO non finalisé entre 322 et 221 "/>
    <s v="dl Rxqual=0"/>
    <s v="dl rx level= -70"/>
    <s v="NOK"/>
    <s v="OK"/>
    <s v="Mauvais"/>
    <s v="  Retransmission des trames HDLC*5"/>
    <m/>
    <s v="Oussama ZEHOUANI"/>
    <m/>
    <m/>
    <m/>
    <m/>
    <m/>
    <m/>
    <m/>
  </r>
  <r>
    <n v="1111"/>
    <x v="0"/>
    <x v="371"/>
    <d v="1899-12-30T19:04:45"/>
    <n v="2053"/>
    <x v="11"/>
    <x v="0"/>
    <n v="1028"/>
    <n v="35214500045495"/>
    <s v="Tanger/Casa"/>
    <n v="6.13"/>
    <x v="2"/>
    <s v="N2"/>
    <x v="0"/>
    <s v="Selon notre analyse, nous avons constaté que le HO est complet entre 202 et 302, 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2  avec downlink quality"/>
    <s v="dl Rxqual=5"/>
    <s v="dl rx level= -66"/>
    <s v="OK"/>
    <s v="OK"/>
    <s v="Mauvais"/>
    <s v="  Retransmission des trames HDLC*5"/>
    <m/>
    <s v="Oussama ZEHOUANI"/>
    <m/>
    <m/>
    <m/>
    <m/>
    <m/>
    <m/>
    <m/>
  </r>
  <r>
    <n v="1112"/>
    <x v="0"/>
    <x v="372"/>
    <d v="1899-12-30T04:05:26"/>
    <n v="2081"/>
    <x v="2"/>
    <x v="0"/>
    <n v="7218"/>
    <n v="35214500044557"/>
    <s v="Tanger/Casa"/>
    <n v="6.13"/>
    <x v="2"/>
    <s v="N2"/>
    <x v="0"/>
    <s v="Selon notre analyse, nous avons constaté que le HO est complet entre 202 et 302, 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201 avec downlink quality"/>
    <s v="dl Rxqual=7"/>
    <s v="dl rx level= -71"/>
    <s v="NOK"/>
    <s v="OK"/>
    <s v="Mauvais"/>
    <s v="  Retransmission des trames HDLC*5"/>
    <m/>
    <s v="LAGDEM Elmehdi"/>
    <m/>
    <m/>
    <m/>
    <m/>
    <m/>
    <m/>
    <m/>
  </r>
  <r>
    <n v="1113"/>
    <x v="0"/>
    <x v="372"/>
    <d v="1899-12-30T21:08:54"/>
    <n v="1053"/>
    <x v="3"/>
    <x v="1"/>
    <n v="1046"/>
    <n v="35214500038727"/>
    <s v="Casa/Tanger"/>
    <n v="7.3209999999999997"/>
    <x v="2"/>
    <s v="N2"/>
    <x v="0"/>
    <s v="Selon notre analyse, nous avons constaté que le HO est non finalisé entre 302 et 203  , est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2 et 203  "/>
    <s v="dl Rxqual=6"/>
    <s v="dl rx level= -51"/>
    <s v="OK"/>
    <s v="OK"/>
    <s v="Mauvais"/>
    <s v="  Retransmission des trames HDLC*5"/>
    <m/>
    <s v="LAGDEM Elmehdi"/>
    <m/>
    <m/>
    <m/>
    <m/>
    <m/>
    <m/>
    <m/>
  </r>
  <r>
    <n v="1114"/>
    <x v="0"/>
    <x v="373"/>
    <d v="1899-12-30T12:04:53"/>
    <n v="2025"/>
    <x v="10"/>
    <x v="0"/>
    <n v="1056"/>
    <n v="35214500045187"/>
    <s v="Tanger/Casa"/>
    <n v="8.3209999999999997"/>
    <x v="2"/>
    <s v="N2"/>
    <x v="0"/>
    <s v="Selon notre analyse, nous avons constaté que le HO est non finalisé entre 302 et 203  , est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2 et 203"/>
    <s v="dl Rxqual=7"/>
    <s v="dl rx level= -55"/>
    <s v="NOK"/>
    <s v="OK"/>
    <s v="Mauvais"/>
    <s v="  Retransmission des trames HDLC*5"/>
    <m/>
    <s v="Oussama ZEHOUANI"/>
    <m/>
    <m/>
    <m/>
    <m/>
    <m/>
    <m/>
    <m/>
  </r>
  <r>
    <n v="1115"/>
    <x v="0"/>
    <x v="373"/>
    <d v="1899-12-30T14:05:02"/>
    <n v="2033"/>
    <x v="0"/>
    <x v="0"/>
    <n v="1037"/>
    <n v="35214500045461"/>
    <s v="Tanger/Casa"/>
    <n v="6.13"/>
    <x v="2"/>
    <s v="N2"/>
    <x v="0"/>
    <s v="Selon notre analyse, nous avons constaté que le HO est complet entre 202 et 303, est conditions radio étaient bonn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avec downlink quality"/>
    <s v="dl Rxqual=1"/>
    <s v="dl rx level= -70"/>
    <s v="OK"/>
    <s v="OK"/>
    <s v="Mauvais"/>
    <s v="  Retransmission des trames HDLC*5"/>
    <m/>
    <s v="Nassim NAJIM"/>
    <m/>
    <m/>
    <m/>
    <m/>
    <m/>
    <m/>
    <m/>
  </r>
  <r>
    <n v="1116"/>
    <x v="0"/>
    <x v="373"/>
    <d v="1899-12-30T17:04:34"/>
    <n v="1038"/>
    <x v="10"/>
    <x v="1"/>
    <n v="1028"/>
    <n v="35214500045449"/>
    <s v="Casa/Tanger"/>
    <n v="7.3209999999999997"/>
    <x v="2"/>
    <s v="N2"/>
    <x v="0"/>
    <s v="Selon notre analyse, nous avons constaté que le HO est non finalisé entre 303 et 202 , est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3 et 202 "/>
    <s v="dl Rxqual=6"/>
    <s v="dl rx level= -63"/>
    <s v="OK"/>
    <s v="OK"/>
    <s v="Mauvais"/>
    <s v="  Retransmission des trames HDLC*5"/>
    <m/>
    <s v="Nassim NAJIM"/>
    <m/>
    <m/>
    <m/>
    <m/>
    <m/>
    <m/>
    <m/>
  </r>
  <r>
    <n v="1117"/>
    <x v="0"/>
    <x v="374"/>
    <d v="1899-12-30T09:05:16"/>
    <n v="2009"/>
    <x v="2"/>
    <x v="0"/>
    <n v="7218"/>
    <n v="35214500045735"/>
    <s v="Tanger/Casa"/>
    <n v="6.13"/>
    <x v="2"/>
    <s v="N2"/>
    <x v="0"/>
    <s v="Selon notre analyse, nous avons constaté que le HO est complet entre 202 et 303, est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avec DownLink "/>
    <s v="dl Rxqual=7"/>
    <s v="dl rx level= -69"/>
    <s v="NOK"/>
    <s v="OK"/>
    <s v="Mauvais"/>
    <s v="  Retransmission des trames HDLC*5"/>
    <m/>
    <s v="Oussama ZEHOUANI"/>
    <m/>
    <m/>
    <m/>
    <m/>
    <m/>
    <m/>
    <m/>
  </r>
  <r>
    <n v="1118"/>
    <x v="0"/>
    <x v="374"/>
    <d v="1899-12-30T14:05:00"/>
    <n v="2033"/>
    <x v="2"/>
    <x v="0"/>
    <n v="7218"/>
    <n v="35214500045735"/>
    <s v="Tanger/Casa"/>
    <n v="6.13"/>
    <x v="2"/>
    <s v="N2"/>
    <x v="0"/>
    <s v="Selon notre analyse, nous avons constaté que le HO est non finalisé entre 302 et 203, est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302 et 203"/>
    <s v="dl Rxqual=6"/>
    <s v="dl rx level= -63"/>
    <s v="OK"/>
    <s v="OK"/>
    <s v="Mauvais"/>
    <s v="  Retransmission des trames HDLC*5"/>
    <m/>
    <s v="Nassim NAJIM"/>
    <m/>
    <m/>
    <m/>
    <m/>
    <m/>
    <m/>
    <m/>
  </r>
  <r>
    <n v="1119"/>
    <x v="0"/>
    <x v="374"/>
    <d v="1899-12-30T17:04:35"/>
    <n v="2041"/>
    <x v="10"/>
    <x v="0"/>
    <n v="1057"/>
    <n v="35214500045187"/>
    <s v="Tanger/Casa"/>
    <n v="6.13"/>
    <x v="2"/>
    <s v="N2"/>
    <x v="1"/>
    <s v="Selon notre analyse, nous avons constaté que le HO est complet entre 202 et 303, est conditions radio étaient mauvaises avant la déconnexion. La requete de deconnexion a ete envoyé par le RBC avec retransmission des trames HDLC,l'ecart de la rame est mauvais , 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9"/>
    <s v="OK"/>
    <s v="OK"/>
    <s v="Mauvais"/>
    <s v="  Retransmission des trames HDLC*5"/>
    <m/>
    <s v="HARIRI Bahaeddine"/>
    <m/>
    <m/>
    <m/>
    <m/>
    <m/>
    <m/>
    <m/>
  </r>
  <r>
    <n v="1120"/>
    <x v="0"/>
    <x v="374"/>
    <d v="1899-12-30T21:03:52"/>
    <n v="1053"/>
    <x v="10"/>
    <x v="1"/>
    <n v="1028"/>
    <n v="35214500045449"/>
    <s v="Casa/Tanger"/>
    <n v="7.3209999999999997"/>
    <x v="2"/>
    <s v="N2"/>
    <x v="1"/>
    <s v="Selon notre analyse, nous avons constaté que le HO est complet entre 303 et 202,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entre 303 et 202"/>
    <s v="dl Rxqual=7"/>
    <s v="dl rx level= -54"/>
    <s v="OK"/>
    <s v="OK"/>
    <s v="Mauvais"/>
    <s v="  Retransmission des trames HDLC*5"/>
    <m/>
    <s v="ELHAJOUIA Achraf"/>
    <m/>
    <m/>
    <m/>
    <m/>
    <m/>
    <m/>
    <m/>
  </r>
  <r>
    <n v="1121"/>
    <x v="0"/>
    <x v="374"/>
    <d v="1899-12-30T21:05:19"/>
    <n v="2061"/>
    <x v="11"/>
    <x v="0"/>
    <n v="1051"/>
    <n v="35214500045357"/>
    <s v="Tanger/Casa"/>
    <n v="6.13"/>
    <x v="2"/>
    <s v="N2"/>
    <x v="1"/>
    <s v="Selon notre analyse, nous avons constaté que le HO est Non finalisé entre 201 et 203 Saute cellule ,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1 et 203 ( saute cellule)"/>
    <s v="dl Rxqual=6"/>
    <s v="dl rx level= -52"/>
    <s v="OK"/>
    <s v="OK"/>
    <s v="Mauvais"/>
    <s v="  Retransmission des trames HDLC*5"/>
    <m/>
    <s v="ELHAJOUIA Achraf"/>
    <m/>
    <m/>
    <m/>
    <m/>
    <m/>
    <m/>
    <m/>
  </r>
  <r>
    <n v="1122"/>
    <x v="0"/>
    <x v="375"/>
    <d v="1899-12-30T06:10:37"/>
    <n v="2001"/>
    <x v="5"/>
    <x v="0"/>
    <n v="1025"/>
    <n v="35214500045122"/>
    <s v="Tanger/Casa"/>
    <n v="21.55"/>
    <x v="20"/>
    <s v="N2"/>
    <x v="0"/>
    <s v="Selon notre analyse, nous avons constaté que le HO est non finalisé entre 204 et 205 , est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204 et 205 "/>
    <s v="dl Rxqual=0"/>
    <s v="dl rx level= -67"/>
    <s v="OK"/>
    <s v="OK"/>
    <s v="Mauvais"/>
    <s v="  Retransmission des trames HDLC*5"/>
    <m/>
    <s v="ISMALI ALAOUI Hamza"/>
    <m/>
    <m/>
    <m/>
    <m/>
    <m/>
    <m/>
    <m/>
  </r>
  <r>
    <n v="1123"/>
    <x v="0"/>
    <x v="375"/>
    <d v="1899-12-30T14:35:21"/>
    <n v="2033"/>
    <x v="4"/>
    <x v="0"/>
    <n v="1058"/>
    <n v="35214500044293"/>
    <s v="Tanger/Casa"/>
    <n v="141.898"/>
    <x v="26"/>
    <s v="N2"/>
    <x v="0"/>
    <s v="Selon notre analyse, nous avons constaté que le HO est complet entre 224 et 225 , est conditions radio étaient bonnes avant la déconnexion. La requete de deconnexion a ete envoyé par le RBC sans retransmission des trames HDLC,l'ecart de la rame est mauvais"/>
    <s v="Les derniers résultats de la vérification chaine antennaire conformes_x000a_En attente de pousser les analyses coté RBC"/>
    <x v="3"/>
    <s v="En attente de pousser les analyses coté RBC"/>
    <s v="HO complet entre 224 et 225 "/>
    <s v="dl Rxqual=0"/>
    <s v="dl rx level= -48"/>
    <s v="OK"/>
    <s v="OK"/>
    <s v="Mauvais"/>
    <s v="  Pas de Retransmission des trames HDLC"/>
    <m/>
    <s v="Nassim NAJIM"/>
    <m/>
    <m/>
    <m/>
    <m/>
    <m/>
    <m/>
    <m/>
  </r>
  <r>
    <n v="1124"/>
    <x v="0"/>
    <x v="375"/>
    <d v="1899-12-30T15:27:44"/>
    <n v="2037"/>
    <x v="10"/>
    <x v="0"/>
    <n v="1056"/>
    <n v="35214500045217"/>
    <s v="Tanger/Casa"/>
    <n v="109.495"/>
    <x v="1"/>
    <s v="N2"/>
    <x v="0"/>
    <s v="Selon notre analyse, nous avons constaté que le HO est non finalisé entre 320 et 321 ,est conditions radio étaient mauvaises avant la déconnexion. La requete de deconnexion a ete envoyé par le RBC avec retransmission des trames HDLC,l'ecart de la rame est mauvais"/>
    <s v="Les derniers résultats de la vérification chaine antennaire conformes et Mauvaise qualité de signale_x000a_Zone sous surveillence par le NOC"/>
    <x v="2"/>
    <s v="Zone sous surveillence par le NOC/En attente de mise en place des tiroires filtrés "/>
    <s v="HO non finalisé entre 320 et 321 "/>
    <s v="dl Rxqual=7"/>
    <s v="dl rx level= -63"/>
    <s v="NOK"/>
    <s v="OK"/>
    <s v="Mauvais"/>
    <s v="  Retransmission des trames HDLC*5"/>
    <m/>
    <s v="Nassim NAJIM"/>
    <m/>
    <m/>
    <m/>
    <m/>
    <m/>
    <m/>
    <m/>
  </r>
  <r>
    <n v="1125"/>
    <x v="0"/>
    <x v="376"/>
    <d v="1899-12-30T16:05:17"/>
    <n v="2037"/>
    <x v="2"/>
    <x v="0"/>
    <n v="7217"/>
    <n v="35214500045735"/>
    <s v="Tanger/Casa"/>
    <n v="6.13"/>
    <x v="2"/>
    <s v="N2"/>
    <x v="1"/>
    <s v="Selon notre analyse, nous avons constaté que le HO est Non finalisé entre 202 et 303 , est conditions radio étaient mauvaises avant la déconnexion. La requete de deconnexion a ete envoyé par le bord avec retransmission des trames HDLC,l'ecart de la rame est mauvais, 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6"/>
    <s v="NOK"/>
    <s v="OK"/>
    <s v="Mauvais"/>
    <s v="  Retransmission des trames HDLC*5"/>
    <m/>
    <s v="SGHAYER Achraf"/>
    <m/>
    <m/>
    <m/>
    <m/>
    <m/>
    <m/>
    <m/>
  </r>
  <r>
    <n v="1126"/>
    <x v="0"/>
    <x v="376"/>
    <d v="1899-12-30T21:05:54"/>
    <n v="2061"/>
    <x v="2"/>
    <x v="1"/>
    <n v="7217"/>
    <n v="35214500005339"/>
    <s v="Casa/Tanger"/>
    <n v="6.13"/>
    <x v="2"/>
    <s v="N2"/>
    <x v="1"/>
    <s v="Selon notre analyse, nous avons constaté que le HO est Non finalisé entre 301 et 203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301 et 203 (saute cellule )"/>
    <s v="dl Rxqual=7"/>
    <s v="dl rx level= -49"/>
    <s v="NOK"/>
    <s v="OK"/>
    <s v="Mauvais"/>
    <s v="  Retransmission des trames HDLC*5"/>
    <m/>
    <s v="ELHAJOUIA Achraf"/>
    <m/>
    <m/>
    <m/>
    <m/>
    <m/>
    <m/>
    <m/>
  </r>
  <r>
    <n v="1127"/>
    <x v="0"/>
    <x v="377"/>
    <d v="1899-12-30T06:38:31"/>
    <n v="2001"/>
    <x v="4"/>
    <x v="0"/>
    <n v="1058"/>
    <n v="35214500004427"/>
    <s v="Tanger/Casa"/>
    <n v="153.68600000000001"/>
    <x v="18"/>
    <s v="N2"/>
    <x v="0"/>
    <s v="Selon notre analyse, nous avons constaté que le HO est non finalisé entre 206 et 207 ,est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206 et 207 "/>
    <s v="dl Rxqual=1"/>
    <s v="dl rx level= -68"/>
    <s v="NOK"/>
    <s v="OK"/>
    <s v="Mauvais"/>
    <s v="  Retransmission des trames HDLC*5"/>
    <m/>
    <s v="ISMALI ALAOUI Hamza"/>
    <m/>
    <m/>
    <m/>
    <m/>
    <m/>
    <m/>
    <m/>
  </r>
  <r>
    <n v="1128"/>
    <x v="0"/>
    <x v="377"/>
    <d v="1899-12-30T12:05:35"/>
    <n v="2025"/>
    <x v="4"/>
    <x v="0"/>
    <n v="1058"/>
    <n v="35214500004427"/>
    <s v="Tanger/Casa"/>
    <n v="6.13"/>
    <x v="2"/>
    <s v="N2"/>
    <x v="1"/>
    <s v="Selon notre analyse, nous avons constaté que le HO est complet entre 202 et 303,est les conditions radio étaient bonnes avant la déconnexion. La requete de deconnexion a ete envoyé par le RBC avec retransmission des trames HDLC,l'ecart de la rame est mauvais,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5"/>
    <s v="OK"/>
    <s v="OK"/>
    <s v="Mauvais"/>
    <s v="  Retransmission des trames HDLC*5"/>
    <m/>
    <s v="Noura MOUSSAOUI"/>
    <m/>
    <m/>
    <m/>
    <m/>
    <m/>
    <m/>
    <m/>
  </r>
  <r>
    <n v="1129"/>
    <x v="0"/>
    <x v="377"/>
    <d v="1899-12-30T17:05:21"/>
    <n v="2045"/>
    <x v="10"/>
    <x v="0"/>
    <n v="1056"/>
    <n v="35214500045187"/>
    <s v="Tanger/Casa"/>
    <n v="6.13"/>
    <x v="2"/>
    <s v="N2"/>
    <x v="1"/>
    <s v="Selon notre analyse, nous avons constaté que le HO est non finalisé entre 202 et 203,est les conditions radio étaient bonnes avant la déconnexion. La requete de deconnexion a ete envoyé par le RBC avec retransmission des trames HDLC,l'ecart de la rame est mauvais,une fois le train s'est déconnecté il a continué a se glisser sans accélération jusqu'à arrêt complet."/>
    <s v="Les derniers résultats de la vérification chaine antennaire conformes _x000a_Présence d'interférences externes  au niveau du GSMR_02/03_x000a_Probléme GSMR_x000a_"/>
    <x v="0"/>
    <s v="En attente de mise en place des tiroires filtrés "/>
    <s v="HO non finalisé entre 202 et 203"/>
    <s v="dl Rxqual=7"/>
    <s v="dl rx level= -53"/>
    <s v="OK"/>
    <s v="OK"/>
    <s v="Mauvais"/>
    <s v="  Retransmission des trames HDLC*5"/>
    <m/>
    <s v="MAROUANI Otmane"/>
    <m/>
    <m/>
    <m/>
    <m/>
    <m/>
    <m/>
    <m/>
  </r>
  <r>
    <n v="1130"/>
    <x v="0"/>
    <x v="378"/>
    <d v="1899-12-30T10:04:53"/>
    <n v="2017"/>
    <x v="1"/>
    <x v="0"/>
    <n v="7195"/>
    <n v="35214500045671"/>
    <s v="Tanger/Casa"/>
    <n v="6.13"/>
    <x v="2"/>
    <s v="N2"/>
    <x v="0"/>
    <s v="Selon notre analyse, nous avons constaté que le HO est complet entre 202 et 203,est les conditions radio étaient mauvaises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8"/>
    <s v="OK"/>
    <s v="OK"/>
    <s v="Mauvais"/>
    <s v="  Retransmission des trames HDLC*5"/>
    <m/>
    <s v="Noura MOUSSAOUI"/>
    <m/>
    <m/>
    <m/>
    <m/>
    <m/>
    <m/>
    <m/>
  </r>
  <r>
    <n v="1131"/>
    <x v="0"/>
    <x v="379"/>
    <d v="1899-12-30T10:27:45"/>
    <n v="1013"/>
    <x v="3"/>
    <x v="1"/>
    <n v="1047"/>
    <n v="35214500038727"/>
    <s v="Casa/Tanger"/>
    <n v="185.47"/>
    <x v="19"/>
    <s v="N2"/>
    <x v="0"/>
    <s v="Selon notre analyse, nous avons constaté que le HO est non finalisé entre 332 et 331,est les conditions radio étaient bonnes avant la déconnexion. La requete de deconnexion a ete envoyé par le RBC avec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332 et 331"/>
    <s v="dl Rxqual=1"/>
    <s v="dl rx level= -72"/>
    <s v="NOK"/>
    <s v="OK"/>
    <s v="Mauvais"/>
    <s v="  Retransmission des trames HDLC*5"/>
    <m/>
    <s v="Noura MOUSSAOUI"/>
    <m/>
    <m/>
    <m/>
    <m/>
    <m/>
    <m/>
    <m/>
  </r>
  <r>
    <n v="1132"/>
    <x v="0"/>
    <x v="379"/>
    <d v="1899-12-30T17:05:02"/>
    <n v="2045"/>
    <x v="4"/>
    <x v="0"/>
    <n v="7208"/>
    <n v="35214500004427"/>
    <s v="Tanger/Casa"/>
    <n v="6.13"/>
    <x v="2"/>
    <s v="N2"/>
    <x v="0"/>
    <s v="Selon notre analyse, nous avons constaté que le HO est non finalisé entre 202 et 303,est les conditions radio étaient Mauvaise avant la déconnexion. La requete de deconnexion a ete envoyé par le bord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1"/>
    <s v="OK"/>
    <s v="OK"/>
    <s v="Mauvais"/>
    <s v="  Retransmission des trames HDLC*5"/>
    <m/>
    <s v="ELHAJOUIA Achraf"/>
    <m/>
    <m/>
    <m/>
    <m/>
    <m/>
    <m/>
    <m/>
  </r>
  <r>
    <n v="1133"/>
    <x v="0"/>
    <x v="380"/>
    <d v="1899-12-30T22:05:21"/>
    <n v="10081"/>
    <x v="8"/>
    <x v="0"/>
    <n v="1043"/>
    <n v="35214500045200"/>
    <s v="Tanger/Casa"/>
    <n v="6.13"/>
    <x v="2"/>
    <s v="N2"/>
    <x v="0"/>
    <s v="Selon notre analyse, nous avons constaté que le HO est non finalisé entre 202 et 303,est les conditions radio étaient Mauvaise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6"/>
    <s v="NOK"/>
    <s v="OK"/>
    <s v="Mauvais"/>
    <s v="  Retransmission des trames HDLC*5"/>
    <m/>
    <s v="LAGDEM Elmehdi"/>
    <m/>
    <m/>
    <m/>
    <m/>
    <m/>
    <m/>
    <m/>
  </r>
  <r>
    <n v="1134"/>
    <x v="0"/>
    <x v="381"/>
    <d v="1899-12-30T08:44:25"/>
    <n v="15061"/>
    <x v="0"/>
    <x v="1"/>
    <n v="1044"/>
    <n v="35214500045131"/>
    <s v="Casa/Tanger"/>
    <n v="202.125"/>
    <x v="5"/>
    <s v="N2"/>
    <x v="0"/>
    <s v="Selon notre analyse, nous avons constaté que le HO est Non finalisé entre 234 et 233 avec downlink quality ,est les conditions radio étaient Mauvaise avant la déconnexion. La requete de deconnexion a ete envoyé par le bord /pas de retransmission des trames HDLC,l'ecart de la rame est mauvais,"/>
    <s v="Les derniers résultats de la vérification chaine antennaire conformes et Mauvaise qualité de signale"/>
    <x v="2"/>
    <s v="Zone sous surveillence par le NOC/En attente de mise en place des tiroires filtrés "/>
    <s v="HO non finalisé entre 234 et 233"/>
    <s v=" -"/>
    <s v=" -"/>
    <s v="NOK"/>
    <s v="OK"/>
    <s v="Mauvais"/>
    <s v="  Pas de Retransmission des trames HDLC"/>
    <m/>
    <s v="ELHAJOUIA Achraf"/>
    <m/>
    <m/>
    <m/>
    <m/>
    <m/>
    <m/>
    <m/>
  </r>
  <r>
    <n v="1135"/>
    <x v="0"/>
    <x v="381"/>
    <d v="1899-12-30T16:05:34"/>
    <n v="2041"/>
    <x v="5"/>
    <x v="0"/>
    <n v="1025"/>
    <n v="35214500045073"/>
    <s v="Tanger/Casa"/>
    <n v="6.13"/>
    <x v="2"/>
    <s v="N2"/>
    <x v="0"/>
    <s v="Selon notre analyse, nous avons constaté que le HO est complet entre 202 et 303,est les conditions radio étaient Mauvaise avant la déconnexion. La requete de deconnexion a ete envoyé par le RBC /pas de retransmission des trames HDLC,l'ecart de la rame est mauvais,"/>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6"/>
    <s v="NOK"/>
    <s v="OK"/>
    <s v="Mauvais"/>
    <s v="  Pas de Retransmission des trames HDLC"/>
    <m/>
    <s v="Fahd OUSSALH"/>
    <m/>
    <m/>
    <m/>
    <m/>
    <m/>
    <m/>
    <m/>
  </r>
  <r>
    <n v="1136"/>
    <x v="0"/>
    <x v="382"/>
    <d v="1899-12-30T08:04:51"/>
    <n v="2009"/>
    <x v="1"/>
    <x v="0"/>
    <n v="7194"/>
    <n v="35214500047160"/>
    <s v="Tanger/Casa"/>
    <n v="6.13"/>
    <x v="2"/>
    <s v="N2"/>
    <x v="0"/>
    <s v="Selon notre analyse, nous avons constaté que le HO est Non finalisé entre 302 et 201 ,est les conditions radio étaient Mauvaise avant la déconnexion. La requete de deconnexion a ete envoyé par le RBC  /pas de retransmission des trames HDLC,l'ecart de la rame est mauvais,"/>
    <s v="Les derniers résultats de la vérification chaine antennaire conformes _x000a_Présence d'interférences externes  au niveau du GSMR_02/03_x000a_Probléme GSMR"/>
    <x v="0"/>
    <s v="En attente de mise en place des tiroires filtrés "/>
    <s v="HO Non finalisé entre 302 et 201"/>
    <s v="dl Rxqual=7"/>
    <s v="dl rx level= -54"/>
    <s v="NOK"/>
    <s v="OK"/>
    <s v="Mauvais"/>
    <s v="  Pas de Retransmission des trames HDLC"/>
    <m/>
    <s v="ELHAJOUIA Achraf"/>
    <m/>
    <m/>
    <m/>
    <m/>
    <m/>
    <m/>
    <m/>
  </r>
  <r>
    <n v="1137"/>
    <x v="0"/>
    <x v="382"/>
    <d v="1899-12-30T14:03:00"/>
    <n v="1025"/>
    <x v="10"/>
    <x v="1"/>
    <n v="1060"/>
    <n v="35214500045449"/>
    <s v="Tanger/Casa"/>
    <n v="6.13"/>
    <x v="2"/>
    <s v="N2"/>
    <x v="1"/>
    <s v="Selon notre analyse, nous avons constaté que le HO est complet 203 et 202 ,est les conditions radio étaient Mauvaise avant la déconnexion. La requete de deconnexion a ete envoyé par le Bord ,"/>
    <s v="Les derniers résultats de la vérification chaine antennaire conformes _x000a_Présence d'interférences externes  au niveau du GSMR_02/03_x000a_Probléme GSMR"/>
    <x v="0"/>
    <s v="En attente de mise en place des tiroires filtrés "/>
    <s v="HO complet entre 203 et 202"/>
    <s v="dl Rxqual=5"/>
    <s v="dl rx level= -51"/>
    <m/>
    <m/>
    <m/>
    <m/>
    <m/>
    <s v="Noura MOUSSAOUI"/>
    <m/>
    <m/>
    <m/>
    <m/>
    <m/>
    <m/>
    <m/>
  </r>
  <r>
    <n v="1138"/>
    <x v="0"/>
    <x v="382"/>
    <d v="1899-12-30T17:05:00"/>
    <n v="2045"/>
    <x v="0"/>
    <x v="0"/>
    <n v="1037"/>
    <n v="35214500045461"/>
    <s v="Tanger/Casa"/>
    <n v="6.13"/>
    <x v="2"/>
    <s v="N2"/>
    <x v="0"/>
    <s v="Selon notre analyse, nous avons constaté que le HO est Non finalisé entre 202 et 303 ,est les conditions radio étaient Mauvaise avant la déconnexion. La requete de deconnexion a ete envoyé par le RBC,"/>
    <s v="Les derniers résultats de la vérification chaine antennaire conformes _x000a_Présence d'interférences externes  au niveau du GSMR_02/03_x000a_Probléme GSMR"/>
    <x v="0"/>
    <s v="En attente de mise en place des tiroires filtrés "/>
    <s v="HO non finalisé entre 202 et 303"/>
    <s v="dl Rxqual=7"/>
    <s v="dl rx level= -51"/>
    <m/>
    <m/>
    <m/>
    <m/>
    <m/>
    <s v="Fahd OUSSALH"/>
    <m/>
    <m/>
    <m/>
    <m/>
    <m/>
    <m/>
    <m/>
  </r>
  <r>
    <n v="1139"/>
    <x v="0"/>
    <x v="383"/>
    <d v="1899-12-30T22:05:27"/>
    <n v="10081"/>
    <x v="0"/>
    <x v="0"/>
    <n v="1025"/>
    <n v="35214500045073"/>
    <s v="Tanger/Casa"/>
    <n v="6.13"/>
    <x v="2"/>
    <s v="N2"/>
    <x v="0"/>
    <s v="Selon notre analyse, nous avons constaté que le HO est Non finalisé entre 202 et 303 ,est les conditions radio étaient Mauvaise avant la déconnexion. La requete de deconnexion a ete envoyé par le RBC  avec retransmission des trames HDLC,l'ecart de la rame est mauvais,"/>
    <s v="Les derniers résultats de la vérification chaine antennaire conformes _x000a_Présence d'interférences externes  au niveau du GSMR_02/03_x000a_Probléme GSMR"/>
    <x v="0"/>
    <s v="En attente de mise en place des tiroires filtrés "/>
    <s v="HO non finalisé entre 202 et 303"/>
    <s v="dl Rxqual=6"/>
    <s v="dl rx level= -64"/>
    <s v="OK"/>
    <s v="OK"/>
    <s v="Mauvais"/>
    <s v="  Retransmission des trames HDLC*5"/>
    <m/>
    <s v="Saad Elhabib"/>
    <m/>
    <m/>
    <m/>
    <m/>
    <m/>
    <m/>
    <m/>
  </r>
  <r>
    <n v="1140"/>
    <x v="0"/>
    <x v="384"/>
    <d v="1899-12-30T08:35:24"/>
    <n v="1005"/>
    <x v="8"/>
    <x v="1"/>
    <n v="1031"/>
    <n v="35214500045491"/>
    <s v="Casa/Tanger"/>
    <n v="146.738"/>
    <x v="3"/>
    <s v="N2"/>
    <x v="0"/>
    <s v="Selon notre analyse, nous avons constaté que le HO est Non finalisé entre 326 et 325 , les conditions radio étaient bonnes avant la déconnexion. La requete de deconnexion a ete envoyé par le RBC  avec de retransmission des trames HDLC,l'ecart de la rame est mauvais,"/>
    <s v="Les derniers résultats de la vérification chaine antennaire conformes et Bon qualité de signale_x000a_Zone sous surveillence par le NOC"/>
    <x v="2"/>
    <s v="Zone sous surveillence par le NOC/En attente de mise en place des tiroires filtrés "/>
    <s v="HO non finalisé entre 326 et 325"/>
    <s v="dl Rxqual=0"/>
    <s v="dl rx level= -67"/>
    <s v="NOK"/>
    <s v="OK"/>
    <s v="Mauvais"/>
    <s v="  Retransmission des trames HDLC*5"/>
    <m/>
    <s v="ELHAJOUIA Achraf"/>
    <m/>
    <m/>
    <m/>
    <m/>
    <m/>
    <m/>
    <m/>
  </r>
  <r>
    <n v="1141"/>
    <x v="0"/>
    <x v="385"/>
    <s v=" 12:05:20"/>
    <n v="2025"/>
    <x v="8"/>
    <x v="0"/>
    <n v="1043"/>
    <n v="35214500045491"/>
    <s v="Tanger/Casa"/>
    <n v="6.13"/>
    <x v="2"/>
    <s v="N2"/>
    <x v="1"/>
    <s v="Selon notre analyse, nous avons constaté que le HO est complet entre 202 et 303 avec downlink quality,La requete de deconnexion a ete envoyé par le RBC suite au retransmission des trames HDLC "/>
    <s v="Les derniers résultats de la vérification chaine antennaire conformes _x000a_Présence d'interférences externes  au niveau du GSMR_02/03_x000a_Probléme GSMR"/>
    <x v="0"/>
    <s v="En attente de mise en place des tiroires filtrés "/>
    <s v="HO  complet entre 202 et 303 "/>
    <s v=" -"/>
    <s v=" -"/>
    <s v="NOK"/>
    <s v="OK"/>
    <s v="Mauvais"/>
    <s v="  Retransmission des trames HDLC*5"/>
    <m/>
    <s v="Noura MOUSSAOUI"/>
    <m/>
    <m/>
    <m/>
    <m/>
    <m/>
    <m/>
    <m/>
  </r>
  <r>
    <n v="1142"/>
    <x v="0"/>
    <x v="385"/>
    <d v="1899-12-30T22:35:12"/>
    <n v="10081"/>
    <x v="0"/>
    <x v="0"/>
    <n v="1037"/>
    <n v="35214500045488"/>
    <s v="Tanger/Casa"/>
    <n v="145.6"/>
    <x v="3"/>
    <s v="N2"/>
    <x v="0"/>
    <s v="Selon notre analyse, nous avons constaté que le HO est complet entre 225 et 226,La requete de deconnexion a ete envoyé par le RBC sans retransmission des trames HDLC "/>
    <s v="Les derniers résultats de la vérification chaine antennaire conformes_x000a_Pas de retransmission des trames HDLC_x000a_En attente de pousser les analyses coté RBC"/>
    <x v="3"/>
    <s v="En attente de pousser les analyses coté RBC"/>
    <s v="HO  complet entre 225 et 226"/>
    <s v=" -"/>
    <s v=" -"/>
    <s v="OK"/>
    <s v="OK"/>
    <s v="Mauvais"/>
    <s v="  Pas de Retransmission des trames HDLC"/>
    <m/>
    <s v="Saad Elhabib"/>
    <m/>
    <m/>
    <m/>
    <m/>
    <m/>
    <m/>
    <m/>
  </r>
  <r>
    <n v="1143"/>
    <x v="0"/>
    <x v="386"/>
    <d v="1899-12-30T11:39:26"/>
    <n v="1017"/>
    <x v="3"/>
    <x v="1"/>
    <n v="1047"/>
    <n v="35214500038730"/>
    <s v="Casa/Tanger"/>
    <n v="127.815"/>
    <x v="6"/>
    <s v="N2"/>
    <x v="0"/>
    <s v="Selon notre analyse, nous avons constaté que le HO est Non finalisé entre 223 et 222,est les conditions radio étaient Mauvaises avant la déconnexion. La requete de deconnexion a ete envoyé par le RBC  avec retransmission des trames HDLC,l'ecart de la rame est mauvais,"/>
    <s v="Les derniers résultats de la vérification chaine antennaire conformes et Mauvaise qualité de signale_x000a_Zone sous surveillence par le NOC"/>
    <x v="1"/>
    <s v="Zone sous surveillence par le NOC"/>
    <s v="HO non finalisé entre 223 et 222"/>
    <s v="dl Rxqual=7"/>
    <s v="dl rx level= -84"/>
    <s v="OK"/>
    <s v="OK"/>
    <s v="Mauvais"/>
    <s v="  Retransmission des trames HDLC*5"/>
    <m/>
    <s v="Noura MOUSSAOUI"/>
    <m/>
    <m/>
    <m/>
    <m/>
    <m/>
    <m/>
    <m/>
  </r>
  <r>
    <n v="1144"/>
    <x v="0"/>
    <x v="387"/>
    <d v="1899-12-30T17:05:39"/>
    <n v="2045"/>
    <x v="10"/>
    <x v="0"/>
    <n v="1056"/>
    <n v="35214500045217"/>
    <s v="Tanger/Casa"/>
    <n v="6.13"/>
    <x v="2"/>
    <s v="N2"/>
    <x v="0"/>
    <s v="Selon notre analyse, nous avons constaté que le HO est complet entre 202 et 303,La requete de deconnexion a ete envoyé par le RBC avec retransmission des trames HDLC "/>
    <s v="Les derniers résultats de la vérification chaine antennaire conformes _x000a_Présence d'interférences externes  au niveau du GSMR_02/03_x000a_Probléme GSMR"/>
    <x v="0"/>
    <s v="En attente de mise en place des tiroires filtrés "/>
    <s v="HO  complet entre 202 et 303 "/>
    <s v="dl Rxqual=7"/>
    <s v="dl rx level= -59"/>
    <s v="NOK"/>
    <s v="OK"/>
    <s v="Mauvais"/>
    <s v=" Retransmission des trames HDLC*5"/>
    <m/>
    <s v="HARIRI Bahaeddine"/>
    <m/>
    <m/>
    <m/>
    <m/>
    <m/>
    <m/>
    <m/>
  </r>
  <r>
    <n v="1145"/>
    <x v="0"/>
    <x v="388"/>
    <d v="1899-12-30T10:17:06"/>
    <n v="2017"/>
    <x v="1"/>
    <x v="0"/>
    <n v="7194"/>
    <n v="35214500047160"/>
    <s v="Tanger/Casa"/>
    <n v="53.540999999999997"/>
    <x v="29"/>
    <s v="N2"/>
    <x v="0"/>
    <s v="Selon notre analyse, nous avons constaté que le HO est non finalisé entre 209 et 210, les conditions radio étaient bonnes avant la déconnexion,La requete de deconnexion a ete envoyé par le RBC avec retransmission des trames HDLC "/>
    <s v="Les derniers résultats de la vérification chaine antennaire conformes et Bon qualité de signale_x000a_Zone sous surveillence par le NOC"/>
    <x v="2"/>
    <s v="Zone sous surveillence par le NOC/En attente de mise en place des tiroires filtrés "/>
    <s v="HO non finalisé entre 209 et 210"/>
    <s v="dl Rxqual=1"/>
    <s v="dl rx level= -63"/>
    <s v="NOK"/>
    <s v="OK"/>
    <s v="Mauvais"/>
    <s v=" Retransmission des trames HDLC*5"/>
    <m/>
    <s v="Noura MOUSSAOUI"/>
    <m/>
    <m/>
    <m/>
    <m/>
    <m/>
    <m/>
    <m/>
  </r>
  <r>
    <n v="1146"/>
    <x v="0"/>
    <x v="389"/>
    <d v="1899-12-30T14:10:09"/>
    <n v="2033"/>
    <x v="2"/>
    <x v="0"/>
    <n v="7217"/>
    <n v="35214500044557"/>
    <s v="Tanger/Casa"/>
    <n v="21.55"/>
    <x v="20"/>
    <s v="N2"/>
    <x v="0"/>
    <s v="Selon notre analyse, nous avons constaté que le HO est complet entre 204 et 205, les conditions radio étaient bonnes avant la déconnexion,La requete de deconnexion a ete envoyé par le RBC avec retransmission des trames HDLC "/>
    <s v="Les derniers résultats de la vérification chaine antennaire conformes et Bon qualité de signale"/>
    <x v="0"/>
    <s v="En attente de mise en place des tiroires filtrés "/>
    <s v="HO  complet entre 204 et 205"/>
    <s v="dl Rxqual=0"/>
    <s v="dl rx level= -48"/>
    <s v="OK"/>
    <s v="OK"/>
    <s v="Mauvais"/>
    <s v=" Retransmission des trames HDLC*5"/>
    <m/>
    <s v="Noura MOUSSAOUI"/>
    <m/>
    <m/>
    <m/>
    <m/>
    <m/>
    <m/>
    <m/>
  </r>
  <r>
    <n v="1147"/>
    <x v="0"/>
    <x v="389"/>
    <d v="1899-12-30T14:14:13"/>
    <n v="2033"/>
    <x v="2"/>
    <x v="0"/>
    <n v="7218"/>
    <n v="35214500044557"/>
    <s v="Tanger/Casa"/>
    <n v="35.259"/>
    <x v="25"/>
    <s v="N2"/>
    <x v="0"/>
    <s v="Selon notre analyse, nous avons constaté que le bord s'est accroché a la cellule 595 de la ligne Sidi Kacem- Tanger. HO finalisé entre 595 et 596 avec downlink quality, les conditions radio étaitent mauvaises avant la déconnexion,La requete de deconnexion a ete envoyé par le RBC avec retransmission des trames HDLC "/>
    <s v="Les derniers résultats de la vérification chaine antennaire conformes et Bon qualité de signale_x000a_Zone sous surveillence par le NOC"/>
    <x v="2"/>
    <s v="Zone sous surveillence par le NOC/En attente de mise en place des tiroires filtrés "/>
    <s v="HO  complet entre 595 et 596"/>
    <s v="dl Rxqual=7"/>
    <s v="dl rx level= -76"/>
    <s v="OK"/>
    <s v="OK"/>
    <s v="Mauvais"/>
    <s v=" Retransmission des trames HDLC*5"/>
    <m/>
    <s v="Noura MOUSSAOUI"/>
    <m/>
    <m/>
    <m/>
    <m/>
    <m/>
    <m/>
    <m/>
  </r>
  <r>
    <n v="1148"/>
    <x v="0"/>
    <x v="389"/>
    <d v="1899-12-30T23:30:38"/>
    <n v="10091"/>
    <x v="0"/>
    <x v="1"/>
    <n v="1044"/>
    <n v="35214500045131"/>
    <s v="Casa/Tanger"/>
    <n v="170.298"/>
    <x v="27"/>
    <s v="N2"/>
    <x v="0"/>
    <s v="Selon notre analyse, nous avons constaté que le HO est Complet entre 230 et 329, les conditions radio étaient bonnes avant la déconnexion,La requete de deconnexion a ete envoyé par le RBC avec retransmission des trames HDLC "/>
    <s v="Les derniers résultats de la vérification chaine antennaire conformes"/>
    <x v="0"/>
    <s v="En attente de mise en place des tiroires filtrés "/>
    <s v="HO  complet entre 230 et 329"/>
    <s v="dl Rxqual=0"/>
    <s v="dl rx level= -48"/>
    <s v="OK"/>
    <s v="OK"/>
    <s v="Mauvais"/>
    <s v=" Retransmission des trames HDLC*5"/>
    <m/>
    <s v="ELHAJOUIA Achraf"/>
    <m/>
    <m/>
    <m/>
    <m/>
    <m/>
    <m/>
    <m/>
  </r>
  <r>
    <n v="1149"/>
    <x v="0"/>
    <x v="390"/>
    <s v=" 10:05:14"/>
    <n v="2017"/>
    <x v="2"/>
    <x v="0"/>
    <n v="7218"/>
    <n v="35214500045735"/>
    <s v="Tanger/Casa"/>
    <n v="6.13"/>
    <x v="2"/>
    <s v="N2"/>
    <x v="0"/>
    <s v="Selon notre analyse, nous avons constaté que le HO est complet entre 202 et 303 avec downlink quality,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202 et 303 "/>
    <s v="dl Rxqual=5"/>
    <s v="dl rx level= -66"/>
    <s v="OK"/>
    <s v="OK"/>
    <s v="Mauvais"/>
    <s v=" Retransmission des trames HDLC*5"/>
    <m/>
    <s v="Noura MOUSSAOUI"/>
    <m/>
    <m/>
    <m/>
    <m/>
    <m/>
    <m/>
    <m/>
  </r>
  <r>
    <n v="1150"/>
    <x v="0"/>
    <x v="391"/>
    <s v=" 14:04:50"/>
    <n v="2033"/>
    <x v="0"/>
    <x v="0"/>
    <n v="7218"/>
    <n v="35214500045461"/>
    <s v="Tanger/Casa"/>
    <n v="6.13"/>
    <x v="2"/>
    <s v="N2"/>
    <x v="0"/>
    <s v="Selon notre analyse, nous avons constaté que le HO est non finalisé entre 202 et 203 ,les conditions radio étaient bonn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203"/>
    <s v="dl Rxqual=7"/>
    <s v="dl rx level= -54"/>
    <s v="OK"/>
    <s v="OK"/>
    <s v="Mauvais"/>
    <s v=" Retransmission des trames HDLC*5"/>
    <m/>
    <s v="Noura MOUSSAOUI"/>
    <m/>
    <m/>
    <m/>
    <m/>
    <m/>
    <m/>
    <m/>
  </r>
  <r>
    <n v="1151"/>
    <x v="0"/>
    <x v="392"/>
    <s v=" 14:06:04 "/>
    <n v="2033"/>
    <x v="4"/>
    <x v="0"/>
    <n v="7208"/>
    <n v="35214500004427"/>
    <s v="Tanger/Casa"/>
    <n v="6.13"/>
    <x v="2"/>
    <s v="N2"/>
    <x v="1"/>
    <s v="Selon notre analyse, nous avons constaté que le HO est non finalisé entre 202 et 2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5"/>
    <s v="dl rx level= -51"/>
    <s v="OK"/>
    <s v="OK"/>
    <s v="Mauvais"/>
    <s v=" Retransmission des trames HDLC*5"/>
    <m/>
    <s v="ISMALI ALAOUI Hamza"/>
    <m/>
    <m/>
    <m/>
    <m/>
    <m/>
    <m/>
    <m/>
  </r>
  <r>
    <n v="1152"/>
    <x v="0"/>
    <x v="392"/>
    <s v=" 15:05:24"/>
    <n v="2037"/>
    <x v="5"/>
    <x v="0"/>
    <n v="1024"/>
    <n v="35214500045122"/>
    <s v="Tanger/Casa"/>
    <n v="6.13"/>
    <x v="2"/>
    <s v="N2"/>
    <x v="0"/>
    <s v="Selon notre analyse, nous avons constaté que le HO est non finalisé entre 202 et 301 ,les conditions radio étaient bonn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1"/>
    <s v="dl Rxqual=3"/>
    <s v="dl rx level= -50"/>
    <s v="OK"/>
    <s v="OK"/>
    <s v="Mauvais"/>
    <s v=" Retransmission des trames HDLC*5"/>
    <m/>
    <s v="ELHAJOUIA Achraf"/>
    <m/>
    <m/>
    <m/>
    <m/>
    <m/>
    <m/>
    <m/>
  </r>
  <r>
    <n v="1153"/>
    <x v="0"/>
    <x v="392"/>
    <s v=" 19:48:20"/>
    <n v="1046"/>
    <x v="4"/>
    <x v="1"/>
    <n v="1033"/>
    <n v="35214500040707"/>
    <s v="Tanger/Casa"/>
    <n v="7.3209999999999997"/>
    <x v="2"/>
    <s v="N2"/>
    <x v="0"/>
    <s v="Selon notre analyse, nous avons constaté que le HO est non finalisé entre 202 et 2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203"/>
    <s v="dl Rxqual=5"/>
    <s v="dl rx level= -51"/>
    <s v="NOK"/>
    <s v="OK"/>
    <s v="Mauvais"/>
    <s v=" Retransmission des trames HDLC*5"/>
    <m/>
    <s v="ELHAJOUIA Achraf"/>
    <m/>
    <m/>
    <m/>
    <m/>
    <m/>
    <m/>
    <m/>
  </r>
  <r>
    <n v="1154"/>
    <x v="0"/>
    <x v="393"/>
    <s v=" 14:05:24  "/>
    <n v="2033"/>
    <x v="4"/>
    <x v="0"/>
    <n v="7208"/>
    <n v="35214500004427"/>
    <s v="Tanger/Casa"/>
    <n v="6.13"/>
    <x v="2"/>
    <s v="N2"/>
    <x v="1"/>
    <s v="Selon notre analyse, nous avons constaté que le HO est non finalisé entre 302 et 203 ,les conditions radio étaient Mauvaise avant la déconnexion,La requete de deconnexion a ete envoyé par le Bord sans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2 et 203"/>
    <s v="dl Rxqual=6"/>
    <s v="dl rx level= -74"/>
    <s v="OK"/>
    <s v="OK"/>
    <s v="Mauvais"/>
    <s v="  Pas de Retransmission des trames HDLC"/>
    <m/>
    <s v="ISMALI ALAOUI Hamza"/>
    <m/>
    <m/>
    <m/>
    <m/>
    <m/>
    <m/>
    <m/>
  </r>
  <r>
    <n v="1155"/>
    <x v="0"/>
    <x v="394"/>
    <s v=" 21:08:04"/>
    <n v="2061"/>
    <x v="2"/>
    <x v="0"/>
    <n v="7217"/>
    <n v="35214500044557"/>
    <s v="Tanger/Casa"/>
    <n v="4.7069999999999999"/>
    <x v="2"/>
    <s v="N2"/>
    <x v="0"/>
    <s v="Selon notre analyse, nous avons constaté que le HO est non finalisé entre 202 et 2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203"/>
    <s v="dl Rxqual=7"/>
    <s v="dl rx level= -59"/>
    <s v="NOK"/>
    <s v="OK"/>
    <s v="Mauvais"/>
    <s v=" Retransmission des trames HDLC*5"/>
    <m/>
    <s v="HARIRI Bahaeddine"/>
    <m/>
    <m/>
    <m/>
    <m/>
    <m/>
    <m/>
    <m/>
  </r>
  <r>
    <n v="1156"/>
    <x v="0"/>
    <x v="395"/>
    <d v="1899-12-30T17:06:04"/>
    <n v="1037"/>
    <x v="10"/>
    <x v="1"/>
    <n v="1028"/>
    <n v="35214500045268"/>
    <s v="Casa/Tanger"/>
    <n v="7.3209999999999997"/>
    <x v="2"/>
    <s v="N2"/>
    <x v="0"/>
    <s v="Selon notre analyse, nous avons constaté que le HO est non finalisé entre 303 et 202 ,les conditions radio étaient Bonne avant la déconnexion,La requete de deconnexion a ete envoyé par le bord sans de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3 et 202"/>
    <s v="dl Rxqual=0"/>
    <s v="dl rx level= -64"/>
    <s v="NOK"/>
    <s v="OK"/>
    <s v="Mauvais"/>
    <s v="  Pas de Retransmission des trames HDLC"/>
    <m/>
    <s v="Fahd OUSSALH"/>
    <m/>
    <m/>
    <m/>
    <m/>
    <m/>
    <m/>
    <m/>
  </r>
  <r>
    <n v="1157"/>
    <x v="0"/>
    <x v="395"/>
    <d v="1899-12-30T23:49:23"/>
    <n v="10082"/>
    <x v="10"/>
    <x v="1"/>
    <n v="1029"/>
    <n v="35214500045449"/>
    <s v="Casa/Tanger"/>
    <n v="79.281999999999996"/>
    <x v="11"/>
    <s v="N2"/>
    <x v="0"/>
    <s v="Selon notre analyse, nous avons constaté que le HO est non finalisé entre 315 et 314 ,les conditions radio étaient Bonnes avant la déconnexion,La requete de deconnexion a ete envoyé par le RBC  suite au retransmission des trames HDLC "/>
    <s v="Les derniers résultats de la vérification chaine antennaire conformes et Bon qualité de signale_x000a_Zone sous surveillence par le NOC"/>
    <x v="2"/>
    <s v="Zone sous surveillence par le NOC/En attente de mise en place des tiroires filtrés "/>
    <s v="HO non finalisé entre 315 et 314"/>
    <s v="dl Rxqual=1"/>
    <s v="dl rx level= -64"/>
    <s v="NOK"/>
    <s v="OK"/>
    <s v="Mauvais"/>
    <s v=" Retransmission des trames HDLC*5"/>
    <m/>
    <s v="HARIRI Bahaeddine"/>
    <m/>
    <m/>
    <m/>
    <m/>
    <m/>
    <m/>
    <m/>
  </r>
  <r>
    <n v="1158"/>
    <x v="0"/>
    <x v="396"/>
    <d v="1899-12-30T11:05:13"/>
    <n v="2021"/>
    <x v="2"/>
    <x v="0"/>
    <n v="7218"/>
    <n v="35214500045735"/>
    <s v="Tanger/Casa"/>
    <n v="6.13"/>
    <x v="2"/>
    <s v="N2"/>
    <x v="0"/>
    <s v="Selon notre analyse, nous avons constaté que le HO est Complet entre 202 et 203 avec downlink quality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202 et 203"/>
    <s v="dl Rxqual=4"/>
    <s v="dl rx level= -70"/>
    <s v="OK"/>
    <s v="OK"/>
    <s v="Mauvais"/>
    <s v=" Retransmission des trames HDLC*5"/>
    <m/>
    <s v="ELHAJOUIA Achraf"/>
    <m/>
    <m/>
    <m/>
    <m/>
    <m/>
    <m/>
    <m/>
  </r>
  <r>
    <n v="1159"/>
    <x v="0"/>
    <x v="396"/>
    <d v="1899-12-30T17:05:37"/>
    <n v="2045"/>
    <x v="2"/>
    <x v="0"/>
    <n v="7218"/>
    <n v="35214500045735"/>
    <s v="Tanger/Casa"/>
    <n v="6.13"/>
    <x v="2"/>
    <s v="N2"/>
    <x v="0"/>
    <s v="Selon notre analyse, nous avons constaté que le HO est Complet entre 202 et 203 avec downlink quality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202 et 203"/>
    <s v="dl Rxqual=7"/>
    <s v="dl rx level= -59"/>
    <s v="NOK"/>
    <s v="OK"/>
    <s v="Mauvais"/>
    <s v=" Retransmission des trames HDLC*5"/>
    <m/>
    <s v="Fahd OUSSALH"/>
    <m/>
    <m/>
    <m/>
    <m/>
    <m/>
    <m/>
    <m/>
  </r>
  <r>
    <n v="1160"/>
    <x v="0"/>
    <x v="396"/>
    <d v="1899-12-30T19:05:42"/>
    <n v="2053"/>
    <x v="10"/>
    <x v="0"/>
    <n v="1056"/>
    <n v="35214500045217"/>
    <s v="Tanger/Casa"/>
    <n v="6.13"/>
    <x v="2"/>
    <s v="N2"/>
    <x v="1"/>
    <s v="Selon notre analyse, nous avons constaté que le HO est non finalisé entre 301 et 203 avec downlink quality ,les conditions radio étaient bonn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1 et 202"/>
    <s v="dl Rxqual=3"/>
    <s v="dl rx level= -53"/>
    <s v="NOK"/>
    <s v="OK"/>
    <s v="Mauvais"/>
    <s v=" Retransmission des trames HDLC*5"/>
    <m/>
    <s v="Oussama ZEHOUANI"/>
    <m/>
    <m/>
    <m/>
    <m/>
    <m/>
    <m/>
    <m/>
  </r>
  <r>
    <n v="1161"/>
    <x v="0"/>
    <x v="397"/>
    <d v="1899-12-30T14:04:08"/>
    <n v="1025"/>
    <x v="9"/>
    <x v="1"/>
    <n v="1035"/>
    <n v="35214500046011"/>
    <s v="Casa/Tanger"/>
    <n v="7.32"/>
    <x v="2"/>
    <s v="N2"/>
    <x v="0"/>
    <s v="Selon notre analyse, nous avons constaté que le HO est Complet entre 302 et 203 avec downlink quality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302 et 203"/>
    <s v="dl Rxqual=5"/>
    <s v="dl rx level= -80"/>
    <s v="OK"/>
    <s v="OK"/>
    <s v="Mauvais"/>
    <s v=" Retransmission des trames HDLC*5"/>
    <m/>
    <s v="Noura MOUSSAOUI"/>
    <m/>
    <m/>
    <m/>
    <m/>
    <m/>
    <m/>
    <m/>
  </r>
  <r>
    <n v="1162"/>
    <x v="0"/>
    <x v="398"/>
    <d v="1899-12-30T16:05:09"/>
    <n v="2041"/>
    <x v="2"/>
    <x v="0"/>
    <n v="7218"/>
    <n v="35214500045735"/>
    <s v="Tanger/Casa"/>
    <n v="6.13"/>
    <x v="2"/>
    <s v="N2"/>
    <x v="0"/>
    <s v="Selon notre analyse, nous avons constaté que le HO est Complet entre 302 et 203 avec downlink quality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302 et 203"/>
    <s v="dl Rxqual=7"/>
    <s v="dl rx level= -62"/>
    <s v="OK"/>
    <s v="OK"/>
    <s v="Mauvais"/>
    <s v=" Retransmission des trames HDLC*5"/>
    <m/>
    <s v="HARIRI Bahaeddine"/>
    <m/>
    <m/>
    <m/>
    <m/>
    <m/>
    <m/>
    <m/>
  </r>
  <r>
    <n v="1163"/>
    <x v="0"/>
    <x v="398"/>
    <d v="1899-12-30T21:05:05"/>
    <n v="2061"/>
    <x v="4"/>
    <x v="0"/>
    <n v="7208"/>
    <n v="35214500004427"/>
    <s v="Tanger/Casa"/>
    <n v="6.13"/>
    <x v="2"/>
    <s v="N2"/>
    <x v="0"/>
    <s v="Selon notre analyse, nous avons constaté que le HO est non finalisé entre 202 et 303 avec downlink quality ,les conditions radio étaient Mauvaise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2"/>
    <s v="NOK"/>
    <s v="NOK"/>
    <s v="Mauvais"/>
    <s v=" Retransmission des trames HDLC*5"/>
    <m/>
    <s v="Saad Elhabib"/>
    <m/>
    <m/>
    <m/>
    <m/>
    <m/>
    <m/>
    <m/>
  </r>
  <r>
    <n v="1164"/>
    <x v="0"/>
    <x v="399"/>
    <d v="1899-12-30T18:28:00"/>
    <n v="2049"/>
    <x v="0"/>
    <x v="0"/>
    <n v="1037"/>
    <n v="35214500045461"/>
    <s v="Tanger/Casa"/>
    <n v="109.495"/>
    <x v="1"/>
    <s v="N2"/>
    <x v="0"/>
    <s v="Selon notre analyse, nous avons constaté que le HO est non finalisé entre 219 et 220  ,les conditions radio étaient Mauvaise avant la déconnexion,La requete de deconnexion a ete envoyé par le RBC  suite au retransmission des trames HDLC "/>
    <s v="Les derniers résultats de la vérification chaine antennaire conformes et Mauvaise qualité de signale_x000a_Zone sous surveillence par le NOC"/>
    <x v="1"/>
    <s v="Zone sous surveillence par le NOC"/>
    <s v="HO non finalisé entre 219 et 220"/>
    <s v="dl Rxqual=5"/>
    <s v="dl rx level= -57"/>
    <s v="NOK"/>
    <s v="OK"/>
    <s v="Mauvais"/>
    <s v=" Retransmission des trames HDLC*5"/>
    <m/>
    <s v="HARIRI Bahaeddine"/>
    <m/>
    <m/>
    <m/>
    <m/>
    <m/>
    <m/>
    <m/>
  </r>
  <r>
    <n v="1165"/>
    <x v="0"/>
    <x v="400"/>
    <d v="1899-12-30T11:05:00"/>
    <n v="2025"/>
    <x v="2"/>
    <x v="0"/>
    <n v="7217"/>
    <n v="35214500045735"/>
    <s v="Tanger/Casa"/>
    <n v="6.13"/>
    <x v="2"/>
    <s v="N2"/>
    <x v="1"/>
    <s v="Selon notre analyse, nous avons constaté que le HO est non finalisé entre 2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0"/>
    <s v="OK"/>
    <s v="OK"/>
    <s v="Mauvais"/>
    <s v=" Retransmission des trames HDLC*5"/>
    <m/>
    <s v="Oussama ZEHOUANI"/>
    <m/>
    <m/>
    <m/>
    <m/>
    <m/>
    <m/>
    <m/>
  </r>
  <r>
    <n v="1166"/>
    <x v="0"/>
    <x v="400"/>
    <d v="1899-12-30T14:05:03"/>
    <n v="2037"/>
    <x v="9"/>
    <x v="0"/>
    <n v="1052"/>
    <n v="35214500043740"/>
    <s v="Tanger/Casa"/>
    <n v="6.13"/>
    <x v="2"/>
    <s v="N2"/>
    <x v="0"/>
    <s v="Selon notre analyse, nous avons constaté que le HO est non finalisé entre 201 et 3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1 et 302"/>
    <s v="dl Rxqual=7"/>
    <s v="dl rx level= -54"/>
    <s v="NOK"/>
    <s v="OK"/>
    <s v="Mauvais"/>
    <s v=" Retransmission des trames HDLC*5"/>
    <m/>
    <s v="Fahd OUSSALH"/>
    <m/>
    <m/>
    <m/>
    <m/>
    <m/>
    <m/>
    <m/>
  </r>
  <r>
    <n v="1167"/>
    <x v="0"/>
    <x v="401"/>
    <s v=" 08:05:21"/>
    <n v="2013"/>
    <x v="2"/>
    <x v="0"/>
    <n v="7218"/>
    <n v="35214500045735"/>
    <s v="Tanger/Casa"/>
    <n v="6.13"/>
    <x v="2"/>
    <s v="N2"/>
    <x v="0"/>
    <s v="Selon notre analyse, nous avons constaté que le HO est complet entre 202 et 203 avec downlink quality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203"/>
    <s v="dl Rxqual=7"/>
    <s v="dl rx level= -64"/>
    <s v="OK"/>
    <s v="OK"/>
    <s v="Mauvais"/>
    <s v=" Retransmission des trames HDLC*5"/>
    <m/>
    <s v="Noura MOUSSAOUI"/>
    <m/>
    <m/>
    <m/>
    <m/>
    <m/>
    <m/>
    <m/>
  </r>
  <r>
    <n v="1168"/>
    <x v="0"/>
    <x v="402"/>
    <d v="1899-12-30T15:04:58"/>
    <n v="2037"/>
    <x v="0"/>
    <x v="0"/>
    <n v="1036"/>
    <n v="35214500045488"/>
    <s v="Tanger/Casa"/>
    <n v="6.13"/>
    <x v="2"/>
    <s v="N2"/>
    <x v="1"/>
    <s v="Selon notre analyse, nous avons constaté que le HO est non finalisé  entre 3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2 et 203"/>
    <s v="dl Rxqual=7"/>
    <s v="dl rx level= -51"/>
    <s v="OK"/>
    <s v="OK"/>
    <s v="Mauvais"/>
    <s v=" Retransmission des trames HDLC*5"/>
    <m/>
    <s v="Noura MOUSSAOUI"/>
    <m/>
    <m/>
    <m/>
    <m/>
    <m/>
    <m/>
    <m/>
  </r>
  <r>
    <n v="1169"/>
    <x v="0"/>
    <x v="403"/>
    <d v="1899-12-30T11:05:30"/>
    <n v="2025"/>
    <x v="2"/>
    <x v="0"/>
    <n v="7217"/>
    <n v="35214500044557"/>
    <s v="Tanger/Casa"/>
    <n v="6.13"/>
    <x v="2"/>
    <s v="N2"/>
    <x v="0"/>
    <s v="Selon notre analyse, nous avons constaté que le HO est non finalisé  entre 302 et 2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2 et 203"/>
    <s v="dl Rxqual=7"/>
    <s v="dl rx level= -50"/>
    <s v="OK"/>
    <s v="OK"/>
    <s v="Mauvais"/>
    <s v=" Retransmission des trames HDLC*5"/>
    <m/>
    <s v="Noura MOUSSAOUI"/>
    <m/>
    <m/>
    <m/>
    <m/>
    <m/>
    <m/>
    <m/>
  </r>
  <r>
    <n v="1170"/>
    <x v="0"/>
    <x v="403"/>
    <d v="1899-12-30T18:05:07"/>
    <n v="2049"/>
    <x v="2"/>
    <x v="0"/>
    <n v="7217"/>
    <n v="35214500044557"/>
    <s v="Tanger/Casa"/>
    <n v="6.13"/>
    <x v="2"/>
    <s v="N2"/>
    <x v="1"/>
    <s v="Selon notre analyse, nous avons constaté que le HO recul non finalisé entre 202 et 301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recul non finalisé entre 202 et 301"/>
    <s v="dl Rxqual=7"/>
    <s v="dl rx level= -55"/>
    <s v="OK"/>
    <s v="OK"/>
    <s v="Mauvais"/>
    <s v=" Retransmission des trames HDLC*5"/>
    <m/>
    <s v="Noura MOUSSAOUI"/>
    <m/>
    <m/>
    <m/>
    <m/>
    <m/>
    <m/>
    <m/>
  </r>
  <r>
    <n v="1171"/>
    <x v="0"/>
    <x v="404"/>
    <d v="1899-12-30T19:05:45"/>
    <n v="1045"/>
    <x v="11"/>
    <x v="1"/>
    <n v="1020"/>
    <n v="35214500045494"/>
    <s v="Casa/Tanger"/>
    <n v="7.3209999999999997"/>
    <x v="2"/>
    <s v="N2"/>
    <x v="0"/>
    <s v="Selon notre analyse, nous avons constaté que le HO est non finalisé  entre 303 et 202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3 et 202"/>
    <s v="dl Rxqual=4"/>
    <s v="dl rx level= -61"/>
    <s v="OK"/>
    <s v="OK"/>
    <s v="Mauvais"/>
    <s v="Pas Retransmission des trames HDLC"/>
    <m/>
    <s v="ELGUEZZAR Anas"/>
    <m/>
    <m/>
    <m/>
    <m/>
    <m/>
    <m/>
    <m/>
  </r>
  <r>
    <n v="1172"/>
    <x v="0"/>
    <x v="404"/>
    <d v="1899-12-30T12:05:19"/>
    <n v="2025"/>
    <x v="0"/>
    <x v="0"/>
    <n v="1037"/>
    <n v="35214500045488"/>
    <s v="Tanger/Casa"/>
    <n v="6.13"/>
    <x v="2"/>
    <s v="N2"/>
    <x v="0"/>
    <s v="Selon notre analyse, nous avons constaté que le HO est complet entre 202 et 203 avec downlink quality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202 et 303"/>
    <s v="dl Rxqual=7"/>
    <s v="dl rx level= -67"/>
    <s v="OK"/>
    <s v="OK"/>
    <s v="Mauvais"/>
    <s v="Pas Retransmission des trames HDLC"/>
    <m/>
    <s v="HARIRI Bahaeddine"/>
    <m/>
    <m/>
    <m/>
    <m/>
    <m/>
    <m/>
    <m/>
  </r>
  <r>
    <n v="1173"/>
    <x v="0"/>
    <x v="404"/>
    <d v="1899-12-30T21:28:00"/>
    <n v="2061"/>
    <x v="2"/>
    <x v="0"/>
    <n v="7217"/>
    <n v="35214500044557"/>
    <s v="Tanger/Casa"/>
    <n v="109.495"/>
    <x v="1"/>
    <s v="N2"/>
    <x v="0"/>
    <s v="Selon notre analyse, nous avons constaté que les conditions radio se sont detriorés rapidement après le HO complet entre 219 et 220, la requete de déconnexion a été envoyé par le RBC suite a un nombre elevé de retransmission des trames HDLC"/>
    <s v="Les derniers résultats de la vérification chaine antennaire conformes et Mauvaise qualité de signale_x000a_Zone sous surveillence par le NOC"/>
    <x v="1"/>
    <s v="En attente d'un plan d'action par le service optimisation"/>
    <s v="HO non finalisé entre 219 et 220"/>
    <s v="dl Rxqual=5"/>
    <s v="dl rx level= -84"/>
    <s v="OK"/>
    <s v="OK"/>
    <s v="Mauvais"/>
    <s v=" Retransmission des trames HDLC*5"/>
    <m/>
    <s v="Fahd OUSSALH"/>
    <m/>
    <m/>
    <m/>
    <m/>
    <m/>
    <m/>
    <m/>
  </r>
  <r>
    <n v="1174"/>
    <x v="0"/>
    <x v="405"/>
    <d v="1899-12-30T18:05:12"/>
    <n v="2049"/>
    <x v="2"/>
    <x v="0"/>
    <n v="7217"/>
    <n v="35214500044557"/>
    <s v="Tanger/Casa"/>
    <n v="6.13"/>
    <x v="2"/>
    <s v="N2"/>
    <x v="1"/>
    <s v="Selon notre analyse, nous avons constaté que le HO recul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6"/>
    <s v="dl rx level= -51"/>
    <s v="OK"/>
    <s v="OK"/>
    <s v="Mauvais"/>
    <s v=" Retransmission des trames HDLC*5"/>
    <m/>
    <s v="ISMALI ALAOUI Hamza"/>
    <m/>
    <m/>
    <m/>
    <m/>
    <m/>
    <m/>
    <m/>
  </r>
  <r>
    <n v="1175"/>
    <x v="0"/>
    <x v="406"/>
    <d v="1899-12-30T21:05:50"/>
    <n v="2061"/>
    <x v="2"/>
    <x v="0"/>
    <n v="7218"/>
    <n v="35214500044557"/>
    <s v="Tanger/Casa"/>
    <n v="6.13"/>
    <x v="2"/>
    <s v="N2"/>
    <x v="0"/>
    <s v="Selon notre analyse, nous avons constaté que le HO est non finalisé  entre 202 et 3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6"/>
    <s v="dl rx level= -62"/>
    <s v="OK"/>
    <s v="OK"/>
    <s v="Mauvais"/>
    <s v=" Retransmission des trames HDLC*5"/>
    <m/>
    <s v="HARIRI Bahaeddine"/>
    <m/>
    <m/>
    <m/>
    <m/>
    <m/>
    <m/>
    <m/>
  </r>
  <r>
    <n v="1176"/>
    <x v="0"/>
    <x v="407"/>
    <d v="1899-12-30T16:04:54"/>
    <n v="2041"/>
    <x v="10"/>
    <x v="0"/>
    <n v="1056"/>
    <n v="35214500045217"/>
    <s v="Tanger/Casa"/>
    <n v="7.13"/>
    <x v="2"/>
    <s v="N2"/>
    <x v="1"/>
    <s v="Selon notre analyse, nous avons constaté que le HO recul non finalisé entre 3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302 et 303"/>
    <s v="dl Rxqual=7"/>
    <s v="dl rx level= -54"/>
    <s v="OK"/>
    <s v="OK"/>
    <s v="Mauvais"/>
    <s v=" Retransmission des trames HDLC*5"/>
    <m/>
    <s v="ISMALI ALAOUI Hamza"/>
    <m/>
    <m/>
    <m/>
    <m/>
    <m/>
    <m/>
    <m/>
  </r>
  <r>
    <n v="1177"/>
    <x v="0"/>
    <x v="407"/>
    <d v="1899-12-30T18:03:50"/>
    <n v="1042"/>
    <x v="9"/>
    <x v="1"/>
    <n v="1035"/>
    <n v="35214500046011"/>
    <s v="Casa/Tanger"/>
    <n v="7.3209999999999997"/>
    <x v="2"/>
    <s v="N2"/>
    <x v="0"/>
    <s v="Selon notre analyse, nous avons constaté que le HO complete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e entre 202 et 303"/>
    <s v="dl Rxqual=7"/>
    <s v="dl rx level= -69"/>
    <s v="OK"/>
    <s v="OK"/>
    <s v="Mauvais"/>
    <s v=" Retransmission des trames HDLC*5"/>
    <m/>
    <s v="ELHAJOUIA Achraf"/>
    <m/>
    <m/>
    <m/>
    <m/>
    <m/>
    <m/>
    <m/>
  </r>
  <r>
    <n v="1178"/>
    <x v="0"/>
    <x v="407"/>
    <d v="1899-12-30T21:04:49"/>
    <n v="2061"/>
    <x v="1"/>
    <x v="0"/>
    <n v="7194"/>
    <n v="604070051706194"/>
    <s v="Tanger/Casa"/>
    <n v="7.13"/>
    <x v="2"/>
    <s v="N2"/>
    <x v="1"/>
    <s v="Selon notre analyse, nous avons constaté que le HO recul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54"/>
    <s v="OK"/>
    <s v="OK"/>
    <s v="Mauvais"/>
    <s v=" Retransmission des trames HDLC*5"/>
    <m/>
    <s v="SGHAYER Achraf"/>
    <m/>
    <m/>
    <m/>
    <m/>
    <m/>
    <m/>
    <m/>
  </r>
  <r>
    <n v="1179"/>
    <x v="0"/>
    <x v="408"/>
    <d v="1899-12-30T18:35:28"/>
    <n v="2049"/>
    <x v="0"/>
    <x v="0"/>
    <n v="1037"/>
    <n v="35214500045488"/>
    <s v="Tanger/Casa"/>
    <n v="145.6"/>
    <x v="3"/>
    <s v="N2"/>
    <x v="0"/>
    <s v="Selon notre analyse, les conditions radio étaient bonnes avant la déconnexion. La requete de deconnexion a ete envoyé par le RBC sans retransmission des trames HDLC,l'ecart de la rame est mauvais."/>
    <s v="Les derniers résultats de la vérification chaine antennaire conformes_x000a_Pas de retransmission des trames HDLC_x000a_En attente de pousser les analyses coté RBC"/>
    <x v="3"/>
    <s v="En attenete de pousser les analyses coté RBC"/>
    <s v="HO complete entre 224 et 225"/>
    <s v="dl Rxqual=2"/>
    <s v="dl rx level= -73"/>
    <s v="OK"/>
    <s v="OK"/>
    <s v="Mauvais"/>
    <s v="Pas Retransmission des trames HDLC"/>
    <m/>
    <s v="Fahd OUSSALH"/>
    <m/>
    <m/>
    <m/>
    <m/>
    <m/>
    <m/>
    <m/>
  </r>
  <r>
    <n v="1180"/>
    <x v="0"/>
    <x v="408"/>
    <d v="1899-12-30T19:05:13"/>
    <n v="2053"/>
    <x v="2"/>
    <x v="0"/>
    <n v="5735"/>
    <n v="35214500045735"/>
    <s v="Tanger/Casa"/>
    <n v="6.13"/>
    <x v="2"/>
    <s v="N2"/>
    <x v="0"/>
    <s v="Selon notre analyse, nous avons constaté que le HO recul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1 et 302"/>
    <s v="dl Rxqual=6"/>
    <s v="dl rx level= -57"/>
    <s v="NOK"/>
    <s v="OK"/>
    <s v="Mauvais"/>
    <s v="Pas Retransmission des trames HDLC"/>
    <m/>
    <s v="Fahd OUSSALH"/>
    <m/>
    <m/>
    <m/>
    <m/>
    <m/>
    <m/>
    <m/>
  </r>
  <r>
    <n v="1181"/>
    <x v="0"/>
    <x v="409"/>
    <d v="1899-12-30T18:04:48"/>
    <n v="2049"/>
    <x v="11"/>
    <x v="0"/>
    <n v="1051"/>
    <n v="35214500045495"/>
    <s v="Tanger/Casa"/>
    <n v="6.13"/>
    <x v="2"/>
    <s v="N2"/>
    <x v="0"/>
    <s v="Selon notre analyse, nous avons constaté que le HO recul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non finalisé entre 202 et 303"/>
    <s v="dl Rxqual=7"/>
    <s v="dl rx level= -60"/>
    <s v="NOK"/>
    <s v="OK"/>
    <s v="Mauvais"/>
    <s v="Pas Retransmission des trames HDLC"/>
    <m/>
    <s v="Fahd OUSSALH"/>
    <m/>
    <m/>
    <m/>
    <m/>
    <m/>
    <m/>
    <m/>
  </r>
  <r>
    <n v="1182"/>
    <x v="0"/>
    <x v="410"/>
    <d v="1899-12-30T21:05:06"/>
    <n v="2061"/>
    <x v="11"/>
    <x v="0"/>
    <n v="1050"/>
    <n v="35214500045357"/>
    <s v="Tanger/Casa"/>
    <n v="6.13"/>
    <x v="2"/>
    <s v="N2"/>
    <x v="0"/>
    <s v="Selon notre analyse, nous avons constaté que le HO recul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finalisé entre 202 et 303"/>
    <s v="dl Rxqual=1"/>
    <s v="dl rx level= -69"/>
    <s v="OK"/>
    <s v="OK"/>
    <s v="Mauvais"/>
    <s v=" Retransmission des trames HDLC*5"/>
    <m/>
    <s v="Saad Elhabib"/>
    <m/>
    <m/>
    <m/>
    <m/>
    <m/>
    <m/>
    <m/>
  </r>
  <r>
    <n v="1183"/>
    <x v="0"/>
    <x v="411"/>
    <d v="1899-12-30T11:05:05"/>
    <n v="2021"/>
    <x v="1"/>
    <x v="0"/>
    <n v="7195"/>
    <n v="35214500045671"/>
    <s v="Tanger/Casa"/>
    <n v="6.13"/>
    <x v="2"/>
    <s v="N2"/>
    <x v="1"/>
    <s v="Selon notre analyse, nous avons constaté que le HO complete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e entre 202 et 303"/>
    <s v="dl Rxqual=7"/>
    <s v="dl rx level= -67"/>
    <s v="OK"/>
    <s v="OK"/>
    <s v="Mauvais"/>
    <s v=" Retransmission des trames HDLC*5"/>
    <m/>
    <s v="SGHAYER Achraf"/>
    <m/>
    <m/>
    <m/>
    <m/>
    <m/>
    <m/>
    <m/>
  </r>
  <r>
    <n v="1184"/>
    <x v="0"/>
    <x v="411"/>
    <d v="1899-12-30T12:25:17"/>
    <n v="2025"/>
    <x v="4"/>
    <x v="0"/>
    <n v="7208"/>
    <n v="35214500004427"/>
    <s v="Tanger/Casa"/>
    <n v="93.757999999999996"/>
    <x v="8"/>
    <s v="N2"/>
    <x v="0"/>
    <s v="Selon notre analyse, nous avons constaté que le HO Non finalisé  entre 217 et 218 ,les conditions radio étaient mauvaises avant la déconnexion,La requete de deconnexion a ete envoyé par le RBC suite au retransmission des trames HDLC "/>
    <s v="Les derniers résultats de la vérification chaine antennaire conformes_x000a_Pas de retransmission des trames HDLC_x000a_En attente de pousser les analyses coté RBC"/>
    <x v="3"/>
    <s v="En attenete de pousser les analyses coté RBC"/>
    <s v="HO Non  finalisé entre 217 et 218"/>
    <s v="dl Rxqual=5"/>
    <s v="dl rx level= -74"/>
    <s v="NOK"/>
    <s v="OK"/>
    <s v="Mauvais"/>
    <s v=" Retransmission des trames HDLC*5"/>
    <m/>
    <s v="ELHAJOUIA Achraf"/>
    <m/>
    <m/>
    <m/>
    <m/>
    <m/>
    <m/>
    <m/>
  </r>
  <r>
    <n v="1185"/>
    <x v="0"/>
    <x v="411"/>
    <d v="1899-12-30T18:27:46"/>
    <n v="2049"/>
    <x v="4"/>
    <x v="0"/>
    <n v="7208"/>
    <n v="35214500004427"/>
    <s v="Tanger/Casa"/>
    <n v="109.495"/>
    <x v="1"/>
    <s v="N2"/>
    <x v="0"/>
    <s v="Selon notre analyse, nous avons constaté que le HO est non finalisé entre 320 et 321 ,est conditions radio étaient mauvaises avant la déconnexion. La requete de deconnexion a ete envoyé par le RBC avec retransmission des trames HDLC,l'ecart de la rame est mauvais"/>
    <s v="Suite aux derniers résultats de la vérification chaine antennaire, il a été constaté que celle-ci est conforme_x000a_Plus précis, 3 HO DownLink de la RGVM 1207 M1 présente une mauvaise qualité dans la même zone, _x000a_Malgré l’utilisation d’un tiroir filtré._x000a_Cela suggère un problème lié à des perturbations GSM-R"/>
    <x v="1"/>
    <s v="En attente d'un plan d'action par le service optimisation"/>
    <s v="HO Non finalisé  entre 220 et 321"/>
    <s v="dl Rxqual=7"/>
    <s v="dl rx level= -57"/>
    <s v="NOK"/>
    <s v="OK"/>
    <s v="Mauvais"/>
    <s v=" Retransmission des trames HDLC*5"/>
    <m/>
    <s v="HARIRI Bahaeddine"/>
    <m/>
    <m/>
    <m/>
    <m/>
    <m/>
    <m/>
    <m/>
  </r>
  <r>
    <n v="1186"/>
    <x v="0"/>
    <x v="412"/>
    <d v="1899-12-30T20:43:32"/>
    <n v="1053"/>
    <x v="7"/>
    <x v="1"/>
    <n v="1040"/>
    <n v="35214500045480"/>
    <s v="Casa/Tanger"/>
    <n v="127.815"/>
    <x v="6"/>
    <s v="N2"/>
    <x v="0"/>
    <s v="Selon notre analyse, nous avons constaté que le HO est Non finalisé entre 223 et 222,est les conditions radio étaient Mauvaises avant la déconnexion. La requete de deconnexion a ete envoyé par le RBC  avec retransmission des trames HDLC,l'ecart de la rame est mauvais,"/>
    <s v="Les derniers résultats de la vérification chaine antennaire conformes"/>
    <x v="2"/>
    <s v="En attente d'un plan d'action par le service optimisation et mise en place des tiroires filtrés "/>
    <s v="HO Non finalisé  entre 223 et 322"/>
    <s v="dl Rxqual=6"/>
    <s v="dl rx level= -73"/>
    <s v="OK"/>
    <s v="OK"/>
    <s v="Mauvais"/>
    <s v=" Retransmission des trames HDLC*5"/>
    <m/>
    <s v="Saad Elhabib"/>
    <m/>
    <m/>
    <m/>
    <m/>
    <m/>
    <m/>
    <m/>
  </r>
  <r>
    <n v="1187"/>
    <x v="0"/>
    <x v="413"/>
    <d v="1899-12-30T15:05:08"/>
    <n v="2037"/>
    <x v="0"/>
    <x v="0"/>
    <n v="1037"/>
    <n v="35214500045488"/>
    <s v="Tanger/Casa"/>
    <n v="6.13"/>
    <x v="2"/>
    <s v="N2"/>
    <x v="1"/>
    <s v="Selon notre analyse, nous avons constaté que le HO complete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es filtrés "/>
    <s v="HO Complet entre 202 et 303"/>
    <s v="dl Rxqual=5"/>
    <s v="dl rx level= -71"/>
    <s v="OK"/>
    <s v="OK"/>
    <s v="Mauvais"/>
    <s v=" Retransmission des trames HDLC*5"/>
    <m/>
    <s v="Oussama ZEHOUANI"/>
    <m/>
    <m/>
    <m/>
    <m/>
    <m/>
    <m/>
    <m/>
  </r>
  <r>
    <n v="1188"/>
    <x v="0"/>
    <x v="414"/>
    <d v="1899-12-30T10:35:05"/>
    <n v="2017"/>
    <x v="0"/>
    <x v="0"/>
    <n v="1037"/>
    <n v="35214500045461"/>
    <s v="Tanger/Casa"/>
    <n v="144.32599999999999"/>
    <x v="3"/>
    <s v="N2"/>
    <x v="1"/>
    <s v="Selon notre analyse, les conditions radio étaient bonnes avant la déconnexion. La requete de deconnexion a ete envoyé par le RBC sans retransmission des trames HDLC,l'ecart de la rame est mauvais."/>
    <s v="Les derniers résultats de la vérification chaine antennaire conformes _x000a_Présence d'interférences externes  au niveau du GSMR_02/03_x000a_Probléme GSMR_x000a_"/>
    <x v="3"/>
    <s v="En attente de pousser les analyses coté RBC"/>
    <s v="HO Complet entre 224 et 225"/>
    <s v="dl Rxqual=0"/>
    <s v="dl rx level= -61"/>
    <s v="OK"/>
    <s v="OK"/>
    <s v="Mauvais"/>
    <s v=" Pas Retransmission des trames HDLC*5"/>
    <m/>
    <s v="Oussama ZEHOUANI"/>
    <m/>
    <m/>
    <m/>
    <m/>
    <m/>
    <m/>
    <m/>
  </r>
  <r>
    <n v="1189"/>
    <x v="0"/>
    <x v="414"/>
    <d v="1899-12-30T19:05:04"/>
    <n v="2053"/>
    <x v="8"/>
    <x v="0"/>
    <n v="1042"/>
    <n v="35214500045424"/>
    <s v="Tanger/Casa"/>
    <n v="6.13"/>
    <x v="2"/>
    <s v="N2"/>
    <x v="1"/>
    <s v="Selon notre analyse, nous avons constaté que le HO Non finalisé  entre 201 et 3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1 et 302"/>
    <s v="dl Rxqual=7"/>
    <s v="dl rx level= -54"/>
    <s v="NOK"/>
    <s v="OK"/>
    <s v="Mauvais"/>
    <s v=" Retransmission des trames HDLC*5"/>
    <m/>
    <s v="HARIRI Bahaeddine"/>
    <m/>
    <m/>
    <m/>
    <m/>
    <m/>
    <m/>
    <m/>
  </r>
  <r>
    <n v="1190"/>
    <x v="0"/>
    <x v="414"/>
    <d v="1899-12-30T21:05:01"/>
    <n v="2061"/>
    <x v="2"/>
    <x v="0"/>
    <n v="7218"/>
    <n v="35214500045735"/>
    <s v="Tanger/Casa"/>
    <n v="6.13"/>
    <x v="2"/>
    <s v="N2"/>
    <x v="0"/>
    <s v="Selon notre analyse, nous avons constaté que le HO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7"/>
    <s v="dl rx level= -61"/>
    <s v="OK"/>
    <s v="OK"/>
    <s v="Mauvais"/>
    <s v=" Retransmission des trames HDLC*5"/>
    <m/>
    <s v="ELHAJOUIA Achraf"/>
    <m/>
    <m/>
    <m/>
    <m/>
    <m/>
    <m/>
    <m/>
  </r>
  <r>
    <n v="1191"/>
    <x v="0"/>
    <x v="414"/>
    <d v="1899-12-30T22:03:53"/>
    <n v="1057"/>
    <x v="7"/>
    <x v="1"/>
    <n v="1040"/>
    <n v="35214500045480"/>
    <s v="Casa/Tanger"/>
    <n v="6.13"/>
    <x v="2"/>
    <s v="N2"/>
    <x v="0"/>
    <s v="Selon notre analyse, nous avons constaté que le HO Non finalisé  entre 202 et 3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7"/>
    <s v="dl rx level= -54"/>
    <s v="NOK"/>
    <s v="OK"/>
    <s v="Mauvais"/>
    <s v=" Pas de Retransmission des trames HDLC"/>
    <m/>
    <s v="ELHAJOUIA Achraf"/>
    <m/>
    <m/>
    <m/>
    <m/>
    <m/>
    <m/>
    <m/>
  </r>
  <r>
    <n v="1192"/>
    <x v="0"/>
    <x v="415"/>
    <d v="1899-12-30T21:05:14"/>
    <n v="2061"/>
    <x v="11"/>
    <x v="0"/>
    <n v="1051"/>
    <n v="35214500045357"/>
    <s v="Tanger/Casa"/>
    <n v="6.13"/>
    <x v="2"/>
    <s v="N2"/>
    <x v="1"/>
    <s v="Selon notre analyse, nous avons constaté que le HO Non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7"/>
    <s v="dl rx level= -55"/>
    <s v="OK"/>
    <s v="OK"/>
    <s v="Mauvais"/>
    <s v=" Retransmission des trames HDLC*5"/>
    <m/>
    <s v="ISMALI ALAOUI Hamza"/>
    <m/>
    <m/>
    <m/>
    <m/>
    <m/>
    <m/>
    <m/>
  </r>
  <r>
    <n v="1193"/>
    <x v="0"/>
    <x v="416"/>
    <d v="1899-12-30T21:39:10"/>
    <n v="1057"/>
    <x v="10"/>
    <x v="1"/>
    <n v="1028"/>
    <n v="35214500045268"/>
    <s v="Casa/Tanger"/>
    <n v="127.815"/>
    <x v="6"/>
    <s v="N2"/>
    <x v="0"/>
    <s v="Selon notre analyse, nous avons constaté que le HO Non finalisé  entre 223 et 322 ,les conditions radio étaient mauvaises avant la déconnexion,La requete de deconnexion a ete envoyé par le Bord suite au retransmission des trames HDLC "/>
    <s v="Les derniers résultats de la vérification chaine antennaire conformes"/>
    <x v="2"/>
    <s v="En attente d'un plan d'action optim+ En attente de mise en place des tiroirs filtrés "/>
    <s v="HO Non finalisé entre 223 et 322"/>
    <s v="dl Rxqual=6"/>
    <s v="dl rx level= -75"/>
    <s v="OK"/>
    <s v="OK"/>
    <s v="Mauvais"/>
    <s v=" Retransmission des trames HDLC*5"/>
    <m/>
    <s v="ELHAJOUIA Achraf"/>
    <m/>
    <m/>
    <m/>
    <m/>
    <m/>
    <m/>
    <m/>
  </r>
  <r>
    <n v="1194"/>
    <x v="0"/>
    <x v="417"/>
    <d v="1899-12-30T22:50:35"/>
    <n v="1061"/>
    <x v="1"/>
    <x v="1"/>
    <n v="3063"/>
    <n v="35214500046055"/>
    <s v="Casa/Tanger"/>
    <n v="68.956000000000003"/>
    <x v="0"/>
    <s v="N2"/>
    <x v="0"/>
    <s v="Selon notre analyse, nous avons constaté que le HO Non finalisé  entre 313 et 212 ,les conditions radio étaient Bonne avant la déconnexion,La requete de deconnexion a ete envoyé par le Bord Pas de retransmission des trames HDLC "/>
    <s v="Les derniers résultats de la vérification chaine antennaire conformes "/>
    <x v="0"/>
    <s v="En attente de mise en place des tiroirs filtrés "/>
    <s v="HO Non finalisé entre 313 et 212"/>
    <s v="dl Rxqual=3"/>
    <s v="dl rx level= -68"/>
    <s v="OK"/>
    <s v="OK"/>
    <s v="Mauvais"/>
    <s v=" Pas de Retransmission des trames HDLC"/>
    <m/>
    <s v="ELHAJOUIA Achraf"/>
    <m/>
    <m/>
    <m/>
    <m/>
    <m/>
    <m/>
    <m/>
  </r>
  <r>
    <n v="1195"/>
    <x v="0"/>
    <x v="417"/>
    <d v="1899-12-30T23:04:42"/>
    <n v="1061"/>
    <x v="1"/>
    <x v="1"/>
    <n v="3062"/>
    <n v="35214500017596"/>
    <s v="Casa/Tanger"/>
    <n v="7.3209999999999997"/>
    <x v="2"/>
    <s v="N2"/>
    <x v="0"/>
    <s v="Selon notre analyse, nous avons constaté que le HO Non finalisé  entre 303 et 202 ,les conditions radio étaient Mauvaise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3 et 202"/>
    <s v="dl Rxqual=7"/>
    <s v="dl rx level= -65"/>
    <s v="OK"/>
    <s v="OK"/>
    <s v="Mauvais"/>
    <s v=" Retransmission des trames HDLC*5"/>
    <m/>
    <s v="ELHAJOUIA Achraf"/>
    <m/>
    <m/>
    <m/>
    <m/>
    <m/>
    <m/>
    <m/>
  </r>
  <r>
    <n v="1196"/>
    <x v="0"/>
    <x v="418"/>
    <s v="  19:04:08"/>
    <n v="1045"/>
    <x v="10"/>
    <x v="1"/>
    <n v="1028"/>
    <n v="35214500045268"/>
    <s v="Casa/Tanger"/>
    <n v="8.3209999999999997"/>
    <x v="2"/>
    <s v="N2"/>
    <x v="0"/>
    <s v="Selon notre analyse, nous avons constaté que le HO Non finalisé  entre 303 et 202 ,les conditions radio étaient Mauvaise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3 et 202"/>
    <s v="dl Rxqual=6"/>
    <s v="dl rx level= -63"/>
    <s v="OK"/>
    <s v="OK"/>
    <s v="Mauvais"/>
    <s v=" Retransmission des trames HDLC*5"/>
    <m/>
    <s v="Nassim NAJIM"/>
    <m/>
    <m/>
    <m/>
    <m/>
    <m/>
    <m/>
    <m/>
  </r>
  <r>
    <n v="1197"/>
    <x v="0"/>
    <x v="418"/>
    <s v="  20:14:08"/>
    <n v="1050"/>
    <x v="8"/>
    <x v="1"/>
    <n v="1031"/>
    <n v="35214500045491"/>
    <s v="Casa/Tanger"/>
    <n v="7.3209999999999997"/>
    <x v="2"/>
    <s v="N2"/>
    <x v="0"/>
    <s v="Selon notre analyse, nous avons constaté que le HO Non finalisé  entre 303 et 202 ,les conditions radio étaient Mauvaise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5"/>
    <s v="dl rx level= -83"/>
    <s v="NOK"/>
    <s v="OK"/>
    <s v="Mauvais"/>
    <s v=" Pas de Retransmission des trames HDLC"/>
    <m/>
    <s v="Fahd OUSSALH"/>
    <m/>
    <m/>
    <m/>
    <m/>
    <m/>
    <m/>
    <m/>
  </r>
  <r>
    <n v="1198"/>
    <x v="0"/>
    <x v="419"/>
    <s v="  15:05:20 "/>
    <n v="2037"/>
    <x v="0"/>
    <x v="0"/>
    <n v="1037"/>
    <n v="35214500045488"/>
    <s v="Tanger/Casa"/>
    <n v="6.13"/>
    <x v="2"/>
    <s v="N2"/>
    <x v="0"/>
    <s v="Selon notre analyse, nous avons constaté que le HO Non finalisé  entre 303 et 202 ,les conditions radio étaient Mauvaise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7"/>
    <s v="dl rx level= -67"/>
    <s v="OK"/>
    <s v="OK"/>
    <s v="Mauvais"/>
    <s v=" Retransmission des trames HDLC*5"/>
    <m/>
    <s v="Nassim NAJIM"/>
    <m/>
    <m/>
    <m/>
    <m/>
    <m/>
    <m/>
    <m/>
  </r>
  <r>
    <n v="1199"/>
    <x v="0"/>
    <x v="420"/>
    <s v=" 19:04:56 "/>
    <n v="1045"/>
    <x v="5"/>
    <x v="1"/>
    <n v="1027"/>
    <n v="35214500045083"/>
    <s v="Casa/Tanger"/>
    <n v="7.3209999999999997"/>
    <x v="2"/>
    <s v="N2"/>
    <x v="0"/>
    <s v="Selon notre analyse, nous avons constaté que le HO Non finalisé  entre 303 et 202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202 et 303"/>
    <s v="dl Rxqual=7"/>
    <s v="dl rx level= -76"/>
    <s v="OK"/>
    <s v="OK"/>
    <s v="Mauvais"/>
    <s v=" Retransmission des trames HDLC*5"/>
    <m/>
    <s v="Saad Elhabib"/>
    <m/>
    <m/>
    <m/>
    <m/>
    <m/>
    <m/>
    <m/>
  </r>
  <r>
    <n v="1200"/>
    <x v="0"/>
    <x v="420"/>
    <s v=" 21:05:20 "/>
    <n v="2061"/>
    <x v="2"/>
    <x v="0"/>
    <n v="7217"/>
    <n v="35214500044557"/>
    <s v="Casa/Tanger"/>
    <n v="6.13"/>
    <x v="2"/>
    <s v="N2"/>
    <x v="0"/>
    <s v="Selon notre analyse, nous avons constaté que le HO Non finalisé  entre 303 et 202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1 et 202"/>
    <s v="dl Rxqual=4"/>
    <s v="dl rx level= -53"/>
    <s v="NOK"/>
    <s v="OK"/>
    <s v="Mauvais"/>
    <s v=" Pas de Retransmission des trames HDLC"/>
    <m/>
    <s v="Fahd OUSSALH"/>
    <m/>
    <m/>
    <m/>
    <m/>
    <m/>
    <m/>
    <m/>
  </r>
  <r>
    <n v="1201"/>
    <x v="0"/>
    <x v="421"/>
    <d v="1899-12-30T13:05:08"/>
    <n v="1021"/>
    <x v="5"/>
    <x v="1"/>
    <n v="1027"/>
    <n v="35214500045083"/>
    <s v="Casa/Tanger"/>
    <n v="7.3209999999999997"/>
    <x v="2"/>
    <s v="N2"/>
    <x v="1"/>
    <s v="Selon notre analyse, nous avons constaté que le HO complet entre 2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203"/>
    <s v="dl Rxqual=7"/>
    <s v="dl rx level= -66"/>
    <s v="OK"/>
    <s v="OK"/>
    <s v="Mauvais"/>
    <s v=" Retransmission des trames HDLC*5"/>
    <m/>
    <s v="ELHAJOUIA Achraf"/>
    <m/>
    <m/>
    <m/>
    <m/>
    <m/>
    <m/>
    <m/>
  </r>
  <r>
    <n v="1202"/>
    <x v="0"/>
    <x v="421"/>
    <d v="1899-12-30T21:43:39"/>
    <n v="1057"/>
    <x v="10"/>
    <x v="0"/>
    <n v="1029"/>
    <n v="35214500045268"/>
    <s v="Tanger/Casa"/>
    <n v="109.495"/>
    <x v="1"/>
    <s v="N2"/>
    <x v="1"/>
    <m/>
    <s v="Suite aux derniers résultats de la vérification chaine antennaire, il a été constaté que celle-ci est conforme_x000a_Plus précis, 3 HO DownLink de la RGVM 1207 M1 présente une mauvaise qualité dans la même zone, _x000a_Malgré l’utilisation d’un tiroir filtré._x000a_Cela suggère un problème lié à des perturbations GSM-R"/>
    <x v="2"/>
    <s v="En attente de mise en place des tiroirs filtrés "/>
    <s v="HO non Complet entre 320 et 319"/>
    <s v="dl Rxqual=0"/>
    <s v="dl rx level= -76"/>
    <s v="OK"/>
    <s v="OK"/>
    <s v="Mauvais"/>
    <s v=" Retransmission des trames HDLC*5"/>
    <m/>
    <s v="Oussama ZEHOUANI"/>
    <m/>
    <m/>
    <m/>
    <m/>
    <m/>
    <m/>
    <m/>
  </r>
  <r>
    <n v="1203"/>
    <x v="0"/>
    <x v="422"/>
    <d v="1899-12-30T15:04:55"/>
    <n v="2037"/>
    <x v="2"/>
    <x v="0"/>
    <n v="7218"/>
    <n v="35214500045735"/>
    <s v="Tanger/Casa"/>
    <n v="6.13"/>
    <x v="2"/>
    <s v="N2"/>
    <x v="0"/>
    <s v="Selon notre analyse, nous avons constaté que le HO Non finalisé  entre 302 et 2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2 et 203"/>
    <s v="dl Rxqual=7"/>
    <s v="dl rx level= -64"/>
    <s v="OK"/>
    <s v="OK"/>
    <s v="Mauvais"/>
    <s v=" Retransmission des trames HDLC*5"/>
    <m/>
    <s v="ELHAJOUIA Achraf"/>
    <m/>
    <m/>
    <m/>
    <m/>
    <m/>
    <m/>
    <m/>
  </r>
  <r>
    <n v="1204"/>
    <x v="0"/>
    <x v="422"/>
    <d v="1899-12-30T22:06:54"/>
    <n v="1058"/>
    <x v="9"/>
    <x v="1"/>
    <n v="1035"/>
    <n v="35214500046011"/>
    <s v="Casa/Tanger"/>
    <n v="7.3209999999999997"/>
    <x v="2"/>
    <s v="N2"/>
    <x v="0"/>
    <s v="Selon notre analyse, nous avons constaté que le HO  finalisé  entre 202 et 3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203"/>
    <s v="dl Rxqual=7"/>
    <s v="dl rx level= -67"/>
    <s v="OK"/>
    <s v="OK"/>
    <s v="Mauvais"/>
    <s v=" Retransmission des trames HDLC*5"/>
    <m/>
    <s v="HARIRI Bahaeddine"/>
    <m/>
    <m/>
    <m/>
    <m/>
    <m/>
    <m/>
    <m/>
  </r>
  <r>
    <n v="1205"/>
    <x v="0"/>
    <x v="423"/>
    <d v="1899-12-30T17:04:52"/>
    <n v="2045"/>
    <x v="8"/>
    <x v="0"/>
    <n v="1043"/>
    <n v="35214500045200"/>
    <s v="Tanger/Casa"/>
    <n v="6.13"/>
    <x v="2"/>
    <s v="N2"/>
    <x v="0"/>
    <s v="Selon notre analyse, nous avons constaté que le HO  finalisé  entre 202 et 3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7"/>
    <s v="dl rx level= -67"/>
    <s v="OK"/>
    <s v="OK"/>
    <s v="Mauvais"/>
    <s v=" Retransmission des trames HDLC*5"/>
    <m/>
    <s v="Saad Elhabib"/>
    <m/>
    <m/>
    <m/>
    <m/>
    <m/>
    <m/>
    <m/>
  </r>
  <r>
    <n v="1206"/>
    <x v="0"/>
    <x v="423"/>
    <d v="1899-12-30T18:04:43"/>
    <n v="1041"/>
    <x v="5"/>
    <x v="1"/>
    <n v="1026"/>
    <n v="35214500045329"/>
    <s v="Casa/Tanger"/>
    <n v="7.3209999999999997"/>
    <x v="2"/>
    <s v="N2"/>
    <x v="0"/>
    <s v="Selon notre analyse, nous avons constaté que le HO  finalisé  entre 202 et 3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7"/>
    <s v="dl rx level= -62"/>
    <s v="OK"/>
    <s v="OK"/>
    <s v="Mauvais"/>
    <s v=" Retransmission des trames HDLC*5"/>
    <m/>
    <s v="Saad Elhabib"/>
    <m/>
    <m/>
    <m/>
    <m/>
    <m/>
    <m/>
    <m/>
  </r>
  <r>
    <n v="1207"/>
    <x v="0"/>
    <x v="423"/>
    <d v="1899-12-30T19:05:18"/>
    <n v="1041"/>
    <x v="5"/>
    <x v="0"/>
    <n v="1024"/>
    <n v="35214500045122"/>
    <s v="Tanger/Casa"/>
    <n v="6.13"/>
    <x v="2"/>
    <s v="N2"/>
    <x v="0"/>
    <s v="Selon notre analyse, nous avons constaté que le HO  non finalisé  entre 302 et 203 ,les conditions radio étaient Mauvaise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2 et 203 "/>
    <s v="dl Rxqual=7"/>
    <s v="dl rx level= -51"/>
    <s v="OK"/>
    <s v="OK"/>
    <s v="Mauvais"/>
    <s v=" Retransmission des trames HDLC*5"/>
    <m/>
    <s v="Saad Elhabib"/>
    <m/>
    <m/>
    <m/>
    <m/>
    <m/>
    <m/>
    <m/>
  </r>
  <r>
    <n v="1208"/>
    <x v="0"/>
    <x v="424"/>
    <d v="1899-12-30T10:16:46"/>
    <n v="2017"/>
    <x v="5"/>
    <x v="0"/>
    <n v="1024"/>
    <n v="35214500045122"/>
    <s v="Tanger/Casa"/>
    <n v="48.426000000000002"/>
    <x v="16"/>
    <s v="N2"/>
    <x v="0"/>
    <s v="Selon notre analyse, nous avons constaté que le HO  non finalisé  entre 208 et 309 ,les conditions radio étaient Bonne  avant la déconnexion,La requete de deconnexion a ete envoyé par le Bord/ Pas de   retransmission des trames HDLC "/>
    <s v="Les derniers résultats de la vérification chaine antennaire conformes"/>
    <x v="2"/>
    <s v="En attente de mise en place des tiroirs filtrés "/>
    <s v="HO non finalisé entre 208 et 309"/>
    <s v="dl Rxqual=3"/>
    <s v="dl rx level= -78"/>
    <s v="OK"/>
    <s v="OK"/>
    <s v="Mauvais"/>
    <s v=" Pas de Retransmission des trames HDLC"/>
    <m/>
    <s v="ELHAJOUIA Achraf"/>
    <m/>
    <m/>
    <m/>
    <m/>
    <m/>
    <m/>
    <m/>
  </r>
  <r>
    <n v="1209"/>
    <x v="0"/>
    <x v="425"/>
    <d v="1899-12-30T18:04:34"/>
    <n v="1042"/>
    <x v="5"/>
    <x v="1"/>
    <n v="1027"/>
    <n v="35214500045329"/>
    <s v="Casa/Tanger"/>
    <n v="7.3209999999999997"/>
    <x v="2"/>
    <s v="N2"/>
    <x v="0"/>
    <s v="Selon notre analyse, nous avons constaté que le HO complet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7"/>
    <s v="dl rx level= -67"/>
    <s v="NOK"/>
    <s v="OK"/>
    <s v="Mauvais"/>
    <s v=" Pas de Retransmission des trames HDLC"/>
    <m/>
    <s v="Fahd OUSSALH"/>
    <m/>
    <m/>
    <m/>
    <m/>
    <m/>
    <m/>
    <m/>
  </r>
  <r>
    <n v="1210"/>
    <x v="0"/>
    <x v="425"/>
    <d v="1899-12-30T19:03:52"/>
    <n v="1046"/>
    <x v="9"/>
    <x v="1"/>
    <n v="1034"/>
    <n v="35214500043605"/>
    <s v="Casa/Tanger"/>
    <n v="7.3209999999999997"/>
    <x v="2"/>
    <s v="N2"/>
    <x v="0"/>
    <s v="Selon notre analyse, nous avons constaté que le HO non finalisé entre 304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4 et 303 "/>
    <s v="dl Rxqual=3"/>
    <s v="dl rx level= -72"/>
    <s v="NOK"/>
    <s v="OK"/>
    <s v="Mauvais"/>
    <s v=" Retransmission des trames HDLC*5"/>
    <m/>
    <s v="Fahd OUSSALH"/>
    <m/>
    <m/>
    <m/>
    <m/>
    <m/>
    <m/>
    <m/>
  </r>
  <r>
    <n v="1211"/>
    <x v="0"/>
    <x v="425"/>
    <d v="1899-12-30T23:03:38"/>
    <n v="1062"/>
    <x v="7"/>
    <x v="1"/>
    <n v="1040"/>
    <n v="35214500045480"/>
    <s v="Casa/Tanger"/>
    <n v="7.3209999999999997"/>
    <x v="2"/>
    <s v="N2"/>
    <x v="1"/>
    <s v="Selon notre analyse, nous avons constaté que le HO Non finalisé  entre 3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2 et 203 "/>
    <s v="dl Rxqual=7"/>
    <s v="dl rx level= -51"/>
    <s v="NOK"/>
    <s v="OK"/>
    <s v="Mauvais"/>
    <s v=" Retransmission des trames HDLC*5"/>
    <m/>
    <s v="HARIRI Bahaeddine"/>
    <m/>
    <m/>
    <m/>
    <m/>
    <m/>
    <m/>
    <m/>
  </r>
  <r>
    <n v="1212"/>
    <x v="0"/>
    <x v="426"/>
    <d v="1899-12-30T14:05:42"/>
    <n v="2033"/>
    <x v="8"/>
    <x v="0"/>
    <n v="1043"/>
    <n v="35214500045200"/>
    <s v="Tanger/Casa"/>
    <n v="6.13"/>
    <x v="2"/>
    <s v="N2"/>
    <x v="1"/>
    <s v="Selon notre analyse, nous avons constaté que le HO complet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4"/>
    <s v="dl rx level= -66"/>
    <s v="OK"/>
    <s v="OK"/>
    <s v="Mauvais"/>
    <s v=" Retransmission des trames HDLC*5"/>
    <m/>
    <s v="Oussama ZEHOUANI"/>
    <m/>
    <m/>
    <m/>
    <m/>
    <m/>
    <m/>
    <m/>
  </r>
  <r>
    <n v="1213"/>
    <x v="0"/>
    <x v="427"/>
    <d v="1899-12-30T09:59:19"/>
    <n v="1009"/>
    <x v="0"/>
    <x v="1"/>
    <n v="1045"/>
    <n v="35214500045098"/>
    <s v="Casa/Tanger"/>
    <n v="26.739000000000001"/>
    <x v="7"/>
    <s v="N2"/>
    <x v="0"/>
    <s v="Selon notre analyse, nous avons constaté que le HO Non finalisé entre 306 et 305 ,les conditions radio étaient mauvaises avant la déconnexion dans le sens montant UL, La requete de deconnexion a ete envoyée par le RBC suite au retransmission des trames HDLC "/>
    <s v="Les derniers résultats de la vérification chaine antennaire conformes"/>
    <x v="1"/>
    <s v="En attente d'un plan d'action optim"/>
    <s v="HO  Non finalisé entre 306 et 305"/>
    <s v="dl Rxqual=3"/>
    <s v="dl rx level= -90"/>
    <s v="NOK"/>
    <s v="OK"/>
    <s v="Mauvais"/>
    <s v=" Retransmission des trames HDLC*5"/>
    <m/>
    <s v="ELHAJOUIA Achraf"/>
    <m/>
    <m/>
    <m/>
    <m/>
    <m/>
    <m/>
    <m/>
  </r>
  <r>
    <n v="1214"/>
    <x v="0"/>
    <x v="428"/>
    <d v="1899-12-30T11:05:59"/>
    <n v="1013"/>
    <x v="5"/>
    <x v="1"/>
    <n v="1027"/>
    <n v="35214500045329"/>
    <s v="Casa/Tanger"/>
    <n v="7.3209999999999997"/>
    <x v="2"/>
    <s v="N2"/>
    <x v="1"/>
    <s v="Selon notre analyse, nous avons constaté que le HO complet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303"/>
    <s v="dl Rxqual=4"/>
    <s v="dl rx level= -78"/>
    <s v="OK"/>
    <s v="OK"/>
    <s v="Mauvais"/>
    <s v=" Retransmission des trames HDLC*5"/>
    <m/>
    <s v="ISMALI ALAOUI Hamza"/>
    <m/>
    <m/>
    <m/>
    <m/>
    <m/>
    <m/>
    <m/>
  </r>
  <r>
    <n v="1215"/>
    <x v="0"/>
    <x v="429"/>
    <d v="1899-12-30T11:05:30"/>
    <n v="2021"/>
    <x v="4"/>
    <x v="0"/>
    <n v="7208"/>
    <n v="35214500004427"/>
    <s v="Tanger/Casa"/>
    <n v="6.17"/>
    <x v="2"/>
    <s v="N2"/>
    <x v="1"/>
    <s v="Selon notre analyse, nous avons constaté que le HO est non finalisé entre 3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302 et 303"/>
    <s v="dl Rxqual=7"/>
    <s v="dl rx level= -52"/>
    <s v="NOK"/>
    <s v="OK"/>
    <s v="Mauvais"/>
    <s v=" Retransmission des trames HDLC*5"/>
    <m/>
    <s v="SGHAYER Achraf"/>
    <m/>
    <m/>
    <m/>
    <m/>
    <m/>
    <m/>
    <m/>
  </r>
  <r>
    <n v="1216"/>
    <x v="0"/>
    <x v="429"/>
    <d v="1899-12-30T18:05:21"/>
    <n v="2049"/>
    <x v="2"/>
    <x v="0"/>
    <n v="7218"/>
    <n v="35214500045735"/>
    <s v="Tanger/Casa"/>
    <n v="6.13"/>
    <x v="2"/>
    <s v="N2"/>
    <x v="1"/>
    <s v="Selon notre analyse, nous avons constaté que le HO est Complet entre 3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302 et 304"/>
    <s v="dl Rxqual=7"/>
    <s v="dl rx level= -66"/>
    <s v="NOK"/>
    <s v="OK"/>
    <s v="Mauvais"/>
    <s v=" Retransmission des trames HDLC*5"/>
    <m/>
    <s v="Oussama ZEHOUANI"/>
    <m/>
    <m/>
    <m/>
    <m/>
    <m/>
    <m/>
    <m/>
  </r>
  <r>
    <n v="1217"/>
    <x v="0"/>
    <x v="429"/>
    <d v="1899-12-30T21:04:40"/>
    <n v="1053"/>
    <x v="10"/>
    <x v="1"/>
    <n v="1028"/>
    <n v="35214500045268"/>
    <s v="Casa/Tanger"/>
    <n v="7.3209999999999997"/>
    <x v="2"/>
    <s v="N2"/>
    <x v="0"/>
    <s v="Selon notre analyse, nous avons constaté que le HO est Non finalisé entre 2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203"/>
    <s v="dl Rxqual=6"/>
    <s v="dl rx level= -54"/>
    <s v="OK"/>
    <s v="OK"/>
    <s v="Mauvais"/>
    <s v=" Retransmission des trames HDLC*5"/>
    <m/>
    <s v="ELHAJOUIA Achraf"/>
    <m/>
    <m/>
    <m/>
    <m/>
    <m/>
    <m/>
    <m/>
  </r>
  <r>
    <n v="1218"/>
    <x v="0"/>
    <x v="430"/>
    <d v="1899-12-30T21:27:59"/>
    <n v="2061"/>
    <x v="3"/>
    <x v="0"/>
    <n v="1083"/>
    <n v="35229605039441"/>
    <s v="Tanger/Casa"/>
    <n v="108.206"/>
    <x v="1"/>
    <s v="N2"/>
    <x v="0"/>
    <s v="Selon notre analyse, nous avons constaté que le HO est Non finalisé entre 219 et 220 suite au timer T200 Expiré ,les conditions radio étaient mauvaises avant la déconnexion,La requete de deconnexion a ete envoyé par le RBC suite au retransmission des trames HDLC "/>
    <s v="Les derniers résultats de la vérification chaine antennaire conformes _x000a_problème lié à des perturbations GSM-R"/>
    <x v="1"/>
    <s v="Zone sous surveillance par NOC"/>
    <s v="HO  Non finalisé entre 219 et 220"/>
    <s v="dl Rxqual=6"/>
    <s v="dl rx level= -81"/>
    <s v="OK"/>
    <s v="OK"/>
    <s v="moyen"/>
    <s v=" Retransmission des trames HDLC*5"/>
    <m/>
    <s v="ELHAJOUIA Achraf"/>
    <m/>
    <m/>
    <m/>
    <m/>
    <m/>
    <m/>
    <m/>
  </r>
  <r>
    <n v="1219"/>
    <x v="0"/>
    <x v="430"/>
    <d v="1899-12-30T13:05:28"/>
    <n v="1022"/>
    <x v="9"/>
    <x v="1"/>
    <n v="1034"/>
    <n v="35214500043605"/>
    <s v="Casa/Tanger"/>
    <n v="7.3209999999999997"/>
    <x v="2"/>
    <s v="N2"/>
    <x v="0"/>
    <s v="Selon notre analyse, nous avons constaté que le HO est complet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7"/>
    <s v="dl rx level= -78"/>
    <s v="OK"/>
    <s v="OK"/>
    <s v="Mauvais"/>
    <s v=" Retransmission des trames HDLC*5"/>
    <m/>
    <s v="ISMALI ALAOUI Hamza"/>
    <m/>
    <m/>
    <m/>
    <m/>
    <m/>
    <m/>
    <m/>
  </r>
  <r>
    <n v="1220"/>
    <x v="0"/>
    <x v="431"/>
    <d v="1899-12-30T12:05:09"/>
    <n v="2025"/>
    <x v="2"/>
    <x v="0"/>
    <n v="7218"/>
    <n v="35214500045735"/>
    <s v="Tanger/Casa"/>
    <n v="6.13"/>
    <x v="2"/>
    <s v="N2"/>
    <x v="1"/>
    <s v="Selon notre analyse, nous avons constaté que le HO est Incomplet entre 202 et 3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303"/>
    <s v="dl Rxqual=7"/>
    <s v="dl rx level= -59"/>
    <s v="NOK"/>
    <s v="OK"/>
    <s v="Mauvais"/>
    <s v=" Retransmission des trames HDLC*5"/>
    <m/>
    <s v="Oussama ZEHOUANI"/>
    <m/>
    <m/>
    <m/>
    <m/>
    <m/>
    <m/>
    <m/>
  </r>
  <r>
    <n v="1221"/>
    <x v="0"/>
    <x v="432"/>
    <d v="1899-12-30T15:05:04"/>
    <n v="2037"/>
    <x v="10"/>
    <x v="0"/>
    <n v="1057"/>
    <n v="35214500045217"/>
    <s v="Tanger/Casa"/>
    <n v="6.13"/>
    <x v="2"/>
    <s v="N2"/>
    <x v="1"/>
    <s v="Selon notre analyse, nous avons constaté que le HO est Incomplet entre 302 et 301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2 et 301"/>
    <s v="dl Rxqual=7"/>
    <s v="dl rx level= -63"/>
    <s v="OK"/>
    <s v="OK"/>
    <s v="Mauvais"/>
    <s v=" Retransmission des trames HDLC*5"/>
    <m/>
    <s v="Nassim NAJIM"/>
    <m/>
    <m/>
    <m/>
    <m/>
    <m/>
    <m/>
    <m/>
  </r>
  <r>
    <n v="1222"/>
    <x v="0"/>
    <x v="432"/>
    <d v="1899-12-30T20:24:06"/>
    <n v="1053"/>
    <x v="9"/>
    <x v="1"/>
    <n v="1035"/>
    <n v="35214500043605"/>
    <s v="Tanger/Casa"/>
    <n v="198.98400000000001"/>
    <x v="5"/>
    <s v="N2"/>
    <x v="1"/>
    <s v="Selon notre analyse, nous avons constaté que le HO est complet entre 234 et 233 ,les conditions radio étaient mauvaises avant la déconnexion,La requete de deconnexion a ete envoyé par le bord "/>
    <s v="Les derniers résultats de la vérification chaine antennaire conformes"/>
    <x v="2"/>
    <s v="zone sous surveillance par équipe NOC GSMR"/>
    <s v="HO  complet entre 234 et 233"/>
    <s v="dl Rxqual=0"/>
    <s v="dl rx level= -47"/>
    <s v="NOK"/>
    <s v="NOK"/>
    <s v="Mauvais"/>
    <s v=" pas deretransmission des trames HDLC"/>
    <m/>
    <s v="Nassim NAJIM"/>
    <m/>
    <m/>
    <m/>
    <m/>
    <m/>
    <m/>
    <m/>
  </r>
  <r>
    <n v="1223"/>
    <x v="0"/>
    <x v="432"/>
    <d v="1899-12-30T21:13:32"/>
    <n v="1054"/>
    <x v="9"/>
    <x v="1"/>
    <n v="1035"/>
    <n v="35214500043605"/>
    <s v="Tanger/Casa"/>
    <n v="7.3209999999999997"/>
    <x v="2"/>
    <s v="N2"/>
    <x v="1"/>
    <s v="Selon notre analyse, nous avons constaté que le HO est Incomplet entre 202 et 2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2 et 203"/>
    <s v="dl Rxqual=5"/>
    <s v="dl rx level= -52"/>
    <s v="OK"/>
    <s v="OK"/>
    <s v="Mauvais"/>
    <s v=" Retransmission des trames HDLC*5"/>
    <m/>
    <s v="ISMALI ALAOUI Hamza"/>
    <m/>
    <m/>
    <m/>
    <m/>
    <m/>
    <m/>
    <m/>
  </r>
  <r>
    <n v="1224"/>
    <x v="0"/>
    <x v="433"/>
    <d v="1899-12-30T15:24:57"/>
    <n v="2033"/>
    <x v="10"/>
    <x v="0"/>
    <n v="1057"/>
    <n v="35214500045187"/>
    <s v="Tanger/Casa"/>
    <n v="108.206"/>
    <x v="1"/>
    <s v="N2"/>
    <x v="0"/>
    <s v="Selon notre analyse, nous avons constaté que le HO est Non finalisé entre 219 et 220 suite au timer T200 Expiré ,les conditions radio étaient mauvaises avant la déconnexion,La requete de deconnexion a ete envoyé par le RBC suite au retransmission des trames HDLC "/>
    <s v="Suite aux derniers résultats de la vérification chaine antennaire, il a été constaté que celle-ci est conforme RGVM 1207 M1 présente une mauvaise qualité dans la même zone, _x000a_Malgré l’utilisation d’un tiroir filtré._x000a_Cela suggère un problème lié à des perturbations GSM-R"/>
    <x v="1"/>
    <s v="Zone sous surveillance par NOC"/>
    <s v="HO  Non finalisé entre 219 et 220"/>
    <s v="dl Rxqual=2"/>
    <s v="dl rx level= -85"/>
    <s v="NOK"/>
    <s v="OK"/>
    <s v="Mauvais"/>
    <s v=" Retransmission des trames HDLC*5"/>
    <m/>
    <s v="Saad Elhabib"/>
    <m/>
    <m/>
    <m/>
    <m/>
    <m/>
    <m/>
    <m/>
  </r>
  <r>
    <n v="1225"/>
    <x v="0"/>
    <x v="434"/>
    <d v="1899-12-30T17:05:32"/>
    <n v="2045"/>
    <x v="2"/>
    <x v="0"/>
    <n v="7218"/>
    <n v="35214500045735"/>
    <s v="Tanger/Casa"/>
    <n v="6.13"/>
    <x v="2"/>
    <s v="N2"/>
    <x v="1"/>
    <s v="Selon notre analyse, nous avons constaté que le HO est Non finalisé entre 302 et 303 ,les conditions radio étaient mauvaises avant la déconnexion,La requete de deconnexion a ete envoyé par le bord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302 et 303"/>
    <s v="dl Rxqual=7"/>
    <s v="dl rx level= -61"/>
    <s v="NOK"/>
    <s v="OK"/>
    <s v="Mauvais"/>
    <s v=" Retransmission des trames HDLC*5"/>
    <m/>
    <s v="Nassim NAJIM"/>
    <m/>
    <m/>
    <m/>
    <m/>
    <m/>
    <m/>
    <m/>
  </r>
  <r>
    <n v="1226"/>
    <x v="0"/>
    <x v="435"/>
    <d v="1899-12-30T23:06:48"/>
    <n v="1061"/>
    <x v="5"/>
    <x v="1"/>
    <n v="1027"/>
    <n v="35214500045329"/>
    <s v="Casa/Tanger"/>
    <n v="7.3209999999999997"/>
    <x v="2"/>
    <s v="N2"/>
    <x v="1"/>
    <s v="Selon notre analyse, nous avons constaté que le HO est complet entre 203 et 2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203"/>
    <s v="dl Rxqual=7"/>
    <s v="dl rx level= -77"/>
    <s v="NOK"/>
    <s v="OK"/>
    <s v="Mauvais"/>
    <s v=" Retransmission des trames HDLC*5"/>
    <m/>
    <s v="Oussama ZEHOUANI"/>
    <m/>
    <m/>
    <m/>
    <m/>
    <m/>
    <m/>
    <m/>
  </r>
  <r>
    <n v="1227"/>
    <x v="0"/>
    <x v="436"/>
    <d v="1899-12-30T18:27:48"/>
    <n v="2049"/>
    <x v="0"/>
    <x v="0"/>
    <n v="1036"/>
    <n v="35214500045461"/>
    <s v="Tanger/Casa"/>
    <n v="109.495"/>
    <x v="1"/>
    <s v="N2"/>
    <x v="0"/>
    <s v="Selon notre analyse, nous avons constaté que le HO est Non finalisé entre 219 et 220  ,les conditions radio étaient mauvaises avant la déconnexion,La requete de deconnexion a ete envoyé par le RBC suite au retransmission des trames HDLC "/>
    <s v="Les derniers résultats de la vérification chaine antennaire conformes _x000a_problème lié à des perturbations GSM-R"/>
    <x v="2"/>
    <s v="En attente d'un plan d'action optim"/>
    <s v="HO  Non finalisé entre 219 et 220"/>
    <s v="dl Rxqual=7"/>
    <s v="dl rx level= -62"/>
    <s v="NOK"/>
    <s v="OK"/>
    <s v="Mauvais"/>
    <s v=" Retransmission des trames HDLC*5"/>
    <m/>
    <s v="Saad Elhabib"/>
    <m/>
    <m/>
    <m/>
    <m/>
    <m/>
    <m/>
    <m/>
  </r>
  <r>
    <n v="1228"/>
    <x v="0"/>
    <x v="437"/>
    <d v="1899-12-30T18:33:31"/>
    <n v="1045"/>
    <x v="2"/>
    <x v="1"/>
    <n v="1060"/>
    <n v="35214500053339"/>
    <s v="Casa/Tanger"/>
    <n v="152.488"/>
    <x v="18"/>
    <s v="N2"/>
    <x v="0"/>
    <s v="Selon notre analyse, nous avons constaté que le HO est Non finalisé entre 227 et 326 suite au conditions radio qui étaient bonne  avant la déconnexion,La requete de deconnexion a ete envoyé par le BORD suite au retransmission des trames HDLC "/>
    <s v="Les derniers résultats de la vérification chaine antennaire conformes"/>
    <x v="1"/>
    <s v="Zone sous surveillance par le NOC"/>
    <s v="HO  Non finalisé entre 227 et 326"/>
    <s v="dl Rxqual=1"/>
    <s v="dl rx level= -62"/>
    <s v="OK"/>
    <s v="OK"/>
    <s v="Mauvais"/>
    <s v=" Retransmission des trames HDLC*5"/>
    <m/>
    <s v="Saad Elhabib"/>
    <m/>
    <m/>
    <m/>
    <m/>
    <m/>
    <m/>
    <m/>
  </r>
  <r>
    <n v="1229"/>
    <x v="0"/>
    <x v="437"/>
    <d v="1899-12-30T19:42:21"/>
    <n v="1049"/>
    <x v="10"/>
    <x v="1"/>
    <n v="1028"/>
    <n v="35214500045268"/>
    <s v="Casa/Tanger"/>
    <n v="127.815"/>
    <x v="6"/>
    <s v="N2"/>
    <x v="0"/>
    <s v="Selon notre analyse, nous avons constaté que le HO est Non finalisé  entre 223 et 222  ,les conditions radio étaient mauvaises avant la déconnexion,La requete de deconnexion a ete envoyé par le RBC suite au retransmission des trames HDLC "/>
    <s v="Les derniers résultats de la vérification chaine antennaire conformes"/>
    <x v="1"/>
    <s v="En attente d'un plan d'action optim"/>
    <s v="HO non finalisé entre 223et 222"/>
    <s v="dl Rxqual=7"/>
    <s v="dl rx level= -84"/>
    <s v="OK"/>
    <s v="OK"/>
    <s v="Mauvais"/>
    <s v=" Retransmission des trames HDLC*5"/>
    <m/>
    <s v="Saad Elhabib"/>
    <m/>
    <m/>
    <m/>
    <m/>
    <m/>
    <m/>
    <m/>
  </r>
  <r>
    <n v="1230"/>
    <x v="0"/>
    <x v="437"/>
    <d v="1899-12-30T20:29:40"/>
    <n v="1053"/>
    <x v="3"/>
    <x v="1"/>
    <n v="1046"/>
    <n v="35214500038730"/>
    <s v="Casa/Tanger"/>
    <n v="177.85"/>
    <x v="4"/>
    <s v="N2"/>
    <x v="0"/>
    <s v="Selon notre analyse, nous avons constaté que le HO est  finalisé entre 231 et 332  ,les conditions radio étaient mauvaise avant la déconnexion,La requete de deconnexion a ete envoyé par le RBC suite au retransmission des trames HDLC "/>
    <s v="Les derniers résultats de la vérification chaine antennaire conformes"/>
    <x v="2"/>
    <s v="Zone sous surveillance par le NOC"/>
    <s v="HO   finalisé entre 231 et 332"/>
    <s v="dl Rxqual=0"/>
    <s v="dl rx level= -110"/>
    <s v="OK"/>
    <s v="OK"/>
    <s v="Mauvais"/>
    <s v=" Retransmission des trames HDLC*5"/>
    <m/>
    <s v="Saad Elhabib"/>
    <m/>
    <m/>
    <m/>
    <m/>
    <m/>
    <m/>
    <m/>
  </r>
  <r>
    <n v="1231"/>
    <x v="0"/>
    <x v="438"/>
    <d v="1899-12-30T08:27:32"/>
    <n v="2009"/>
    <x v="7"/>
    <x v="0"/>
    <n v="1054"/>
    <n v="35214500022752"/>
    <s v="Tanger/Casa"/>
    <n v="108.206"/>
    <x v="1"/>
    <s v="N2"/>
    <x v="0"/>
    <s v="Selon notre analyse, nous avons constaté que le HO est  Non finalisé entre 219 et 320  ,les conditions radio étaient mauvaise avant la déconnexion,La requete de deconnexion a ete envoyé par le bord/ pas de retransmission des trames HDLC "/>
    <s v="Les derniers résultats de la vérification chaine antennaire conformes _x000a_problème lié à des perturbations GSM-R"/>
    <x v="1"/>
    <s v="En attente d'un plan d'action optim"/>
    <s v="HO   Non finalisé entre 219 et 320"/>
    <s v="dl Rxqual=7"/>
    <s v="dl rx level= -73"/>
    <s v="OK"/>
    <s v="OK"/>
    <s v="Mauvais"/>
    <s v=" Pas de Retransmission des trames HDLC"/>
    <m/>
    <s v="ELHAJOUIA Achraf"/>
    <m/>
    <m/>
    <m/>
    <m/>
    <m/>
    <m/>
    <m/>
  </r>
  <r>
    <n v="1232"/>
    <x v="0"/>
    <x v="438"/>
    <d v="1899-12-30T17:52:00"/>
    <n v="1041"/>
    <x v="0"/>
    <x v="1"/>
    <n v="1045"/>
    <n v="35214500045098"/>
    <s v="Casa/Tanger"/>
    <n v="72.397999999999996"/>
    <x v="13"/>
    <s v="N2"/>
    <x v="0"/>
    <s v="Selon notre analyse, nous avons constaté que le HO est  Non finalisé entre 212 et 311  ,les conditions radio étaient bonne avant la déconnexion,La requete de deconnexion a ete envoyé par le bord/ retransmission des trames HDLC, mauvais ecart de la rame"/>
    <s v="Les derniers résultats de la vérification chaine antennaire conformes "/>
    <x v="0"/>
    <s v="En attente de mise en place des tiroirs filtrés "/>
    <s v="HO   Non finalisé entre 212 et 311"/>
    <s v="dl Rxqual=0"/>
    <s v="dl rx level= -77"/>
    <s v="NOK"/>
    <s v="OK"/>
    <s v="Mauvais"/>
    <s v=" Retransmission des trames HDLC*5"/>
    <m/>
    <s v="Saad Elhabib"/>
    <m/>
    <m/>
    <m/>
    <m/>
    <m/>
    <m/>
    <m/>
  </r>
  <r>
    <n v="1233"/>
    <x v="0"/>
    <x v="439"/>
    <d v="1899-12-30T16:08:10"/>
    <n v="1033"/>
    <x v="5"/>
    <x v="1"/>
    <n v="1027"/>
    <n v="35214500045329"/>
    <s v="Casa/Tanger"/>
    <n v="7.3209999999999997"/>
    <x v="2"/>
    <s v="N2"/>
    <x v="0"/>
    <s v="Selon notre analyse, nous avons constaté qu'il y avait un recul HO de 302 vers 2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2 et 203"/>
    <s v="dl Rxqual=7"/>
    <s v="dl rx level= -77"/>
    <s v="NOK"/>
    <s v="OK"/>
    <s v="Mauvais"/>
    <s v=" Retransmission des trames HDLC*5"/>
    <m/>
    <s v="Fahd OUSSALH"/>
    <m/>
    <m/>
    <m/>
    <m/>
    <m/>
    <m/>
    <m/>
  </r>
  <r>
    <n v="1234"/>
    <x v="0"/>
    <x v="440"/>
    <d v="1899-12-30T04:04:47"/>
    <n v="2081"/>
    <x v="9"/>
    <x v="0"/>
    <n v="1053"/>
    <n v="35214500045329"/>
    <s v="Tanger/Casa"/>
    <n v="6.13"/>
    <x v="2"/>
    <s v="N2"/>
    <x v="1"/>
    <s v="Selon notre analyse, nous avons constaté que le HO est complet entre 202 et 201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entre 201 et 201"/>
    <s v="dl Rxqual=7"/>
    <s v="dl rx level= -83"/>
    <s v="OK"/>
    <s v="OK"/>
    <s v="Mauvais"/>
    <s v=" Retransmission des trames HDLC*5"/>
    <m/>
    <s v="HARIRI Bahaeddine"/>
    <m/>
    <m/>
    <m/>
    <m/>
    <m/>
    <m/>
    <m/>
  </r>
  <r>
    <n v="1235"/>
    <x v="0"/>
    <x v="440"/>
    <d v="1899-12-30T09:09:54"/>
    <n v="1005"/>
    <x v="11"/>
    <x v="1"/>
    <n v="1020"/>
    <n v="35214500045494"/>
    <s v="Casa/Tanger"/>
    <n v="7.13"/>
    <x v="2"/>
    <s v="N2"/>
    <x v="0"/>
    <s v="Selon notre analyse, nous avons constaté que le HO est non finalisé entre 203 et 3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Non finalisé entre 203 et 302"/>
    <s v="dl Rxqual=7"/>
    <s v="dl rx level= -63"/>
    <s v="OK"/>
    <s v="OK"/>
    <s v="Mauvais"/>
    <s v=" Retransmission des trames HDLC*5"/>
    <m/>
    <s v="ELHAJOUIA Achraf"/>
    <m/>
    <m/>
    <m/>
    <m/>
    <m/>
    <m/>
    <m/>
  </r>
  <r>
    <n v="1236"/>
    <x v="0"/>
    <x v="441"/>
    <m/>
    <n v="1001"/>
    <x v="10"/>
    <x v="1"/>
    <n v="1028"/>
    <n v="35214500045268"/>
    <s v="Casa/Tanger"/>
    <n v="127.815"/>
    <x v="6"/>
    <s v="N2"/>
    <x v="0"/>
    <s v="Selon notre analyse, nous avons constaté que le HO est non finalisé entre 223 et 222 ,les conditions radio étaient mauvaises avant la déconnexion,La requete de deconnexion a ete envoyé par le RBC suite au retransmission des trames HDLC "/>
    <s v="Les derniers résultats de la vérification chaine antennaire conformes "/>
    <x v="1"/>
    <s v="En attente d'un plan d'action optim"/>
    <s v="HO Non finalisé entre 223 et 222"/>
    <s v="dl Rxqual=6"/>
    <s v="dl rx level= -76"/>
    <s v="OK"/>
    <s v="OK"/>
    <s v="Mauvais"/>
    <s v=" Retransmission des trames HDLC*5"/>
    <m/>
    <s v="ELHAJOUIA Achraf"/>
    <m/>
    <m/>
    <m/>
    <m/>
    <m/>
    <m/>
    <m/>
  </r>
  <r>
    <n v="1237"/>
    <x v="0"/>
    <x v="441"/>
    <d v="1899-12-30T15:25:04"/>
    <n v="1033"/>
    <x v="4"/>
    <x v="1"/>
    <n v="1032"/>
    <n v="35214500040638"/>
    <s v="Casa/Tanger"/>
    <n v="198.98400000000001"/>
    <x v="5"/>
    <s v="N2"/>
    <x v="1"/>
    <s v="Le train s’est déconnecté suite à une erreur de lecture de la balise (M_ERROR) lors de la transition du niveau 1 vers niveau 2 ce qui a déclenché la requête de déconnexion par le train, la dernière balise lue est la 810, pas de visibilité sur les conditions radio car l’appel était en cours d’établissement. Suite à la déconnexion, il s’est déconnecté deux fois supplémentaires (les conditions radio étaient conformes), initiés par le bord, pendant cette période pas de visibilité sur l’état ERTMS de la rame, toutefois il s’est reconnecté en mode post-trip."/>
    <s v="Les derniers résultats de la vérification chaine antennaire conformes "/>
    <x v="10"/>
    <s v="En attente d'analyse les traces DRU/JRU"/>
    <s v="HO  complet entre 234 et 233"/>
    <s v="dl Rxqual=5"/>
    <s v="dl rx level= -47"/>
    <s v="OK"/>
    <s v="OK"/>
    <s v="Mauvais"/>
    <s v=" Retransmission des trames HDLC*5"/>
    <m/>
    <s v="Oussama ZEHOUANI"/>
    <m/>
    <m/>
    <m/>
    <m/>
    <m/>
    <m/>
    <m/>
  </r>
  <r>
    <n v="1238"/>
    <x v="0"/>
    <x v="441"/>
    <d v="1899-12-30T23:10:39"/>
    <n v="1061"/>
    <x v="9"/>
    <x v="1"/>
    <n v="1034"/>
    <n v="35214500043605"/>
    <s v="Casa/Tanger"/>
    <n v="7.3209999999999997"/>
    <x v="2"/>
    <s v="N2"/>
    <x v="0"/>
    <s v="Selon notre analyse, nous avons constaté que le HO est  finalisé entre 202 et 303,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complet ntre 202 et 303"/>
    <s v="dl Rxqual=7"/>
    <s v="dl rx level= -67"/>
    <s v="NOK"/>
    <s v="OK"/>
    <s v="Mauvais"/>
    <s v=" Retransmission des trames HDLC*5"/>
    <m/>
    <s v="Saad Elhabib"/>
    <m/>
    <m/>
    <m/>
    <m/>
    <m/>
    <m/>
    <m/>
  </r>
  <r>
    <n v="1239"/>
    <x v="0"/>
    <x v="442"/>
    <d v="1899-12-30T09:04:39"/>
    <n v="1006"/>
    <x v="0"/>
    <x v="1"/>
    <n v="1045"/>
    <n v="35214500045098"/>
    <s v="Casa/Tanger"/>
    <n v="6.13"/>
    <x v="2"/>
    <s v="N2"/>
    <x v="0"/>
    <s v="Selon notre analyse, nous avons constaté que le HO est  finalisé entre 202 et 303,les conditions radio étaient mauvaises avant la déconnexion,La requete de deconnexion a ete envoyé par le RBC pas de retransmission des trames HDLC "/>
    <s v="Les derniers résultats de la vérification chaine antennaire conformes _x000a_Présence d'interférences externes  au niveau du GSMR_02/03_x000a_Probléme GSMR_x000a_"/>
    <x v="0"/>
    <s v="En attente de mise en place des tiroirs filtrés "/>
    <s v="HO complet ntre 202 et 303"/>
    <s v="dl Rxqual=7"/>
    <s v="dl rx level= -54"/>
    <s v="OK"/>
    <s v="OK"/>
    <s v="Mauvais"/>
    <s v=" Pas Retransmission des trames HDLC*5"/>
    <m/>
    <s v="HARIRI Bahaeddine"/>
    <m/>
    <m/>
    <m/>
    <m/>
    <m/>
    <m/>
    <m/>
  </r>
  <r>
    <n v="1240"/>
    <x v="0"/>
    <x v="443"/>
    <d v="1899-12-30T10:05:05"/>
    <n v="2017"/>
    <x v="4"/>
    <x v="0"/>
    <n v="1058"/>
    <n v="35214500004427"/>
    <s v="Casa/Tanger"/>
    <n v="6.13"/>
    <x v="2"/>
    <s v="N2"/>
    <x v="0"/>
    <s v="Selon notre analyse, nous avons constaté que le HO est  finalisé entre 202 et 201,les conditions radio étaient mauvaises avant la déconnexion,La requete de deconnexion a ete envoyé par le RBC pas de retransmission des trames HDLC "/>
    <s v="Les derniers résultats de la vérification chaine antennaire conformes _x000a_Présence d'interférences externes  au niveau du GSMR_02/03_x000a_Probléme GSMR_x000a_"/>
    <x v="0"/>
    <s v="En attente de mise en place des tiroirs filtrés "/>
    <s v="HO complet ntre 202 et 201"/>
    <s v="dl Rxqual=7"/>
    <s v="dl rx level= -86"/>
    <s v="OK"/>
    <s v="OK"/>
    <s v="Mauvais"/>
    <s v=" Pas Retransmission des trames HDLC*5"/>
    <m/>
    <s v="Fahd OUSSALH"/>
    <m/>
    <m/>
    <m/>
    <m/>
    <m/>
    <m/>
    <m/>
  </r>
  <r>
    <n v="1241"/>
    <x v="0"/>
    <x v="443"/>
    <d v="1899-12-30T20:31:55"/>
    <n v="1053"/>
    <x v="2"/>
    <x v="1"/>
    <n v="1060"/>
    <n v="35214500005339"/>
    <s v="Casa/Tanger"/>
    <n v="165.298"/>
    <x v="28"/>
    <s v="N2"/>
    <x v="0"/>
    <s v="Selon notre analyse, nous avons constaté que le HO est  complet entre 329 et 330,les conditions radio étaient mauvaises avant la déconnexion,La requete de deconnexion a ete envoyé par le RBC suite au retransmission des trames HDLC "/>
    <s v="Les derniers résultats de la vérification chaine antennaire conformes "/>
    <x v="1"/>
    <s v="En attente d'un plan d'action optim"/>
    <s v="HO  complet entre 329et 330"/>
    <s v="dl Rxqual=7"/>
    <s v="dl rx level= -70"/>
    <s v="OK"/>
    <s v="OK"/>
    <s v="Mauvais"/>
    <s v=" Pas Retransmission des trames HDLC*5"/>
    <m/>
    <s v="ELHAJOUIA Achraf"/>
    <m/>
    <m/>
    <m/>
    <m/>
    <m/>
    <m/>
    <m/>
  </r>
  <r>
    <n v="1242"/>
    <x v="0"/>
    <x v="444"/>
    <d v="1899-12-30T18:29:30"/>
    <n v="2049"/>
    <x v="7"/>
    <x v="0"/>
    <n v="1054"/>
    <n v="35214500022752"/>
    <s v="Tanger/Casa"/>
    <n v="109.495"/>
    <x v="1"/>
    <s v="N2"/>
    <x v="0"/>
    <s v="Selon notre analyse, nous avons constaté que le HO est  HO non finalisé  entre 220 et 319  ,les conditions radio étaient mauvaises avant la déconnexion,La requete de deconnexion a ete envoyé par le BORD suite au retransmission des trames HDLC "/>
    <s v="Les derniers résultats de la vérification chaine antennaire conformes _x000a_problème lié à des perturbations GSM-R"/>
    <x v="1"/>
    <s v="En attente d'un plan d'action optim"/>
    <s v="HO non finalisé entre 220 et 319"/>
    <s v="dl Rxqual=7"/>
    <s v="dl rx level= -61"/>
    <s v="NOK"/>
    <s v="OK"/>
    <s v="Mauvais"/>
    <s v=" Retransmission des trames HDLC*5"/>
    <m/>
    <s v="Saad Elhabib"/>
    <m/>
    <m/>
    <m/>
    <m/>
    <m/>
    <m/>
    <m/>
  </r>
  <r>
    <n v="1243"/>
    <x v="0"/>
    <x v="445"/>
    <d v="1899-12-30T18:05:04"/>
    <n v="2049"/>
    <x v="7"/>
    <x v="0"/>
    <n v="1054"/>
    <n v="35214500022752"/>
    <s v="Tanger/Casa"/>
    <n v="6.13"/>
    <x v="2"/>
    <s v="N2"/>
    <x v="0"/>
    <s v="Selon notre analyse, nous avons constaté que le HO est  HO finalisé  entre 3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302 et 203"/>
    <s v="dl Rxqual=7"/>
    <s v="dl rx level= -63"/>
    <s v="OK"/>
    <s v="OK"/>
    <s v="Mauvais"/>
    <s v=" Retransmission des trames HDLC*5"/>
    <m/>
    <s v="Saad Elhabib"/>
    <m/>
    <m/>
    <m/>
    <m/>
    <m/>
    <m/>
    <m/>
  </r>
  <r>
    <n v="1244"/>
    <x v="0"/>
    <x v="446"/>
    <d v="1899-12-30T20:04:51"/>
    <n v="2057"/>
    <x v="7"/>
    <x v="0"/>
    <n v="1055"/>
    <n v="35214500036582"/>
    <s v="Tanger/Casa"/>
    <n v="6.13"/>
    <x v="2"/>
    <s v="N2"/>
    <x v="0"/>
    <s v="Selon notre analyse, nous avons constaté que le HO est  HO finalisé  entre 202 et 3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202 et 303"/>
    <s v="dl Rxqual=6"/>
    <s v="dl rx level= -67"/>
    <s v="OK"/>
    <s v="OK"/>
    <s v="Mauvais"/>
    <s v=" Retransmission des trames HDLC*5"/>
    <m/>
    <s v="Saad Elhabib"/>
    <m/>
    <m/>
    <m/>
    <m/>
    <m/>
    <m/>
    <m/>
  </r>
  <r>
    <n v="1245"/>
    <x v="0"/>
    <x v="447"/>
    <d v="1899-12-30T06:21:15"/>
    <n v="2001"/>
    <x v="4"/>
    <x v="0"/>
    <n v="1058"/>
    <n v="35214500004427"/>
    <s v="Tanger/Casa"/>
    <n v="73.585999999999999"/>
    <x v="13"/>
    <s v="N2"/>
    <x v="0"/>
    <s v="Selon notre analyse, nous avons constaté que le HO est  Non finalisé  entre 212 et 213  ,les conditions radio étaient mauvaises avant la déconnexion,La requete de deconnexion a ete envoyé par le RBC suite au retransmission des trames HDLC "/>
    <s v="Les derniers résultats de la vérification chaine antennaire conformes "/>
    <x v="1"/>
    <s v="En attente d'un plan d'action optim"/>
    <s v="HO non finalisé entre 212 et 213"/>
    <s v="dl Rxqual=5"/>
    <s v="dl rx level= -65"/>
    <s v="OK"/>
    <s v="OK"/>
    <s v="Mauvais"/>
    <s v=" Retransmission des trames HDLC*5"/>
    <m/>
    <s v="Fahd OUSSALH"/>
    <m/>
    <m/>
    <m/>
    <m/>
    <m/>
    <m/>
    <m/>
  </r>
  <r>
    <n v="1246"/>
    <x v="0"/>
    <x v="448"/>
    <d v="1899-12-30T14:05:18"/>
    <n v="1025"/>
    <x v="1"/>
    <x v="1"/>
    <n v="3062"/>
    <n v="35214500017596"/>
    <s v="Casa/Tanger"/>
    <n v="7.3209999999999997"/>
    <x v="2"/>
    <s v="N2"/>
    <x v="1"/>
    <s v="Selon notre analyse, nous avons constaté que le HO est  finalisé entre 202 et 203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202 et 203"/>
    <s v="dl Rxqual=7"/>
    <s v="dl rx level= -64"/>
    <s v="OK"/>
    <s v="OK"/>
    <s v="Mauvais"/>
    <s v=" Retransmission des trames HDLC*5"/>
    <m/>
    <s v="HAMZAOUI Youssef"/>
    <m/>
    <m/>
    <m/>
    <m/>
    <m/>
    <m/>
    <m/>
  </r>
  <r>
    <n v="1247"/>
    <x v="0"/>
    <x v="448"/>
    <d v="1899-12-30T21:23:15"/>
    <n v="1057"/>
    <x v="11"/>
    <x v="1"/>
    <n v="1020"/>
    <n v="35214500045494"/>
    <s v="Casa/Tanger"/>
    <s v="RAC 4,125"/>
    <x v="33"/>
    <s v="N2"/>
    <x v="1"/>
    <s v="Selon notre analyse, nous avons constaté que le HO est  finalisé entre 99 et 333,les conditions radio étaient mauvaises avant la déconnexion,La requete de deconnexion a ete envoyé par le Bord suite au retransmission des trames HDLC "/>
    <s v="Les derniers résultats de la vérification chaine antennaire conformes "/>
    <x v="1"/>
    <s v="En attente d'un plan d'action optim"/>
    <s v="HO non finalisé entre 99 et 333"/>
    <s v="dl Rxqual=7"/>
    <s v="dl rx level= -71"/>
    <s v="OK"/>
    <s v="OK"/>
    <s v="Mauvais"/>
    <s v=" Retransmission des trames HDLC*5"/>
    <m/>
    <s v="MAROUANI Otmane"/>
    <m/>
    <m/>
    <m/>
    <m/>
    <m/>
    <m/>
    <m/>
  </r>
  <r>
    <n v="1248"/>
    <x v="0"/>
    <x v="449"/>
    <d v="1899-12-30T06:11:47"/>
    <n v="13042"/>
    <x v="4"/>
    <x v="0"/>
    <n v="1036"/>
    <n v="35214500045461"/>
    <s v="Tanger/Casa"/>
    <n v="186.315"/>
    <x v="19"/>
    <s v="N2"/>
    <x v="0"/>
    <s v="Selon notre analyse, nous avons constaté que le HO est  finalisé entre 232 et 233,les conditions radio étaient bonnes avant la déconnexion,La requete de deconnexion a ete envoyé par le RBC suite au retransmission des trames HDLC "/>
    <s v="Les derniers résultats de la vérification chaine antennaire conformes "/>
    <x v="1"/>
    <s v="En attente d'un plan d'action optim"/>
    <s v="HO non finalisé entre 232 et 233"/>
    <s v="dl Rxqual=0"/>
    <s v="dl rx level= -63"/>
    <s v="OK"/>
    <s v="OK"/>
    <s v="Mauvais"/>
    <s v=" Retransmission des trames HDLC*5"/>
    <m/>
    <s v="ELGUEZZAR Anas"/>
    <m/>
    <m/>
    <m/>
    <m/>
    <m/>
    <m/>
    <m/>
  </r>
  <r>
    <n v="1249"/>
    <x v="0"/>
    <x v="450"/>
    <d v="1899-12-30T21:05:47"/>
    <n v="1053"/>
    <x v="1"/>
    <x v="1"/>
    <n v="3062"/>
    <n v="35214500017596"/>
    <s v="Casa/Tanger"/>
    <n v="7.3209999999999997"/>
    <x v="2"/>
    <s v="N2"/>
    <x v="0"/>
    <s v="Selon notre analyse, nous avons constaté que le HO est finalisé entre 303 et 302,les conditions radio étaient bonn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303 et 302"/>
    <s v="dl Rxqual=1"/>
    <s v="dl rx level= -61"/>
    <s v="NOK"/>
    <s v="OK"/>
    <s v="Mauvais"/>
    <s v=" Retransmission des trames HDLC*5"/>
    <m/>
    <s v="ELGUEZZAR Anas"/>
    <m/>
    <m/>
    <m/>
    <m/>
    <m/>
    <m/>
    <m/>
  </r>
  <r>
    <n v="1250"/>
    <x v="0"/>
    <x v="451"/>
    <d v="1899-12-30T04:35:42"/>
    <n v="2081"/>
    <x v="0"/>
    <x v="0"/>
    <n v="1037"/>
    <n v="35214500045488"/>
    <s v="Tanger/Casa"/>
    <n v="81.777000000000001"/>
    <x v="15"/>
    <s v="N2"/>
    <x v="0"/>
    <s v="Selon notre analyse, nous avons constaté que le HO est   finalisé entre 214 et 215,les conditions radio étaient bonnes avant la déconnexion,La requete de deconnexion a ete envoyé par le RBC suite au retransmission des trames HDLC "/>
    <s v="Les derniers résultats de la vérification chaine antennaire conformes "/>
    <x v="1"/>
    <s v="En attente d'un plan d'action optim"/>
    <s v="HO finalisé entre 214 et 215"/>
    <s v="dl Rxqual=4"/>
    <s v="dl rx level= -66"/>
    <s v="OK"/>
    <s v="OK"/>
    <s v="Mauvais"/>
    <s v=" Retransmission des trames HDLC*5"/>
    <m/>
    <s v="ELGUEZZAR Anas"/>
    <m/>
    <m/>
    <m/>
    <m/>
    <m/>
    <m/>
    <m/>
  </r>
  <r>
    <n v="1251"/>
    <x v="0"/>
    <x v="451"/>
    <d v="1899-12-30T12:05:04"/>
    <n v="1018"/>
    <x v="5"/>
    <x v="1"/>
    <n v="1027"/>
    <n v="35214500045083"/>
    <s v="Casa/Tanger"/>
    <n v="7.3209999999999997"/>
    <x v="2"/>
    <s v="N2"/>
    <x v="0"/>
    <s v="Selon notre analyse, nous avons constaté que le HO est   finalisé entre 203 et 302,les conditions radio étaient mauvaises avant la déconnexion,La requete de deconnexion a ete envoyé par le RBC sans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203 et 302"/>
    <s v="dl Rxqual=7"/>
    <s v="dl rx level= -77"/>
    <s v="OK"/>
    <s v="OK"/>
    <s v="Mauvais"/>
    <s v=" Retransmission des trames HDLC*5"/>
    <m/>
    <s v="Noura MOUSSAOUI"/>
    <m/>
    <m/>
    <m/>
    <m/>
    <m/>
    <m/>
    <m/>
  </r>
  <r>
    <n v="1252"/>
    <x v="0"/>
    <x v="451"/>
    <d v="1899-12-30T21:05:26"/>
    <n v="2061"/>
    <x v="9"/>
    <x v="0"/>
    <n v="1053"/>
    <n v="35214500044497"/>
    <s v="Tanger/Casa"/>
    <n v="6.13"/>
    <x v="2"/>
    <s v="N2"/>
    <x v="1"/>
    <s v="Selon notre analyse, nous avons constaté que le HO est  HO finalisé  entre 203 et 302  ,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_x000a_"/>
    <x v="0"/>
    <s v="En attente de mise en place des tiroirs filtrés "/>
    <s v="HO finalisé entre 203 et 302"/>
    <s v="dl Rxqual=7"/>
    <s v="dl rx level= -67"/>
    <s v="OK"/>
    <s v="OK"/>
    <s v="Mauvais"/>
    <s v=" Retransmission des trames HDLC*5"/>
    <m/>
    <s v="Nassim NAJIM"/>
    <m/>
    <m/>
    <m/>
    <m/>
    <m/>
    <m/>
    <m/>
  </r>
  <r>
    <n v="1253"/>
    <x v="0"/>
    <x v="451"/>
    <d v="1899-12-30T21:05:33"/>
    <n v="1053"/>
    <x v="5"/>
    <x v="1"/>
    <n v="1026"/>
    <n v="35214500045329"/>
    <s v="Casa/Tanger"/>
    <n v="7.3209999999999997"/>
    <x v="2"/>
    <s v="N2"/>
    <x v="0"/>
    <s v="Selon notre analyse, nous avons constaté que le HO est   finalisé entre 202 et 303,les conditions radio étaient mauvaises avant la déconnexion,La requete de deconnexion a ete envoyé par le RBC suite au retransmission des trames HDLC "/>
    <s v="Les derniers résultats de la vérification chaine antennaire conformes _x000a_Présence d'interférences externes  au niveau du GSMR_02/03_x000a_Probléme GSMR"/>
    <x v="0"/>
    <s v="En attente de mise en place des tiroirs filtrés "/>
    <s v="HO finalisé entre 202 et 303"/>
    <s v="dl Rxqual=7"/>
    <s v="dl rx level= -74"/>
    <s v="OK"/>
    <s v="OK"/>
    <s v="Mauvais"/>
    <s v=" Retransmission des trames HDLC*5"/>
    <m/>
    <s v="Saad Elhabib"/>
    <m/>
    <m/>
    <m/>
    <m/>
    <m/>
    <m/>
    <m/>
  </r>
  <r>
    <n v="1254"/>
    <x v="0"/>
    <x v="452"/>
    <d v="1899-12-30T12:24:18"/>
    <n v="1021"/>
    <x v="5"/>
    <x v="1"/>
    <n v="1027"/>
    <n v="35214500045083"/>
    <s v="Casa/Tanger"/>
    <n v="198.98400000000001"/>
    <x v="5"/>
    <s v="N2"/>
    <x v="1"/>
    <s v="Selon notre analyse, nous avons constaté que le HO est   finalisé entre 234 et 333,les conditions radio étaient bonnes avant la déconnexion,La requete de deconnexion a ete envoyé par le bord sans retransmission des trames HDLC "/>
    <s v="Les derniers résultats de la vérification chaine antennaire conformes "/>
    <x v="10"/>
    <s v="Analyse des relevés JRU/DRU en cours"/>
    <s v="HO finalisé entre 234 et 333"/>
    <s v="dl Rxqual="/>
    <s v="dl rx level= "/>
    <s v="NOK"/>
    <s v="NOK"/>
    <s v="Mauvais"/>
    <s v=" Retransmission des trames HDLC*5"/>
    <m/>
    <s v="Noura MOUSSAOUI"/>
    <m/>
    <m/>
    <m/>
    <m/>
    <m/>
    <m/>
    <m/>
  </r>
  <r>
    <n v="1255"/>
    <x v="0"/>
    <x v="453"/>
    <d v="1899-12-30T10:05:32"/>
    <n v="2017"/>
    <x v="11"/>
    <x v="0"/>
    <n v="1050"/>
    <n v="35214500045357"/>
    <s v="Tanger/Casa"/>
    <n v="6.13"/>
    <x v="2"/>
    <s v="N2"/>
    <x v="0"/>
    <s v="Selon notre analyse, nous avons constaté que le HO est   finalisé entre 302 et 301,les conditions radio étaient mauvaise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e mise en place des tiroirs filtrés "/>
    <s v="HO complet entre 302 et 301"/>
    <s v="dl Rxqual=7"/>
    <s v="dl rx level= 69"/>
    <s v="NOK"/>
    <s v="OK"/>
    <s v="Mauvais"/>
    <s v=" Retransmission des trames HDLC*5"/>
    <m/>
    <s v="Noura MOUSSAOUI"/>
    <m/>
    <m/>
    <m/>
    <m/>
    <m/>
    <m/>
    <m/>
  </r>
  <r>
    <n v="1256"/>
    <x v="0"/>
    <x v="453"/>
    <d v="1899-12-30T17:04:47"/>
    <n v="1038"/>
    <x v="0"/>
    <x v="1"/>
    <n v="1037"/>
    <n v="35214500045131"/>
    <s v="Casa/Tanger"/>
    <n v="7.3209999999999997"/>
    <x v="2"/>
    <s v="N2"/>
    <x v="0"/>
    <s v="Selon notre analyse, nous avons constaté que le HO est  finalisé entre 203 et 302,les conditions radio étaient mauvaisees avant la déconnexion,,La requete de deconnexion a ete envoyé par le Bord suite au retransmission des trames HDLC "/>
    <s v="Les derniers résultats de la vérification chaine antennaire conformes_x000a_Présence d'interférences externes  au niveau du GSMR_02/03_x000a_Probléme GSMR"/>
    <x v="0"/>
    <s v="En attente de mise en place des tiroirs filtrés "/>
    <s v="HO finalisé entre 203 et 302"/>
    <s v="dl Rxqual=7"/>
    <s v="dl rx level= 57"/>
    <s v="OK"/>
    <s v="OK"/>
    <s v="Mauvais"/>
    <s v=" Retransmission des trames HDLC*5"/>
    <m/>
    <s v="HARIRI Bahaeddine"/>
    <m/>
    <m/>
    <m/>
    <m/>
    <m/>
    <m/>
    <m/>
  </r>
  <r>
    <n v="1257"/>
    <x v="0"/>
    <x v="454"/>
    <d v="1899-12-30T15:05:24"/>
    <n v="2037"/>
    <x v="2"/>
    <x v="0"/>
    <n v="7218"/>
    <n v="35214500045735"/>
    <s v="Tanger/Casa"/>
    <n v="7.3209999999999997"/>
    <x v="2"/>
    <s v="N2"/>
    <x v="1"/>
    <s v="Selon notre analyse, nous avons constaté que le HO est  non finalisé entre 202 et 301,les conditions radio étaient mauvaise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e mise en place des tiroirs filtrés "/>
    <s v="HO non finalisé entre 202 et 301"/>
    <s v="dl Rxqual=5"/>
    <s v="dl rx level= 62"/>
    <s v="OK"/>
    <s v="OK"/>
    <s v="Mauvais"/>
    <s v=" Retransmission des trames HDLC*5"/>
    <m/>
    <s v="MAROUANI Otmane"/>
    <m/>
    <m/>
    <m/>
    <m/>
    <m/>
    <m/>
    <m/>
  </r>
  <r>
    <n v="1258"/>
    <x v="0"/>
    <x v="455"/>
    <d v="1899-12-30T09:08:42"/>
    <n v="1005"/>
    <x v="0"/>
    <x v="1"/>
    <n v="1044"/>
    <n v="35214500045131"/>
    <s v="Casa/Tanger"/>
    <n v="7.3209999999999997"/>
    <x v="2"/>
    <s v="N2"/>
    <x v="0"/>
    <s v="Selon notre analyse, nous avons constaté que le HO est  finalisé entre 303 et 302,les conditions radio étaient mauvaise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e mise en place des tiroirs filtrés "/>
    <s v="HO complet entre 303 et 302"/>
    <s v="dl Rxqual=7"/>
    <s v="dl rx level= 77"/>
    <s v="OK"/>
    <s v="OK"/>
    <s v="Mauvais"/>
    <s v=" Retransmission des trames HDLC*5"/>
    <m/>
    <s v="ELGUEZZAR Anas"/>
    <m/>
    <m/>
    <m/>
    <m/>
    <m/>
    <m/>
    <m/>
  </r>
  <r>
    <n v="1259"/>
    <x v="0"/>
    <x v="456"/>
    <d v="1899-12-30T19:37:41"/>
    <n v="1049"/>
    <x v="10"/>
    <x v="1"/>
    <n v="1029"/>
    <n v="35214500045449"/>
    <s v="Casa/Tanger"/>
    <n v="174.07400000000001"/>
    <x v="27"/>
    <s v="N2"/>
    <x v="0"/>
    <s v="Selon notre analyse, nous avons constaté que le HO est  Non finalisé entre 330 et 329,les conditions radio étaient Bonnes avant la déconnexion,,La requete de deconnexion a ete envoyé par le RBC suite au retransmission des trames HDLC "/>
    <s v="Les derniers résultats de la vérification chaine antennaire conformes "/>
    <x v="1"/>
    <s v="En attente d'un plan d'action optim"/>
    <s v="HO Non finalisé entre 330 et 329"/>
    <s v="dl Rxqual=0"/>
    <s v="dl rx level= -65"/>
    <s v="NOK"/>
    <s v="OK"/>
    <s v="Mauvais"/>
    <s v=" Retransmission des trames HDLC*5"/>
    <m/>
    <s v="HARIRI Bahaeddine"/>
    <m/>
    <m/>
    <m/>
    <m/>
    <m/>
    <m/>
    <m/>
  </r>
  <r>
    <n v="1260"/>
    <x v="0"/>
    <x v="457"/>
    <d v="1899-12-30T10:05:30"/>
    <n v="2017"/>
    <x v="2"/>
    <x v="0"/>
    <n v="7218"/>
    <n v="35214500045735"/>
    <s v="Tanger/Casa"/>
    <n v="6.13"/>
    <x v="2"/>
    <s v="N2"/>
    <x v="0"/>
    <s v="Selon notre analyse, nous avons constaté que le HO est  finalisé entre 202 et 303,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e mise en place des tiroirs filtrés "/>
    <s v="HO finalisé entre 202 et 303"/>
    <s v="dl Rxqual=6"/>
    <s v="dl rx level= -69"/>
    <s v="OK"/>
    <s v="OK"/>
    <s v="Mauvais"/>
    <s v=" Retransmission des trames HDLC*5"/>
    <m/>
    <s v="Noura MOUSSAOUI"/>
    <m/>
    <m/>
    <m/>
    <m/>
    <m/>
    <m/>
    <m/>
  </r>
  <r>
    <n v="1261"/>
    <x v="0"/>
    <x v="458"/>
    <d v="1899-12-30T14:02:20"/>
    <n v="1025"/>
    <x v="10"/>
    <x v="1"/>
    <n v="1029"/>
    <n v="35214500045449"/>
    <s v="Casa/Tanger"/>
    <n v="25.85"/>
    <x v="7"/>
    <s v="N2"/>
    <x v="0"/>
    <s v="Selon notre analyse, nous avons constaté que le HO est  non finalisé entre 207 et 305,les conditions radio étaient mauvaises avant la déconnexion,,La requete de deconnexion a ete envoyé par le Bord suite au retransmission des trames HDLC "/>
    <s v="Les derniers résultats de la vérification chaine antennaire conformes "/>
    <x v="1"/>
    <s v="En attente d'un plan d'action optim"/>
    <s v="HO non finalisé entre 207 et 305"/>
    <s v="dl Rxqual=7"/>
    <s v="dl rx level= -91"/>
    <s v="OK"/>
    <s v="OK"/>
    <s v="Mauvais"/>
    <s v=" Retransmission des trames HDLC*5"/>
    <m/>
    <s v="Noura MOUSSAOUI"/>
    <m/>
    <m/>
    <m/>
    <m/>
    <m/>
    <m/>
    <m/>
  </r>
  <r>
    <n v="1262"/>
    <x v="0"/>
    <x v="458"/>
    <d v="1899-12-30T18:35:23"/>
    <n v="2049"/>
    <x v="5"/>
    <x v="0"/>
    <n v="1025"/>
    <n v="35214500045073"/>
    <s v="Tanger/Casa"/>
    <n v="144.32599999999999"/>
    <x v="3"/>
    <s v="N2"/>
    <x v="1"/>
    <s v="Selon notre analyse, nous avons constaté que le HO finalisé entre 224 et 225,les conditions radio étaient bonnes avant la déconnexion,La requete de deconnexion a ete envoyé par le RBC sans retransmission des trames HDLC "/>
    <s v="Les derniers résultats de la vérification chaine antennaire conformes "/>
    <x v="3"/>
    <s v="En attente de pousser les analyses coté RBC"/>
    <s v="HO  finalisé entre 224 et 225"/>
    <s v="dl Rxqual=0"/>
    <s v="dl rx level= -68"/>
    <s v="OK"/>
    <s v="OK"/>
    <s v="Mauvais"/>
    <s v=" Pas Retransmission des trames HDLC"/>
    <m/>
    <s v="ELGUEZZAR Anas"/>
    <m/>
    <m/>
    <m/>
    <m/>
    <m/>
    <m/>
    <m/>
  </r>
  <r>
    <n v="1263"/>
    <x v="0"/>
    <x v="458"/>
    <d v="1899-12-30T18:07:48"/>
    <n v="1045"/>
    <x v="9"/>
    <x v="1"/>
    <n v="1035"/>
    <n v="35214500045449"/>
    <s v="Casa/Tanger"/>
    <n v="26.739000000000001"/>
    <x v="7"/>
    <s v="N2"/>
    <x v="1"/>
    <s v="Selon notre analyse, nous avons constaté que le HO est  non finalisé entre 207 et 208,les conditions radio étaient mauvaises avant la déconnexion,La requete de deconnexion a ete envoyé par le RBC suite au retransmission des trames HDLC "/>
    <s v="Les derniers résultats de la vérification chaine antennaire conformes "/>
    <x v="1"/>
    <s v="En attente d'un plan d'action optim"/>
    <s v="HO  non finalisé entre 207 et 208"/>
    <s v="dl Rxqual=7"/>
    <s v="dl rx level= -92"/>
    <s v="NOK"/>
    <s v="OK"/>
    <s v="Mauvais"/>
    <s v=" Retransmission des trames HDLC*5"/>
    <m/>
    <s v="ELGUEZZAR Anas"/>
    <m/>
    <m/>
    <m/>
    <m/>
    <m/>
    <m/>
    <m/>
  </r>
  <r>
    <n v="1264"/>
    <x v="0"/>
    <x v="459"/>
    <d v="1899-12-30T12:05:06"/>
    <n v="2025"/>
    <x v="5"/>
    <x v="0"/>
    <n v="1025"/>
    <n v="35214500045073"/>
    <s v="Tanger/Casa"/>
    <n v="6.13"/>
    <x v="2"/>
    <s v="N2"/>
    <x v="1"/>
    <s v="Selon notre analyse, nous avons constaté que le HO  Complet entre 302 et 303,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e mise en place des tiroirs filtrés "/>
    <s v="HO  Complet entre 302 et 303"/>
    <s v="dl Rxqual=7"/>
    <s v="dl rx level= -66"/>
    <s v="OK"/>
    <s v="OK"/>
    <s v="Mauvais"/>
    <s v=" Retransmission des trames HDLC*5"/>
    <m/>
    <s v="MAROUANI Otmane"/>
    <m/>
    <m/>
    <m/>
    <m/>
    <m/>
    <m/>
    <m/>
  </r>
  <r>
    <n v="1265"/>
    <x v="0"/>
    <x v="460"/>
    <d v="1899-12-30T18:29:26"/>
    <n v="2049"/>
    <x v="2"/>
    <x v="0"/>
    <n v="7217"/>
    <n v="35214500044557"/>
    <s v="Tanger/Casa"/>
    <n v="109.495"/>
    <x v="1"/>
    <s v="N2"/>
    <x v="0"/>
    <s v="Selon notre analyse, nous avons constaté que le HO non finalisé entre 320 et 321,les conditions radio étaient mauvaises avant la déconnexion,La requete de deconnexion a ete envoyé par le RBC suite au retransmission des trames HDLC "/>
    <s v="Les derniers résultats de la vérification chaine antennaire conformes "/>
    <x v="1"/>
    <s v="En attente d'un plan d'action optim"/>
    <s v="HO non finalisé entre 320 et 321"/>
    <s v="dl Rxqual=7"/>
    <s v="dl rx level= -63"/>
    <s v="NOK"/>
    <s v="OK"/>
    <s v="Mauvais"/>
    <s v=" Retransmission des trames HDLC*5"/>
    <m/>
    <s v="HAMZAOUI Youssef"/>
    <m/>
    <m/>
    <m/>
    <m/>
    <m/>
    <m/>
    <m/>
  </r>
  <r>
    <n v="1266"/>
    <x v="0"/>
    <x v="460"/>
    <d v="1899-12-30T19:12:33"/>
    <n v="1045"/>
    <x v="10"/>
    <x v="1"/>
    <n v="1028"/>
    <n v="35214500045268"/>
    <s v="Casa/Tanger"/>
    <n v="127.815"/>
    <x v="6"/>
    <s v="N2"/>
    <x v="0"/>
    <s v="Selon notre analyse, nous avons constaté que le HO  non finalisé entre 223 et 322,les conditions radio étaient mauvaises avant la déconnexion,La requete de deconnexion a ete envoyé par le RBC sans retransmission des trames HDLC "/>
    <s v="Les derniers résultats de la vérification chaine antennaire conformes "/>
    <x v="1"/>
    <s v="En attente d'un plan d'action optim"/>
    <s v="HO non finalisé entre 223 et 322"/>
    <s v="dl Rxqual=4"/>
    <s v="dl rx level= -80"/>
    <s v="OK"/>
    <s v="OK"/>
    <s v="moyen"/>
    <s v=" Pas Retransmission des trames HDLC"/>
    <m/>
    <s v="HAMZAOUI Youssef"/>
    <m/>
    <m/>
    <m/>
    <m/>
    <m/>
    <m/>
    <m/>
  </r>
  <r>
    <n v="1267"/>
    <x v="0"/>
    <x v="461"/>
    <d v="1899-12-30T15:36:18"/>
    <n v="1033"/>
    <x v="4"/>
    <x v="1"/>
    <n v="1033"/>
    <n v="35214500040707"/>
    <s v="Casa/Tanger"/>
    <n v="177.85"/>
    <x v="4"/>
    <s v="N2"/>
    <x v="0"/>
    <s v="Selon notre analyse, nous avons constaté que le HO Complet entre 231 et 229,les conditions radio étaient mauvaises avant la déconnexion,La requete de deconnexion a ete envoyé par le RBC suite au retransmission des trames HDLC "/>
    <s v="Les derniers résultats de la vérification chaine antennaire conformes "/>
    <x v="1"/>
    <s v="En attente d'un plan d'action optim"/>
    <s v="HO  Complet entre 231 et 229"/>
    <s v="dl Rxqual=0"/>
    <s v="dl rx level= -110"/>
    <s v="OK"/>
    <s v="OK"/>
    <s v="Mauvais"/>
    <s v=" Retransmission des trames HDLC*5"/>
    <m/>
    <s v="Noura MOUSSAOUI"/>
    <m/>
    <m/>
    <m/>
    <m/>
    <m/>
    <m/>
    <m/>
  </r>
  <r>
    <n v="1268"/>
    <x v="0"/>
    <x v="461"/>
    <d v="1899-12-30T17:03:49"/>
    <n v="1037"/>
    <x v="5"/>
    <x v="1"/>
    <n v="1027"/>
    <n v="35214500045083"/>
    <s v="Casa/Tanger"/>
    <n v="7.3209999999999997"/>
    <x v="2"/>
    <s v="N2"/>
    <x v="0"/>
    <s v="Selon notre analyse, nous avons constaté que le HO Complet entre 202 et 203,les conditions radio étaient mauvaises avant la déconnexion,La requete de deconnexion a ete envoyé par le Bord suite au retransmission des trames HDLC "/>
    <s v="Les derniers résultats de la vérification chaine antennaire conformes_x000a_Présence d'interférences externes  au niveau du GSMR_02/03_x000a_Probléme GSMR"/>
    <x v="0"/>
    <s v="En attente de mise en place des tiroirs filtrés "/>
    <s v="HO  Complet entre 202 et 203"/>
    <s v="dl Rxqual=4"/>
    <s v="dl rx level= -80"/>
    <s v="OK"/>
    <s v="OK"/>
    <s v="Mauvais"/>
    <s v=" Retransmission des trames HDLC*5"/>
    <m/>
    <s v="HAMZAOUI Youssef"/>
    <m/>
    <m/>
    <m/>
    <m/>
    <m/>
    <m/>
    <m/>
  </r>
  <r>
    <n v="1269"/>
    <x v="0"/>
    <x v="461"/>
    <d v="1899-12-30T21:48:48"/>
    <n v="1058"/>
    <x v="4"/>
    <x v="1"/>
    <n v="1033"/>
    <n v="35214500040707"/>
    <s v="Casa/Tanger"/>
    <n v="166.529"/>
    <x v="28"/>
    <s v="N2"/>
    <x v="0"/>
    <s v="Selon notre analyse, nous avons constaté que le HO Complet entre 329 et 230,les conditions radio étaient mauvaises avant la déconnexion,La requete de deconnexion a ete envoyé par le RBC sans retransmission des trames HDLC "/>
    <s v="Les derniers résultats de la vérification chaine antennaire conformes "/>
    <x v="1"/>
    <s v="En attente d'un plan d'action optim"/>
    <s v="HO  Complet entre 329 et 230"/>
    <s v="dl Rxqual=0"/>
    <s v="dl rx level= -110"/>
    <s v="OK"/>
    <s v="OK"/>
    <s v="Mauvais"/>
    <s v=" Pas Retransmission des trames HDLC"/>
    <m/>
    <s v="Fahd OUSSALH"/>
    <m/>
    <m/>
    <m/>
    <m/>
    <m/>
    <m/>
    <m/>
  </r>
  <r>
    <n v="1270"/>
    <x v="0"/>
    <x v="462"/>
    <d v="1899-12-30T04:08:32"/>
    <n v="2081"/>
    <x v="9"/>
    <x v="0"/>
    <n v="1058"/>
    <n v="35214500044477"/>
    <s v="Tanger/Casa"/>
    <n v="6.13"/>
    <x v="2"/>
    <s v="N2"/>
    <x v="0"/>
    <s v="Selon notre analyse, nous avons constaté que le HO  non finalisé entre 201 et 303,les conditions radio étaient bonnes avant la déconnexion,La requete de deconnexion a ete envoyé par le Bord suite au retransmission des trames HDLC "/>
    <s v="Les derniers résultats de la vérification chaine antennaire conformes_x000a_Présence d'interférences externes  au niveau du GSMR_02/03_x000a_Probléme GSMR"/>
    <x v="0"/>
    <s v="En attente de mise en place des tiroirs filtrés "/>
    <s v="HO  non finalisé entre 201 et 303"/>
    <s v="dl Rxqual=0"/>
    <s v="dl rx level= -55"/>
    <s v="OK"/>
    <s v="OK"/>
    <s v="Mauvais"/>
    <s v=" Retransmission des trames HDLC*5"/>
    <m/>
    <s v="Fahd OUSSALH"/>
    <m/>
    <m/>
    <m/>
    <m/>
    <m/>
    <m/>
    <m/>
  </r>
  <r>
    <n v="1271"/>
    <x v="0"/>
    <x v="462"/>
    <d v="1899-12-30T09:28:04"/>
    <n v="2013"/>
    <x v="1"/>
    <x v="0"/>
    <n v="7195"/>
    <n v="35214500045671"/>
    <s v="Tanger/Casa"/>
    <n v="108.206"/>
    <x v="1"/>
    <s v="N2"/>
    <x v="0"/>
    <s v="Selon notre analyse, nous avons constaté que le HO est finalisé entre 218 et 219,La requete de deconnexion a ete envoyé par le RBC suite au retransmission des trames HDLC "/>
    <s v="Les derniers résultats de la vérification chaine antennaire conformes "/>
    <x v="1"/>
    <s v="En attente d'un plan d'action optim"/>
    <s v="HO  Complet entre 218 et 219"/>
    <s v="dl Rxqual="/>
    <s v="dl rx level= "/>
    <s v="NOK"/>
    <s v="OK"/>
    <s v="Mauvais"/>
    <s v=" Retransmission des trames HDLC*5"/>
    <m/>
    <s v="Noura MOUSSAOUI"/>
    <m/>
    <m/>
    <m/>
    <m/>
    <m/>
    <m/>
    <m/>
  </r>
  <r>
    <n v="1272"/>
    <x v="0"/>
    <x v="462"/>
    <d v="1899-12-30T10:28:53"/>
    <n v="2017"/>
    <x v="11"/>
    <x v="0"/>
    <n v="1050"/>
    <n v="35214500045357"/>
    <s v="Tanger/Casa"/>
    <n v="108.206"/>
    <x v="1"/>
    <s v="N2"/>
    <x v="0"/>
    <s v="Selon notre analyse, nous avons constaté que le HO est  non finalisé entre 219 et 320,les conditions radio étaient mauvaises avant la déconnexion,,La requete de deconnexion a ete envoyé par le Bord sans retransmission des trames HDLC "/>
    <s v="Les derniers résultats de la vérification chaine antennaire conformes "/>
    <x v="1"/>
    <s v="En attente d'un plan d'action optim"/>
    <s v="HO  non finalisé entre 219 et 320"/>
    <s v="dl Rxqual=7"/>
    <s v="dl rx level= -86"/>
    <s v="OK"/>
    <s v="OK"/>
    <s v="Mauvais"/>
    <s v=" Pas Retransmission des trames HDLC"/>
    <m/>
    <s v="Noura MOUSSAOUI"/>
    <m/>
    <m/>
    <m/>
    <m/>
    <m/>
    <m/>
    <m/>
  </r>
  <r>
    <n v="1273"/>
    <x v="0"/>
    <x v="462"/>
    <d v="1899-12-30T16:47:15"/>
    <n v="1037"/>
    <x v="10"/>
    <x v="1"/>
    <n v="1028"/>
    <n v="35214500045268"/>
    <s v="Casa/Tanger"/>
    <n v="94.953999999999994"/>
    <x v="8"/>
    <s v="N2"/>
    <x v="0"/>
    <s v="Selon notre analyse, nous avons constaté que le HO est  complet entre 219 et 217,les conditions radio étaient mauvaises avant la déconnexion,,La requete de deconnexion a ete envoyé par le RBC avec retransmission des trames HDLC "/>
    <s v="Les derniers résultats de la vérification chaine antennaire conformes "/>
    <x v="1"/>
    <s v="En attente d'un plan d'action optim"/>
    <s v="HO  Complet entre 219 et 217"/>
    <s v="dl Rxqual=7"/>
    <s v="dl rx level= -80"/>
    <s v="NOK"/>
    <s v="OK"/>
    <s v="Mauvais"/>
    <s v=" Retransmission des trames HDLC*5"/>
    <m/>
    <s v="LAGDEM Elmehdi"/>
    <m/>
    <m/>
    <m/>
    <m/>
    <m/>
    <m/>
    <m/>
  </r>
  <r>
    <n v="1274"/>
    <x v="0"/>
    <x v="462"/>
    <d v="1899-12-30T20:27:53"/>
    <n v="2057"/>
    <x v="0"/>
    <x v="0"/>
    <n v="1036"/>
    <n v="35214500045061"/>
    <s v="Tanger/Casa"/>
    <n v="108.206"/>
    <x v="1"/>
    <s v="N2"/>
    <x v="0"/>
    <s v="Selon notre analyse, nous avons constaté que le HO est  non finalisé entre 219 et 320,les conditions radio étaient mauvaises avant la déconnexion,,La requete de deconnexion a ete envoyé par le Bord avec retransmission des trames HDLC "/>
    <s v="Les derniers résultats de la vérification chaine antennaire conformes "/>
    <x v="1"/>
    <s v="En attente d'un plan d'action optim"/>
    <s v="HO  non finalisé entre 219 et 320"/>
    <s v="dl Rxqual=0"/>
    <s v="dl rx level= -57"/>
    <s v="OK"/>
    <s v="OK"/>
    <s v="Mauvais"/>
    <s v=" Retransmission des trames HDLC*5"/>
    <m/>
    <s v="Fahd OUSSALH"/>
    <m/>
    <m/>
    <m/>
    <m/>
    <m/>
    <m/>
    <m/>
  </r>
  <r>
    <n v="1275"/>
    <x v="0"/>
    <x v="462"/>
    <d v="1899-12-30T21:42:34"/>
    <n v="1057"/>
    <x v="5"/>
    <x v="1"/>
    <n v="1027"/>
    <n v="35214500045083"/>
    <s v="Casa/Tanger"/>
    <n v="134.30000000000001"/>
    <x v="10"/>
    <s v="N2"/>
    <x v="0"/>
    <s v="Selon notre analyse, nous avons constaté que le HO est  non finalisé entre 224 et 323 (HO Recul), les conditions radio étaient bonnes avant la déconnexion,,La requete de deconnexion a ete envoyé par le Bord sans retransmission des trames HDLC "/>
    <s v="Les derniers résultats de la vérification chaine antennaire conformes "/>
    <x v="1"/>
    <s v="En attente d'un plan d'action optim"/>
    <s v="HO  non finalisé entre 224 et 323"/>
    <s v="dl Rxqual=2"/>
    <s v="dl rx level= -72"/>
    <s v="OK"/>
    <s v="OK"/>
    <s v="Mauvais"/>
    <s v=" Pas Retransmission des trames HDLC"/>
    <m/>
    <s v="Fahd OUSSALH"/>
    <m/>
    <m/>
    <m/>
    <m/>
    <m/>
    <m/>
    <m/>
  </r>
  <r>
    <n v="1276"/>
    <x v="0"/>
    <x v="462"/>
    <d v="1899-12-30T21:43:53"/>
    <n v="1057"/>
    <x v="5"/>
    <x v="1"/>
    <n v="1027"/>
    <n v="35214500045083"/>
    <s v="Casa/Tanger"/>
    <n v="129.18"/>
    <x v="10"/>
    <s v="N2"/>
    <x v="1"/>
    <s v="Selon notre analyse,les conditions radio étaient bonnes avant la déconnexion, mais le voisinage était absent, ce qui a engendré la déconnexion, La requete de deconnexion a ete envoyé par le Bord sans retransmission des trames HDLC "/>
    <s v="Les derniers résultats de la vérification chaine antennaire conformes "/>
    <x v="1"/>
    <s v="En attente d'un plan d'action optim"/>
    <m/>
    <s v="dl Rxqual=2"/>
    <s v="dl rx level= -47"/>
    <s v="NOK"/>
    <s v="OK"/>
    <s v="Mauvais"/>
    <s v=" Pas Retransmission des trames HDLC"/>
    <m/>
    <s v="Oussama ZEHOUANI"/>
    <m/>
    <m/>
    <m/>
    <m/>
    <m/>
    <m/>
    <m/>
  </r>
  <r>
    <n v="1277"/>
    <x v="0"/>
    <x v="463"/>
    <d v="1899-12-30T19:01:14"/>
    <n v="1046"/>
    <x v="2"/>
    <x v="1"/>
    <n v="1060"/>
    <m/>
    <s v="Casa/Tanger"/>
    <n v="25.85"/>
    <x v="7"/>
    <s v="N2"/>
    <x v="0"/>
    <s v="Selon notre analyse, nous avons constaté que le HO  non finalisé entre 207 et 308 (HO recul du 306 --&gt; 207), les conditions radio étaient mauvaises avant la déconnexion,La requete de deconnexion a ete envoyé par le Bord avec retransmission des trames HDLC "/>
    <s v="Les derniers résultats de la vérification chaine antennaire conformes "/>
    <x v="1"/>
    <s v="En attente d'un plan d'action optim"/>
    <s v="HO  non finalisé entre 207 et 308"/>
    <s v="dl Rxqual=5"/>
    <s v="dl rx level= -68"/>
    <s v="OK"/>
    <s v="OK"/>
    <s v="Mauvais"/>
    <s v=" Retransmission des trames HDLC*5"/>
    <m/>
    <s v="ELGUEZZAR Anas"/>
    <m/>
    <m/>
    <m/>
    <m/>
    <m/>
    <m/>
    <m/>
  </r>
  <r>
    <n v="1278"/>
    <x v="0"/>
    <x v="464"/>
    <d v="1899-12-30T07:05:24"/>
    <n v="2005"/>
    <x v="0"/>
    <x v="0"/>
    <n v="1037"/>
    <m/>
    <s v="Tanger/Casa"/>
    <n v="6.13"/>
    <x v="2"/>
    <s v="N2"/>
    <x v="1"/>
    <s v="Selon notre analyse, nous avons constaté que le  HO Complet entre 202 et 201,les conditions radio étaient bonn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202 et 201"/>
    <s v="dl Rxqual=0"/>
    <s v="dl rx level= -60"/>
    <s v="NOK"/>
    <s v="OK"/>
    <s v="Mauvais"/>
    <s v=" Retransmission des trames HDLC*5"/>
    <m/>
    <s v="Noura MOUSSAOUI"/>
    <m/>
    <m/>
    <m/>
    <m/>
    <m/>
    <m/>
    <m/>
  </r>
  <r>
    <n v="1279"/>
    <x v="0"/>
    <x v="465"/>
    <d v="1899-12-30T22:07:01"/>
    <n v="1057"/>
    <x v="9"/>
    <x v="1"/>
    <n v="1035"/>
    <m/>
    <s v="Casa/Tanger"/>
    <n v="7.3209999999999997"/>
    <x v="2"/>
    <s v="N2"/>
    <x v="0"/>
    <s v="Selon notre analyse, nous avons constaté que le  HO Complet entre 202 et 203,les conditions radio étaient mauvai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202 et 203"/>
    <s v="dl Rxqual=7"/>
    <s v="dl rx level= -72"/>
    <s v="NOK"/>
    <s v="OK"/>
    <s v="Mauvais"/>
    <s v=" Retransmission des trames HDLC*5"/>
    <m/>
    <s v="HARIRI Bahaeddine"/>
    <m/>
    <m/>
    <m/>
    <m/>
    <m/>
    <m/>
    <m/>
  </r>
  <r>
    <n v="1280"/>
    <x v="0"/>
    <x v="466"/>
    <d v="1899-12-30T18:05:54"/>
    <n v="1041"/>
    <x v="5"/>
    <x v="1"/>
    <n v="1027"/>
    <m/>
    <s v="Casa/Tanger"/>
    <n v="7.3209999999999997"/>
    <x v="2"/>
    <s v="N2"/>
    <x v="1"/>
    <s v="Selon notre analyse, nous avons constaté que le  HO Complet entre 202 et 203,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202 et 203"/>
    <s v="dl Rxqual=7"/>
    <s v="dl rx level= -79"/>
    <s v="OK"/>
    <s v="OK"/>
    <s v="Mauvais"/>
    <s v=" Retransmission des trames HDLC*5"/>
    <m/>
    <s v="ISMALI ALAOUI Hamza"/>
    <m/>
    <m/>
    <m/>
    <m/>
    <m/>
    <m/>
    <m/>
  </r>
  <r>
    <n v="1281"/>
    <x v="0"/>
    <x v="466"/>
    <d v="1899-12-30T20:04:43"/>
    <n v="2057"/>
    <x v="8"/>
    <x v="0"/>
    <n v="1043"/>
    <m/>
    <s v="Tanger/Casa"/>
    <n v="6.13"/>
    <x v="2"/>
    <s v="N2"/>
    <x v="0"/>
    <s v="Selon notre analyse, nous avons constaté que le HO est  non finalisé entre 302 et 303, 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HO  non finalisé entre 302 et 303"/>
    <s v="dl Rxqual=7"/>
    <s v="dl rx level= -74"/>
    <s v="NOK"/>
    <s v="NOK"/>
    <s v="Mauvais"/>
    <s v=" Retransmission des trames HDLC*5"/>
    <m/>
    <s v="Saad Elhabib"/>
    <m/>
    <m/>
    <m/>
    <m/>
    <m/>
    <m/>
    <m/>
  </r>
  <r>
    <n v="1282"/>
    <x v="0"/>
    <x v="467"/>
    <d v="1899-12-30T14:08:44"/>
    <n v="1025"/>
    <x v="7"/>
    <x v="1"/>
    <n v="1040"/>
    <m/>
    <s v="Casa/Tanger"/>
    <n v="7.3209999999999997"/>
    <x v="2"/>
    <s v="N2"/>
    <x v="0"/>
    <s v="Selon notre analyse, nous avons constaté que le  HO Complet entre 202 et 203,les conditions radio étaient mauvaises avant la déconnexion,La requete de deconnexion a ete envoyé par le RBC sans retransmission des trames HDLC "/>
    <s v="Les derniers résultats de la vérification chaine antennaire conformes_x000a_Présence d'interférences externes  au niveau du GSMR_02/03_x000a_Probléme GSMR"/>
    <x v="0"/>
    <s v="En attente de mise en place des tiroirs filtrés "/>
    <s v=" HO Complet entre 202 et 203"/>
    <s v="dl Rxqual=7"/>
    <s v="dl rx level= -66"/>
    <s v="NOK"/>
    <s v="NOK"/>
    <s v="Mauvais"/>
    <s v=" Pas Retransmission des trames HDLC"/>
    <m/>
    <s v="Fahd OUSSALH"/>
    <m/>
    <m/>
    <m/>
    <m/>
    <m/>
    <m/>
    <m/>
  </r>
  <r>
    <n v="1283"/>
    <x v="0"/>
    <x v="467"/>
    <d v="1899-12-30T19:35:28"/>
    <n v="2053"/>
    <x v="10"/>
    <x v="0"/>
    <n v="1057"/>
    <n v="35214500045187"/>
    <s v="Tanger/Casa"/>
    <n v="144.32599999999999"/>
    <x v="3"/>
    <s v="N2"/>
    <x v="0"/>
    <s v="Selon notre analyse, nous avons constaté que le  HO Complet entre 224 et 225,les conditions radio étaient bonnes avant la déconnexion,La requete de deconnexion a ete envoyé par le RBC sans retransmission des trames HDLC "/>
    <s v="Les derniers résultats de la vérification chaine antennaire conformes "/>
    <x v="3"/>
    <s v="En attente de pousser les analyses coté RBC"/>
    <s v=" HO Complet entre 224 et 225"/>
    <s v="dl Rxqual=0"/>
    <s v="dl rx level= -68"/>
    <s v="OK"/>
    <s v="OK"/>
    <s v="Mauvais"/>
    <s v=" Pas Retransmission des trames HDLC"/>
    <m/>
    <s v="Fahd OUSSALH"/>
    <m/>
    <m/>
    <m/>
    <m/>
    <m/>
    <m/>
    <m/>
  </r>
  <r>
    <n v="1284"/>
    <x v="0"/>
    <x v="468"/>
    <d v="1899-12-30T18:32:53"/>
    <n v="1045"/>
    <x v="2"/>
    <x v="1"/>
    <n v="1061"/>
    <n v="35214500045735"/>
    <s v="Casa/Tanger"/>
    <n v="185.47"/>
    <x v="19"/>
    <s v="N2"/>
    <x v="0"/>
    <s v="Selon notre analyse, nous avons constaté que le HO est  non finalisé entre 233 et 332, les conditions radio étaient mauvaises avant la déconnexion (UL Rxqual = 7),La requete de deconnexion a ete envoyé par le RBC avec retransmission des trames HDLC "/>
    <s v="Les derniers résultats de la vérification chaine antennaire conformes "/>
    <x v="1"/>
    <s v="En attente d'un plan d'action optim"/>
    <s v="HO  non finalisé entre 233 et 332"/>
    <s v="dl Rxqual=2"/>
    <s v="dl rx level= -76"/>
    <s v="OK"/>
    <s v="OK"/>
    <s v="Mauvais"/>
    <s v="retransmission des trames HDLC*5"/>
    <m/>
    <s v="Fahd OUSSALH"/>
    <m/>
    <m/>
    <m/>
    <m/>
    <m/>
    <m/>
    <m/>
  </r>
  <r>
    <n v="1285"/>
    <x v="0"/>
    <x v="469"/>
    <d v="1899-12-30T16:10:32"/>
    <n v="1025"/>
    <x v="10"/>
    <x v="1"/>
    <n v="1028"/>
    <m/>
    <s v="Casa/Tanger"/>
    <n v="7.3209999999999997"/>
    <x v="2"/>
    <s v="N2"/>
    <x v="0"/>
    <s v="Selon notre analyse, nous avons constaté que le  HO Complet entre 202 et 203,les conditions radio étaient mauvaises avant la déconnexion,La requete de deconnexion a ete envoyé par le RBC sans retransmission des trames HDLC "/>
    <s v="Les derniers résultats de la vérification chaine antennaire conformes_x000a_Présence d'interférences externes  au niveau du GSMR_02/03_x000a_Probléme GSMR"/>
    <x v="0"/>
    <s v="En attente de mise en place des tiroirs filtrés "/>
    <s v="HO  non finalisé entre 202 et 303"/>
    <s v="dl Rxqual=6"/>
    <s v="dl rx level= -66"/>
    <s v="NOK"/>
    <s v="OK"/>
    <s v="Mauvais"/>
    <s v=" Pas Retransmission des trames HDLC"/>
    <m/>
    <s v="Fahd OUSSALH"/>
    <m/>
    <m/>
    <m/>
    <m/>
    <m/>
    <m/>
    <m/>
  </r>
  <r>
    <n v="1286"/>
    <x v="0"/>
    <x v="470"/>
    <d v="1899-12-30T16:46:07"/>
    <n v="1037"/>
    <x v="0"/>
    <x v="1"/>
    <n v="1045"/>
    <m/>
    <s v="Casa/Tanger"/>
    <n v="109.495"/>
    <x v="1"/>
    <s v="N2"/>
    <x v="0"/>
    <s v="Selon notre analyse, nous avons constaté que le HO est non finalisét entre 320 et 319,les conditions radio étaient mauvaises avant la déconnexion,La requete de deconnexion a ete envoyé par le RBC avec retransmission des trames HDLC "/>
    <s v="Les derniers résultats de la vérification chaine antennaire conformes "/>
    <x v="1"/>
    <s v="Opération d'optimisation réalisée le 10/07 vers 12:55 par le SOR; zone sous surveillance par le NOC"/>
    <s v="HO  non finalisé entre  320 et 319"/>
    <s v="dl Rxqual=3"/>
    <s v="dl rx level= -81"/>
    <s v="NOK"/>
    <s v="OK"/>
    <s v="Mauvais"/>
    <s v="retransmission des trames HDLC*5"/>
    <m/>
    <s v="Noura MOUSSAOUI"/>
    <m/>
    <m/>
    <m/>
    <m/>
    <m/>
    <m/>
    <m/>
  </r>
  <r>
    <n v="1287"/>
    <x v="0"/>
    <x v="470"/>
    <s v=" 16:46:29"/>
    <n v="1037"/>
    <x v="0"/>
    <x v="1"/>
    <n v="1044"/>
    <m/>
    <s v="Casa/Tanger"/>
    <n v="8.9700000000000006"/>
    <x v="2"/>
    <s v="N2"/>
    <x v="0"/>
    <s v="Selon notre analyse, nous avons constaté que le  HO est non finalisé entre 203 et 302,les conditions radio étaient mauvaises avant la déconnexion,La requete de deconnexion a ete envoyé par le Bord avec retransmission des trames HDLC "/>
    <s v="Les derniers résultats de la vérification chaine antennaire conformes_x000a_Présence d'interférences externes  au niveau du GSMR_02/03_x000a_Probléme GSMR"/>
    <x v="0"/>
    <s v="En attente de mise en place des tiroirs filtrés "/>
    <s v="HO  non finalisé entre 203 et 302"/>
    <s v="dl Rxqual=7"/>
    <s v="dl rx level= -61"/>
    <s v="OK"/>
    <s v="NOK"/>
    <s v="Mauvais"/>
    <s v="retransmission des trames HDLC*5"/>
    <m/>
    <s v="Noura MOUSSAOUI"/>
    <m/>
    <m/>
    <m/>
    <m/>
    <m/>
    <m/>
    <m/>
  </r>
  <r>
    <n v="1288"/>
    <x v="0"/>
    <x v="471"/>
    <d v="1899-12-30T17:05:12"/>
    <n v="1037"/>
    <x v="2"/>
    <x v="1"/>
    <n v="1060"/>
    <n v="35214500005339"/>
    <s v="Casa/Tanger"/>
    <n v="7.3209999999999997"/>
    <x v="2"/>
    <s v="N2"/>
    <x v="1"/>
    <s v="Selon notre analyse, nous avons constaté que le  HO non finalisé entre 202 et 203,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non finalisé 202 et 203"/>
    <s v="dl Rxqual=7"/>
    <s v="dl rx level= -57"/>
    <s v="OK"/>
    <s v="OK"/>
    <s v="Mauvais"/>
    <s v=" Retransmission des trames HDLC*5"/>
    <m/>
    <s v="MAROUANI Otmane"/>
    <m/>
    <m/>
    <m/>
    <m/>
    <m/>
    <m/>
    <m/>
  </r>
  <r>
    <n v="1289"/>
    <x v="0"/>
    <x v="472"/>
    <d v="1899-12-30T07:05:35"/>
    <n v="10075"/>
    <x v="5"/>
    <x v="1"/>
    <n v="1026"/>
    <m/>
    <s v="Casa/Tanger"/>
    <n v="152.488"/>
    <x v="18"/>
    <s v="N2"/>
    <x v="0"/>
    <s v="Selon notre analyse, nous avons constaté que le  HO non finalisé entre 326 et 225,les conditions radio étaient mauvaises avant la déconnexion,La requete de deconnexion a ete envoyé par le RBC avec retransmission des trames HDLC "/>
    <s v="Les derniers résultats de la vérification chaine antennaire conformes "/>
    <x v="1"/>
    <s v="En attente d'un plan d'action optim"/>
    <s v="HO non finalisé entre 326 et 225"/>
    <s v="dl Rxqual=7"/>
    <s v="dl rx level= -58"/>
    <s v="NOK"/>
    <s v="OK"/>
    <s v="Mauvais"/>
    <s v=" Retransmission des trames HDLC*5"/>
    <m/>
    <s v="Saad Elhabib"/>
    <m/>
    <m/>
    <m/>
    <m/>
    <m/>
    <m/>
    <m/>
  </r>
  <r>
    <n v="1290"/>
    <x v="0"/>
    <x v="473"/>
    <d v="1899-12-30T08:09:22"/>
    <n v="1001"/>
    <x v="0"/>
    <x v="1"/>
    <n v="1044"/>
    <n v="35214500045131"/>
    <s v="Casa/Tanger"/>
    <n v="7.3209999999999997"/>
    <x v="2"/>
    <s v="N2"/>
    <x v="0"/>
    <s v="Selon notre analyse, nous avons constaté que le  HO Complet entre 303 et 302,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303 et 302"/>
    <s v="dl Rxqual=7"/>
    <s v="dl rx level= -73"/>
    <s v="OK"/>
    <s v="OK"/>
    <s v="Mauvais"/>
    <s v=" Retransmission des trames HDLC*5"/>
    <m/>
    <s v="ELHAJOUIA Achraf"/>
    <m/>
    <m/>
    <m/>
    <m/>
    <m/>
    <m/>
    <m/>
  </r>
  <r>
    <n v="1291"/>
    <x v="0"/>
    <x v="473"/>
    <d v="1899-12-30T19:03:21"/>
    <n v="1046"/>
    <x v="11"/>
    <x v="1"/>
    <n v="1072"/>
    <n v="35214500045424"/>
    <s v="Casa/Tanger"/>
    <n v="25.91"/>
    <x v="7"/>
    <s v="N2"/>
    <x v="0"/>
    <s v="Selon notre analyse, nous avons constaté que le  HO Non finalisé entre 207 et 305,les conditions radio étaient mauvaises avant la déconnexion,La requete de deconnexion a ete envoyé par le bord avec retransmission des trames HDLC "/>
    <s v="Les derniers résultats de la vérification chaine antennaire conformes "/>
    <x v="1"/>
    <s v="En attente d'un plan d'action optim"/>
    <s v=" HO Non finalisé entre 207 et 305"/>
    <s v="dl Rxqual=7"/>
    <s v="dl rx level= -83"/>
    <s v="OK"/>
    <s v="OK"/>
    <s v="Mauvais"/>
    <s v=" Retransmission des trames HDLC*5"/>
    <m/>
    <s v="HARIRI Bahaeddine"/>
    <m/>
    <m/>
    <m/>
    <m/>
    <m/>
    <m/>
    <m/>
  </r>
  <r>
    <n v="1292"/>
    <x v="0"/>
    <x v="473"/>
    <d v="1899-12-30T19:09:18"/>
    <n v="1046"/>
    <x v="11"/>
    <x v="1"/>
    <n v="1072"/>
    <n v="35214500045494"/>
    <s v="Casa/Tanger"/>
    <n v="7.3209999999999997"/>
    <x v="2"/>
    <s v="N2"/>
    <x v="0"/>
    <s v="Selon notre analyse, nous avons constaté que le  HO Complet entre 302 et 203,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302 et 203"/>
    <s v="dl Rxqual=7"/>
    <s v="dl rx level= -55"/>
    <s v="OK"/>
    <s v="OK"/>
    <s v="Mauvais"/>
    <s v=" Retransmission des trames HDLC*5"/>
    <m/>
    <s v="HARIRI Bahaeddine"/>
    <m/>
    <m/>
    <m/>
    <m/>
    <m/>
    <m/>
    <m/>
  </r>
  <r>
    <n v="1293"/>
    <x v="0"/>
    <x v="474"/>
    <d v="1899-12-30T11:06:46"/>
    <n v="1013"/>
    <x v="9"/>
    <x v="1"/>
    <n v="1035"/>
    <n v="35214500046011"/>
    <s v="Casa/Tanger"/>
    <n v="7.3209999999999997"/>
    <x v="2"/>
    <s v="N2"/>
    <x v="0"/>
    <s v="Selon notre analyse, nous avons constaté que le HO est complet entre 202 et 203,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202 et 203"/>
    <s v="dl Rxqual=6"/>
    <s v="dl rx level=-79"/>
    <s v="OK"/>
    <s v="OK"/>
    <s v="Mauvais"/>
    <s v=" Retransmission des trames HDLC*5"/>
    <m/>
    <s v="Noura MOUSSAOUI"/>
    <m/>
    <m/>
    <m/>
    <m/>
    <m/>
    <m/>
    <m/>
  </r>
  <r>
    <n v="1294"/>
    <x v="0"/>
    <x v="474"/>
    <d v="1899-12-30T19:43:36"/>
    <n v="1050"/>
    <x v="7"/>
    <x v="1"/>
    <n v="1041"/>
    <m/>
    <s v="Casa/Tanger"/>
    <n v="127.815"/>
    <x v="6"/>
    <s v="N2"/>
    <x v="0"/>
    <s v="Selon notre analyse, nous avons constaté que le  HO Non finalisé entre 223 et 322,les conditions radio étaient mauvaises avant la déconnexion,La requete de deconnexion a ete envoyé par le bord sans retransmission des trames HDLC "/>
    <s v="Les derniers résultats de la vérification chaine antennaire conformes "/>
    <x v="1"/>
    <s v="En attente d'un plan d'action optim"/>
    <s v=" HO Non finalisé entre 223 et 322"/>
    <s v="dl Rxqual=7"/>
    <s v="dl rx level=-65"/>
    <s v="OK"/>
    <s v="OK"/>
    <s v="Mauvais"/>
    <s v=" Pas Retransmission des trames HDLC"/>
    <m/>
    <s v="Fahd OUSSALH"/>
    <m/>
    <m/>
    <m/>
    <m/>
    <m/>
    <m/>
    <m/>
  </r>
  <r>
    <n v="1295"/>
    <x v="0"/>
    <x v="475"/>
    <d v="1899-12-30T07:31:44"/>
    <n v="15299"/>
    <x v="3"/>
    <x v="1"/>
    <n v="1046"/>
    <n v="35214500038730"/>
    <s v="Casa/Tanger"/>
    <n v="7.3209999999999997"/>
    <x v="2"/>
    <s v="N2"/>
    <x v="1"/>
    <s v="Selon notre analyse, nous avons constaté que le HO est Non finalise  entre 303 et 202,les conditions radio étaient mauvaises avant la déconnexion,La requete de deconnexion a ete envoyé par le bord avec retransmission des trames HDLC "/>
    <s v="Les derniers résultats de la vérification chaine antennaire conformes_x000a_Présence d'interférences externes  au niveau du GSMR_02/03_x000a_Probléme GSMR"/>
    <x v="0"/>
    <s v="En attente de mise en place des tiroirs filtrés "/>
    <s v=" HO Non finalisé entre 303 et 202"/>
    <s v="dl Rxqual=7"/>
    <s v="dl rx level=-67"/>
    <s v="OK"/>
    <s v="OK"/>
    <s v="Mauvais"/>
    <s v=" Retransmission des trames HDLC*5"/>
    <m/>
    <s v="ISMALI ALAOUI Hamza"/>
    <m/>
    <m/>
    <m/>
    <m/>
    <m/>
    <m/>
    <m/>
  </r>
  <r>
    <n v="1296"/>
    <x v="0"/>
    <x v="475"/>
    <d v="1899-12-30T19:32:07"/>
    <n v="2053"/>
    <x v="0"/>
    <x v="0"/>
    <n v="1037"/>
    <n v="35214500045461"/>
    <s v="Casa/Tanger"/>
    <n v="126.51"/>
    <x v="6"/>
    <s v="N2"/>
    <x v="1"/>
    <s v="Selon notre analyse, nous avons constaté que le HO est Non finalise  entre 222 et 323,les conditions radio étaient mauvaises avant la déconnexion,La requete de deconnexion a ete envoyé par le bord avec retransmission des trames HDLC "/>
    <s v="Les derniers résultats de la vérification chaine antennaire conformes "/>
    <x v="1"/>
    <s v="En attente d'un plan d'action optim"/>
    <s v=" HO Non finalisé entre 222 et 323"/>
    <s v="dl Rxqual=7"/>
    <s v="dl rx level=-82"/>
    <s v="OK"/>
    <s v="OK"/>
    <s v="Mauvais"/>
    <s v=" Retransmission des trames HDLC*5"/>
    <m/>
    <s v="Nassim NAJIM"/>
    <m/>
    <m/>
    <m/>
    <m/>
    <m/>
    <m/>
    <m/>
  </r>
  <r>
    <n v="1297"/>
    <x v="0"/>
    <x v="476"/>
    <d v="1899-12-30T11:05:30"/>
    <n v="2021"/>
    <x v="11"/>
    <x v="0"/>
    <n v="1050"/>
    <n v="35214500045357"/>
    <s v="Tanger/Casa"/>
    <n v="6.13"/>
    <x v="2"/>
    <s v="N2"/>
    <x v="0"/>
    <s v="Selon notre analyse, nous avons constaté que le HO est complet entre 303 et 302,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HO complet entre 303 et 302"/>
    <s v="dl Rxqual=7"/>
    <s v="dl rx level=-69"/>
    <s v="OK"/>
    <s v="OK"/>
    <s v="Mauvais"/>
    <s v=" Retransmission des trames HDLC*5"/>
    <m/>
    <s v="Noura MOUSSAOUI"/>
    <m/>
    <m/>
    <m/>
    <m/>
    <m/>
    <m/>
    <m/>
  </r>
  <r>
    <n v="1298"/>
    <x v="0"/>
    <x v="477"/>
    <d v="1899-12-30T06:35:41"/>
    <n v="15299"/>
    <x v="3"/>
    <x v="1"/>
    <n v="1046"/>
    <n v="35214500038730"/>
    <s v="Casa/Tanger"/>
    <n v="152.488"/>
    <x v="18"/>
    <s v="N2"/>
    <x v="0"/>
    <s v="Selon notre analyse, nous avons constaté que le HO est Non finalisé  entre 327 et 326,les conditions radio étaient mauvaises avant la déconnexion,La requete de deconnexion a ete envoyé par le RBC /Pas de  retransmission des trames HDLC "/>
    <s v="Les derniers résultats de la vérification chaine antennaire conformes"/>
    <x v="1"/>
    <s v="En attente d'un plan d'action optim"/>
    <s v=" HO Non finalisé entre 327 et 326"/>
    <s v="dl Rxqual=7"/>
    <s v="dl rx level=-58"/>
    <s v="NOK"/>
    <s v="OK"/>
    <s v="Mauvais"/>
    <s v=" Pas Retransmission des trames HDLC"/>
    <m/>
    <s v="ELHAJOUIA Achraf"/>
    <m/>
    <m/>
    <m/>
    <m/>
    <m/>
    <m/>
    <m/>
  </r>
  <r>
    <n v="1299"/>
    <x v="0"/>
    <x v="477"/>
    <d v="1899-12-30T18:28:25"/>
    <n v="2049"/>
    <x v="9"/>
    <x v="0"/>
    <n v="1052"/>
    <n v="35214500043740"/>
    <s v="Tanger/Casa"/>
    <n v="108.206"/>
    <x v="1"/>
    <s v="N2"/>
    <x v="0"/>
    <s v="Selon notre analyse, nous avons constaté que le HO est complet entre 219 et 320,les conditions radio étaient mauvaises avant la déconnexion,La requete de deconnexion a ete envoyé par le RBC avec retransmission des trames HDLC "/>
    <s v="Les derniers résultats de la vérification chaine antennaire conformes"/>
    <x v="1"/>
    <s v="En attente d'un plan d'action optim"/>
    <s v="HO complet entre 219 et 320"/>
    <s v="dl Rxqual=7"/>
    <s v="dl rx level=-60"/>
    <s v="OK"/>
    <s v="OK"/>
    <s v="Mauvais"/>
    <s v=" Retransmission des trames HDLC*5"/>
    <m/>
    <s v="Saad Elhabib"/>
    <m/>
    <m/>
    <m/>
    <m/>
    <m/>
    <m/>
    <m/>
  </r>
  <r>
    <n v="1300"/>
    <x v="0"/>
    <x v="478"/>
    <d v="1899-12-30T10:05:30"/>
    <n v="2017"/>
    <x v="10"/>
    <x v="0"/>
    <n v="1057"/>
    <n v="35214500045187"/>
    <s v="Tanger/Casa"/>
    <n v="6.13"/>
    <x v="2"/>
    <s v="N2"/>
    <x v="0"/>
    <s v="Selon notre analyse, nous avons constaté que le HO est complet entre 302 et 203,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HO complet entre 302 et 203"/>
    <s v="dl Rxqual=6"/>
    <s v="dl rx level=-74"/>
    <s v="OK"/>
    <s v="OK"/>
    <s v="Mauvais"/>
    <s v=" Retransmission des trames HDLC*5"/>
    <m/>
    <s v="Noura MOUSSAOUI"/>
    <m/>
    <m/>
    <m/>
    <m/>
    <m/>
    <m/>
    <m/>
  </r>
  <r>
    <n v="1301"/>
    <x v="0"/>
    <x v="479"/>
    <s v="09:45:57 "/>
    <n v="2010"/>
    <x v="11"/>
    <x v="1"/>
    <n v="1052"/>
    <n v="35214500045424"/>
    <s v="Casa/Tanger"/>
    <n v="113.321"/>
    <x v="17"/>
    <s v="N2"/>
    <x v="0"/>
    <s v="Selon notre analyse, nous avons constaté que le HO est complet entre 321 et 320 ,les conditions radio étaient bonnes  avant la déconnexion,La requete de deconnexion a ete envoyé par le bord sans retransmission des trames"/>
    <m/>
    <x v="10"/>
    <s v="Besoin de pousser les analyses coté Bord"/>
    <s v="HO complet entre 321 et 320"/>
    <s v="dl Rxqual=0"/>
    <s v="dl rx level=-48"/>
    <s v="OK"/>
    <s v="OK"/>
    <s v="Mauvais"/>
    <s v=" Retransmission des trames HDLC*5"/>
    <m/>
    <s v="HARIRI Bahaeddine"/>
    <m/>
    <m/>
    <m/>
    <m/>
    <m/>
    <m/>
    <m/>
  </r>
  <r>
    <n v="1302"/>
    <x v="0"/>
    <x v="480"/>
    <s v="06:05:14 "/>
    <n v="2001"/>
    <x v="9"/>
    <x v="0"/>
    <n v="1053"/>
    <n v="35214500046011"/>
    <s v="Tanger/Casa"/>
    <n v="6.13"/>
    <x v="2"/>
    <s v="N2"/>
    <x v="0"/>
    <s v="Selon notre analyse, nous avons constaté que le  HO non finalisé entre 202 et 203,les conditions radio étaient mauvaises avant la déconnexion,La requete de deconnexion a ete envoyé par le RBC sans retransmission des trames HDLC "/>
    <s v="Les derniers résultats de la vérification chaine antennaire conformes_x000a_Présence d'interférences externes  au niveau du GSMR_02/03_x000a_Probléme GSMR"/>
    <x v="0"/>
    <s v="En attente de mise en place des tiroirs filtrés "/>
    <s v=" HO  non finalisé entre 202 et 203"/>
    <s v="dl Rxqual=0"/>
    <s v="dl rx level=-57"/>
    <s v="OK"/>
    <s v="OK"/>
    <s v="Mauvais"/>
    <s v=" Pas Retransmission des trames HDLC"/>
    <m/>
    <s v="Fahd OUSSALH"/>
    <m/>
    <m/>
    <m/>
    <m/>
    <m/>
    <m/>
    <m/>
  </r>
  <r>
    <n v="1303"/>
    <x v="0"/>
    <x v="480"/>
    <d v="1899-12-30T17:04:42"/>
    <n v="1037"/>
    <x v="9"/>
    <x v="1"/>
    <n v="1034"/>
    <n v="35214500043605"/>
    <s v="Casa/Tanger"/>
    <n v="7.3209999999999997"/>
    <x v="2"/>
    <s v="N2"/>
    <x v="0"/>
    <s v="Selon notre analyse, nous avons constaté que le  HO non finalisé entre 302 et 203,les conditions radio étaient mauvaises avant la déconnexion,La requete de deconnexion a ete envoyé par le RBC sans retransmission des trames HDLC "/>
    <s v="Les derniers résultats de la vérification chaine antennaire conformes_x000a_Présence d'interférences externes  au niveau du GSMR_02/03_x000a_Probléme GSMR"/>
    <x v="0"/>
    <s v="En attente de mise en place des tiroirs filtrés "/>
    <s v=" HO  non finalisé entre 302 et 203"/>
    <s v="dl Rxqual=7"/>
    <s v="dl rx level=-49"/>
    <s v="NOK"/>
    <s v="OK"/>
    <s v="Mauvais"/>
    <s v=" Retransmission des trames HDLC*5"/>
    <m/>
    <s v="Saad Elhabib"/>
    <m/>
    <m/>
    <m/>
    <m/>
    <m/>
    <m/>
    <m/>
  </r>
  <r>
    <n v="1304"/>
    <x v="0"/>
    <x v="480"/>
    <d v="1899-12-30T22:21:05"/>
    <n v="10081"/>
    <x v="5"/>
    <x v="0"/>
    <n v="1024"/>
    <n v="35214500045122"/>
    <s v="Tanger/Casa"/>
    <n v="73.585999999999999"/>
    <x v="13"/>
    <s v="N2"/>
    <x v="0"/>
    <s v="Selon notre analyse, nous avons constaté que le  HO non finalisé entre 212 et 213,les conditions radio étaient mauvaises avant la déconnexion,La requete de deconnexion a ete envoyé par le RBC avec retransmission des trames HDLC "/>
    <s v="Les derniers résultats de la vérification chaine antennaire conformes"/>
    <x v="1"/>
    <s v="En attente d'un plan d'action optim"/>
    <s v=" HO  non finalisé entre 212 et 213"/>
    <s v="dl Rxqual=7"/>
    <s v="dl rx level=-70"/>
    <s v="OK"/>
    <s v="OK"/>
    <s v="Mauvais"/>
    <s v=" Retransmission des trames HDLC*5"/>
    <m/>
    <s v="Fahd OUSSALH"/>
    <m/>
    <m/>
    <m/>
    <m/>
    <m/>
    <m/>
    <m/>
  </r>
  <r>
    <n v="1305"/>
    <x v="0"/>
    <x v="480"/>
    <d v="1899-12-30T22:28:46"/>
    <n v="10081"/>
    <x v="5"/>
    <x v="0"/>
    <n v="1025"/>
    <n v="35214500045073"/>
    <s v="Tanger/Casa"/>
    <n v="108.206"/>
    <x v="1"/>
    <s v="N2"/>
    <x v="0"/>
    <s v="Selon notre analyse, nous avons constaté que le  HO non finalisé entre 219 et 220,les conditions radio étaient mauvaises avant la déconnexion,La requete de deconnexion a ete envoyé par le bord avec retransmission des trames HDLC "/>
    <s v="Les derniers résultats de la vérification chaine antennaire conformes"/>
    <x v="1"/>
    <s v="En attente d'un plan d'action optim"/>
    <s v=" HO  non finalisé entre 219 et 220"/>
    <s v="dl Rxqual=3"/>
    <s v="dl rx level=-67"/>
    <s v="OK"/>
    <s v="OK"/>
    <s v="Mauvais"/>
    <s v=" Retransmission des trames HDLC*5"/>
    <m/>
    <s v="Fahd OUSSALH"/>
    <m/>
    <m/>
    <m/>
    <m/>
    <m/>
    <m/>
    <m/>
  </r>
  <r>
    <n v="1306"/>
    <x v="0"/>
    <x v="481"/>
    <d v="1899-12-30T05:09:53"/>
    <n v="15297"/>
    <x v="7"/>
    <x v="0"/>
    <n v="1025"/>
    <n v="35214500022752"/>
    <s v="Tanger/Casa"/>
    <n v="90.108000000000004"/>
    <x v="12"/>
    <s v="N2"/>
    <x v="0"/>
    <s v="Selon notre analyse, nous avons constaté que le  HO non finalisé entre 217 et316,les conditions radio étaient mauvaises avant la déconnexion,La requete de deconnexion a ete envoyé par le bord sans retransmission des trames HDLC "/>
    <s v="Les derniers résultats de la vérification chaine antennaire conformes"/>
    <x v="1"/>
    <s v="En attente d'un plan d'action optim"/>
    <s v=" HO  non finalisé entre 217 et 316"/>
    <s v="dl Rxqual=5"/>
    <s v="dl rx level=-60"/>
    <s v="OK"/>
    <s v="OK"/>
    <s v="Mauvais"/>
    <s v=" Pas Retransmission des trames HDLC"/>
    <m/>
    <s v="Fahd OUSSALH"/>
    <m/>
    <m/>
    <m/>
    <m/>
    <m/>
    <m/>
    <m/>
  </r>
  <r>
    <n v="1307"/>
    <x v="0"/>
    <x v="481"/>
    <d v="1899-12-30T09:28:11"/>
    <n v="2013"/>
    <x v="7"/>
    <x v="0"/>
    <n v="1055"/>
    <n v="35214500036582"/>
    <s v="Tanger/Casa"/>
    <n v="108.206"/>
    <x v="1"/>
    <s v="N2"/>
    <x v="0"/>
    <s v="Selon notre analyse, nous avons constaté que le HO  non finalisé entre 219 et 320,les conditions radio étaient mauvaises avant la déconnexion,La requete de deconnexion a ete envoyé par le bord sans retransmission des trames HDLC "/>
    <s v="Les derniers résultats de la vérification chaine antennaire conformes"/>
    <x v="1"/>
    <s v="En attente d'un plan d'action optim"/>
    <s v=" HO  non finalisé entre 219 et 320"/>
    <s v="dl Rxqual=8"/>
    <s v="dl rx level=-87"/>
    <s v="OK"/>
    <s v="OK"/>
    <s v="Mauvais"/>
    <s v=" Pas Retransmission des trames HDLC"/>
    <m/>
    <s v="Noura MOUSSAOUI"/>
    <m/>
    <m/>
    <m/>
    <m/>
    <m/>
    <m/>
    <m/>
  </r>
  <r>
    <n v="1308"/>
    <x v="0"/>
    <x v="482"/>
    <d v="1899-12-30T05:04:53"/>
    <n v="15297"/>
    <x v="9"/>
    <x v="0"/>
    <n v="1052"/>
    <n v="35214500043740"/>
    <s v="Tanger/Casa"/>
    <n v="78.155000000000001"/>
    <x v="11"/>
    <s v="N2"/>
    <x v="1"/>
    <s v="Selon notre analyse, nous avons constaté que le HO complet entre 213 et 214,les conditions radio étaient bonne avant la déconnexion,La requete de deconnexion a ete envoyé par le RBC sans retransmission des trames HDLC "/>
    <s v="Les derniers résultats de la vérification chaine antennaire conformes"/>
    <x v="3"/>
    <s v="En attente de pousser les analyses coté RBC"/>
    <s v=" HO  Complete entre 213 et 214"/>
    <s v="dl Rxqual=0"/>
    <s v="dl rx level=-57"/>
    <s v="OK"/>
    <s v="OK"/>
    <s v="Mauvais"/>
    <s v=" Pas Retransmission des trames HDLC"/>
    <m/>
    <s v="MAROUANI Otmane"/>
    <m/>
    <m/>
    <m/>
    <m/>
    <m/>
    <m/>
    <m/>
  </r>
  <r>
    <n v="1309"/>
    <x v="0"/>
    <x v="482"/>
    <d v="1899-12-30T16:26:24"/>
    <n v="2041"/>
    <x v="4"/>
    <x v="0"/>
    <n v="1058"/>
    <n v="35214500044293"/>
    <s v="Tanger/Casa"/>
    <n v="95.013999999999996"/>
    <x v="8"/>
    <s v="N2"/>
    <x v="0"/>
    <s v="Selon notre analyse, nous avons constaté que le HO  non finalisé entre 217 et 318,les conditions radio étaient mauvaises avant la déconnexion,La requete de deconnexion a ete envoyé par le bord avec retransmission des trames HDLC "/>
    <s v="Les derniers résultats de la vérification chaine antennaire conformes"/>
    <x v="1"/>
    <s v="En attente d'un plan d'action optim"/>
    <s v=" HO  non finalisé entre 217 et 318"/>
    <s v="dl Rxqual=4"/>
    <s v="dl rx level=-82"/>
    <s v="OK"/>
    <s v="NOK"/>
    <s v="Mauvais"/>
    <s v=" Retransmission des trames HDLC*5"/>
    <m/>
    <s v="Saad Elhabib"/>
    <m/>
    <m/>
    <m/>
    <m/>
    <m/>
    <m/>
    <m/>
  </r>
  <r>
    <n v="1310"/>
    <x v="0"/>
    <x v="482"/>
    <d v="1899-12-30T16:26:24"/>
    <n v="2041"/>
    <x v="4"/>
    <x v="0"/>
    <n v="1058"/>
    <n v="35214500044293"/>
    <s v="Tanger/Casa"/>
    <n v="95.013999999999996"/>
    <x v="8"/>
    <s v="N2"/>
    <x v="0"/>
    <s v="Selon notre analyse, nous avons constaté que le HO  non finalisé entre 217 et 318,les conditions radio étaient mauvaises avant la déconnexion,La requete de deconnexion a ete envoyé par le bord avec retransmission des trames HDLC "/>
    <s v="Les derniers résultats de la vérification chaine antennaire conformes"/>
    <x v="1"/>
    <s v="En attente d'un plan d'action optim"/>
    <s v=" HO  non finalisé entre 217 et 318"/>
    <s v="dl Rxqual=4"/>
    <s v="dl rx level=-82"/>
    <s v="OK"/>
    <s v="NOK"/>
    <s v="Mauvais"/>
    <s v=" Retransmission des trames HDLC*5"/>
    <m/>
    <s v="Saad Elhabib"/>
    <m/>
    <m/>
    <m/>
    <m/>
    <m/>
    <m/>
    <m/>
  </r>
  <r>
    <n v="1311"/>
    <x v="0"/>
    <x v="483"/>
    <d v="1899-12-30T10:35:40"/>
    <n v="2017"/>
    <x v="7"/>
    <x v="0"/>
    <n v="1055"/>
    <m/>
    <s v="Tanger/Casa"/>
    <n v="144.32599999999999"/>
    <x v="3"/>
    <s v="N2"/>
    <x v="1"/>
    <s v="Selon notre analyse, nous avons constaté que le HO  complet entre 224 et 225,les conditions radio étaient bonnes avant la déconnexion,La requete de deconnexion a ete envoyé par le RBC sans retransmission des trames HDLC "/>
    <m/>
    <x v="3"/>
    <s v="En attente de pousser les analyses coté RBC"/>
    <s v=" HO complet entre 224 et 225"/>
    <s v="dl Rxqual=2"/>
    <s v="dl rx level=-68"/>
    <s v="OK"/>
    <s v="OK"/>
    <s v="Mauvais"/>
    <s v=" Pas Retransmission des trames HDLC"/>
    <m/>
    <s v="Noura MOUSSAOUI"/>
    <m/>
    <m/>
    <m/>
    <m/>
    <m/>
    <m/>
    <m/>
  </r>
  <r>
    <n v="1312"/>
    <x v="0"/>
    <x v="483"/>
    <d v="1899-12-30T19:28:55"/>
    <n v="1049"/>
    <x v="11"/>
    <x v="1"/>
    <n v="1020"/>
    <m/>
    <s v="Casa/Tanger"/>
    <n v="177.85"/>
    <x v="4"/>
    <s v="N2"/>
    <x v="0"/>
    <s v="Selon notre analyse, nous avons constaté que le HO  complet entre 231 et 329,les conditions radio étaient mauvais avant la déconnexion,La requete de deconnexion a ete envoyé par le RBC avec retransmission des trames HDLC "/>
    <m/>
    <x v="1"/>
    <s v="En attente d'un plan d'action optim"/>
    <s v=" HO complet entre 231 et 329"/>
    <s v="dl Rxqual=6"/>
    <s v="dl rx level=-63"/>
    <s v="OK"/>
    <s v="OK"/>
    <s v="Mauvais"/>
    <s v=" Retransmission des trames HDLC*5"/>
    <m/>
    <s v="Fahd OUSSALH"/>
    <m/>
    <m/>
    <m/>
    <m/>
    <m/>
    <m/>
    <m/>
  </r>
  <r>
    <n v="1313"/>
    <x v="0"/>
    <x v="483"/>
    <d v="1899-12-30T21:55:35"/>
    <n v="1058"/>
    <x v="2"/>
    <x v="1"/>
    <n v="1061"/>
    <m/>
    <s v="Casa/Tanger"/>
    <n v="94.953999999999994"/>
    <x v="8"/>
    <s v="N2"/>
    <x v="0"/>
    <s v="Selon notre analyse, nous avons constaté que le HO  non finalisé entre 217 et 318,les conditions radio étaient mauvaises avant la déconnexion,La requete de deconnexion a ete envoyé par le bord avec retransmission des trames HDLC "/>
    <s v="Aucune anomalie constatée suite à l’analyse du relevé JRU Présence d'interférences externes"/>
    <x v="1"/>
    <s v="En attente d'un plan d'action optim"/>
    <s v=" HO  non finalisé entre 318 et 217"/>
    <s v="dl Rxqual=6"/>
    <s v="dl rx level=-78"/>
    <s v="OK"/>
    <s v="OK"/>
    <s v="Mauvais"/>
    <s v=" Retransmission des trames HDLC*5"/>
    <m/>
    <s v="HARIRI Bahaeddine"/>
    <m/>
    <m/>
    <m/>
    <m/>
    <m/>
    <m/>
    <m/>
  </r>
  <r>
    <n v="1314"/>
    <x v="0"/>
    <x v="484"/>
    <d v="1899-12-30T16:46:23"/>
    <n v="2041"/>
    <x v="11"/>
    <x v="1"/>
    <n v="1061"/>
    <m/>
    <s v="Casa/Tanger"/>
    <n v="94.953999999999994"/>
    <x v="8"/>
    <s v="N2"/>
    <x v="0"/>
    <s v="Selon notre analyse, nous avons constaté que le HO  non finalisé entre  318et 217 ,les conditions radio étaient mauvaises avant la déconnexion,La requete de deconnexion a ete envoyé par le bord avec retransmission des trames HDLC "/>
    <s v="Aucune anomalie constatée suite à l’analyse du relevé JRU Présence d'interférences externes"/>
    <x v="1"/>
    <s v="En attente d'un plan d'action optim"/>
    <s v=" HO  non finalisé entre 318 et 217"/>
    <s v="dl Rxqual=0"/>
    <s v="dl rx level=-61"/>
    <s v="OK"/>
    <s v="OK"/>
    <s v="Mauvais"/>
    <s v=" Retransmission des trames HDLC*5"/>
    <m/>
    <s v="Fahd OUSSALH"/>
    <m/>
    <m/>
    <m/>
    <m/>
    <m/>
    <m/>
    <m/>
  </r>
  <r>
    <n v="1315"/>
    <x v="0"/>
    <x v="485"/>
    <d v="1899-12-30T16:05:58"/>
    <n v="1033"/>
    <x v="1"/>
    <x v="1"/>
    <n v="1061"/>
    <m/>
    <s v="Casa/Tanger"/>
    <n v="7.3209999999999997"/>
    <x v="2"/>
    <s v="N2"/>
    <x v="1"/>
    <s v="Selon notre analyse, nous avons constaté que le HO  non finalisé entre  303 et 302,les conditions radio étaient mauvaises avant la déconnexion,La requete de deconnexion a ete envoyé par le RBC, sans retransmission des trames HDLC "/>
    <m/>
    <x v="0"/>
    <s v="En attente de mise en place des tiroirs filtrés "/>
    <s v=" HO  non finalisé entre 303 et 302"/>
    <s v="dl Rxqual=6"/>
    <s v="dl rx level=-54"/>
    <s v="NOK"/>
    <s v="OK"/>
    <s v="Mauvais"/>
    <s v="Pas de  Retransmission des trames HDLC"/>
    <m/>
    <s v="ELGUEZZAR Anas"/>
    <m/>
    <m/>
    <m/>
    <m/>
    <m/>
    <m/>
    <m/>
  </r>
  <r>
    <n v="1316"/>
    <x v="0"/>
    <x v="485"/>
    <d v="1899-12-30T20:05:44"/>
    <n v="1049"/>
    <x v="9"/>
    <x v="1"/>
    <n v="1061"/>
    <m/>
    <s v="Casa/Tanger"/>
    <n v="7.3209999999999997"/>
    <x v="2"/>
    <s v="N2"/>
    <x v="1"/>
    <s v="Selon notre analyse, nous avons constaté que le HO  Complete entre 203 et 202 ,les conditions radio étaient bonne avant la déconnexion,La requete de deconnexion a ete envoyé par le RBC avec retransmission des trames HDLC "/>
    <m/>
    <x v="0"/>
    <s v="En attente de mise en place des tiroirs filtrés "/>
    <s v=" HO  complet entre 203 et 202"/>
    <s v="dl Rxqual=0"/>
    <s v="dl rx level=-110"/>
    <s v="OK"/>
    <s v="OK"/>
    <s v="Mauvais"/>
    <s v="retransmission des trames HDLC*5"/>
    <m/>
    <s v="ELGUEZZAR Anas"/>
    <m/>
    <m/>
    <m/>
    <m/>
    <m/>
    <m/>
    <m/>
  </r>
  <r>
    <n v="1317"/>
    <x v="0"/>
    <x v="485"/>
    <d v="1899-12-30T21:04:49"/>
    <n v="1054"/>
    <x v="2"/>
    <x v="1"/>
    <n v="1053"/>
    <m/>
    <s v="Casa/Tanger"/>
    <n v="7.3209999999999997"/>
    <x v="2"/>
    <s v="N2"/>
    <x v="0"/>
    <s v="Selon notre analyse, nous avons constaté que le HO  non finalisé entre  303 et 202 ,les conditions radio étaient mauvaises avant la déconnexion,La requete de deconnexion a ete envoyé par le bord avec retransmission des trames HDLC "/>
    <m/>
    <x v="0"/>
    <s v="En attente de mise en place des tiroirs filtrés "/>
    <s v=" HO  non finalisé entre 202 et 203"/>
    <s v="dl Rxqual=7"/>
    <s v="dl rx level=-65"/>
    <s v="OK"/>
    <s v="OK"/>
    <s v="Mauvais"/>
    <s v=" Retransmission des trames HDLC*5"/>
    <m/>
    <s v="HARIRI Bahaeddine"/>
    <m/>
    <m/>
    <m/>
    <m/>
    <m/>
    <m/>
    <m/>
  </r>
  <r>
    <n v="1318"/>
    <x v="0"/>
    <x v="485"/>
    <d v="1899-12-30T21:21:44"/>
    <n v="2061"/>
    <x v="7"/>
    <x v="0"/>
    <n v="1053"/>
    <m/>
    <s v="Tanger/Casa"/>
    <n v="73.585999999999999"/>
    <x v="13"/>
    <s v="N2"/>
    <x v="0"/>
    <s v="Selon notre analyse, nous avons constaté que le  HO  finalisé entre 212 et 213,les conditions radio étaient mauvaises avant la déconnexion,La requete de deconnexion a ete envoyé par le RBC avec retransmission des trames HDLC "/>
    <m/>
    <x v="1"/>
    <s v="En attente d'un plan d'action optim"/>
    <s v=" HO   finalisé entre 212 et 213"/>
    <s v="dl Rxqual=7"/>
    <s v="dl rx level=-69"/>
    <s v="OK"/>
    <s v="OK"/>
    <s v="Mauvais"/>
    <s v=" Retransmission des trames HDLC*5"/>
    <m/>
    <s v="HARIRI Bahaeddine"/>
    <m/>
    <m/>
    <m/>
    <m/>
    <m/>
    <m/>
    <m/>
  </r>
  <r>
    <n v="1319"/>
    <x v="0"/>
    <x v="486"/>
    <d v="1899-12-30T07:28:14"/>
    <n v="2005"/>
    <x v="1"/>
    <x v="0"/>
    <n v="1054"/>
    <m/>
    <s v="Tanger/Casa"/>
    <n v="108.206"/>
    <x v="1"/>
    <s v="N2"/>
    <x v="0"/>
    <s v="Selon notre analyse, nous avons constaté que le  HO  finalisé entre 219 et 220,les conditions radio étaient mauvaises avant la déconnexion,La requete de deconnexion a ete envoyé par le bord avec retransmission des trames HDLC "/>
    <m/>
    <x v="1"/>
    <s v="En attente d'un plan d'action optim"/>
    <s v=" HO   finalisé entre 219 et 220"/>
    <s v="dl Rxqual=7"/>
    <s v="dl rx level=-82"/>
    <s v="OK"/>
    <s v="OK"/>
    <s v="Mauvais"/>
    <s v=" Retransmission des trames HDLC*5"/>
    <m/>
    <s v="HARIRI Bahaeddine"/>
    <m/>
    <m/>
    <m/>
    <m/>
    <m/>
    <m/>
    <m/>
  </r>
  <r>
    <n v="1320"/>
    <x v="0"/>
    <x v="486"/>
    <s v=" 10:15:10"/>
    <n v="2017"/>
    <x v="11"/>
    <x v="0"/>
    <m/>
    <m/>
    <s v="Tanger/Casa"/>
    <n v="47.127000000000002"/>
    <x v="16"/>
    <s v="N2"/>
    <x v="0"/>
    <s v="Selon notre analyse, nous avons constaté que le  HO  finalisé entre 208 et 209,les conditions radio étaient bonnes avant la déconnexion,La requete de deconnexion a ete envoyé par le RBC avec retransmission des trames HDLC "/>
    <m/>
    <x v="1"/>
    <s v="En attente d'un plan d'action optim"/>
    <s v="HO non finalisé entre 208 et 209"/>
    <s v="dl Rxqual=0"/>
    <s v="dl rx level=-77"/>
    <s v="NOK"/>
    <s v="OK"/>
    <s v="Mauvais"/>
    <s v=" Retransmission des trames HDLC*5"/>
    <m/>
    <s v="Noura MOUSSAOUI"/>
    <m/>
    <m/>
    <m/>
    <m/>
    <m/>
    <m/>
    <m/>
  </r>
  <r>
    <n v="1321"/>
    <x v="0"/>
    <x v="486"/>
    <s v=" 15:39:53"/>
    <n v="1033"/>
    <x v="9"/>
    <x v="1"/>
    <m/>
    <m/>
    <s v="Casa/Tanger"/>
    <n v="127.815"/>
    <x v="6"/>
    <s v="N2"/>
    <x v="0"/>
    <s v="Selon notre analyse, nous avons constaté que le  HO  finalisé entre 323 et 322,les conditions radio étaient bonnes avant la déconnexion,La requete de deconnexion a ete envoyé par le RBC avec retransmission des trames HDLC "/>
    <m/>
    <x v="1"/>
    <s v="En attente d'un plan d'action optim"/>
    <s v="HO non finalisé entre 323 et 322"/>
    <s v="dl Rxqual=1"/>
    <s v="dl rx level=-75"/>
    <s v="NOK"/>
    <s v="OK"/>
    <s v="Mauvais"/>
    <s v=" Retransmission des trames HDLC*5"/>
    <m/>
    <s v="Noura MOUSSAOUI"/>
    <m/>
    <m/>
    <m/>
    <m/>
    <m/>
    <m/>
    <m/>
  </r>
  <r>
    <n v="1322"/>
    <x v="0"/>
    <x v="487"/>
    <d v="1899-12-30T08:55:41"/>
    <n v="1005"/>
    <x v="0"/>
    <x v="1"/>
    <m/>
    <m/>
    <s v="Casa/Tanger"/>
    <n v="48.426000000000002"/>
    <x v="16"/>
    <s v="N2"/>
    <x v="0"/>
    <s v="Selon notre analyse, nous avons constaté que le  HO  finalisé entre 309 et 308,les conditions radio étaient bonnes avant la déconnexion,La requete de deconnexion a ete envoyé par le Bord avec retransmission des trames HDLC "/>
    <m/>
    <x v="1"/>
    <s v="En attente d'un plan d'action optim"/>
    <s v="HO non finalisé entre 309 et 308"/>
    <s v="dl Rxqual=0"/>
    <s v="dl rx level=-70"/>
    <s v="NOK"/>
    <s v="OK"/>
    <s v="Mauvais"/>
    <s v=" Retransmission des trames HDLC*5"/>
    <m/>
    <s v="Noura MOUSSAOUI"/>
    <m/>
    <m/>
    <m/>
    <m/>
    <m/>
    <m/>
    <m/>
  </r>
  <r>
    <n v="1323"/>
    <x v="0"/>
    <x v="488"/>
    <d v="1899-12-30T20:20:29"/>
    <n v="2057"/>
    <x v="3"/>
    <x v="0"/>
    <m/>
    <m/>
    <s v="Tanger/Casa"/>
    <n v="73.585999999999999"/>
    <x v="0"/>
    <s v="N2"/>
    <x v="0"/>
    <s v="Selon notre analyse, nous avons constaté que le  HO  finalisé entre 212 et 213,les conditions radio étaient mauvaises avant la déconnexion,La requete de deconnexion a ete envoyé par le RBC avec retransmission des trames HDLC "/>
    <m/>
    <x v="1"/>
    <s v="En attente d'un plan d'action optim"/>
    <s v=" HO  finalisé entre 212 et 213"/>
    <s v="dl Rxqual=7"/>
    <s v="dl rx level=-74"/>
    <s v="NOK"/>
    <s v="OK"/>
    <s v="Mauvais"/>
    <s v=" Retransmission des trames HDLC*5"/>
    <m/>
    <s v="Saad Elhabib"/>
    <m/>
    <m/>
    <m/>
    <m/>
    <m/>
    <m/>
    <m/>
  </r>
  <r>
    <n v="1324"/>
    <x v="0"/>
    <x v="489"/>
    <d v="1899-12-30T15:36:46"/>
    <n v="2037"/>
    <x v="10"/>
    <x v="0"/>
    <m/>
    <m/>
    <s v="Tanger/Casa"/>
    <n v="153.68600000000001"/>
    <x v="18"/>
    <s v="N2"/>
    <x v="0"/>
    <s v="Selon notre analyse, nous avons constaté que le  HO non finalisé entre 226  et 227,les conditions radio étaient mauvaises avant la déconnexion,La requete de deconnexion a ete envoyé par le RBC avec retransmission des trames HDLC "/>
    <m/>
    <x v="1"/>
    <s v="En attente d'un plan d'action optim"/>
    <s v=" HO non finalisé entre 226 et 227"/>
    <s v="dl Rxqual=0"/>
    <s v="dl rx level=-71"/>
    <s v="NOK"/>
    <s v="OK"/>
    <s v="Mauvais"/>
    <s v=" Retransmission des trames HDLC*5"/>
    <m/>
    <s v="Noura MOUSSAOUI"/>
    <m/>
    <m/>
    <m/>
    <m/>
    <m/>
    <m/>
    <m/>
  </r>
  <r>
    <n v="1325"/>
    <x v="0"/>
    <x v="489"/>
    <d v="1899-12-30T21:47:19"/>
    <n v="1057"/>
    <x v="0"/>
    <x v="1"/>
    <n v="1061"/>
    <m/>
    <s v="Casa/Tanger"/>
    <n v="94.953999999999994"/>
    <x v="8"/>
    <s v="N2"/>
    <x v="0"/>
    <s v="Selon notre analyse, nous avons constaté que le HO  non finalisé entre 318 et 217,les conditions radio étaient mauvaises avant la déconnexion,La requete de deconnexion a ete envoyé par le bord avec retransmission des trames HDLC "/>
    <s v="Aucune anomalie constatée suite à l’analyse du relevé JRU Présence d'interférences externes"/>
    <x v="1"/>
    <s v="En attente d'un plan d'action optim"/>
    <s v=" HO  non finalisé entre 318 et 217"/>
    <s v="dl Rxqual=7"/>
    <s v="dl rx level=-79"/>
    <s v="OK"/>
    <s v="OK"/>
    <s v="Mauvais"/>
    <s v=" Retransmission des trames HDLC*5"/>
    <m/>
    <s v="Saad Elhabib"/>
    <m/>
    <m/>
    <m/>
    <m/>
    <m/>
    <m/>
    <m/>
  </r>
  <r>
    <n v="1326"/>
    <x v="0"/>
    <x v="490"/>
    <d v="1899-12-30T19:27:11"/>
    <n v="2053"/>
    <x v="1"/>
    <x v="0"/>
    <n v="1061"/>
    <m/>
    <s v="Tanger/Casa"/>
    <n v="108.206"/>
    <x v="1"/>
    <s v="N2"/>
    <x v="0"/>
    <s v="Selon notre analyse, nous avons constaté que le HO  non finalisé entre 219 et 320,les conditions radio étaient mauvaises avant la déconnexion,La requete de deconnexion a ete envoyé par le bord avec retransmission des trames HDLC "/>
    <s v="Les derniers résultats de la vérification chaine antennaire conformes "/>
    <x v="1"/>
    <s v="En attente d'un plan d'action optim"/>
    <s v=" HO  non finalisé entre 219 et 320"/>
    <s v="dl Rxqual=6"/>
    <s v="dl rx level=-81"/>
    <s v="OK"/>
    <s v="OK"/>
    <s v="Mauvais"/>
    <s v="Pas de  Retransmission des trames HDLC"/>
    <m/>
    <s v="HARIRI Bahaeddine"/>
    <m/>
    <m/>
    <m/>
    <m/>
    <m/>
    <m/>
    <m/>
  </r>
  <r>
    <n v="1327"/>
    <x v="0"/>
    <x v="490"/>
    <d v="1899-12-30T22:05:31"/>
    <n v="10081"/>
    <x v="4"/>
    <x v="0"/>
    <m/>
    <m/>
    <s v="Tanger/Casa"/>
    <n v="6.13"/>
    <x v="2"/>
    <s v="N2"/>
    <x v="1"/>
    <s v="Selon notre analyse, nous avons constaté que le HO  Complete entre 301 et 302 ,les conditions radio étaient mauvais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s filtrés "/>
    <s v=" HO  Complet entre 301 et 302"/>
    <s v="dl Rxqual=7"/>
    <s v="dl rx level=-59"/>
    <s v="OK"/>
    <s v="OK"/>
    <s v="Mauvais"/>
    <s v=" Retransmission des trames HDLC*5"/>
    <m/>
    <s v="ISMALI ALAOUI Hamza"/>
    <m/>
    <m/>
    <m/>
    <m/>
    <m/>
    <m/>
    <m/>
  </r>
  <r>
    <n v="1328"/>
    <x v="0"/>
    <x v="490"/>
    <d v="1899-12-30T22:32:15"/>
    <n v="10081"/>
    <x v="4"/>
    <x v="0"/>
    <n v="1063"/>
    <m/>
    <s v="Tanger/Casa"/>
    <n v="108.206"/>
    <x v="1"/>
    <s v="N2"/>
    <x v="0"/>
    <s v="Selon notre analyse, nous avons constaté que le HO  non finalisé entre 219 et 320,les conditions radio étaient mauvaises avant la déconnexion,La requete de deconnexion a ete envoyé par le bord avec retransmission des trames HDLC "/>
    <s v="Les derniers résultats de la vérification chaine antennaire conformes "/>
    <x v="1"/>
    <s v="En attente d'un plan d'action optim"/>
    <s v=" HO  non finalisé entre 219 et 320"/>
    <s v="dl Rxqual=7"/>
    <s v="dl rx level=-79"/>
    <s v="OK"/>
    <s v="OK"/>
    <s v="Mauvais"/>
    <s v=" Retransmission des trames HDLC*5"/>
    <m/>
    <s v="ELHAJOUIA Achraf"/>
    <m/>
    <m/>
    <m/>
    <m/>
    <m/>
    <m/>
    <m/>
  </r>
  <r>
    <n v="1329"/>
    <x v="0"/>
    <x v="491"/>
    <d v="1899-12-30T19:06:12"/>
    <n v="1046"/>
    <x v="5"/>
    <x v="1"/>
    <m/>
    <m/>
    <s v="Casa/Tanger"/>
    <n v="7.3209999999999997"/>
    <x v="2"/>
    <s v="N2"/>
    <x v="0"/>
    <s v="Selon notre analyse, nous avons constaté que le HO  Complet entre 303 et 302,les conditions radio étaient Mauvaise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Complet entre 303 et 302"/>
    <s v="dl Rxqual=5"/>
    <s v="dl rx level=-49"/>
    <s v="OK"/>
    <s v="OK"/>
    <s v="Mauvais"/>
    <s v=" Retransmission des trames HDLC*5"/>
    <m/>
    <s v="HARIRI Bahaeddine"/>
    <m/>
    <m/>
    <m/>
    <m/>
    <m/>
    <m/>
    <m/>
  </r>
  <r>
    <n v="1330"/>
    <x v="0"/>
    <x v="492"/>
    <d v="1899-12-30T08:05:19"/>
    <n v="2009"/>
    <x v="7"/>
    <x v="0"/>
    <m/>
    <m/>
    <s v="Tanger/Casa"/>
    <n v="6.13"/>
    <x v="2"/>
    <s v="N2"/>
    <x v="0"/>
    <s v="Selon notre analyse, nous avons constaté que le HO  Complet entre 303 et 302,les conditions radio étaient Bonne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Complet entre 303 et 302"/>
    <s v="dl Rxqual=2"/>
    <s v="dl rx level=-61"/>
    <s v="OK"/>
    <s v="OK"/>
    <s v="Mauvais"/>
    <s v=" Retransmission des trames HDLC*5"/>
    <m/>
    <s v="ELHAJOUIA Achraf"/>
    <m/>
    <m/>
    <m/>
    <m/>
    <m/>
    <m/>
    <m/>
  </r>
  <r>
    <n v="1331"/>
    <x v="0"/>
    <x v="492"/>
    <d v="1899-12-30T17:05:03"/>
    <n v="2045"/>
    <x v="10"/>
    <x v="0"/>
    <s v="Casa/Tanger"/>
    <m/>
    <s v="Tanger/Casa"/>
    <n v="6.13"/>
    <x v="2"/>
    <s v="N2"/>
    <x v="0"/>
    <s v="Selon notre analyse, nous avons constaté que le HO  Complet entre 302 et 203,les conditions radio étaient Mauvaise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Complet entre 302 et 203"/>
    <s v="dl Rxqual=7"/>
    <s v="dl rx level=-63"/>
    <s v="OK"/>
    <s v="OK"/>
    <s v="Mauvais"/>
    <s v=" Retransmission des trames HDLC*5"/>
    <m/>
    <s v="Fahd OUSSALH"/>
    <m/>
    <m/>
    <m/>
    <m/>
    <m/>
    <m/>
    <m/>
  </r>
  <r>
    <n v="1332"/>
    <x v="0"/>
    <x v="492"/>
    <d v="1899-12-30T17:40:09"/>
    <n v="1041"/>
    <x v="5"/>
    <x v="1"/>
    <m/>
    <m/>
    <s v="Casa/Tanger"/>
    <n v="134.30000000000001"/>
    <x v="10"/>
    <s v="N2"/>
    <x v="0"/>
    <s v="Selon notre analyse, nous avons constaté que le HO  Non finalisé entre 323 et 324,les conditions radio étaient Bonnes avant la déconnexion,La requete de deconnexion a ete envoyé par le RBC avec retransmission des trames HDLC "/>
    <s v="Les derniers résultats de la vérification chaine antennaire conformes "/>
    <x v="11"/>
    <s v="En attente d'un plan d'action optim/en attente de mise en place des tiroires filtrés"/>
    <s v=" HO  non finalisé entre 323 et 324"/>
    <s v="dl Rxqual=3"/>
    <s v="dl rx level=-76"/>
    <s v="NOK"/>
    <s v="OK"/>
    <s v="Mauvais"/>
    <s v=" Retransmission des trames HDLC*5"/>
    <m/>
    <s v="ELHAJOUIA Achraf"/>
    <m/>
    <m/>
    <m/>
    <m/>
    <m/>
    <m/>
    <m/>
  </r>
  <r>
    <n v="1333"/>
    <x v="0"/>
    <x v="492"/>
    <d v="1899-12-30T22:15:47"/>
    <n v="10081"/>
    <x v="9"/>
    <x v="0"/>
    <m/>
    <m/>
    <s v="Tanger/Casa"/>
    <n v="6.13"/>
    <x v="2"/>
    <s v="N2"/>
    <x v="0"/>
    <s v="Selon notre analyse, nous avons constaté que le HO  Complet entre 301 et 202,les conditions radio étaient Mauvaise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Complet entre 301 et 202"/>
    <s v="dl Rxqual=5"/>
    <s v="dl rx level=-50"/>
    <s v="OK"/>
    <s v="OK"/>
    <s v="Mauvais"/>
    <s v=" Retransmission des trames HDLC*5"/>
    <m/>
    <s v="ELHAJOUIA Achraf"/>
    <m/>
    <m/>
    <m/>
    <m/>
    <m/>
    <m/>
    <m/>
  </r>
  <r>
    <n v="1334"/>
    <x v="0"/>
    <x v="493"/>
    <d v="1899-12-30T11:04:50"/>
    <n v="2021"/>
    <x v="2"/>
    <x v="0"/>
    <m/>
    <m/>
    <s v="Tanger/Casa"/>
    <n v="6.13"/>
    <x v="2"/>
    <s v="N2"/>
    <x v="1"/>
    <s v="Selon notre analyse, nous avons constaté que le HO  Complet entre 302 et 203,les conditions radio étaient Mauvaise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Complet entre 302 et 203"/>
    <s v="dl Rxqual=7"/>
    <s v="dl rx level=-70"/>
    <s v="OK"/>
    <s v="OK"/>
    <s v="Mauvais"/>
    <s v=" Retransmission des trames HDLC*5"/>
    <m/>
    <s v="Noura MOUSSAOUI"/>
    <m/>
    <m/>
    <m/>
    <m/>
    <m/>
    <m/>
    <m/>
  </r>
  <r>
    <n v="1335"/>
    <x v="0"/>
    <x v="493"/>
    <d v="1899-12-30T17:05:22"/>
    <n v="1037"/>
    <x v="1"/>
    <x v="1"/>
    <s v="Tanger/Casa"/>
    <m/>
    <s v="Casa/Tanger"/>
    <n v="7.3209999999999997"/>
    <x v="2"/>
    <s v="N2"/>
    <x v="0"/>
    <s v="Selon notre analyse, nous avons constaté que le HO  Non finalisé entre 202 et 303,les conditions radio étaient Mauvais avant la déconnexion,La requete de deconnexion a ete envoyé par le RBC avec retransmission des trames HDLC "/>
    <s v="Les derniers résultats de la vérification chaine antennaire conformes_x000a_Présence d'interférences externes  au niveau du GSMR_02/03_x000a_Probléme GSMR"/>
    <x v="0"/>
    <s v="En attente de mise en place des tiroires filtrés "/>
    <s v=" HO  non finalisé entre 202 et 303"/>
    <s v="dl Rxqual=7"/>
    <s v="dl rx level=-56"/>
    <s v="NOK"/>
    <s v="OK"/>
    <s v="Mauvais"/>
    <s v=" Retransmission des trames HDLC*5"/>
    <m/>
    <s v="Saad Elhabib"/>
    <m/>
    <m/>
    <m/>
    <m/>
    <m/>
    <m/>
    <m/>
  </r>
  <r>
    <n v="1336"/>
    <x v="0"/>
    <x v="493"/>
    <d v="1899-12-30T20:29:57"/>
    <n v="2057"/>
    <x v="11"/>
    <x v="0"/>
    <s v="Tanger/Casa"/>
    <m/>
    <s v="Tanger/Casa"/>
    <n v="108.206"/>
    <x v="1"/>
    <s v="N2"/>
    <x v="0"/>
    <s v="Selon notre analyse, nous avons constaté que le HO  Non finalisé entre 219 et 320,les conditions radio étaient Mauvais avant la déconnexion,La requete de deconnexion a ete envoyé par le Bord  avec retransmission des trames HDLC "/>
    <s v="Les derniers résultats de la vérification chaine antennaire conformes "/>
    <x v="1"/>
    <s v="En attente d'un plan d'action optim"/>
    <s v=" HO  non finalisé entre 219 et 320"/>
    <s v="dl Rxqual=7"/>
    <s v="dl rx level=-84"/>
    <s v="OK"/>
    <s v="OK"/>
    <s v="Mauvais"/>
    <s v=" Retransmission des trames HDLC*5"/>
    <m/>
    <s v="ELHAJOUIA Achraf"/>
    <m/>
    <m/>
    <m/>
    <m/>
    <m/>
    <m/>
    <m/>
  </r>
  <r>
    <n v="1337"/>
    <x v="0"/>
    <x v="494"/>
    <d v="1899-12-30T12:31:12"/>
    <n v="2025"/>
    <x v="4"/>
    <x v="0"/>
    <s v="Tanger/Casa"/>
    <m/>
    <s v="Tanger/Casa"/>
    <n v="119.92700000000001"/>
    <x v="30"/>
    <s v="N2"/>
    <x v="0"/>
    <s v="Selon notre analyse, nous avons constaté que le HO  complet entre 220 et 221,les conditions radio étaient bonnes avant la déconnexion,La requete de deconnexion a ete envoyé par le Bord sans retransmission des trames HDLC "/>
    <s v="Les derniers résultats de la vérification chaine antennaire conformes "/>
    <x v="0"/>
    <s v="En attente de mise en place des tiroires filtrés "/>
    <s v=" HO  Complet entre 220 et 221"/>
    <s v="dl Rxqual=0"/>
    <s v="dl rx level=-48"/>
    <s v="OK"/>
    <s v="OK"/>
    <s v="Mauvais"/>
    <s v=" Pas de transmission des trames HDLC"/>
    <m/>
    <s v="Noura MOUSSAOUI"/>
    <m/>
    <m/>
    <m/>
    <m/>
    <m/>
    <m/>
    <m/>
  </r>
  <r>
    <n v="1338"/>
    <x v="0"/>
    <x v="495"/>
    <d v="1899-12-30T11:34:55"/>
    <n v="2021"/>
    <x v="8"/>
    <x v="0"/>
    <s v="Tanger/Casa"/>
    <m/>
    <s v="Tanger/Casa"/>
    <n v="137.09200000000001"/>
    <x v="26"/>
    <s v="N2"/>
    <x v="1"/>
    <s v="Selon notre analyse, nous avons constaté que le HO  complet entre 223 et 224,les conditions radio étaient bonnes avant la déconnexion,La requete de deconnexion a ete envoyé par le RBC sans retransmission des trames HDLC "/>
    <s v="Les derniers résultats de la vérification chaine antennaire conformes "/>
    <x v="6"/>
    <s v="En attente croisement des données entre l'équipe SIG et SIANA"/>
    <s v=" HO  Complet entre 223 et 224"/>
    <s v="dl Rxqual=3"/>
    <s v="dl rx level=-73"/>
    <s v="OK"/>
    <s v="OK"/>
    <s v="Mauvais"/>
    <s v=" Pas de transmission des trames HDLC"/>
    <m/>
    <s v="Noura MOUSSAOUI"/>
    <m/>
    <m/>
    <m/>
    <m/>
    <m/>
    <m/>
    <m/>
  </r>
  <r>
    <n v="1339"/>
    <x v="0"/>
    <x v="496"/>
    <d v="1899-12-30T08:36:13"/>
    <n v="2009"/>
    <x v="8"/>
    <x v="0"/>
    <s v="Tanger/Casa"/>
    <m/>
    <s v="Tanger/Casa"/>
    <n v="137.09200000000001"/>
    <x v="26"/>
    <s v="N2"/>
    <x v="1"/>
    <s v="Selon notre analyse, nous avons constaté que le HO  complet entre 223 et 224,les conditions radio étaient bonnes avant la déconnexion,La requete de deconnexion a ete envoyé par le RBC sans retransmission des trames HDLC "/>
    <m/>
    <x v="6"/>
    <s v="En attente croisement des données entre l'équipe SIG et SIANA"/>
    <s v=" HO  Complet entre 223 et 224"/>
    <s v="dl Rxqual=3"/>
    <s v="dl rx level=-72"/>
    <s v="OK"/>
    <s v="OK"/>
    <s v="Mauvais"/>
    <s v=" Pas de transmission des trames HDLC"/>
    <m/>
    <s v="Noura MOUSSAOUI"/>
    <m/>
    <m/>
    <m/>
    <m/>
    <m/>
    <m/>
    <m/>
  </r>
  <r>
    <n v="1340"/>
    <x v="0"/>
    <x v="496"/>
    <d v="1899-12-30T17:04:55"/>
    <n v="2045"/>
    <x v="4"/>
    <x v="0"/>
    <s v="Tanger/Casa"/>
    <m/>
    <s v="Tanger/Casa"/>
    <n v="6.13"/>
    <x v="2"/>
    <s v="N2"/>
    <x v="1"/>
    <s v="Selon notre analyse, nous avons constaté que le HO  non finalisé  entre 302 et 203,les conditions radio étaient Mauvaise avant la déconnexion,La requete de deconnexion a ete envoyé par le Bord avec retransmission des trames HDLC  "/>
    <m/>
    <x v="0"/>
    <s v="En attente de mise en place des tiroires filtrés "/>
    <s v=" HO  non finalisé  entre 302 et 203"/>
    <s v="dl Rxqual=7"/>
    <s v="dl rx level=-56"/>
    <s v="OK"/>
    <s v="OK"/>
    <s v="Mauvais"/>
    <s v=" Retransmission des trames HDLC*4"/>
    <m/>
    <s v="Nassim NAJIM"/>
    <m/>
    <m/>
    <m/>
    <m/>
    <m/>
    <m/>
    <m/>
  </r>
  <r>
    <n v="1341"/>
    <x v="0"/>
    <x v="496"/>
    <d v="1899-12-30T20:29:57"/>
    <n v="2057"/>
    <x v="8"/>
    <x v="0"/>
    <s v="Tanger/Casa"/>
    <n v="6.13"/>
    <s v="Tanger/Casa"/>
    <n v="109.495"/>
    <x v="1"/>
    <s v="N2"/>
    <x v="0"/>
    <s v="Selon notre analyse, nous avons constaté que le HO  non finalisé entre 219 et 320,les conditionsradio étaient Mauvaise avant la déconnexion,La requete de deconnexion a ete envoyé par le RBC avec retransmission des trames HDLC "/>
    <m/>
    <x v="1"/>
    <s v="En attente d'un plan d'action optim"/>
    <s v=" HO  non finalisé  entre 219 et 320"/>
    <s v="dl Rxqual=7"/>
    <s v="dl rx level=-78"/>
    <s v="OK"/>
    <s v="OK"/>
    <s v="Mauvais"/>
    <s v=" Retransmission des trames HDLC*5"/>
    <m/>
    <s v="Fahd OUSSALH"/>
    <m/>
    <m/>
    <m/>
    <m/>
    <m/>
    <m/>
    <m/>
  </r>
  <r>
    <n v="1342"/>
    <x v="0"/>
    <x v="496"/>
    <d v="1899-12-30T20:31:14"/>
    <n v="1054"/>
    <x v="3"/>
    <x v="1"/>
    <s v="Tanger/Casa"/>
    <n v="109.495"/>
    <s v="Casa/Tanger"/>
    <n v="177.85"/>
    <x v="4"/>
    <s v="N2"/>
    <x v="0"/>
    <s v="Selon notre analyse, nous avons constaté que le HO  non finalisé entre 231et 329,les conditions rradio étaient Mauvaise avant la déconnexion,La requete de deconnexion a ete envoyé par le RBC avec retransmission des trames HDLC "/>
    <m/>
    <x v="1"/>
    <s v="En attente d'un plan d'action optim"/>
    <s v=" HO  non finalisé  entre 231 et 329"/>
    <s v="dl Rxqual=5"/>
    <s v="dl rx level=-62"/>
    <s v="OK"/>
    <s v="OK"/>
    <s v="Mauvais"/>
    <s v=" Retransmission des trames HDLC*5"/>
    <m/>
    <s v="Fahd OUSSALH"/>
    <m/>
    <m/>
    <m/>
    <m/>
    <m/>
    <m/>
    <m/>
  </r>
  <r>
    <n v="1343"/>
    <x v="0"/>
    <x v="497"/>
    <d v="1899-12-30T10:38:57"/>
    <n v="1013"/>
    <x v="1"/>
    <x v="1"/>
    <s v="Tanger/Casa"/>
    <n v="110.495"/>
    <s v="Casa/Tanger"/>
    <n v="177.85"/>
    <x v="4"/>
    <s v="N2"/>
    <x v="0"/>
    <s v="Selon notre analyse, nous avons constaté que le HO  non finalisé entre 331et 330,les conditions rradio étaient bonnes avant la déconnexion,La requete de deconnexion a ete envoyé par le RBC avec retransmission des trames HDLC "/>
    <m/>
    <x v="11"/>
    <s v="En attente d'un plan d'action optim/en attente de mise en place des tiroires filtrés"/>
    <s v=" HO  non finalisé  entre  331 et 330"/>
    <s v="dl Rxqual=1"/>
    <s v="dl rx level=-68"/>
    <s v="NOK"/>
    <s v="OK"/>
    <s v="Mauvais"/>
    <s v=" Retransmission des trames HDLC*5"/>
    <m/>
    <s v="Noura MOUSSAOUI"/>
    <m/>
    <m/>
    <m/>
    <m/>
    <m/>
    <m/>
    <m/>
  </r>
  <r>
    <n v="1344"/>
    <x v="0"/>
    <x v="497"/>
    <d v="1899-12-30T16:34:58"/>
    <n v="2041"/>
    <x v="4"/>
    <x v="0"/>
    <m/>
    <m/>
    <s v="Tanger/Casa"/>
    <n v="145.6"/>
    <x v="3"/>
    <s v="N2"/>
    <x v="0"/>
    <s v="Selon notre analyse, nous avons constaté que le HO  complet entre 225 et 226,les conditions radio étaient bonnes avant la déconnexion,La requete de deconnexion a ete envoyé par le RBC suite au retransmission des trames HDLC "/>
    <m/>
    <x v="1"/>
    <s v="Zone sous surveillance par le noc"/>
    <s v="HO  finalisé entre 225 et 226"/>
    <s v="dl Rxqual=4"/>
    <s v="dl rx level=-58"/>
    <s v="OK"/>
    <s v="OK"/>
    <s v="Mauvais"/>
    <s v=" Retransmission des trames HDLC*5"/>
    <m/>
    <s v="Saad Elhabib"/>
    <m/>
    <m/>
    <m/>
    <m/>
    <m/>
    <m/>
    <m/>
  </r>
  <r>
    <n v="1345"/>
    <x v="0"/>
    <x v="497"/>
    <d v="1899-12-30T17:22:23"/>
    <n v="2045"/>
    <x v="7"/>
    <x v="0"/>
    <m/>
    <m/>
    <s v="Tanger/Casa"/>
    <n v="73.585999999999999"/>
    <x v="13"/>
    <s v="N2"/>
    <x v="0"/>
    <s v="Selon notre analyse, nous avons constaté que le HO  complet entre 212 et 213,les conditions radio étaient Mauvais avant la déconnexion,La requete de deconnexion a ete envoyé par le RBC sans retransmission des trames HDLC "/>
    <m/>
    <x v="1"/>
    <s v="Zone sous surveillance par le noc"/>
    <s v="HO  finalisé entre 212 et 213"/>
    <s v="dl Rxqual=7"/>
    <s v="dl rx level=-76"/>
    <s v="OK"/>
    <s v="OK"/>
    <s v="Mauvais"/>
    <s v=" Retransmission des trames HDLC*5"/>
    <m/>
    <s v="Saad Elhabib"/>
    <m/>
    <m/>
    <m/>
    <m/>
    <m/>
    <m/>
    <m/>
  </r>
  <r>
    <n v="1346"/>
    <x v="0"/>
    <x v="498"/>
    <d v="1899-12-30T15:48:29"/>
    <n v="1033"/>
    <x v="5"/>
    <x v="1"/>
    <m/>
    <m/>
    <s v="Casa/Tanger"/>
    <n v="94.953999999999994"/>
    <x v="8"/>
    <s v="N2"/>
    <x v="0"/>
    <s v="Selon notre analyse, nous avons constaté que le HO  complet entre 318 et 317,les conditions radio étaient Mauvais avant la déconnexion,La requete de deconnexion a ete envoyé par le RBC avec retransmission des trames HDLC "/>
    <s v="Aucune anomalie constatée suite à l’analyse du relevé JRU Présence d'interférences externes"/>
    <x v="1"/>
    <s v="En attente d'un plan d'action optim"/>
    <s v="HO Complete entre 318 et 317"/>
    <s v="dl Rxqual=6"/>
    <s v="dl rx level=-50"/>
    <s v="OK"/>
    <s v="OK"/>
    <s v="Mauvais"/>
    <s v=" Retransmission des trames HDLC*5"/>
    <m/>
    <s v="ELHAJOUIA Achraf"/>
    <m/>
    <m/>
    <m/>
    <m/>
    <m/>
    <m/>
    <m/>
  </r>
  <r>
    <n v="1347"/>
    <x v="0"/>
    <x v="498"/>
    <d v="1899-12-30T18:29:26"/>
    <n v="2049"/>
    <x v="8"/>
    <x v="0"/>
    <m/>
    <m/>
    <s v="Tanger/Casa"/>
    <n v="108.206"/>
    <x v="1"/>
    <s v="N2"/>
    <x v="0"/>
    <s v="Selon notre analyse, nous avons constaté que le HO  non finalisé entre 219 et 320,les conditions radio étaient Mauvaise  avant la déconnexion,La requete de deconnexion a ete envoyé par le bord avec retransmission des trames HDLC "/>
    <m/>
    <x v="1"/>
    <s v="En attente d'un plan d'action optim"/>
    <s v=" HO  non finalisé  entre  219 et 320"/>
    <s v="dl Rxqual=7"/>
    <s v="dl rx level=-83"/>
    <s v="OK"/>
    <s v="OK"/>
    <s v="Mauvais"/>
    <s v=" Retransmission des trames HDLC*5"/>
    <m/>
    <s v="ELHAJOUIA Achraf"/>
    <m/>
    <m/>
    <m/>
    <m/>
    <m/>
    <m/>
    <m/>
  </r>
  <r>
    <n v="1348"/>
    <x v="0"/>
    <x v="498"/>
    <d v="1899-12-30T21:05:31"/>
    <n v="1053"/>
    <x v="10"/>
    <x v="0"/>
    <m/>
    <m/>
    <s v="Tanger/Casa"/>
    <n v="7.3209999999999997"/>
    <x v="2"/>
    <s v="N2"/>
    <x v="0"/>
    <s v="Selon notre analyse, nous avons constaté que le HO  complet entre 303 et 202,les conditions radio étaient Mauvaise  avant la déconnexion,La requete de deconnexion a ete envoyé par le RBC avec retransmission des trames HDLC "/>
    <m/>
    <x v="0"/>
    <s v="En attente de mise en place des tiroires filtrés "/>
    <s v="HO Complete entre 303 et 202"/>
    <s v="dl Rxqual=3"/>
    <s v="dl rx level=-56"/>
    <s v="OK"/>
    <s v="OK"/>
    <s v="Mauvais"/>
    <s v=" Pas Retransmission des trames HDLC"/>
    <m/>
    <s v="Fahd OUSSALH"/>
    <m/>
    <m/>
    <m/>
    <m/>
    <m/>
    <m/>
    <m/>
  </r>
  <r>
    <n v="1349"/>
    <x v="0"/>
    <x v="499"/>
    <d v="1899-12-30T06:31:28"/>
    <n v="2001"/>
    <x v="5"/>
    <x v="0"/>
    <m/>
    <m/>
    <s v="Tanger/Casa"/>
    <n v="126.51"/>
    <x v="6"/>
    <s v="N2"/>
    <x v="1"/>
    <s v="Selon notre analyse, nous avons constaté que le HO  non finalisé entre 222 et 323,les conditions radio étaient Mauvaise  avant la déconnexion,La requete de deconnexion a ete envoyé par le bord /pas de retransmission des trames HDLC "/>
    <m/>
    <x v="1"/>
    <s v="Zone sous surveillance par le noc"/>
    <s v=" HO  non finalisé  entre  222 et 323"/>
    <s v="dl Rxqual=7"/>
    <s v="dl rx level=-79"/>
    <s v="NOK"/>
    <s v="OK"/>
    <s v="Mauvais"/>
    <s v=" Pas Retransmission des trames HDLC"/>
    <m/>
    <s v="ELGUEZZAR Anas"/>
    <m/>
    <m/>
    <m/>
    <m/>
    <m/>
    <m/>
    <m/>
  </r>
  <r>
    <n v="1350"/>
    <x v="0"/>
    <x v="499"/>
    <d v="1899-12-30T19:13:47"/>
    <n v="2053"/>
    <x v="4"/>
    <x v="0"/>
    <m/>
    <m/>
    <s v="Tanger/Casa"/>
    <n v="39.215000000000003"/>
    <x v="14"/>
    <s v="N2"/>
    <x v="0"/>
    <s v="Selon notre analyse, nous avons constaté que le HO  non finalisé entre 207 et 208,les conditions radio étaient mauvaises avant la déconnexion,La requete de deconnexion a ete envoyé par le RBC /Avec  retransmission des trames HDLC "/>
    <m/>
    <x v="1"/>
    <s v="Zone sous surveillance par le noc"/>
    <s v=" HO  non finalisé  entre  207 et 208"/>
    <s v="dl Rxqual=7"/>
    <s v="dl rx level=-68"/>
    <s v="NOK"/>
    <s v="OK"/>
    <s v="Mauvais"/>
    <s v=" Retransmission des trames HDLC*5"/>
    <m/>
    <s v="ELHAJOUIA Achraf"/>
    <m/>
    <m/>
    <m/>
    <m/>
    <m/>
    <m/>
    <m/>
  </r>
  <r>
    <n v="1351"/>
    <x v="0"/>
    <x v="499"/>
    <d v="1899-12-30T20:31:51"/>
    <n v="1053"/>
    <x v="2"/>
    <x v="1"/>
    <m/>
    <m/>
    <s v="Casa/Tanger"/>
    <n v="185.47"/>
    <x v="19"/>
    <s v="N2"/>
    <x v="0"/>
    <s v="Selon notre analyse, nous avons constaté que le HO  non finalisé entre 330 et 331,les conditions radio étaient Bonne  avant la déconnexion,La requete de deconnexion a ete envoyé par le RBC /Avec  retransmission des trames HDLC "/>
    <m/>
    <x v="1"/>
    <s v="Zone sous surveillance par le noc"/>
    <s v=" HO  non finalisé  entre  330 et 331"/>
    <s v="dl Rxqual=5"/>
    <s v="dl rx level=-65"/>
    <s v="NOK"/>
    <s v="OK"/>
    <s v="Mauvais"/>
    <s v=" Retransmission des trames HDLC*5"/>
    <m/>
    <s v="Fahd OUSSALH"/>
    <m/>
    <m/>
    <m/>
    <m/>
    <m/>
    <m/>
    <m/>
  </r>
  <r>
    <n v="1352"/>
    <x v="0"/>
    <x v="500"/>
    <d v="1899-12-30T05:07:13"/>
    <n v="1053"/>
    <x v="9"/>
    <x v="0"/>
    <m/>
    <m/>
    <s v="Tanger/Casa"/>
    <n v="78.155000000000001"/>
    <x v="11"/>
    <s v="N2"/>
    <x v="0"/>
    <s v="Selon notre analyse, nous avons constaté que le HO  complet entre 213 et 214,les conditions radio étaient Mauvaise  avant la déconnexion,La requete de deconnexion a ete envoyé par le RBC sans retransmission des trames HDLC "/>
    <m/>
    <x v="1"/>
    <s v="Zone sous surveillance par le noc"/>
    <s v="HO Complete entre 213 et 214"/>
    <s v="dl Rxqual=5"/>
    <s v="dl rx level=-64"/>
    <s v="OK"/>
    <s v="OK"/>
    <s v="Mauvais"/>
    <s v=" Pas Retransmission des trames HDLC"/>
    <m/>
    <s v="Fahd OUSSALH"/>
    <m/>
    <m/>
    <m/>
    <m/>
    <m/>
    <m/>
    <m/>
  </r>
  <r>
    <n v="1353"/>
    <x v="0"/>
    <x v="500"/>
    <d v="1899-12-30T16:57:43"/>
    <n v="1037"/>
    <x v="7"/>
    <x v="1"/>
    <m/>
    <m/>
    <s v="Casa/Tanger"/>
    <n v="67.828999999999994"/>
    <x v="0"/>
    <s v="N2"/>
    <x v="1"/>
    <s v="Selon notre analyse, nous avons constaté que le HO est complet entre 313 et 312, les conditions radio étaient bonnes avant la déconnexion, La requete de deconnexion a ete envoyé par le RBC / Retransmission des trames HDLC "/>
    <m/>
    <x v="0"/>
    <s v="Besoin de verification chaine antennaire"/>
    <s v="HO Complete entre 313 et 312"/>
    <s v="dl Rxqual=0"/>
    <s v="dl rx level=-48"/>
    <s v="OK"/>
    <s v="OK"/>
    <s v="moyen"/>
    <s v=" Retransmission des trames HDLC*5"/>
    <m/>
    <s v="HAMZAOUI Youssef"/>
    <m/>
    <m/>
    <m/>
    <m/>
    <m/>
    <m/>
    <m/>
  </r>
  <r>
    <n v="1354"/>
    <x v="0"/>
    <x v="500"/>
    <d v="1899-12-30T23:23:50"/>
    <n v="1028"/>
    <x v="10"/>
    <x v="1"/>
    <m/>
    <m/>
    <s v="Casa/Tanger"/>
    <n v="177.85"/>
    <x v="4"/>
    <s v="N2"/>
    <x v="0"/>
    <s v="Selon notre analyse, nous avons constaté que le HO  complet entre 231 et 230 ,les conditions radio étaient Mauvaise  avant la déconnexion,La requete de deconnexion a ete envoyé par le RBC sans retransmission des trames HDLC "/>
    <m/>
    <x v="1"/>
    <s v="En attente d'un plan d'action optim"/>
    <s v="HO Complete entre 231 et 230"/>
    <s v="dl Rxqual=6"/>
    <s v="dl rx level=-59"/>
    <s v="OK"/>
    <s v="OK"/>
    <s v="Mauvais"/>
    <s v=" Retransmission des trames HDLC*5"/>
    <m/>
    <s v="HARIRI Bahaeddine"/>
    <m/>
    <m/>
    <m/>
    <m/>
    <m/>
    <m/>
    <m/>
  </r>
  <r>
    <n v="1355"/>
    <x v="0"/>
    <x v="501"/>
    <d v="1899-12-30T12:50:00"/>
    <n v="1021"/>
    <x v="2"/>
    <x v="1"/>
    <m/>
    <m/>
    <s v="Casa/Tanger"/>
    <n v="94.953999999999994"/>
    <x v="8"/>
    <s v="N2"/>
    <x v="0"/>
    <s v="Selon notre analyse, nous avons constaté que le HO  Non finalisé entre 318 et 217 ,les conditions radio étaient Mauvaise  avant la déconnexion,La requete de deconnexion a ete envoyé par le bord /pas deretransmission des trames HDLC "/>
    <s v="Aucune anomalie constatée suite à l’analyse du relevé JRU Présence d'interférences externes"/>
    <x v="1"/>
    <s v="En attente d'un plan d'action optim"/>
    <s v=" HO  non finalisé  entre  318 et 217"/>
    <s v="dl Rxqual=7"/>
    <s v="dl rx level=-83"/>
    <s v="OK"/>
    <s v="OK"/>
    <s v="Mauvais"/>
    <s v=" Pas Retransmission des trames HDLC"/>
    <m/>
    <s v="ELHAJOUIA Achraf"/>
    <m/>
    <m/>
    <m/>
    <m/>
    <m/>
    <m/>
    <m/>
  </r>
  <r>
    <n v="1356"/>
    <x v="0"/>
    <x v="501"/>
    <d v="1899-12-30T14:29:29"/>
    <n v="2033"/>
    <x v="10"/>
    <x v="0"/>
    <m/>
    <m/>
    <s v="Tanger/Casa"/>
    <n v="108.206"/>
    <x v="1"/>
    <s v="N2"/>
    <x v="0"/>
    <s v="Selon notre analyse, nous avons constaté que le HO  Non finalisé entre 219 et 320,les conditions radio étaient Mauvaise  avant la déconnexion,La requete de deconnexion a ete envoyé par le bord /retransmission des trames HDLC "/>
    <m/>
    <x v="1"/>
    <s v="En attente d'un plan d'action optim"/>
    <s v=" HO  non finalisé  entre 219 et 320"/>
    <s v="dl Rxqual=7"/>
    <s v="dl rx level=-86"/>
    <s v="OK"/>
    <s v="OK"/>
    <s v="Mauvais"/>
    <s v=" Retransmission des trames HDLC*5"/>
    <m/>
    <s v="Saad Elhabib"/>
    <m/>
    <m/>
    <m/>
    <m/>
    <m/>
    <m/>
    <m/>
  </r>
  <r>
    <n v="1357"/>
    <x v="0"/>
    <x v="501"/>
    <d v="1899-12-30T16:24:56"/>
    <n v="2041"/>
    <x v="3"/>
    <x v="0"/>
    <m/>
    <m/>
    <s v="Tanger/Casa"/>
    <n v="73.585999999999999"/>
    <x v="13"/>
    <s v="N2"/>
    <x v="0"/>
    <s v="Selon notre analyse, nous avons constaté que le HO   finalisé entre 213 et 214,les conditions radio étaient Mauvaise  avant la déconnexion,La requete de deconnexion a ete envoyé par le RBC /retransmission des trames HDLC "/>
    <m/>
    <x v="1"/>
    <s v="Zone sous surveillance par le noc"/>
    <s v=" HO finalisé entre 213 et 214"/>
    <s v="dl Rxqual=7"/>
    <s v="dl rx level=-79"/>
    <s v="OK"/>
    <s v="NOK"/>
    <s v="Mauvais"/>
    <s v=" Retransmission des trames HDLC*5"/>
    <m/>
    <s v="Saad Elhabib"/>
    <m/>
    <m/>
    <m/>
    <m/>
    <m/>
    <m/>
    <m/>
  </r>
  <r>
    <n v="1358"/>
    <x v="0"/>
    <x v="501"/>
    <d v="1899-12-30T16:48:26"/>
    <n v="1037"/>
    <x v="5"/>
    <x v="1"/>
    <m/>
    <m/>
    <s v="Casa/Tanger"/>
    <n v="96.316999999999993"/>
    <x v="8"/>
    <s v="N2"/>
    <x v="0"/>
    <s v="Selon notre analyse, nous avons constaté que le HO finalisé entre 318 et 317 ,les conditions radio étaient Mauvaise  avant la déconnexion,La requete de deconnexion a ete envoyé par le RBC /retransmission des trames HDLC "/>
    <s v="Aucune anomalie constatée suite à l’analyse du relevé JRU Présence d'interférences externes"/>
    <x v="1"/>
    <s v="En attente d'un plan d'action optim"/>
    <s v=" HO finalisé entre 318 et 317"/>
    <s v="dl Rxqual=7"/>
    <s v="dl rx level=-84"/>
    <s v="NOK"/>
    <s v="NOK"/>
    <s v="Mauvais"/>
    <s v=" Retransmission des trames HDLC*5"/>
    <m/>
    <s v="Saad Elhabib"/>
    <m/>
    <m/>
    <m/>
    <m/>
    <m/>
    <m/>
    <m/>
  </r>
  <r>
    <n v="1359"/>
    <x v="0"/>
    <x v="501"/>
    <d v="1899-12-30T18:48:26"/>
    <n v="1045"/>
    <x v="2"/>
    <x v="1"/>
    <m/>
    <m/>
    <s v="Casa/Tanger"/>
    <n v="94.953999999999994"/>
    <x v="8"/>
    <s v="N2"/>
    <x v="0"/>
    <s v="Selon notre analyse, nous avons constaté que le HO Non finalisé entre 318 et 317 ,les conditions radio étaient Mauvaise  avant la déconnexion,La requete de deconnexion a ete envoyé par le BORD /retransmission des trames HDLC "/>
    <s v="Aucune anomalie constatée suite à l’analyse du relevé JRU Présence d'interférences externes"/>
    <x v="1"/>
    <s v="En attente d'un plan d'action optim"/>
    <s v=" HO Non finalisé entre 318 et 317"/>
    <s v="dl Rxqual=7"/>
    <s v="dl rx level=-72"/>
    <s v="OK"/>
    <s v="NOK"/>
    <s v="Mauvais"/>
    <s v=" Retransmission des trames HDLC*5"/>
    <m/>
    <s v="Saad Elhabib"/>
    <m/>
    <m/>
    <m/>
    <m/>
    <m/>
    <m/>
    <m/>
  </r>
  <r>
    <n v="1360"/>
    <x v="0"/>
    <x v="501"/>
    <d v="1899-12-30T21:02:09"/>
    <n v="1053"/>
    <x v="3"/>
    <x v="1"/>
    <m/>
    <m/>
    <s v="Casa/Tanger"/>
    <n v="25.85"/>
    <x v="7"/>
    <s v="N2"/>
    <x v="0"/>
    <s v="Selon notre analyse, nous avons constaté que le HO Non finalisé entre 207 et 205 ,les conditions radio étaient Mauvaise  avant la déconnexion,La requete de deconnexion a ete envoyé par le RBC /retransmission des trames HDLC "/>
    <m/>
    <x v="1"/>
    <s v="Zone sous surveillance par le noc"/>
    <s v=" HO Non finalisé entre 207 et 205"/>
    <s v="dl Rxqual=7"/>
    <s v="dl rx level=-72"/>
    <s v="OK"/>
    <s v="OK"/>
    <s v="Mauvais"/>
    <s v=" Retransmission des trames HDLC*5"/>
    <m/>
    <s v="HARIRI Bahaeddine"/>
    <m/>
    <m/>
    <m/>
    <m/>
    <m/>
    <m/>
    <m/>
  </r>
  <r>
    <n v="1361"/>
    <x v="0"/>
    <x v="501"/>
    <d v="1899-12-30T21:46:09"/>
    <n v="1045"/>
    <x v="0"/>
    <x v="1"/>
    <m/>
    <m/>
    <s v="Casa/Tanger"/>
    <n v="94.953999999999994"/>
    <x v="8"/>
    <s v="N2"/>
    <x v="0"/>
    <s v="Selon notre analyse, nous avons constaté que le HO Non finalisé entre 318 et 317 ,les conditions radio étaient Mauvaise  avant la déconnexion,La requete de deconnexion a ete envoyé par le BORD /retransmission des trames HDLC "/>
    <s v="Aucune anomalie constatée suite à l’analyse du relevé JRU Présence d'interférences externes"/>
    <x v="1"/>
    <s v="En attente d'un plan d'action optim"/>
    <s v=" HO Non finalisé entre 318 et 317"/>
    <s v="dl Rxqual=7"/>
    <s v="dl rx level=-77"/>
    <s v="OK"/>
    <s v="OK"/>
    <s v="Mauvais"/>
    <s v=" Retransmission des trames HDLC*5"/>
    <m/>
    <s v="HARIRI Bahaeddine"/>
    <m/>
    <m/>
    <m/>
    <m/>
    <m/>
    <m/>
    <m/>
  </r>
  <r>
    <n v="1362"/>
    <x v="0"/>
    <x v="502"/>
    <d v="1899-12-30T19:27:45"/>
    <n v="2053"/>
    <x v="2"/>
    <x v="0"/>
    <m/>
    <m/>
    <s v="Tanger/Casa"/>
    <n v="108.206"/>
    <x v="1"/>
    <s v="N2"/>
    <x v="0"/>
    <s v="Selon notre analyse, nous avons constaté que le HO Non finalisé entre 219 et 320 ,les conditions radio étaient Mauvaise  avant la déconnexion,La requete de deconnexion a ete envoyé par le BORD /retransmission des trames HDLC "/>
    <m/>
    <x v="1"/>
    <s v="En attente d'un plan d'action optim"/>
    <s v=" HO Non finalisé entre 219 et 320"/>
    <s v="dl Rxqual=7"/>
    <s v="dl rx level=-85"/>
    <s v="OK"/>
    <s v="OK"/>
    <s v="Mauvais"/>
    <s v=" Pas Retransmission des trames HDLC"/>
    <m/>
    <s v="Saad Elhabib"/>
    <m/>
    <m/>
    <m/>
    <m/>
    <m/>
    <m/>
    <m/>
  </r>
  <r>
    <n v="1363"/>
    <x v="0"/>
    <x v="502"/>
    <d v="1899-12-30T20:27:23"/>
    <n v="2053"/>
    <x v="8"/>
    <x v="0"/>
    <m/>
    <m/>
    <s v="Tanger/Casa"/>
    <n v="108.206"/>
    <x v="1"/>
    <s v="N2"/>
    <x v="0"/>
    <s v="Selon notre analyse, nous avons constaté que le HO Non finalisé entre 219 et 320 ,les conditions radio étaient Mauvaise  avant la déconnexion,La requete de deconnexion a ete envoyé par le BORD /retransmission des trames HDLC "/>
    <m/>
    <x v="1"/>
    <s v="En attente d'un plan d'action optim"/>
    <s v=" HO Non finalisé entre 219 et 320"/>
    <s v="dl Rxqual=7"/>
    <s v="dl rx level=-72"/>
    <s v="OK"/>
    <s v="OK"/>
    <s v="Mauvais"/>
    <s v=" Pas Retransmission des trames HDLC"/>
    <m/>
    <s v="HARIRI Bahaeddine"/>
    <m/>
    <m/>
    <m/>
    <m/>
    <m/>
    <m/>
    <m/>
  </r>
  <r>
    <n v="1364"/>
    <x v="0"/>
    <x v="502"/>
    <d v="1899-12-30T22:27:18"/>
    <n v="2053"/>
    <x v="0"/>
    <x v="0"/>
    <m/>
    <m/>
    <s v="Tanger/Casa"/>
    <n v="108.206"/>
    <x v="1"/>
    <s v="N2"/>
    <x v="0"/>
    <s v="Selon notre analyse, nous avons constaté que le HO Non finalisé entre 219 et 320 ,les conditions radio étaient Mauvaise  avant la déconnexion,La requete de deconnexion a ete envoyé par le BORD /retransmission des trames HDLC "/>
    <m/>
    <x v="1"/>
    <s v="En attente d'un plan d'action optim"/>
    <s v=" HO Non finalisé entre 219 et 320"/>
    <s v="dl Rxqual=7"/>
    <s v="dl rx level=-71"/>
    <s v="OK"/>
    <s v="OK"/>
    <s v="Mauvais"/>
    <s v=" Pas Retransmission des trames HDLC"/>
    <m/>
    <s v="HARIRI Bahaeddine"/>
    <m/>
    <m/>
    <m/>
    <m/>
    <m/>
    <m/>
    <m/>
  </r>
  <r>
    <n v="1365"/>
    <x v="0"/>
    <x v="502"/>
    <d v="1899-12-30T23:26:39"/>
    <n v="10091"/>
    <x v="2"/>
    <x v="1"/>
    <m/>
    <m/>
    <s v="Casa/Tanger"/>
    <s v="RAC 0"/>
    <x v="33"/>
    <s v="N1"/>
    <x v="1"/>
    <s v="Selon notre analyse, nous avons constaté que le HO Non finalisé entre 234 et 99 ,les indicateurs techniques radio  sont absents vue que la déconnexion est survenue peu après l’établissement d’appel,La requete de deconnexion a ete envoyé par le BORD, toutefois dans l'une des tentatives de retablissement d'appel on a pu relever quelques mesures radio qui indiquent que la qualité radio était mauvaise avant que l'appel en question coupe."/>
    <m/>
    <x v="1"/>
    <s v="Zone sous surveillance par le noc"/>
    <s v=" HO Non finalisé entre 234  et 99"/>
    <s v="dl Rxqual=X"/>
    <s v="dl rx level=-X"/>
    <s v="X"/>
    <s v="X"/>
    <s v="Mauvais"/>
    <s v="X"/>
    <m/>
    <s v="MAROUANI Otmane"/>
    <m/>
    <m/>
    <m/>
    <m/>
    <m/>
    <m/>
    <m/>
  </r>
  <r>
    <n v="1366"/>
    <x v="0"/>
    <x v="503"/>
    <d v="1899-12-30T16:56:08"/>
    <n v="1038"/>
    <x v="3"/>
    <x v="1"/>
    <m/>
    <m/>
    <s v="Casa/Tanger"/>
    <n v="110.783"/>
    <x v="1"/>
    <s v="N2"/>
    <x v="0"/>
    <s v="Selon notre analyse, nous avons constaté que le HO Non finalisé entre 321  et 220 ,les conditions radio étaient Mauvaise  avant la déconnexion,La requete de deconnexion a ete envoyé par le BORD /pas de retransmission des trames HDLC "/>
    <m/>
    <x v="1"/>
    <s v="En attente d'un plan d'action optim"/>
    <s v=" HO Non finalisé entre 321 et 220 "/>
    <s v="dl Rxqual=6"/>
    <s v="dl rx level=-62"/>
    <s v="OK"/>
    <s v="OK"/>
    <s v="Mauvais"/>
    <s v=" Pas Retransmission des trames HDLC"/>
    <m/>
    <s v="Fahd OUSSALH"/>
    <m/>
    <m/>
    <m/>
    <m/>
    <m/>
    <m/>
    <m/>
  </r>
  <r>
    <n v="1367"/>
    <x v="0"/>
    <x v="503"/>
    <d v="1899-12-30T19:35:16"/>
    <n v="2053"/>
    <x v="7"/>
    <x v="0"/>
    <m/>
    <m/>
    <s v="Tanger/Casa"/>
    <n v="144.32599999999999"/>
    <x v="3"/>
    <s v="N2"/>
    <x v="1"/>
    <s v="Selon notre analyse, nous avons constaté que le HO  complet entre 224 et 225,les conditions radio étaient bonnes avant la déconnexion,La requete de deconnexion a ete envoyé par le RBC avec  retransmission des trames HDLC "/>
    <m/>
    <x v="0"/>
    <s v="Besoin de verification chaine antennaire"/>
    <s v="HO Complet entre 224 et 225 "/>
    <s v="dl Rxqual=2"/>
    <s v="dl rx level=-72"/>
    <s v="OK"/>
    <s v="OK"/>
    <s v="Mauvais"/>
    <s v=" Retransmission des trames HDLC*5"/>
    <m/>
    <s v="ELGUEZZAR Anas"/>
    <m/>
    <m/>
    <m/>
    <m/>
    <m/>
    <m/>
    <m/>
  </r>
  <r>
    <n v="1368"/>
    <x v="0"/>
    <x v="503"/>
    <d v="1899-12-30T20:35:16"/>
    <n v="1038"/>
    <x v="0"/>
    <x v="0"/>
    <m/>
    <m/>
    <s v="Casa/Tanger"/>
    <n v="144.32599999999999"/>
    <x v="3"/>
    <s v="N2"/>
    <x v="0"/>
    <s v="Selon notre analyse, nous avons constaté que le HO  complet entre 224 et 225,les conditions radio étaient bonnes avant la déconnexion,La requete de deconnexion a ete envoyé par le RBC pas de  retransmission des trames HDLC "/>
    <m/>
    <x v="3"/>
    <s v="En attente de pousser les analyses coté RBC"/>
    <s v="HO Complet entre 224 et 225 "/>
    <s v="dl Rxqual=2"/>
    <s v="dl rx level=-67"/>
    <s v="OK"/>
    <s v="OK"/>
    <s v="Mauvais"/>
    <s v=" Pas Retransmission des trames HDLC"/>
    <m/>
    <s v="HARIRI Bahaeddine"/>
    <m/>
    <m/>
    <m/>
    <m/>
    <m/>
    <m/>
    <m/>
  </r>
  <r>
    <n v="1369"/>
    <x v="0"/>
    <x v="504"/>
    <d v="1899-12-30T09:45:36"/>
    <n v="1009"/>
    <x v="2"/>
    <x v="1"/>
    <m/>
    <m/>
    <s v="Casa/Tanger"/>
    <n v="94.953999999999994"/>
    <x v="8"/>
    <s v="N2"/>
    <x v="0"/>
    <s v="Selon notre analyse, nous avons constaté que le HO Non finalisé entre 318 et 317 ,les conditions radio étaient Mauvaise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317"/>
    <s v="dl Rxqual=7"/>
    <s v="dl rx level=-83"/>
    <s v="OK"/>
    <s v="OK"/>
    <s v="Mauvais"/>
    <s v=" Retransmission des trames HDLC*5"/>
    <m/>
    <s v="LAGDEM Elmehdi"/>
    <m/>
    <m/>
    <m/>
    <m/>
    <m/>
    <m/>
    <m/>
  </r>
  <r>
    <n v="1370"/>
    <x v="0"/>
    <x v="504"/>
    <d v="1899-12-30T16:30:02"/>
    <n v="1038"/>
    <x v="1"/>
    <x v="1"/>
    <m/>
    <m/>
    <s v="Casa/Tanger"/>
    <n v="177.85"/>
    <x v="4"/>
    <s v="N2"/>
    <x v="0"/>
    <s v="Selon notre analyse, nous avons constaté que le HO  complet entre 231 et 229 ,les conditions radio étaient Mauvaise  avant la déconnexion,La requete de deconnexion a ete envoyé par le RBC avec retransmission des trames HDLC "/>
    <m/>
    <x v="1"/>
    <s v="Zone sous surveillance par le noc"/>
    <s v="HO Complet entre 231 et 229 "/>
    <s v="dl Rxqual=7"/>
    <s v="dl rx level=-71"/>
    <s v="OK"/>
    <s v="OK"/>
    <s v="Mauvais"/>
    <s v=" Retransmission des trames HDLC*5"/>
    <m/>
    <s v="Fahd OUSSALH"/>
    <m/>
    <m/>
    <m/>
    <m/>
    <m/>
    <m/>
    <m/>
  </r>
  <r>
    <n v="1371"/>
    <x v="0"/>
    <x v="504"/>
    <d v="1899-12-30T16:49:00"/>
    <n v="1038"/>
    <x v="1"/>
    <x v="1"/>
    <m/>
    <m/>
    <s v="Casa/Tanger"/>
    <n v="93.757999999999996"/>
    <x v="8"/>
    <s v="N2"/>
    <x v="0"/>
    <s v="Selon notre analyse, nous avons constaté que le HO  complet entre 318 et 317 ,les conditions radio étaient Mauvaise  avant la déconnexion,La requete de deconnexion a ete envoyé par le RBC avec retransmission des trames HDLC "/>
    <s v="Aucune anomalie constatée suite à l’analyse du relevé JRU Présence d'interférences externes"/>
    <x v="2"/>
    <s v="En attente d'un plan d'action optim + Besoin de verification chaine antennaire"/>
    <s v="HO Complet entre 318 et 317"/>
    <s v="dl Rxqual=7"/>
    <s v="dl rx level=-68"/>
    <s v="OK"/>
    <s v="OK"/>
    <s v="Mauvais"/>
    <s v=" Pas Retransmission des trames HDLC"/>
    <m/>
    <s v="Fahd OUSSALH"/>
    <m/>
    <m/>
    <m/>
    <m/>
    <m/>
    <m/>
    <m/>
  </r>
  <r>
    <n v="1372"/>
    <x v="0"/>
    <x v="505"/>
    <d v="1899-12-30T14:20:54"/>
    <n v="2034"/>
    <x v="5"/>
    <x v="0"/>
    <m/>
    <m/>
    <s v="Tanger/Casa"/>
    <n v="73.585999999999999"/>
    <x v="13"/>
    <s v="N2"/>
    <x v="0"/>
    <s v="Selon notre analyse, nous avons constaté que le HO  complet entre 212 et 213,les conditions radio étaient Mauvais avant la déconnexion,La requete de deconnexion a ete envoyé par le RBC avec retransmission des trames HDLC "/>
    <m/>
    <x v="1"/>
    <s v="Zone sous surveillance par le noc"/>
    <s v=" HO Non finalisé entre 212 et 213"/>
    <s v="dl Rxqual=6"/>
    <s v="dl rx level=-62"/>
    <s v="OK"/>
    <s v="OK"/>
    <s v="Mauvais"/>
    <s v=" Retransmission des trames HDLC*5"/>
    <m/>
    <s v="Fahd OUSSALH"/>
    <m/>
    <m/>
    <m/>
    <m/>
    <m/>
    <m/>
    <m/>
  </r>
  <r>
    <n v="1373"/>
    <x v="0"/>
    <x v="505"/>
    <d v="1899-12-30T22:40:40"/>
    <n v="1061"/>
    <x v="4"/>
    <x v="1"/>
    <m/>
    <m/>
    <s v="Casa/Tanger"/>
    <n v="138.30199999999999"/>
    <x v="26"/>
    <s v="N2"/>
    <x v="0"/>
    <s v="Selon notre analyse, nous avons constaté que le HO  complet entre 325 et 226,les conditions radio étaient Mauvais avant la déconnexion,La requete de deconnexion a ete envoyé par le RBC avec retransmission des trames HDLC "/>
    <m/>
    <x v="1"/>
    <s v="En attente d'un plan d'action optim"/>
    <s v=" HO  finalisé entre 325 et 226"/>
    <s v="dl Rxqual=5"/>
    <s v="dl rx level=-77"/>
    <s v="NOK"/>
    <s v="NOK"/>
    <s v="Mauvais"/>
    <s v=" Retransmission des trames HDLC*5"/>
    <m/>
    <s v="Saad Elhabib"/>
    <m/>
    <m/>
    <m/>
    <m/>
    <m/>
    <m/>
    <m/>
  </r>
  <r>
    <n v="1374"/>
    <x v="0"/>
    <x v="505"/>
    <d v="1899-12-30T22:40:40"/>
    <n v="1061"/>
    <x v="4"/>
    <x v="1"/>
    <m/>
    <m/>
    <s v="Casa/Tanger"/>
    <n v="164.30199999999999"/>
    <x v="28"/>
    <s v="N2"/>
    <x v="0"/>
    <s v="Selon notre analyse, nous avons constaté que le HO  complet entre 325 et 226,les conditions radio étaient Mauvais avant la déconnexion,La requete de deconnexion a ete envoyé par le RBC avec retransmission des trames HDLC "/>
    <m/>
    <x v="1"/>
    <s v="En attente d'un plan d'action optim"/>
    <s v=" HO  finalisé entre 325 et 226"/>
    <s v="dl Rxqual=5"/>
    <s v="dl rx level=-77"/>
    <s v="NOK"/>
    <s v="NOK"/>
    <s v="Mauvais"/>
    <s v=" Retransmission des trames HDLC*5"/>
    <m/>
    <s v="Saad Elhabib"/>
    <m/>
    <m/>
    <m/>
    <m/>
    <m/>
    <m/>
    <m/>
  </r>
  <r>
    <n v="1375"/>
    <x v="0"/>
    <x v="506"/>
    <d v="1899-12-30T07:28:08"/>
    <n v="2005"/>
    <x v="8"/>
    <x v="0"/>
    <m/>
    <m/>
    <s v="Tanger/Casa"/>
    <n v="108.206"/>
    <x v="1"/>
    <s v="N2"/>
    <x v="0"/>
    <s v="Selon notre analyse, nous avons constaté que le HO Non finalisé entre 219 et 320 ,les conditions radio étaient Mauvaise  avant la déconnexion,La requete de deconnexion a ete envoyé par le BORD /Pas de retransmission des trames HDLC "/>
    <m/>
    <x v="1"/>
    <s v="En attente d'un plan d'action optim"/>
    <s v=" HO Non finalisé entre 219 et 320"/>
    <s v="dl Rxqual=7"/>
    <s v="dl rx level=-87"/>
    <s v="OK"/>
    <s v="OK"/>
    <s v="Mauvais"/>
    <s v=" Pas Retransmission des trames HDLC"/>
    <m/>
    <s v="LAGDEM Elmehdi"/>
    <m/>
    <m/>
    <m/>
    <m/>
    <m/>
    <m/>
    <m/>
  </r>
  <r>
    <n v="1376"/>
    <x v="0"/>
    <x v="506"/>
    <d v="1899-12-30T09:37:19"/>
    <n v="2009"/>
    <x v="2"/>
    <x v="1"/>
    <m/>
    <m/>
    <s v="Casa/Tanger"/>
    <n v="164.006"/>
    <x v="28"/>
    <s v="N2"/>
    <x v="1"/>
    <s v="Selon notre analyse, nous avons constaté que le HO  complet entre 329 et 328,les conditions radio étaient bonnes avant la déconnexion,La requete de deconnexion a ete envoyé par le bord avec  retransmission des trames HDLC, suite à des investigations approfondies, la cause racine remonte au bug au niveau du switch RNIS1 qui a souffert d'une micro-coupure ce qui a causé la déconnexion."/>
    <m/>
    <x v="3"/>
    <s v="Instalation d'un nouveau ASI "/>
    <s v="HO Complet entre 329 et 328 "/>
    <s v="dl Rxqual=0"/>
    <s v="dl rx level=-48"/>
    <s v="OK"/>
    <s v="OK"/>
    <s v="Mauvais"/>
    <s v=" Retransmission des trames HDLC*5"/>
    <m/>
    <s v="ISMALI ALAOUI Hamza"/>
    <m/>
    <m/>
    <m/>
    <m/>
    <m/>
    <m/>
    <m/>
  </r>
  <r>
    <n v="1377"/>
    <x v="0"/>
    <x v="506"/>
    <d v="1899-12-30T15:55:10"/>
    <n v="1034"/>
    <x v="2"/>
    <x v="1"/>
    <m/>
    <m/>
    <s v="Casa/Tanger"/>
    <n v="94.953999999999994"/>
    <x v="8"/>
    <s v="N2"/>
    <x v="0"/>
    <s v="Selon notre analyse, nous avons constaté que le HO Non finalisé entre 318 et 217 ,les conditions radio étaient Mauvaise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61"/>
    <s v="OK"/>
    <s v="OK"/>
    <s v="Mauvais"/>
    <s v=" Retransmission des trames HDLC*5"/>
    <m/>
    <s v="Fahd OUSSALH"/>
    <m/>
    <m/>
    <m/>
    <m/>
    <m/>
    <m/>
    <m/>
  </r>
  <r>
    <n v="1378"/>
    <x v="0"/>
    <x v="507"/>
    <d v="1899-12-30T14:28:33"/>
    <n v="2033"/>
    <x v="7"/>
    <x v="0"/>
    <m/>
    <m/>
    <s v="Tanger/Casa"/>
    <n v="101.587"/>
    <x v="24"/>
    <s v="N2"/>
    <x v="0"/>
    <s v="Selon notre analyse, nous avons constaté que le HO Non finalisé entre 218 et 219 ,les conditions radio étaient Mauvaise  avant la déconnexion,La requete de deconnexion a ete envoyé par le RBC /retransmission des trames HDLC "/>
    <m/>
    <x v="2"/>
    <s v="En attente d'un plan d'action optim"/>
    <s v=" HO Non finalisé entre 218 et 219"/>
    <s v="dl Rxqual=0"/>
    <s v="dl rx level=-64"/>
    <s v="OK"/>
    <s v="OK"/>
    <s v="Mauvais"/>
    <s v=" Retransmission des trames HDLC*5"/>
    <m/>
    <s v="HARIRI Bahaeddine"/>
    <m/>
    <m/>
    <m/>
    <m/>
    <m/>
    <m/>
    <m/>
  </r>
  <r>
    <n v="1379"/>
    <x v="0"/>
    <x v="507"/>
    <d v="1899-12-30T16:05:03"/>
    <n v="2041"/>
    <x v="11"/>
    <x v="0"/>
    <m/>
    <m/>
    <s v="Tanger/Casa"/>
    <n v="6.13"/>
    <x v="2"/>
    <s v="N2"/>
    <x v="0"/>
    <s v="Selon notre analyse, nous avons constaté que le HO  Complet entre 202 et 203,les conditions radio étaient Mauvaise avant la déconnexion,La requete de deconnexion a ete envoyé par le Rbc avec retransmission des trames HDLC "/>
    <s v="Les derniers résultats de la vérification chaine antennaire conformes_x000a_Présence d'interférences externes  au niveau du GSMR_02/03_x000a_Probléme GSMR"/>
    <x v="0"/>
    <s v="Besoin de verification chaine antennaire"/>
    <s v=" HO  Complet entre 202 et 203"/>
    <s v="dl Rxqual=7"/>
    <s v="dl rx level=-69"/>
    <s v="OK"/>
    <s v="OK"/>
    <s v="Mauvais"/>
    <s v=" Retransmission des trames HDLC*5"/>
    <m/>
    <s v="HARIRI Bahaeddine"/>
    <m/>
    <m/>
    <m/>
    <m/>
    <m/>
    <m/>
    <m/>
  </r>
  <r>
    <n v="1380"/>
    <x v="0"/>
    <x v="507"/>
    <d v="1899-12-30T20:53:03"/>
    <n v="1053"/>
    <x v="11"/>
    <x v="1"/>
    <m/>
    <m/>
    <s v="Casa/Tanger"/>
    <n v="94.953999999999994"/>
    <x v="8"/>
    <s v="N2"/>
    <x v="0"/>
    <s v="Selon notre analyse, nous avons constaté que le HO  Complet entre 318 et 317,les conditions radio étaient bonnes avant la déconnexion,La requete de deconnexion a ete envoyé par le Rbc avec retransmission des trames HDLC "/>
    <s v="Aucune anomalie constatée suite à l’analyse du relevé JRU Présence d'interférences externes"/>
    <x v="2"/>
    <s v="En attente d'un plan d'action optim + Besoin de verification chaine antennaire"/>
    <s v=" HO  Complet entre 318 et 317"/>
    <s v="dl Rxqual=7"/>
    <s v="dl rx level=-48"/>
    <s v="OK"/>
    <s v="OK"/>
    <s v="Mauvais"/>
    <s v=" Retransmission des trames HDLC*5"/>
    <m/>
    <s v="Saad Elhabib"/>
    <m/>
    <m/>
    <m/>
    <m/>
    <m/>
    <m/>
    <m/>
  </r>
  <r>
    <n v="1381"/>
    <x v="0"/>
    <x v="508"/>
    <d v="1899-12-30T21:46:36"/>
    <n v="1057"/>
    <x v="2"/>
    <x v="1"/>
    <m/>
    <m/>
    <s v="Casa/Tanger"/>
    <n v="94.953999999999994"/>
    <x v="8"/>
    <s v="N2"/>
    <x v="0"/>
    <s v="Selon notre analyse, nous avons constaté que le HO  Non finalisé entre 318 et 217 ,les conditions radio étaient Mauvaise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81"/>
    <s v="OK"/>
    <s v="NOK"/>
    <s v="Mauvais"/>
    <s v=" Retransmission des trames HDLC*5"/>
    <m/>
    <s v="Saad Elhabib"/>
    <m/>
    <m/>
    <m/>
    <m/>
    <m/>
    <m/>
    <m/>
  </r>
  <r>
    <n v="1382"/>
    <x v="0"/>
    <x v="509"/>
    <d v="1899-12-30T08:46:52"/>
    <n v="1005"/>
    <x v="0"/>
    <x v="1"/>
    <m/>
    <m/>
    <s v="Casa/Tanger"/>
    <n v="94.953999999999994"/>
    <x v="8"/>
    <s v="N2"/>
    <x v="0"/>
    <s v="Selon notre analyse, nous avons constaté que le HO  Non finalisé entre 318 et 217 ,les conditions radio étaient mauvaises avant la déconnexion,La requete de deconnexion a ete envoyé par le BORD sans retransmission des trames HDLC "/>
    <s v="Aucune anomalie constatée suite à l’analyse du relevé JRU Présence d'interférences externes"/>
    <x v="2"/>
    <s v="En attente d'un plan d'action optim + Besoin de verification chaine antennaire"/>
    <s v=" HO Non finalisé entre 318 et 217"/>
    <s v="dl Rxqual=6"/>
    <s v="dl rx level=-76"/>
    <s v="OK"/>
    <s v="OK"/>
    <s v="Mauvais"/>
    <s v=" Pas Retransmission des trames HDLC"/>
    <m/>
    <s v="Fahd OUSSALH"/>
    <m/>
    <m/>
    <m/>
    <m/>
    <m/>
    <m/>
    <m/>
  </r>
  <r>
    <n v="1383"/>
    <x v="0"/>
    <x v="509"/>
    <d v="1899-12-30T10:24:49"/>
    <n v="2017"/>
    <x v="0"/>
    <x v="0"/>
    <m/>
    <m/>
    <s v="Tanger/Casa"/>
    <n v="96.316999999999993"/>
    <x v="8"/>
    <s v="N2"/>
    <x v="0"/>
    <s v="Selon notre analyse, nous avons constaté que le HO complet entre 217 et 316 avec downlink quality ,les conditions radio étaient mauvaises avant la déconnexion,La requete de deconnexion a ete envoyé par le RBC suite au retransmission des trames HDLC "/>
    <s v="Aucune anomalie constatée suite à l’analyse du relevé JRU Présence d'interférences externes"/>
    <x v="2"/>
    <s v="En attente d'un plan d'action optim + Besoin de verification chaine antennaire"/>
    <s v=" HO complet entre 217 et 316"/>
    <s v="dl Rxqual=7"/>
    <s v="dl rx level=-101"/>
    <s v="OK"/>
    <s v="OK"/>
    <s v="Mauvais"/>
    <s v=" Retransmission des trames HDLC*5"/>
    <m/>
    <s v="Fahd OUSSALH"/>
    <m/>
    <m/>
    <m/>
    <m/>
    <m/>
    <m/>
    <m/>
  </r>
  <r>
    <n v="1384"/>
    <x v="0"/>
    <x v="509"/>
    <d v="1899-12-30T13:27:39"/>
    <n v="1025"/>
    <x v="8"/>
    <x v="1"/>
    <m/>
    <m/>
    <s v="Tanger/Casa"/>
    <n v="181.626"/>
    <x v="4"/>
    <s v="N2"/>
    <x v="0"/>
    <s v="Selon notre analyse, nous avons constaté que le HO  Complet entre 332 et 331,les conditions radio étaient bonnes avant la déconnexion,La requete de deconnexion a ete envoyé par le RBC sans de retransmission des trames HDLC "/>
    <s v="Les derniers résultats de la vérification chaine antennaire conformes_x000a_Présence d'interférences externes  au niveau du GSMR_02/03_x000a_Probléme GSMR"/>
    <x v="3"/>
    <s v="En attente de pousser les analyses coté RBC"/>
    <s v=" HO  Complet entre 332 et 331"/>
    <s v="dl Rxqual=0"/>
    <s v="dl rx level=-62"/>
    <s v="OK"/>
    <s v="OK"/>
    <s v="Mauvais"/>
    <s v=" Pas Retransmission des trames HDLC"/>
    <m/>
    <s v="HARIRI Bahaeddine"/>
    <m/>
    <m/>
    <m/>
    <m/>
    <m/>
    <m/>
    <m/>
  </r>
  <r>
    <n v="1385"/>
    <x v="0"/>
    <x v="509"/>
    <d v="1899-12-30T17:28:37"/>
    <n v="2017"/>
    <x v="9"/>
    <x v="0"/>
    <m/>
    <m/>
    <s v="Tanger/Casa"/>
    <n v="108.206"/>
    <x v="1"/>
    <s v="N2"/>
    <x v="0"/>
    <s v="Selon notre analyse, nous avons constaté que le HO  Non finalise entre 219 et 320,les conditions radio étaient Mauvaises avant la déconnexion,La requete de deconnexion a ete envoyé par le RBC suite  de  retransmission des trames HDLC "/>
    <s v="Les derniers résultats de la vérification chaine antennaire conformes_x000a_Présence d'interférences externes  au niveau du GSMR_02/03_x000a_Probléme GSMR"/>
    <x v="2"/>
    <s v="En attente d'un plan d'action optim + Besoin de verification chaine antennaire"/>
    <s v=" HO  Non finalisé entre 219 et 320"/>
    <s v="dl Rxqual=7"/>
    <s v="dl rx level=-82"/>
    <s v="OK"/>
    <s v="OK"/>
    <s v="Mauvais"/>
    <s v=" Retransmission des trames HDLC*5"/>
    <m/>
    <s v="HARIRI Bahaeddine"/>
    <m/>
    <m/>
    <m/>
    <m/>
    <m/>
    <m/>
    <m/>
  </r>
  <r>
    <n v="1386"/>
    <x v="0"/>
    <x v="510"/>
    <d v="1899-12-30T12:05:33"/>
    <n v="2025"/>
    <x v="7"/>
    <x v="0"/>
    <m/>
    <m/>
    <s v="Tanger/Casa"/>
    <n v="6.13"/>
    <x v="2"/>
    <s v="N2"/>
    <x v="1"/>
    <s v="Selon notre analyse, nous avons constaté que le HO Complet entre 202 et 203,les conditions radio étaient Mauvaises avant la déconnexion,La requete de deconnexion a ete envoyé par le RBC suite  de  retransmission des trames HDLC "/>
    <s v="Les derniers résultats de la vérification chaine antennaire conformes_x000a_Présence d'interférences externes  au niveau du GSMR_02/03_x000a_Probléme GSMR"/>
    <x v="0"/>
    <s v="En attente du mise en place des tirroirs filtrés"/>
    <s v=" HO  Complet entre 202 et 203"/>
    <s v="dl Rxqual=7"/>
    <s v="dl rx level=-73"/>
    <s v="NOK"/>
    <s v="OK"/>
    <s v="Mauvais"/>
    <s v=" Retransmission des trames HDLC*5"/>
    <m/>
    <s v="ELGUEZZAR Anas"/>
    <m/>
    <m/>
    <m/>
    <m/>
    <m/>
    <m/>
    <m/>
  </r>
  <r>
    <n v="1387"/>
    <x v="0"/>
    <x v="510"/>
    <d v="1899-12-30T17:46:43"/>
    <n v="2017"/>
    <x v="2"/>
    <x v="1"/>
    <m/>
    <m/>
    <s v="Casa/Tanger"/>
    <n v="94.953999999999994"/>
    <x v="8"/>
    <s v="N2"/>
    <x v="0"/>
    <s v="Selon notre analyse, nous avons constaté que le HO  Non finalise entre 318 et 217,les conditions radio étaient Mauvaises  avant la déconnexion,La requete de deconnexion a ete envoyé par le BORD sans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82"/>
    <s v="OK"/>
    <s v="OK"/>
    <s v="Mauvais"/>
    <s v=" Pas Retransmission des trames HDLC"/>
    <m/>
    <s v="HARIRI Bahaeddine"/>
    <m/>
    <m/>
    <m/>
    <m/>
    <m/>
    <m/>
    <m/>
  </r>
  <r>
    <n v="1388"/>
    <x v="0"/>
    <x v="511"/>
    <d v="1899-12-30T23:49:30"/>
    <n v="10091"/>
    <x v="2"/>
    <x v="1"/>
    <m/>
    <m/>
    <s v="Casa/Tanger"/>
    <n v="94.953999999999994"/>
    <x v="8"/>
    <s v="N2"/>
    <x v="0"/>
    <s v="Selon notre analyse, nous avons constaté que le HO  Non finalise entre 318 et 217,les conditions radio étaient Mauvaises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78"/>
    <s v="OK"/>
    <s v="OK"/>
    <s v="Mauvais"/>
    <s v=" Retransmission des trames HDLC*5"/>
    <m/>
    <s v="ELHAJOUIA Achraf"/>
    <m/>
    <m/>
    <m/>
    <m/>
    <m/>
    <m/>
    <m/>
  </r>
  <r>
    <n v="1389"/>
    <x v="0"/>
    <x v="512"/>
    <d v="1899-12-30T08:40:32"/>
    <n v="1005"/>
    <x v="0"/>
    <x v="1"/>
    <m/>
    <m/>
    <s v="Casa/Tanger"/>
    <n v="122.536"/>
    <x v="30"/>
    <s v="N2"/>
    <x v="0"/>
    <s v="Selon notre analyse, nous avons constaté que le HO  Non finalise entre 222 et 321,les conditions radio étaient bonnes  avant la déconnexion,La requete de deconnexion a ete envoyé par le BORD sans retransmission des trames HDLC "/>
    <m/>
    <x v="2"/>
    <s v="En attente d'un plan d'action optim + Besoin de verification chaine antennaire"/>
    <s v=" HO  Non finalisé entre 222 et  321"/>
    <s v="dl Rxqual=2"/>
    <s v="dl rx level=-77"/>
    <s v="OK"/>
    <s v="OK"/>
    <s v="Mauvais"/>
    <s v=" Pas Retransmission des trames HDLC"/>
    <m/>
    <s v="Noura MOUSSAOUI"/>
    <m/>
    <m/>
    <s v="Mesures radio en UPLINK dégradé"/>
    <m/>
    <m/>
    <m/>
    <m/>
  </r>
  <r>
    <n v="1390"/>
    <x v="0"/>
    <x v="512"/>
    <d v="1899-12-30T10:47:12"/>
    <n v="1013"/>
    <x v="2"/>
    <x v="1"/>
    <m/>
    <m/>
    <s v="Casa/Tanger"/>
    <n v="94.953999999999994"/>
    <x v="8"/>
    <s v="N2"/>
    <x v="0"/>
    <s v="Selon notre analyse, nous avons constaté que le HO  Non finalise entre 222 et 321,les conditions radio étaient Mauvaises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80"/>
    <s v="OK"/>
    <s v="OK"/>
    <s v="Mauvais"/>
    <s v=" Retransmission des trames HDLC*5"/>
    <m/>
    <s v="Noura MOUSSAOUI"/>
    <m/>
    <m/>
    <m/>
    <m/>
    <m/>
    <m/>
    <m/>
  </r>
  <r>
    <n v="1391"/>
    <x v="0"/>
    <x v="512"/>
    <d v="1899-12-30T11:59:19"/>
    <n v="1017"/>
    <x v="8"/>
    <x v="1"/>
    <m/>
    <m/>
    <s v="Casa/Tanger"/>
    <n v="37.917000000000002"/>
    <x v="14"/>
    <s v="N2"/>
    <x v="0"/>
    <s v="Selon notre analyse, nous avons constaté que le HO complet entre 308 et 307,les conditions radio étaient bonnes  avant la déconnexion,La requete de deconnexion a ete envoyé par le BORD avec retransmission des trames HDLC "/>
    <m/>
    <x v="0"/>
    <s v="Besoin de verification chaine antennaire"/>
    <s v=" HO Complet entre 308 et  307"/>
    <s v="dl Rxqual=2"/>
    <s v="dl rx level=-60"/>
    <s v="OK"/>
    <s v="NOK"/>
    <s v="Mauvais"/>
    <s v=" Retransmission des trames HDLC*5"/>
    <m/>
    <s v="Noura MOUSSAOUI"/>
    <m/>
    <m/>
    <m/>
    <m/>
    <m/>
    <m/>
    <m/>
  </r>
  <r>
    <n v="1392"/>
    <x v="0"/>
    <x v="512"/>
    <d v="1899-12-30T16:47:12"/>
    <n v="1037"/>
    <x v="2"/>
    <x v="1"/>
    <m/>
    <m/>
    <s v="Casa/Tanger"/>
    <n v="94.953999999999994"/>
    <x v="8"/>
    <s v="N2"/>
    <x v="0"/>
    <s v="Selon notre analyse, nous avons constaté que le HO  Non finalise entre 318 et 317,les conditions radio étaient Mauvaises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83"/>
    <s v="OK"/>
    <s v="OK"/>
    <s v="Mauvais"/>
    <s v=" Retransmission des trames HDLC*5"/>
    <m/>
    <s v="Saad Elhabib"/>
    <m/>
    <m/>
    <m/>
    <m/>
    <m/>
    <m/>
    <m/>
  </r>
  <r>
    <n v="1393"/>
    <x v="0"/>
    <x v="513"/>
    <d v="1899-12-30T10:46:13"/>
    <n v="1013"/>
    <x v="0"/>
    <x v="1"/>
    <m/>
    <m/>
    <s v="Casa/Tanger"/>
    <n v="94.953999999999994"/>
    <x v="8"/>
    <s v="N2"/>
    <x v="0"/>
    <s v="Selon notre analyse, nous avons constaté que le HO  Non finalise entre 318 et 217,les conditions radio étaient Mauvaises avant la déconnexion,La requete de deconnexion a ete envoyé par le BORD avec retransmission des trames HDLC "/>
    <s v="Aucune anomalie constatée suite à l’analyse du relevé JRU Présence d'interférences externes"/>
    <x v="2"/>
    <s v="En attente d'un plan d'action optim + Besoin de verification chaine antennaire"/>
    <s v=" HO  Non finalisé entre 318 et  317"/>
    <s v="dl Rxqual=7"/>
    <s v="dl rx level=-84"/>
    <s v="OK"/>
    <s v="OK"/>
    <s v="Mauvais"/>
    <s v=" Retransmission des trames HDLC*5"/>
    <m/>
    <s v="Noura MOUSSAOUI"/>
    <m/>
    <m/>
    <m/>
    <m/>
    <m/>
    <m/>
    <m/>
  </r>
  <r>
    <n v="1394"/>
    <x v="0"/>
    <x v="514"/>
    <d v="1899-12-30T11:46:49"/>
    <n v="1018"/>
    <x v="11"/>
    <x v="1"/>
    <m/>
    <m/>
    <s v="Casa/Tanger"/>
    <n v="94.953999999999994"/>
    <x v="8"/>
    <s v="N2"/>
    <x v="0"/>
    <s v="Selon notre analyse, nous avons constaté que le HO complet entre 318 et 217,les conditions radio étaient Mauvaises avant la déconnexion,La requete de deconnexion a ete envoyé par le BORD sans retransmission des trames HDLC "/>
    <s v="Aucune anomalie constatée suite à l’analyse du relevé JRU Présence d'interférences externes"/>
    <x v="2"/>
    <s v="En attente d'un plan d'action optim + Besoin de verification chaine antennaire"/>
    <s v=" HO  complet entre 318 et  217"/>
    <s v="dl Rxqual=7"/>
    <s v="dl rx level=-78"/>
    <s v="OK"/>
    <s v="OK"/>
    <s v="Mauvais"/>
    <s v=" Pas Retransmission des trames HDLC"/>
    <m/>
    <s v="Noura MOUSSAOUI"/>
    <m/>
    <m/>
    <m/>
    <m/>
    <m/>
    <m/>
    <m/>
  </r>
  <r>
    <n v="1395"/>
    <x v="0"/>
    <x v="515"/>
    <d v="1899-12-30T08:45:37"/>
    <n v="1005"/>
    <x v="0"/>
    <x v="1"/>
    <m/>
    <m/>
    <s v="Casa/Tanger"/>
    <n v="94.953999999999994"/>
    <x v="8"/>
    <s v="N2"/>
    <x v="0"/>
    <s v="Selon notre analyse, nous avons constaté que le HO non finalisé entre 318 et 217,les conditions radio étaient Mauvaises avant la déconnexion,La requete de deconnexion a ete envoyé par le BORD sans retransmission des trames HDLC "/>
    <s v="Aucune anomalie constatée suite à l’analyse du relevé JRU Présence d'interférences externes"/>
    <x v="2"/>
    <s v="En attente d'un plan d'action optim + Besoin de verification chaine antennaire"/>
    <s v=" HO non finalisé entre 318 et  218"/>
    <s v="dl Rxqual=7"/>
    <s v="dl rx level=-86"/>
    <s v="OK"/>
    <s v="OK"/>
    <s v="Mauvais"/>
    <s v=" Pas Retransmission des trames HDLC"/>
    <m/>
    <s v="Noura MOUSSAOUI"/>
    <m/>
    <m/>
    <m/>
    <m/>
    <m/>
    <m/>
    <m/>
  </r>
  <r>
    <n v="1396"/>
    <x v="0"/>
    <x v="515"/>
    <d v="1899-12-30T17:05:01"/>
    <n v="2045"/>
    <x v="1"/>
    <x v="1"/>
    <m/>
    <m/>
    <s v="Tanger/Casa"/>
    <n v="6.13"/>
    <x v="2"/>
    <s v="N2"/>
    <x v="0"/>
    <s v="Selon notre analyse, nous avons constaté que le HO complet entre 202 et 203,les conditions radio étaient Mauvaises avant la déconnexion,La requete de deconnexion a ete envoyé par le RBC avec retransmission des trames HDLC "/>
    <m/>
    <x v="0"/>
    <s v="En attente du mise en place des tirroirs filtrés"/>
    <s v="HO complet entre 202 et 203"/>
    <s v="dl Rxqual=7"/>
    <s v="dl rx level=-69"/>
    <s v="OK"/>
    <s v="OK"/>
    <s v="Mauvais"/>
    <s v=" Retransmission des trames HDLC"/>
    <m/>
    <s v="ousalah fahd "/>
    <m/>
    <m/>
    <m/>
    <m/>
    <m/>
    <m/>
    <m/>
  </r>
  <r>
    <n v="1396"/>
    <x v="0"/>
    <x v="515"/>
    <d v="1899-12-30T17:50:49"/>
    <n v="1042"/>
    <x v="0"/>
    <x v="1"/>
    <m/>
    <m/>
    <s v="Casa/Tanger"/>
    <n v="94.950999999999993"/>
    <x v="8"/>
    <s v="N2"/>
    <x v="0"/>
    <s v="Selon notre analyse, nous avons constaté que le HO non finalisé entre 318 et 217,les conditions radio étaient Mauvaises avant la déconnexion,La requete de deconnexion a ete envoyé par le BORD sans retransmission des trames HDLC "/>
    <s v="Aucune anomalie constatée suite à l’analyse du relevé JRU Présence d'interférences externes"/>
    <x v="2"/>
    <s v="En attente d'un plan d'action optim + Besoin de verification chaine antennaire"/>
    <s v=" HO non finalisé entre 318 et  217"/>
    <s v="dl Rxqual=7"/>
    <s v="dl rx level=-83"/>
    <s v="OK"/>
    <s v="OK"/>
    <s v="Mauvais"/>
    <s v=" Pas Retransmission des trames HDLC"/>
    <m/>
    <s v="ousalah fahd "/>
    <m/>
    <m/>
    <m/>
    <m/>
    <m/>
    <m/>
    <m/>
  </r>
  <r>
    <n v="1397"/>
    <x v="0"/>
    <x v="516"/>
    <d v="1899-12-30T09:47:45"/>
    <n v="1010"/>
    <x v="0"/>
    <x v="1"/>
    <m/>
    <m/>
    <s v="Casa/Tanger"/>
    <n v="94.950999999999993"/>
    <x v="8"/>
    <s v="N2"/>
    <x v="0"/>
    <s v="Selon notre analyse, nous avons constaté que le HO non finalisé entre 318 et 217,les conditions radio étaient Mauvaises avant la déconnexion,La requete de deconnexion a ete envoyé par le BORD sans retransmission des trames HDLC "/>
    <s v="Aucune anomalie constatée suite à l’analyse du relevé JRU Présence d'interférences externes"/>
    <x v="2"/>
    <s v="En attente d'un plan d'action optim + Besoin de verification chaine antennaire"/>
    <s v=" HO non finalisé entre 318 et  217"/>
    <s v="dl Rxqual=6"/>
    <s v="dl rx level=-84"/>
    <s v="OK"/>
    <s v="OK"/>
    <s v="Mauvais"/>
    <s v=" Pas Retransmission des trames HDLC"/>
    <m/>
    <s v="Noura MOUSSAOUI"/>
    <m/>
    <m/>
    <m/>
    <m/>
    <m/>
    <m/>
    <m/>
  </r>
  <r>
    <n v="1398"/>
    <x v="0"/>
    <x v="516"/>
    <d v="1899-12-30T21:50:07"/>
    <n v="1058"/>
    <x v="0"/>
    <x v="1"/>
    <m/>
    <m/>
    <s v="Casa/Tanger"/>
    <n v="94.950999999999993"/>
    <x v="8"/>
    <s v="N2"/>
    <x v="0"/>
    <s v="Selon notre analyse, nous avons constaté que le HO non finalisé entre 318 et 217,les conditions radio étaient Mauvaises avant la déconnexion,La requete de deconnexion a ete envoyé par le BORD sans retransmission des trames HDLC "/>
    <s v="Aucune anomalie constatée suite à l’analyse du relevé JRU Présence d'interférences externes"/>
    <x v="2"/>
    <s v="En attente d'un plan d'action optim + Besoin de verification chaine antennaire"/>
    <s v=" HO non finalisé entre 318 et  217"/>
    <s v="dl Rxqual=6"/>
    <s v="dl rx level=-83"/>
    <s v="OK"/>
    <s v="OK"/>
    <s v="Mauvais"/>
    <s v=" Pas Retransmission des trames HDLC"/>
    <m/>
    <s v="HARIRI Bahaeddine"/>
    <m/>
    <m/>
    <m/>
    <m/>
    <m/>
    <m/>
    <m/>
  </r>
  <r>
    <n v="1399"/>
    <x v="0"/>
    <x v="516"/>
    <d v="1899-12-30T22:05:02"/>
    <n v="10081"/>
    <x v="11"/>
    <x v="0"/>
    <n v="1050"/>
    <m/>
    <s v="Tanger/Casa"/>
    <n v="6.13"/>
    <x v="2"/>
    <s v="N2"/>
    <x v="1"/>
    <s v="Selon notre analyse, nous avons constaté que le HO Complet entre 202 et 203,les conditions radio étaient Mauvaises avant la déconnexion,La requete de deconnexion a ete envoyé par le RBC suite  de  retransmission des trames HDLC "/>
    <s v="Les derniers résultats de la vérification chaine antennaire conformes_x000a_Présence d'interférences externes  au niveau du GSMR_02/03_x000a_Probléme GSMR"/>
    <x v="0"/>
    <s v="En attente du mise en place des tirroirs filtrés"/>
    <s v=" HO  Complet entre 202 et 203"/>
    <s v="dl Rxqual=7"/>
    <s v="dl rx level=-68"/>
    <s v="OK"/>
    <s v="OK"/>
    <s v="Mauvais"/>
    <s v=" Retransmission des trames HDLC*5"/>
    <m/>
    <s v="MAROUANI Otmane"/>
    <m/>
    <m/>
    <m/>
    <m/>
    <m/>
    <m/>
    <m/>
  </r>
  <r>
    <n v="1400"/>
    <x v="0"/>
    <x v="517"/>
    <d v="1899-12-30T07:46:36"/>
    <n v="1001"/>
    <x v="11"/>
    <x v="1"/>
    <n v="1051"/>
    <m/>
    <s v="Casa/Tanger"/>
    <n v="94.953999999999994"/>
    <x v="8"/>
    <s v="N2"/>
    <x v="0"/>
    <s v="Selon notre analyse, nous avons constaté que le HO non finalisé entre 318 et 217,les conditions radio étaient Mauvaises avant la déconnexion,La requete de deconnexion a ete envoyé par le BORD suite au retransmission des trames HDLC "/>
    <s v="Aucune anomalie constatée suite à l’analyse du relevé JRU Présence d'interférences externes"/>
    <x v="2"/>
    <s v="En attente d'un plan d'action optim + Besoin de verification chaine antennaire"/>
    <s v="HO non finalisé entre 318 et 217"/>
    <s v="dl Rxqual=7"/>
    <s v="dl rx level=-84"/>
    <s v="OK"/>
    <s v="OK"/>
    <s v="Mauvais"/>
    <s v=" Retransmission des trames HDLC*5"/>
    <m/>
    <s v="Noura MOUSSAOUI"/>
    <m/>
    <m/>
    <m/>
    <m/>
    <m/>
    <m/>
    <m/>
  </r>
  <r>
    <n v="1401"/>
    <x v="0"/>
    <x v="517"/>
    <s v="08:46:15 "/>
    <n v="1005"/>
    <x v="16"/>
    <x v="1"/>
    <n v="1052"/>
    <m/>
    <s v="Casa/Tanger"/>
    <n v="94.953999999999994"/>
    <x v="8"/>
    <s v="N2"/>
    <x v="0"/>
    <s v="Selon notre analyse, nous avons constaté que le HO non finalisé entre 318 et 217,les conditions radio étaient Mauvaises avant la déconnexion,La requete de deconnexion a ete envoyé par le BORD sans retransmission des trames HDLC "/>
    <s v="Aucune anomalie constatée suite à l’analyse du relevé JRU Présence d'interférences externes"/>
    <x v="2"/>
    <s v="En attente d'un plan d'action optim + Besoin de verification chaine antennaire"/>
    <s v="HO non finalisé entre 318 et 217"/>
    <s v="dl Rxqual=7"/>
    <s v="dl rx level=-83"/>
    <s v="OK"/>
    <s v="OK"/>
    <s v="Mauvais"/>
    <s v=" Pas Retransmission des trames HDLC"/>
    <m/>
    <s v="Noura MOUSSAOUI"/>
    <m/>
    <m/>
    <m/>
    <m/>
    <m/>
    <m/>
    <m/>
  </r>
  <r>
    <n v="1402"/>
    <x v="0"/>
    <x v="517"/>
    <d v="1899-12-30T09:48:04"/>
    <n v="1010"/>
    <x v="2"/>
    <x v="1"/>
    <n v="1053"/>
    <m/>
    <s v="Casa/Tanger"/>
    <n v="94.953999999999994"/>
    <x v="8"/>
    <s v="N2"/>
    <x v="0"/>
    <s v="Selon notre analyse, nous avons constaté que le HO non finalisé entre 318 et 217,les conditions radio étaient Mauvaises avant la déconnexion,La requete de deconnexion a ete envoyé par le BORD sans retransmission des trames HDLC "/>
    <s v="Aucune anomalie constatée suite à l’analyse du relevé JRU Présence d'interférences externes"/>
    <x v="2"/>
    <s v="En attente d'un plan d'action optim + Besoin de verification chaine antennaire"/>
    <s v="HO non finalisé entre 318 et 217"/>
    <s v="dl Rxqual=7"/>
    <s v="dl rx level=-80"/>
    <s v="OK"/>
    <s v="OK"/>
    <s v="Mauvais"/>
    <s v=" Pas Retransmission des trames HDLC"/>
    <m/>
    <s v="Noura MOUSSAOUI"/>
    <m/>
    <m/>
    <m/>
    <m/>
    <m/>
    <m/>
    <m/>
  </r>
  <r>
    <n v="1403"/>
    <x v="0"/>
    <x v="517"/>
    <d v="1899-12-30T09:05:32"/>
    <n v="1005"/>
    <x v="4"/>
    <x v="1"/>
    <n v="1054"/>
    <m/>
    <s v="Casa/Tanger"/>
    <n v="7.3209999999999997"/>
    <x v="2"/>
    <s v="N2"/>
    <x v="0"/>
    <s v="Selon notre analyse, nous avons constaté que le HO complet entre 303 et 302 better cell,les conditions radio étaient bonn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u mise en place des tirroirs filtrés"/>
    <s v="HO complet entre 303 et 302 better cell"/>
    <s v="dl Rxqual="/>
    <s v="dl rx level="/>
    <s v="OK"/>
    <s v="OK"/>
    <s v="Mauvais"/>
    <s v=" Retransmission des trames HDLC*5"/>
    <m/>
    <s v="Noura MOUSSAOUI"/>
    <m/>
    <m/>
    <m/>
    <m/>
    <m/>
    <m/>
    <m/>
  </r>
  <r>
    <n v="1404"/>
    <x v="0"/>
    <x v="517"/>
    <d v="1899-12-30T16:29:23"/>
    <n v="2041"/>
    <x v="5"/>
    <x v="0"/>
    <n v="1055"/>
    <m/>
    <s v="Tanger/Casa"/>
    <n v="117.258"/>
    <x v="17"/>
    <s v="N2"/>
    <x v="0"/>
    <s v="Selon notre analyse, nous avons constaté que le HO Non finalisé entre 320 et 321 ,les conditions radio étaient bonnes avant la déconnexion,La requete de deconnexion a ete envoyé par le RBC suite au retransmission des trames HDLC "/>
    <s v="Les derniers résultats de la vérification chaine antennaire conformes_x000a_Présence d'interférences externes  au niveau du GSMR_02/03_x000a_Probléme GSMR"/>
    <x v="2"/>
    <s v="En attente d'un plan d'action optim + Besoin de verification chaine antennaire"/>
    <s v="HO non finalisé entre 320 et  321"/>
    <s v="dl Rxqual=3"/>
    <s v="dl rx level=-63"/>
    <s v="NOK"/>
    <s v="OK"/>
    <s v="Mauvais"/>
    <s v=" Retransmission des trames HDLC*5"/>
    <m/>
    <s v="ELHAJOUIA Achraf"/>
    <m/>
    <m/>
    <s v="Mesures radio en UPLINK dégradé"/>
    <m/>
    <m/>
    <m/>
    <m/>
  </r>
  <r>
    <n v="1405"/>
    <x v="0"/>
    <x v="518"/>
    <d v="1899-12-30T08:04:55"/>
    <n v="2009"/>
    <x v="1"/>
    <x v="0"/>
    <n v="1054"/>
    <m/>
    <s v="Tanger/Casa"/>
    <n v="6.13"/>
    <x v="2"/>
    <s v="N2"/>
    <x v="1"/>
    <s v="Selon notre analyse, nous avons constaté que le HO complet entre 203 et 302 ,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u mise en place des tirroirs filtrés"/>
    <s v="HO complet entre 203et 302"/>
    <s v="dl Rxqual=6"/>
    <s v="dl rx level=61"/>
    <s v="OK"/>
    <s v="OK"/>
    <s v="Mauvais"/>
    <s v=" Retransmission des trames HDLC*5"/>
    <m/>
    <s v="Noura MOUSSAOUI"/>
    <m/>
    <m/>
    <m/>
    <m/>
    <m/>
    <m/>
    <m/>
  </r>
  <r>
    <n v="1406"/>
    <x v="0"/>
    <x v="519"/>
    <d v="1899-12-30T08:05:47"/>
    <n v="2009"/>
    <x v="9"/>
    <x v="0"/>
    <n v="1053"/>
    <m/>
    <s v="Tanger/Casa"/>
    <n v="6.13"/>
    <x v="2"/>
    <s v="N2"/>
    <x v="1"/>
    <s v="Selon notre analyse, nous avons constaté que le HO complet entre 303 et 202 ,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u mise en place des tirroirs filtrés"/>
    <s v="HO complet entre 303et 202"/>
    <s v="dl Rxqual=4"/>
    <s v="dl rx level=66"/>
    <s v="OK"/>
    <s v="OK"/>
    <s v="Mauvais"/>
    <s v=" Retransmission des trames HDLC*5"/>
    <m/>
    <s v="ISMALI ALAOUI Hamza"/>
    <m/>
    <m/>
    <m/>
    <m/>
    <m/>
    <m/>
    <m/>
  </r>
  <r>
    <n v="1408"/>
    <x v="0"/>
    <x v="519"/>
    <d v="1899-12-30T12:06:04"/>
    <n v="2025"/>
    <x v="8"/>
    <x v="0"/>
    <n v="1043"/>
    <m/>
    <s v="Tanger/Casa"/>
    <n v="6.13"/>
    <x v="2"/>
    <s v="N2"/>
    <x v="0"/>
    <s v="Selon notre analyse, nous avons constaté que le HO complet entre 303 et 202 avec Downlink quality ,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u mise en place des tirroirs filtrés"/>
    <s v="HO complet entre 202 et 303"/>
    <s v="dl Rxqual=7"/>
    <s v="dl rx level=68"/>
    <s v="OK"/>
    <s v="OK"/>
    <s v="Mauvais"/>
    <s v=" Retransmission des trames HDLC*5"/>
    <m/>
    <s v="ELHAJOUIA Achraf"/>
    <m/>
    <m/>
    <m/>
    <m/>
    <m/>
    <m/>
    <m/>
  </r>
  <r>
    <n v="1407"/>
    <x v="0"/>
    <x v="519"/>
    <d v="1899-12-30T11:45:40"/>
    <n v="1017"/>
    <x v="2"/>
    <x v="1"/>
    <n v="1061"/>
    <m/>
    <s v="Casa/Tanger"/>
    <n v="94.953999999999994"/>
    <x v="8"/>
    <s v="N2"/>
    <x v="0"/>
    <s v="Selon notre analyse, nous avons constaté que le HO complet entre 318 et 317 ,les conditions radio étaient bonnes avant la déconnexion,La requete de deconnexion a ete envoyé par le RBC suite au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complet entre 318 et 317"/>
    <s v="dl Rxqual=0"/>
    <s v="dl rx level=48"/>
    <s v="OK"/>
    <s v="OK"/>
    <s v="Mauvais"/>
    <s v=" Retransmission des trames HDLC*5"/>
    <m/>
    <s v="ELHAJOUIA Achraf"/>
    <m/>
    <m/>
    <m/>
    <m/>
    <m/>
    <m/>
    <m/>
  </r>
  <r>
    <n v="1409"/>
    <x v="0"/>
    <x v="519"/>
    <d v="1899-12-30T18:47:09"/>
    <n v="1045"/>
    <x v="4"/>
    <x v="1"/>
    <n v="1032"/>
    <m/>
    <s v="Casa/Tanger"/>
    <n v="94.953999999999994"/>
    <x v="8"/>
    <s v="N2"/>
    <x v="0"/>
    <s v="Selon notre analyse, nous avons constaté que le HO non finalise entre 318 et 217 avec Downlink quality ,les conditions radio étaient Mauvaises avant la déconnexion,La requete de deconnexion a ete envoyé par le Bord suite au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79"/>
    <s v="OK"/>
    <s v="OK"/>
    <s v="Mauvais"/>
    <s v=" Retransmission des trames HDLC*5"/>
    <m/>
    <s v="LAGDEM Elmehdi"/>
    <m/>
    <m/>
    <m/>
    <m/>
    <m/>
    <m/>
    <m/>
  </r>
  <r>
    <n v="1410"/>
    <x v="0"/>
    <x v="519"/>
    <d v="1899-12-30T22:21:12"/>
    <n v="10081"/>
    <x v="2"/>
    <x v="0"/>
    <n v="7217"/>
    <m/>
    <s v="Tanger/Casa"/>
    <n v="73.585999999999999"/>
    <x v="13"/>
    <s v="N2"/>
    <x v="0"/>
    <s v="Selon notre analyse, nous avons constaté que le HO non finalise entre 213 et 214 ,les conditions radio étaient Mauvaises au moment dexecution du HO entrainant une retansmission des trames hdlc ce qui a provoqué l'envoi d une requete de deconnexion depuis le RBC"/>
    <m/>
    <x v="2"/>
    <s v="Zone sous surveillance par le noc"/>
    <s v="HO non finalise entre 213 et 214"/>
    <s v="dl Rxqual=7"/>
    <s v="dl rx level=-65"/>
    <s v="OK"/>
    <s v="OK"/>
    <s v="Mauvais"/>
    <s v=" Retransmission des trames HDLC*5"/>
    <m/>
    <s v="SGHAYER Achraf"/>
    <m/>
    <m/>
    <m/>
    <m/>
    <m/>
    <m/>
    <m/>
  </r>
  <r>
    <n v="1411"/>
    <x v="0"/>
    <x v="520"/>
    <d v="1899-12-30T08:46:22"/>
    <n v="1005"/>
    <x v="2"/>
    <x v="1"/>
    <n v="1061"/>
    <m/>
    <s v="Casa/Tanger"/>
    <n v="94.953999999999994"/>
    <x v="8"/>
    <s v="N2"/>
    <x v="0"/>
    <s v="Selon notre analyse, nous avons constaté que le HO non finalise entre 318 et 217 avec Downlink quality ,les conditions radio étaient Mauvaises avant la déconnexion,La requete de deconnexion a ete envoyé par le Bord suite au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78"/>
    <s v="OK"/>
    <s v="OK"/>
    <s v="Mauvais"/>
    <s v=" Retransmission des trames HDLC*5"/>
    <m/>
    <s v="ELHAJOUIA Achraf"/>
    <m/>
    <m/>
    <m/>
    <m/>
    <m/>
    <m/>
    <m/>
  </r>
  <r>
    <n v="1412"/>
    <x v="0"/>
    <x v="520"/>
    <d v="1899-12-30T11:05:10"/>
    <n v="2025"/>
    <x v="10"/>
    <x v="0"/>
    <n v="1057"/>
    <m/>
    <s v="Tanger/Casa"/>
    <n v="6.13"/>
    <x v="2"/>
    <s v="N2"/>
    <x v="0"/>
    <s v="Selon notre analyse, nous avons constaté que le HO complet entre 202 et 203 avec Downlink quality ,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u mise en place des tirroirs filtrés"/>
    <s v="HO complet entre 202 et 203"/>
    <s v="dl Rxqual=6"/>
    <s v="dl rx level=72"/>
    <s v="OK"/>
    <s v="OK"/>
    <s v="Mauvais"/>
    <s v=" Retransmission des trames HDLC*5"/>
    <m/>
    <s v="ELHAJOUIA Achraf"/>
    <m/>
    <m/>
    <m/>
    <m/>
    <m/>
    <m/>
    <m/>
  </r>
  <r>
    <n v="1413"/>
    <x v="0"/>
    <x v="520"/>
    <d v="1899-12-30T11:55:02"/>
    <n v="1017"/>
    <x v="5"/>
    <x v="1"/>
    <n v="1027"/>
    <m/>
    <s v="Casa/Tanger"/>
    <n v="48.426000000000002"/>
    <x v="16"/>
    <s v="N2"/>
    <x v="0"/>
    <s v="Selon notre analyse, nous avons constaté que le HO non finalise entre 309 et 308,les conditions radio étaient Bonne avant la déconnexion,La requete de deconnexion a ete envoyé par le RBC suite au retransmission des trames HDLC "/>
    <m/>
    <x v="2"/>
    <s v="Zone sous surveillance par le noc"/>
    <s v="HO non finalise entre 309 et 308"/>
    <s v="dl Rxqual=3"/>
    <s v="dl rx level=-87"/>
    <s v="NOK"/>
    <s v="OK"/>
    <s v="Mauvais"/>
    <s v=" Retransmission des trames HDLC*5"/>
    <m/>
    <s v="ELHAJOUIA Achraf"/>
    <m/>
    <m/>
    <m/>
    <m/>
    <m/>
    <m/>
    <m/>
  </r>
  <r>
    <n v="1414"/>
    <x v="0"/>
    <x v="520"/>
    <d v="1899-12-30T21:32:32"/>
    <n v="1057"/>
    <x v="10"/>
    <x v="1"/>
    <n v="1028"/>
    <m/>
    <s v="Casa/Tanger"/>
    <n v="161.72200000000001"/>
    <x v="9"/>
    <s v="N2"/>
    <x v="0"/>
    <s v="Selon notre analyse, nous avons constaté que le HO non finalise entre 328 et 327,les conditions radio étaient bonnes avant la déconnexion,La requete de deconnexion a ete envoyé par le RBC suite au retransmission des trames HDLC "/>
    <m/>
    <x v="2"/>
    <s v="Zone sous surveillance par le noc"/>
    <s v="HO non finalise entre 328 et 327"/>
    <s v="dl Rxqual=1"/>
    <s v="dl rx level=-67"/>
    <s v="NOK"/>
    <s v="OK"/>
    <s v="Mauvais"/>
    <s v=" Retransmission des trames HDLC*5"/>
    <m/>
    <s v="Rida safri"/>
    <m/>
    <m/>
    <s v="Mesures radio en UP Link dégradés"/>
    <m/>
    <m/>
    <m/>
    <m/>
  </r>
  <r>
    <n v="1415"/>
    <x v="0"/>
    <x v="521"/>
    <d v="1899-12-30T12:05:24"/>
    <n v="2025"/>
    <x v="5"/>
    <x v="0"/>
    <n v="1025"/>
    <m/>
    <s v="Tanger/Casa"/>
    <n v="6.13"/>
    <x v="2"/>
    <s v="N2"/>
    <x v="0"/>
    <s v="Selon notre analyse, nous avons constaté que le HO complet entre 202 et 203 avec Downlink quality ,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u mise en place des tirroirs filtrés"/>
    <s v="HO complet entre 202 et 203"/>
    <s v="dl Rxqual=7"/>
    <s v="dl rx level=-67"/>
    <s v="OK"/>
    <s v="OK"/>
    <s v="Mauvais"/>
    <s v=" Retransmission des trames HDLC*5"/>
    <m/>
    <s v="ELHAJOUIA Achraf"/>
    <m/>
    <m/>
    <m/>
    <m/>
    <m/>
    <m/>
    <m/>
  </r>
  <r>
    <n v="1416"/>
    <x v="0"/>
    <x v="521"/>
    <d v="1899-12-30T18:28:24"/>
    <n v="1045"/>
    <x v="10"/>
    <x v="1"/>
    <n v="1028"/>
    <m/>
    <s v="Casa/Tanger"/>
    <n v="177.85"/>
    <x v="4"/>
    <s v="N2"/>
    <x v="0"/>
    <s v="Selon notre analyse, nous avons constaté que le HO complet entre 330 et 331 avec Downlink quality ,les conditions radio étaient Mauvaises avant la déconnexion,La requete de deconnexion a ete envoyé par le RBC suite au retransmission des trames HDLC "/>
    <m/>
    <x v="1"/>
    <s v="En attente d'un plan d'action optim"/>
    <s v="HO complet entre 330 et 331"/>
    <s v="dl Rxqual=6"/>
    <s v="dl rx level=-70"/>
    <s v="NOK"/>
    <s v="OK"/>
    <s v="Mauvais"/>
    <s v=" Retransmission des trames HDLC*5"/>
    <m/>
    <s v="LAGDEM Elmehdi"/>
    <m/>
    <m/>
    <m/>
    <m/>
    <m/>
    <m/>
    <m/>
  </r>
  <r>
    <n v="1417"/>
    <x v="0"/>
    <x v="522"/>
    <d v="1899-12-30T19:46:13"/>
    <n v="1049"/>
    <x v="2"/>
    <x v="1"/>
    <n v="1061"/>
    <m/>
    <s v="Casa/Tanger"/>
    <n v="94.953999999999994"/>
    <x v="8"/>
    <s v="N2"/>
    <x v="0"/>
    <s v="Selon notre analyse, nous avons constaté que le HO non finalise  entre 318  et 317  ,les conditions radio étaient Mauvaises avant la déconnexion,La requete de deconnexion a ete envoyé par le RBC suite au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317"/>
    <s v="dl Rxqual=7"/>
    <s v="dl rx level=-80"/>
    <s v="OK"/>
    <s v="OK"/>
    <s v="Mauvais"/>
    <s v=" Retransmission des trames HDLC*5"/>
    <m/>
    <s v="LAGDEM Elmehdi"/>
    <m/>
    <m/>
    <m/>
    <m/>
    <m/>
    <m/>
    <m/>
  </r>
  <r>
    <n v="1418"/>
    <x v="0"/>
    <x v="523"/>
    <s v=" 07:46:13"/>
    <n v="1002"/>
    <x v="4"/>
    <x v="1"/>
    <n v="1032"/>
    <m/>
    <s v="Casa/Tanger"/>
    <n v="94.953999999999994"/>
    <x v="8"/>
    <s v="N2"/>
    <x v="0"/>
    <s v="Selon notre analyse, nous avons constaté que le HO non finalise  entre 318  et 217  ,les conditions radio étaient Mauvaises avant la déconnexion,La requete de deconnexion a ete envoyé par le RBC suite au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84"/>
    <s v="OK"/>
    <s v="OK"/>
    <s v="Mauvais"/>
    <s v=" Retransmission des trames HDLC*5"/>
    <m/>
    <s v="Noura MOUSSAOUI"/>
    <m/>
    <m/>
    <m/>
    <m/>
    <m/>
    <m/>
    <m/>
  </r>
  <r>
    <n v="1419"/>
    <x v="0"/>
    <x v="524"/>
    <s v=" 22:27:58"/>
    <n v="10081"/>
    <x v="3"/>
    <x v="0"/>
    <n v="1083"/>
    <m/>
    <s v="Tanger/Casa"/>
    <n v="108.206"/>
    <x v="1"/>
    <s v="N2"/>
    <x v="0"/>
    <s v="Selon notre analyse, nous avons constaté que le HO non finalise  entre 219  et 320  ,les conditions radio étaient Mauvaises avant la déconnexion,La requete de deconnexion a ete envoyé par le bord suite au retransmission des trames HDLC "/>
    <m/>
    <x v="1"/>
    <s v="En attente d'un plan d'action optim "/>
    <s v="HO non finalise entre 219 et 320"/>
    <s v="dl Rxqual=7"/>
    <s v="dl rx level=-80"/>
    <s v="OK"/>
    <s v="OK"/>
    <s v="Mauvais"/>
    <s v=" Retransmission des trames HDLC*5"/>
    <m/>
    <s v="ELHAJOUIA Achraf"/>
    <m/>
    <m/>
    <m/>
    <m/>
    <m/>
    <m/>
    <m/>
  </r>
  <r>
    <n v="1420"/>
    <x v="0"/>
    <x v="525"/>
    <s v=" 05:05:34"/>
    <n v="15297"/>
    <x v="7"/>
    <x v="0"/>
    <n v="1055"/>
    <m/>
    <s v="Tanger/Casa"/>
    <n v="80.47"/>
    <x v="11"/>
    <s v="N2"/>
    <x v="0"/>
    <s v="Selon notre analyse, nous avons constaté que le HO Complet entre 214  et 215  ,les conditions radio étaient bonne avant la déconnexion,La requete de deconnexion a ete envoyé par le RBC sans  retransmission des trames HDLC "/>
    <m/>
    <x v="3"/>
    <s v="En attente de pousser les analyses coté RBC"/>
    <s v="HO complet entre 214 et 215"/>
    <s v="dl Rxqual=3"/>
    <s v="dl rx level=-48"/>
    <s v="OK"/>
    <s v="OK"/>
    <s v="Mauvais"/>
    <s v=" Pas Retransmission des trames HDLC"/>
    <m/>
    <s v="ELHAJOUIA Achraf"/>
    <m/>
    <m/>
    <m/>
    <m/>
    <m/>
    <m/>
    <m/>
  </r>
  <r>
    <n v="1419"/>
    <x v="0"/>
    <x v="525"/>
    <s v=" 10:46:46"/>
    <n v="1013"/>
    <x v="0"/>
    <x v="1"/>
    <n v="1045"/>
    <m/>
    <s v="Casa/Tanger"/>
    <n v="94.953999999999994"/>
    <x v="8"/>
    <s v="N2"/>
    <x v="0"/>
    <s v="Selon notre analyse, nous avons constaté que le HO non finalise  entre 318  et 217 ,les conditions radio étaient Mauvaises avant la déconnexion,La requete de deconnexion a ete envoyé par le bord sans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6"/>
    <s v="dl rx level=-85"/>
    <s v="OK"/>
    <s v="OK"/>
    <s v="Mauvais"/>
    <s v=" Pas de retransmission des trames HDLC"/>
    <m/>
    <s v="Noura MOUSSAOUI"/>
    <m/>
    <m/>
    <m/>
    <m/>
    <m/>
    <m/>
    <m/>
  </r>
  <r>
    <n v="1420"/>
    <x v="0"/>
    <x v="525"/>
    <d v="1899-12-30T16:04:40"/>
    <n v="2041"/>
    <x v="5"/>
    <x v="0"/>
    <n v="1025"/>
    <m/>
    <s v="Tanger/Casa"/>
    <n v="6.13"/>
    <x v="2"/>
    <s v="N2"/>
    <x v="1"/>
    <s v="Selon notre analyse, nous avons constaté que le HO complet entre 2020et 203,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u mise en place des tirroirs filtrés"/>
    <s v="HO complet entre 202 et 203"/>
    <s v="dl Rxqual=7"/>
    <s v="dl rx level=67"/>
    <s v="OK"/>
    <s v="OK"/>
    <s v="Mauvais"/>
    <s v=" Retransmission des trames HDLC*5"/>
    <m/>
    <s v="MAROUANI Otmane"/>
    <m/>
    <m/>
    <m/>
    <m/>
    <m/>
    <m/>
    <m/>
  </r>
  <r>
    <n v="1421"/>
    <x v="0"/>
    <x v="525"/>
    <d v="1899-12-30T16:45:56"/>
    <n v="1038"/>
    <x v="0"/>
    <x v="1"/>
    <n v="1045"/>
    <m/>
    <s v="Casa/Tanger"/>
    <n v="94.953999999999994"/>
    <x v="8"/>
    <s v="N2"/>
    <x v="0"/>
    <s v="Selon notre analyse, nous avons constaté que le HO non finalise  entre 318  et 217 ,les conditions radio étaient Mauvaises avant la déconnexion,La requete de deconnexion a ete envoyé par le bord sans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83"/>
    <s v="OK"/>
    <s v="OK"/>
    <s v="Mauvais"/>
    <s v=" Pas de retransmission des trames HDLC"/>
    <m/>
    <s v="LAGDEM Elmehdi"/>
    <m/>
    <m/>
    <m/>
    <m/>
    <m/>
    <m/>
    <m/>
  </r>
  <r>
    <n v="1422"/>
    <x v="0"/>
    <x v="525"/>
    <d v="1899-12-30T20:34:32"/>
    <n v="1053"/>
    <x v="5"/>
    <x v="1"/>
    <n v="1026"/>
    <m/>
    <s v="Casa/Tanger"/>
    <n v="151.35"/>
    <x v="18"/>
    <s v="N2"/>
    <x v="0"/>
    <s v="Selon notre analyse, nous avons constaté que le HO Complet  entre 225  et 327 (Saute Cellule) ,les conditions radio étaient Bonnes avant la déconnexion,La requete de deconnexion a ete envoyé par le RBC Suite au  retransmission des trames HDLC "/>
    <m/>
    <x v="1"/>
    <s v="Zone prise en compte par le SOR pour étude et analyse"/>
    <s v="HO Complet entre 225 et 327"/>
    <s v="dl Rxqual=3"/>
    <s v="dl rx level=-75"/>
    <s v="OK"/>
    <s v="OK"/>
    <s v="Mauvais"/>
    <s v=" Retransmission des trames HDLC*5"/>
    <m/>
    <s v="ELHAJOUIA Achraf"/>
    <m/>
    <m/>
    <m/>
    <m/>
    <m/>
    <m/>
    <m/>
  </r>
  <r>
    <n v="1423"/>
    <x v="0"/>
    <x v="525"/>
    <d v="1899-12-30T20:40:23"/>
    <n v="1053"/>
    <x v="5"/>
    <x v="1"/>
    <n v="1026"/>
    <m/>
    <s v="Casa/Tanger"/>
    <n v="127.815"/>
    <x v="6"/>
    <s v="N2"/>
    <x v="0"/>
    <s v="Selon notre analyse, nous avons constaté que le HO Non finalisé  entre 223  et 321 avec Downlink quality  (Saute Cellule) ,les conditions radio étaient Mauvaises avant la déconnexion,La requete de deconnexion a ete envoyé par le bord sans  retransmission des trames HDLC "/>
    <m/>
    <x v="2"/>
    <s v="En attente d'un plan d'action optim"/>
    <s v="HO non finalise entre 223 et 321"/>
    <s v="dl Rxqual=5"/>
    <s v="dl rx level=-72"/>
    <s v="OK"/>
    <s v="OK"/>
    <s v="Mauvais"/>
    <s v=" Pas de retransmission des trames HDLC"/>
    <m/>
    <s v="ELHAJOUIA Achraf"/>
    <m/>
    <m/>
    <m/>
    <m/>
    <m/>
    <m/>
    <m/>
  </r>
  <r>
    <n v="1423"/>
    <x v="0"/>
    <x v="526"/>
    <d v="1899-12-30T08:05:24"/>
    <n v="2009"/>
    <x v="4"/>
    <x v="0"/>
    <n v="1058"/>
    <m/>
    <s v="Tanger/Casa"/>
    <n v="6.13"/>
    <x v="2"/>
    <s v="N2"/>
    <x v="1"/>
    <s v="Selon notre analyse, nous avons constaté que le HO Non finalisé  entre 203  et 204 ,les conditions radio étaient Mauvaises avant la déconnexion,La requete de deconnexion a ete envoyé par le bord sans  retransmission des trames HDLC "/>
    <s v="Les derniers résultats de la vérification chaine antennaire conformes_x000a_Présence d'interférences externes  au niveau du GSMR_02/03_x000a_Probléme GSMR"/>
    <x v="0"/>
    <s v="En attente du mise en place des tirroirs filtrés"/>
    <s v="HO non finalise entre 203 et 204"/>
    <s v="dl Rxqual=7"/>
    <s v="dl rx level=-71"/>
    <s v="NOK"/>
    <s v="OK"/>
    <s v="Mauvais"/>
    <s v=" Retransmission des trames HDLC*5"/>
    <m/>
    <s v="ELGUEZZAR Anas"/>
    <m/>
    <m/>
    <m/>
    <m/>
    <m/>
    <m/>
    <m/>
  </r>
  <r>
    <n v="1424"/>
    <x v="0"/>
    <x v="526"/>
    <d v="1899-12-30T09:06:16"/>
    <n v="2013"/>
    <x v="9"/>
    <x v="0"/>
    <n v="1053"/>
    <m/>
    <s v="Tanger/Casa"/>
    <n v="5.73"/>
    <x v="2"/>
    <s v="N2"/>
    <x v="0"/>
    <s v="Selon notre analyse, nous avons constaté que le HO finalisé  entre 202  et 303 ,les conditions radio étaient Mauvaises avant la déconnexion,La requete de deconnexion a ete envoyé par le bord suite au  retransmission des trames HDLC "/>
    <s v="Les derniers résultats de la vérification chaine antennaire conformes_x000a_Présence d'interférences externes  au niveau du GSMR_02/03_x000a_Probléme GSMR"/>
    <x v="0"/>
    <s v="En attente du mise en place des tirroirs filtrés"/>
    <s v="HO finalise entre 202 et 303"/>
    <s v="dl Rxqual=7"/>
    <s v="dl rx level=-68"/>
    <s v="OK"/>
    <s v="OK"/>
    <s v="Mauvais"/>
    <s v=" Retransmission des trames HDLC*5"/>
    <m/>
    <s v="AYMANE ASSAL"/>
    <m/>
    <m/>
    <m/>
    <m/>
    <m/>
    <m/>
    <m/>
  </r>
  <r>
    <n v="1425"/>
    <x v="0"/>
    <x v="526"/>
    <d v="1899-12-30T22:21:55"/>
    <n v="10081"/>
    <x v="9"/>
    <x v="0"/>
    <n v="1053"/>
    <m/>
    <s v="Tanger/Casa"/>
    <n v="73.585999999999999"/>
    <x v="13"/>
    <s v="N2"/>
    <x v="0"/>
    <s v="Selon notre analyse, nous avons constaté que le HO Non finalisé  entre 213  et 214 ,les conditions radio étaient Bonnes avant la déconnexion,La requete de deconnexion a ete envoyé par le RBC suite au  retransmission des trames HDLC "/>
    <m/>
    <x v="1"/>
    <s v="Zone prise en compte par le SOR pour étude et analyse"/>
    <s v="HO Non finalise entre 213 et 214"/>
    <s v="dl Rxqual=3"/>
    <s v="dl rx level=-65"/>
    <s v="OK"/>
    <s v="OK"/>
    <s v="Mauvais"/>
    <s v=" Retransmission des trames HDLC*5"/>
    <m/>
    <s v="ELHAJOUIA Achraf"/>
    <m/>
    <m/>
    <m/>
    <m/>
    <m/>
    <m/>
    <m/>
  </r>
  <r>
    <n v="1426"/>
    <x v="0"/>
    <x v="527"/>
    <d v="1899-12-30T11:45:52"/>
    <n v="1017"/>
    <x v="0"/>
    <x v="1"/>
    <n v="1045"/>
    <s v="Tanger/Casa"/>
    <s v="Casa/Tanger"/>
    <n v="94.953999999999994"/>
    <x v="8"/>
    <s v="N2"/>
    <x v="0"/>
    <s v="Selon notre analyse, nous avons constaté que le HO Non finalisé  entre  318 et 217 ,les conditions radio étaient Mauvaise avant la déconnexion,La requete de deconnexion a ete envoyé par le Bord sans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4"/>
    <s v="dl rx level=-84"/>
    <s v="OK"/>
    <s v="OK"/>
    <s v="Mauvais"/>
    <s v=" Pas de retransmission des trames HDLC"/>
    <m/>
    <s v="AYMANE ASSAL"/>
    <m/>
    <m/>
    <m/>
    <m/>
    <m/>
    <m/>
    <m/>
  </r>
  <r>
    <n v="1427"/>
    <x v="0"/>
    <x v="528"/>
    <d v="1899-12-30T08:13:44"/>
    <n v="1001"/>
    <x v="11"/>
    <x v="1"/>
    <n v="1020"/>
    <s v="Tanger/Casa"/>
    <s v="Casa/Tanger"/>
    <n v="7.3209999999999997"/>
    <x v="2"/>
    <s v="N2"/>
    <x v="0"/>
    <s v="Selon notre analyse, nous avons constaté que le HO est complet entre 203 et 302 ,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u mise en place des tirroirs filtrés"/>
    <s v="HO complet entre 203 et 302"/>
    <s v="dl Rxqual=7"/>
    <s v="dl rx level=-77"/>
    <s v="OK"/>
    <s v="OK"/>
    <s v="Mauvais"/>
    <s v=" Retransmission des trames HDLC*5"/>
    <m/>
    <s v="Noura MOUSSAOUI"/>
    <m/>
    <m/>
    <m/>
    <m/>
    <m/>
    <m/>
    <m/>
  </r>
  <r>
    <n v="1428"/>
    <x v="0"/>
    <x v="528"/>
    <d v="1899-12-30T16:14:05"/>
    <n v="1033"/>
    <x v="4"/>
    <x v="1"/>
    <n v="1033"/>
    <s v="Tanger/Casa"/>
    <s v="Casa/Tanger"/>
    <n v="7.3209999999999997"/>
    <x v="2"/>
    <s v="N2"/>
    <x v="0"/>
    <s v="Selon notre analyse, nous avons constaté que le HO est Non finalisé entre 202 et 203 ,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u mise en place des tirroirs filtrés"/>
    <s v="HO Non finalise entre 202 et 203"/>
    <s v="dl Rxqual=7"/>
    <s v="dl rx level=-51"/>
    <s v="NOK"/>
    <s v="OK"/>
    <s v="Mauvais"/>
    <s v=" Retransmission des trames HDLC*5"/>
    <m/>
    <s v="HAMZAOUI Youssef"/>
    <m/>
    <m/>
    <m/>
    <m/>
    <m/>
    <m/>
    <m/>
  </r>
  <r>
    <n v="1429"/>
    <x v="0"/>
    <x v="528"/>
    <d v="1899-12-30T20:54:31"/>
    <n v="1053"/>
    <x v="11"/>
    <x v="1"/>
    <n v="1072"/>
    <s v="Tanger/Casa"/>
    <s v="Casa/Tanger"/>
    <n v="94.953999999999994"/>
    <x v="8"/>
    <s v="N2"/>
    <x v="0"/>
    <s v="Selon notre analyse, nous avons constaté que le HO est Non finalisé entre 318 et 217 ,les conditions radio étaient Mauvaises avant la déconnexion,La requete de deconnexion a ete envoyé par le BORD  sans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83"/>
    <s v="OK"/>
    <s v="OK"/>
    <s v="Mauvais"/>
    <s v="Pas de retransmission des trames HDLC"/>
    <m/>
    <s v="HAMZAOUI Youssef"/>
    <m/>
    <m/>
    <m/>
    <m/>
    <m/>
    <m/>
    <m/>
  </r>
  <r>
    <n v="1430"/>
    <x v="0"/>
    <x v="529"/>
    <d v="1899-12-30T12:20:49"/>
    <n v="2025"/>
    <x v="0"/>
    <x v="0"/>
    <n v="1036"/>
    <s v="Tanger/Casa"/>
    <s v="Tanger/Casa"/>
    <n v="74.712999999999994"/>
    <x v="13"/>
    <s v="N2"/>
    <x v="0"/>
    <s v="Selon notre analyse, nous avons constaté que le HO est Non finalisé entre 213 et 214 ,les conditions radio étaient bonnes avant la déconnexion,La requete de deconnexion a ete envoyé par le RBC suite au retransmission des trames HDLC "/>
    <m/>
    <x v="1"/>
    <s v="Zone prise en compte par le SOR pour étude et analyse"/>
    <s v="HO Non finalise entre 213 et 214"/>
    <s v="dl Rxqual=3"/>
    <s v="dl rx level=-72"/>
    <s v="OK"/>
    <s v="OK"/>
    <s v="Mauvais"/>
    <s v=" Retransmission des trames HDLC*5"/>
    <m/>
    <s v="Noura MOUSSAOUI"/>
    <m/>
    <m/>
    <m/>
    <m/>
    <m/>
    <m/>
    <m/>
  </r>
  <r>
    <n v="1431"/>
    <x v="0"/>
    <x v="530"/>
    <d v="1899-12-30T04:05:38"/>
    <n v="2025"/>
    <x v="9"/>
    <x v="0"/>
    <n v="1053"/>
    <s v="Tanger/Casa"/>
    <s v="Tanger/Casa"/>
    <n v="6.13"/>
    <x v="2"/>
    <s v="N2"/>
    <x v="1"/>
    <s v="Selon notre analyse, nous avons constaté que le HO est complet entre 202 et 203 ,les conditions radio étaient Mauvaises avant la déconnexion,La requete de deconnexion a ete envoyé par le RBC avec  retransmission des trames HDLC*5 "/>
    <s v="Les derniers résultats de la vérification chaine antennaire conformes_x000a_Présence d'interférences externes  au niveau du GSMR_02/03_x000a_Probléme GSMR"/>
    <x v="0"/>
    <s v="En attente du mise en place des tirroirs filtrés"/>
    <s v="HO complet entre 202 et 203"/>
    <s v="dl Rxqual=7"/>
    <s v="dl rx level=-71"/>
    <s v="OK"/>
    <s v="OK"/>
    <s v="Mauvais"/>
    <s v=" Retransmission des trames HDLC*5"/>
    <m/>
    <s v="ELGUEZZAR Anas"/>
    <m/>
    <m/>
    <m/>
    <m/>
    <m/>
    <m/>
    <m/>
  </r>
  <r>
    <n v="1432"/>
    <x v="0"/>
    <x v="530"/>
    <d v="1899-12-30T17:05:15"/>
    <n v="2045"/>
    <x v="2"/>
    <x v="0"/>
    <n v="7218"/>
    <s v="Tanger/Casa"/>
    <s v="Tanger/Casa"/>
    <n v="6.13"/>
    <x v="2"/>
    <s v="N2"/>
    <x v="0"/>
    <s v="Selon notre analyse, nous avons constaté que le HO est complet entre 202 et 203 ,les conditions radio étaient Mauvaises avant la déconnexion,La requete de deconnexion a ete envoyé par le RBC suite au   retransmission des trames HDLC*"/>
    <s v="Les derniers résultats de la vérification chaine antennaire conformes_x000a_Présence d'interférences externes  au niveau du GSMR_02/03_x000a_Probléme GSMR"/>
    <x v="0"/>
    <s v="En attente du mise en place des tirroirs filtrés"/>
    <s v="HO complet entre 202 et 203"/>
    <s v="dl Rxqual=7"/>
    <s v="dl rx level=-68"/>
    <s v="NOK"/>
    <s v="OK"/>
    <s v="Mauvais"/>
    <s v=" Retransmission des trames HDLC*5"/>
    <m/>
    <s v="ELHAJOUIA Achraf"/>
    <m/>
    <m/>
    <m/>
    <m/>
    <m/>
    <m/>
    <m/>
  </r>
  <r>
    <n v="1433"/>
    <x v="0"/>
    <x v="530"/>
    <d v="1899-12-30T18:05:18"/>
    <n v="2049"/>
    <x v="8"/>
    <x v="0"/>
    <n v="1042"/>
    <s v="Tanger/Casa"/>
    <s v="Tanger/Casa"/>
    <n v="6.13"/>
    <x v="2"/>
    <s v="N2"/>
    <x v="1"/>
    <s v="Selon notre analyse, nous avons constaté que le HO est Non finalisé entre 203 et 203 ,les conditions radio étaient bonn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u mise en place des tirroirs filtrés"/>
    <s v="HO Non finalise entre 202 et 203"/>
    <s v="dl Rxqual=7"/>
    <s v="dl rx level=-56"/>
    <s v="OK"/>
    <s v="OK"/>
    <s v="Mauvais"/>
    <s v=" Retransmission des trames HDLC*5"/>
    <m/>
    <s v="LAGDEM Elmehdi"/>
    <m/>
    <m/>
    <m/>
    <m/>
    <m/>
    <m/>
    <m/>
  </r>
  <r>
    <n v="1434"/>
    <x v="0"/>
    <x v="531"/>
    <d v="1899-12-30T08:45:38"/>
    <n v="1005"/>
    <x v="2"/>
    <x v="1"/>
    <n v="1061"/>
    <m/>
    <s v="Casa/Tanger"/>
    <n v="136.73500000000001"/>
    <x v="26"/>
    <s v="N2"/>
    <x v="1"/>
    <s v="Selon notre analyse, nous avons constaté que le HO est Complet entre 325 et 324 ,les conditions radio étaient bonnes avant la déconnexion,La requete de deconnexion a ete envoyé par le bord suite au retransmission des trames HDLC "/>
    <m/>
    <x v="0"/>
    <s v="En attente du mise en place des tirroirs filtrés"/>
    <s v="HO complet entre 325 et 324"/>
    <s v="dl Rxqual=0"/>
    <s v="dl rx level=-57"/>
    <s v="OK"/>
    <s v="OK"/>
    <s v="Mauvais"/>
    <s v=" Retransmission des trames HDLC*5"/>
    <m/>
    <s v="Rida safri"/>
    <m/>
    <m/>
    <m/>
    <m/>
    <m/>
    <m/>
    <m/>
  </r>
  <r>
    <n v="1435"/>
    <x v="0"/>
    <x v="532"/>
    <d v="1899-12-30T12:05:06"/>
    <n v="2025"/>
    <x v="0"/>
    <x v="0"/>
    <n v="1037"/>
    <s v="Tanger/Casa"/>
    <s v="Tanger/Casa"/>
    <n v="6.13"/>
    <x v="2"/>
    <s v="N2"/>
    <x v="0"/>
    <s v="Selon notre analyse, nous avons constaté que le HO est complet entre 202 et 203 ,les conditions radio étaient Mauvaises avant la déconnexion,La requete de deconnexion a ete envoyé par le RBC suite au   retransmission des trames HDLC*"/>
    <s v="Les derniers résultats de la vérification chaine antennaire conformes_x000a_Présence d'interférences externes  au niveau du GSMR_02/03_x000a_Probléme GSMR"/>
    <x v="0"/>
    <s v="En attente du mise en place des tirroirs filtrés"/>
    <s v="HO complet entre 202 et 203"/>
    <s v="dl Rxqual=7"/>
    <s v="dl rx level=-73"/>
    <s v="NOK"/>
    <s v="OK"/>
    <s v="Mauvais"/>
    <s v=" Retransmission des trames HDLC*5"/>
    <m/>
    <s v="HAMZAOUI Youssef"/>
    <m/>
    <m/>
    <m/>
    <m/>
    <m/>
    <m/>
    <m/>
  </r>
  <r>
    <n v="1436"/>
    <x v="0"/>
    <x v="532"/>
    <d v="1899-12-30T12:55:01"/>
    <n v="1021"/>
    <x v="2"/>
    <x v="1"/>
    <n v="1061"/>
    <s v="Tanger/Casa"/>
    <s v="Casa/Tanger"/>
    <n v="94.953999999999994"/>
    <x v="8"/>
    <s v="N2"/>
    <x v="0"/>
    <s v="Selon notre analyse, nous avons constaté que le HO est Non finalisé entre 318 et 217 ,les conditions radio étaient Mauvaises avant la déconnexion,La requete de deconnexion a ete envoyé par le BORD  suite au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84"/>
    <s v="OK"/>
    <s v="OK"/>
    <s v="Mauvais"/>
    <s v=" Retransmission des trames HDLC*5"/>
    <m/>
    <s v="HAMZAOUI Youssef"/>
    <m/>
    <m/>
    <m/>
    <m/>
    <m/>
    <m/>
    <m/>
  </r>
  <r>
    <n v="1437"/>
    <x v="0"/>
    <x v="532"/>
    <d v="1899-12-30T18:55:01"/>
    <n v="1045"/>
    <x v="2"/>
    <x v="1"/>
    <n v="1061"/>
    <s v="Tanger/Casa"/>
    <s v="Casa/Tanger"/>
    <n v="94.953999999999994"/>
    <x v="8"/>
    <s v="N2"/>
    <x v="0"/>
    <s v="Selon notre analyse, nous avons constaté que le HO est Non finalisé entre 318 et 217 ,les conditions radio étaient Mauvaises avant la déconnexion,La requete de deconnexion a ete envoyé par le BORD  suite au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83"/>
    <s v="OK"/>
    <s v="OK"/>
    <s v="Mauvais"/>
    <s v=" Retransmission des trames HDLC*5"/>
    <m/>
    <s v="ELHAJOUIA Achraf"/>
    <m/>
    <m/>
    <m/>
    <m/>
    <m/>
    <m/>
    <m/>
  </r>
  <r>
    <n v="1438"/>
    <x v="0"/>
    <x v="532"/>
    <d v="1899-12-30T19:55:54"/>
    <n v="1049"/>
    <x v="3"/>
    <x v="1"/>
    <n v="1047"/>
    <s v="Tanger/Casa"/>
    <s v="Casa/Tanger"/>
    <n v="94.953999999999994"/>
    <x v="8"/>
    <s v="N2"/>
    <x v="0"/>
    <s v="Selon notre analyse, nous avons constaté que le HO est Non finalisé entre 318 et 217 ,les conditions radio étaient Mauvaises avant la déconnexion,La requete de deconnexion a ete envoyé par le BORD  Sans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6"/>
    <s v="dl rx level=-80"/>
    <s v="OK"/>
    <s v="OK"/>
    <s v="Mauvais"/>
    <s v="Pas de retransmission des trames HDLC"/>
    <m/>
    <s v="ELHAJOUIA Achraf"/>
    <m/>
    <m/>
    <m/>
    <m/>
    <m/>
    <m/>
    <m/>
  </r>
  <r>
    <n v="1439"/>
    <x v="0"/>
    <x v="532"/>
    <d v="1899-12-30T21:14:20"/>
    <n v="1054"/>
    <x v="5"/>
    <x v="1"/>
    <n v="1027"/>
    <s v="Tanger/Casa"/>
    <s v="Casa/Tanger"/>
    <n v="7.3209999999999997"/>
    <x v="2"/>
    <s v="N2"/>
    <x v="0"/>
    <s v="Selon notre analyse, nous avons constaté que le HO est Non finalisé entre 203 et 202 ,les conditions radio étaient Mauvaises avant la déconnexion,La requete de deconnexion a ete envoyé par le RBC  Sans  retransmission des trames HDLC "/>
    <s v="Les derniers résultats de la vérification chaine antennaire conformes_x000a_Présence d'interférences externes  au niveau du GSMR_02/03_x000a_Probléme GSMR"/>
    <x v="0"/>
    <s v="En attente du mise en place des tirroirs filtrés"/>
    <s v="HO non complet entre 202 et 203"/>
    <s v="dl Rxqual=7"/>
    <s v="dl rx level=-61"/>
    <s v="OK"/>
    <s v="OK"/>
    <s v="Mauvais"/>
    <s v="Pas de retransmission des trames HDLC"/>
    <m/>
    <s v="HARIRI Bahaeddine"/>
    <m/>
    <m/>
    <m/>
    <m/>
    <m/>
    <m/>
    <m/>
  </r>
  <r>
    <n v="1440"/>
    <x v="0"/>
    <x v="532"/>
    <d v="1899-12-30T21:54:43"/>
    <n v="1058"/>
    <x v="8"/>
    <x v="1"/>
    <n v="1031"/>
    <s v="Tanger/Casa"/>
    <s v="Casa/Tanger"/>
    <n v="94.953999999999994"/>
    <x v="8"/>
    <s v="N2"/>
    <x v="0"/>
    <s v="Selon notre analyse, nous avons constaté que le HO est Non finalisé entre 318 et 217 ,les conditions radio étaient Mauvaises avant la déconnexion,La requete de deconnexion a ete envoyé par le BORD  Sans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6"/>
    <s v="dl rx level=-82"/>
    <s v="OK"/>
    <s v="OK"/>
    <s v="Mauvais"/>
    <s v="Pas de retransmission des trames HDLC"/>
    <m/>
    <s v="HARIRI Bahaeddine"/>
    <m/>
    <m/>
    <m/>
    <m/>
    <m/>
    <m/>
    <m/>
  </r>
  <r>
    <n v="1441"/>
    <x v="0"/>
    <x v="533"/>
    <d v="1899-12-30T07:54:33"/>
    <n v="1001"/>
    <x v="2"/>
    <x v="1"/>
    <n v="1061"/>
    <s v="Tanger/Casa"/>
    <s v="Casa/Tanger"/>
    <n v="94.953999999999994"/>
    <x v="8"/>
    <s v="N2"/>
    <x v="0"/>
    <s v="Selon notre analyse, nous avons constaté que le HO est Non finalisé entre 318 et 217 ,les conditions radio étaient Mauvaises avant la déconnexion,La requete de deconnexion a ete envoyé par le BORD  Suite au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6"/>
    <s v="dl rx level=-82"/>
    <s v="OK"/>
    <s v="OK"/>
    <s v="Mauvais"/>
    <s v=" Retransmission des trames HDLC*5"/>
    <m/>
    <s v="Noura MOUSSAOUI"/>
    <m/>
    <m/>
    <m/>
    <m/>
    <m/>
    <m/>
    <m/>
  </r>
  <r>
    <n v="1442"/>
    <x v="0"/>
    <x v="533"/>
    <d v="1899-12-30T08:55:04"/>
    <n v="1005"/>
    <x v="3"/>
    <x v="1"/>
    <n v="1047"/>
    <s v="Tanger/Casa"/>
    <s v="Casa/Tanger"/>
    <n v="94.953999999999994"/>
    <x v="8"/>
    <s v="N2"/>
    <x v="0"/>
    <s v="Selon notre analyse, nous avons constaté que le HO est Non finalisé entre 318 et 217 ,les conditions radio étaient Mauvaises avant la déconnexion,La requete de deconnexion a ete envoyé par le BORD  Sans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76"/>
    <s v="OK"/>
    <s v="OK"/>
    <s v="Mauvais"/>
    <s v="Pas de retransmission des trames HDLC"/>
    <m/>
    <s v="Noura MOUSSAOUI"/>
    <m/>
    <m/>
    <m/>
    <m/>
    <m/>
    <m/>
    <m/>
  </r>
  <r>
    <n v="1443"/>
    <x v="0"/>
    <x v="533"/>
    <d v="1899-12-30T22:47:43"/>
    <n v="1062"/>
    <x v="4"/>
    <x v="1"/>
    <n v="1032"/>
    <s v="Tanger/Casa"/>
    <s v="Casa/Tanger"/>
    <n v="127.815"/>
    <x v="6"/>
    <s v="N2"/>
    <x v="0"/>
    <s v="Selon notre analyse, nous avons constaté que le HO est Non finalisé entre 323 et 222 ,les conditions radio étaient bonnes avant la déconnexion,La requete de deconnexion a ete envoyé par le BORD  Sans retransmission des trames HDLC (Mesures radio en Uplink dégradé)"/>
    <m/>
    <x v="1"/>
    <s v="Zone sous surveillance par le NOC"/>
    <s v="HO Non finalise entre 323 et 222"/>
    <s v="dl Rxqual=1"/>
    <s v="dl rx level=-75"/>
    <s v="OK"/>
    <s v="OK"/>
    <s v="Mauvais"/>
    <s v="Pas de retransmission des trames HDLC"/>
    <m/>
    <s v="HARIRI Bahaeddine"/>
    <m/>
    <m/>
    <m/>
    <m/>
    <m/>
    <m/>
    <m/>
  </r>
  <r>
    <n v="1444"/>
    <x v="0"/>
    <x v="534"/>
    <d v="1899-12-30T04:05:21"/>
    <n v="2081"/>
    <x v="8"/>
    <x v="0"/>
    <n v="1043"/>
    <m/>
    <s v="Tanger/Casa"/>
    <n v="6.13"/>
    <x v="2"/>
    <s v="N2"/>
    <x v="1"/>
    <s v="Selon notre analyse, nous avons constaté que le HO est Complete entre 202et 201,les conditions radio étaient Mauvaises avant la déconnexion,La requete de deconnexion a ete envoyé par le RBC suite au retransmission des trames HDLC "/>
    <s v="Les derniers résultats de la vérification chaine antennaire conformes_x000a_Présence d'interférences externes  au niveau du GSMR_02/03_x000a_Probléme GSMR"/>
    <x v="0"/>
    <s v="En attente de la mise en place des tiroirs filtrés"/>
    <s v="HO Complete entre 202 et 201"/>
    <s v="dl Rxqual=7"/>
    <s v="dl rx level=-93"/>
    <s v="NOK"/>
    <s v="OK"/>
    <s v="Mauvais"/>
    <s v=" Retransmission des trames HDLC*5"/>
    <m/>
    <s v="MAROUANI Otmane"/>
    <m/>
    <m/>
    <m/>
    <m/>
    <m/>
    <m/>
    <m/>
  </r>
  <r>
    <n v="1445"/>
    <x v="0"/>
    <x v="534"/>
    <d v="1899-12-30T09:54:42"/>
    <n v="1009"/>
    <x v="0"/>
    <x v="1"/>
    <n v="1045"/>
    <m/>
    <s v="Casa/Tanger"/>
    <n v="94.953999999999994"/>
    <x v="8"/>
    <s v="N2"/>
    <x v="0"/>
    <s v="Selon notre analyse, nous avons constaté que le HO est Non finalisé entre 318 et 217 ,les conditions radio étaient Mauvaises avant la déconnexion,La requete de deconnexion a ete envoyé par le BORD  Sans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85"/>
    <s v="OK"/>
    <s v="OK"/>
    <s v="Mauvais"/>
    <s v="Pas de retransmission des trames HDLC"/>
    <m/>
    <s v="Noura MOUSSAOUI"/>
    <m/>
    <m/>
    <m/>
    <m/>
    <m/>
    <m/>
    <m/>
  </r>
  <r>
    <n v="1446"/>
    <x v="0"/>
    <x v="534"/>
    <d v="1899-12-30T15:16:57"/>
    <n v="2037"/>
    <x v="2"/>
    <x v="0"/>
    <n v="7218"/>
    <m/>
    <s v="Tanger/Casa"/>
    <n v="53.600999999999999"/>
    <x v="29"/>
    <s v="N2"/>
    <x v="0"/>
    <s v="Selon notre analyse, nous avons constaté que le HO est Non finalisé entre 208 et 309,les conditions radio étaient bonnes avant la déconnexion,La requete de deconnexion a ete envoyé par le BORD Sans retransmission des trames HDLC*5(*4), les mesures radio en Uplink étaient dégradés "/>
    <m/>
    <x v="1"/>
    <s v="Zone sous surveillance par le NOC"/>
    <s v="HO Non finalise entre 208 et 309"/>
    <s v="dl Rxqual=0"/>
    <s v="dl rx level=-65"/>
    <s v="OK"/>
    <s v="OK"/>
    <s v="Mauvais"/>
    <s v="Pas de retransmission des trames HDLC"/>
    <m/>
    <s v="Noura MOUSSAOUI"/>
    <m/>
    <m/>
    <m/>
    <m/>
    <m/>
    <m/>
    <m/>
  </r>
  <r>
    <n v="1447"/>
    <x v="0"/>
    <x v="535"/>
    <d v="1899-12-30T16:16:57"/>
    <n v="2037"/>
    <x v="2"/>
    <x v="1"/>
    <n v="7219"/>
    <m/>
    <s v="Casa/Tanger"/>
    <n v="54.600999999999999"/>
    <x v="29"/>
    <s v="N2"/>
    <x v="0"/>
    <s v="Selon notre analyse, nous avons constaté que le HO est Non finalisé entre 208 et 309,les conditions radio étaient bonnes avant la déconnexion,La requete de deconnexion a ete envoyé par le BORD Sans retransmission des trames HDLC*5(*4), les mesures radio en Uplink étaient dégradés "/>
    <m/>
    <x v="1"/>
    <s v="Zone sous surveillance par le NOC"/>
    <s v="HO Non finalise entre 208 et 310"/>
    <s v="dl Rxqual=1"/>
    <s v="dl rx level=-66"/>
    <s v="OK"/>
    <s v="OK"/>
    <s v="Mauvais"/>
    <s v="Pas de retransmission des trames HDLC"/>
    <m/>
    <s v="Noura MOUSSAOUI"/>
    <m/>
    <m/>
    <m/>
    <m/>
    <m/>
    <m/>
    <m/>
  </r>
  <r>
    <n v="1448"/>
    <x v="0"/>
    <x v="535"/>
    <d v="1899-12-30T20:34:27"/>
    <n v="1035"/>
    <x v="8"/>
    <x v="1"/>
    <n v="1031"/>
    <m/>
    <s v="Casa/Tanger"/>
    <n v="198.98400000000001"/>
    <x v="5"/>
    <s v="N2"/>
    <x v="1"/>
    <s v="Selon notre analyse, nous avons constaté que le HO est Complete entre 234 et 233, les conditions radio étaient Mauvaises avant la déconnexion, La requête de déconnexion a été envoyé par le bord  sans retransmission des trames HDLC "/>
    <m/>
    <x v="1"/>
    <s v="Zone sous surveillance par le NOC"/>
    <s v="HO Complete  entre 234 et 233"/>
    <s v="dl Rxqual=4"/>
    <s v="dl rx level=-78"/>
    <s v="NOK"/>
    <s v="NOK"/>
    <s v="Mauvais"/>
    <s v="Pas de retransmission des trames HDLC"/>
    <m/>
    <s v="Nassim NAJIM"/>
    <m/>
    <m/>
    <m/>
    <m/>
    <m/>
    <m/>
    <m/>
  </r>
  <r>
    <n v="1448"/>
    <x v="0"/>
    <x v="536"/>
    <d v="1899-12-30T08:54:52"/>
    <n v="1005"/>
    <x v="11"/>
    <x v="1"/>
    <n v="1072"/>
    <m/>
    <s v="Casa/Tanger"/>
    <n v="94.953999999999994"/>
    <x v="8"/>
    <s v="N2 "/>
    <x v="0"/>
    <s v="Selon notre analyse, nous avons constaté que le HO est Non finalisé entre 318 et 217 ,les conditions radio étaient Mauvaises avant la déconnexion,La requete de deconnexion a ete envoyé par le BORD suite au retransmission des trames HDLC "/>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5"/>
    <s v="dl rx level=-81"/>
    <s v="OK"/>
    <s v="OK"/>
    <s v="Mauvais"/>
    <s v=" Retransmission des trames HDLC*5"/>
    <m/>
    <s v="Noura MOUSSAOUI"/>
    <m/>
    <m/>
    <m/>
    <m/>
    <m/>
    <m/>
    <m/>
  </r>
  <r>
    <n v="1449"/>
    <x v="0"/>
    <x v="537"/>
    <d v="1899-12-30T18:54:26"/>
    <n v="1045"/>
    <x v="4"/>
    <x v="1"/>
    <n v="1032"/>
    <m/>
    <s v="Casa/Tanger"/>
    <n v="94.953999999999994"/>
    <x v="8"/>
    <s v="N2 "/>
    <x v="0"/>
    <s v="Selon notre analyse, nous avons constaté que le HO est Non finalisé entre 318 et 217 ,les conditions radio étaient Mauvaises avant la déconnexion,La requete de deconnexion a ete envoyé par le BORD Sans retransmission des trames HDLC"/>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81"/>
    <s v="OK"/>
    <s v="OK"/>
    <s v="Mauvais"/>
    <s v="Pas de retransmission des trames HDLC"/>
    <m/>
    <m/>
    <m/>
    <m/>
    <m/>
    <m/>
    <m/>
    <m/>
    <m/>
  </r>
  <r>
    <n v="1450"/>
    <x v="0"/>
    <x v="537"/>
    <d v="1899-12-30T21:54:34"/>
    <n v="1058"/>
    <x v="2"/>
    <x v="1"/>
    <n v="1061"/>
    <m/>
    <s v="Casa/Tanger"/>
    <n v="94.953999999999994"/>
    <x v="8"/>
    <s v="N2"/>
    <x v="0"/>
    <s v="Selon notre analyse, nous avons constaté que le HO est Non finalisé entre 318 et 217 ,les conditions radio étaient Mauvaises avant la déconnexion,La requete de deconnexion a ete envoyé par le BORD suite au retransmission des trames HDLC"/>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6"/>
    <s v="dl rx level=-79"/>
    <s v="OK"/>
    <s v="NOK"/>
    <s v="Mauvais"/>
    <s v=" Retransmission des trames HDLC*5"/>
    <m/>
    <s v="LAGDEM Elmehdi"/>
    <m/>
    <m/>
    <m/>
    <m/>
    <m/>
    <m/>
    <m/>
  </r>
  <r>
    <n v="1451"/>
    <x v="0"/>
    <x v="538"/>
    <d v="1899-12-30T13:14:27"/>
    <n v="1021"/>
    <x v="3"/>
    <x v="1"/>
    <n v="1046"/>
    <m/>
    <s v="Casa/Tanger"/>
    <n v="7.3209999999999997"/>
    <x v="2"/>
    <s v="N2"/>
    <x v="0"/>
    <s v="Selon notre analyse, nous avons constaté que le HO est Non finalisé entre 302 et 203 ,les conditions radio étaient Mauvaises avant la déconnexion,La requete de deconnexion a ete envoyé par le BORD suite au retransmission des trames HDLC"/>
    <s v="Les derniers résultats de la vérification chaine antennaire conformes_x000a_Présence d'interférences externes  au niveau du GSMR_02/03_x000a_Probléme GSMR"/>
    <x v="0"/>
    <s v="En attente du mise en place des tirroirs filtrés"/>
    <s v="HO Non finalise entre 302 et 203"/>
    <s v="dl Rxqual=6"/>
    <s v="dl rx level=-51"/>
    <s v="OK"/>
    <s v="OK"/>
    <s v="Mauvais"/>
    <s v=" Retransmission des trames HDLC*5"/>
    <m/>
    <s v="Noura MOUSSAOUI"/>
    <m/>
    <m/>
    <m/>
    <m/>
    <m/>
    <m/>
    <m/>
  </r>
  <r>
    <n v="1452"/>
    <x v="0"/>
    <x v="538"/>
    <d v="1899-12-30T19:12:54"/>
    <n v="1045"/>
    <x v="3"/>
    <x v="1"/>
    <n v="1046"/>
    <m/>
    <s v="Casa/Tanger"/>
    <n v="7.3209999999999997"/>
    <x v="2"/>
    <s v="N2"/>
    <x v="0"/>
    <s v="Selon notre analyse, nous avons constaté que le HO est Non finalisé entre 302 et 203 ,les conditions radio étaient Mauvaises avant la déconnexion,La requete de deconnexion a ete envoyé par le RBC suite au retransmission des trames HDLC"/>
    <s v="Les derniers résultats de la vérification chaine antennaire conformes_x000a_Présence d'interférences externes  au niveau du GSMR_02/03_x000a_Probléme GSMR"/>
    <x v="0"/>
    <s v="En attente du mise en place des tirroirs filtrés"/>
    <s v="HO Non finalise entre 302 et 203"/>
    <s v="dl Rxqual=6"/>
    <s v="dl rx level=-65"/>
    <s v="OK"/>
    <s v="OK"/>
    <s v="Mauvais"/>
    <s v=" Retransmission des trames HDLC*5"/>
    <m/>
    <s v="HAMZAOUI Youssef"/>
    <m/>
    <m/>
    <m/>
    <m/>
    <m/>
    <m/>
    <m/>
  </r>
  <r>
    <n v="1453"/>
    <x v="0"/>
    <x v="539"/>
    <d v="1899-12-30T08:54:34"/>
    <n v="1005"/>
    <x v="0"/>
    <x v="1"/>
    <n v="1045"/>
    <m/>
    <s v="Casa/Tanger"/>
    <n v="94.953999999999994"/>
    <x v="8"/>
    <s v="N2"/>
    <x v="0"/>
    <s v="Selon notre analyse, nous avons constaté que le HO est Non finalisé entre 318 et 217 ,les conditions radio étaient Mauvaises avant la déconnexion,La requete de deconnexion a ete envoyé par le Bord suite au retransmission des trames HDLC"/>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6"/>
    <s v="dl rx level=-83"/>
    <s v="OK"/>
    <s v="OK"/>
    <s v="Mauvais"/>
    <s v=" Retransmission des trames HDLC*5"/>
    <m/>
    <s v="Noura MOUSSAOUI"/>
    <m/>
    <m/>
    <m/>
    <m/>
    <m/>
    <m/>
    <m/>
  </r>
  <r>
    <n v="1454"/>
    <x v="0"/>
    <x v="539"/>
    <d v="1899-12-30T21:05:10"/>
    <n v="2061"/>
    <x v="5"/>
    <x v="0"/>
    <n v="1025"/>
    <m/>
    <s v="Tanger/Casa"/>
    <n v="6.13"/>
    <x v="2"/>
    <s v="N2"/>
    <x v="0"/>
    <s v="Selon notre analyse, nous avons constaté que le HO est Complet entre 202 et 203 avec Downlink quality  ,les conditions radio étaient Mauvaises avant la déconnexion,La requete de deconnexion a ete envoyé par le RBC  suite au retransmission des trames HDLC"/>
    <s v="Les derniers résultats de la vérification chaine antennaire conformes_x000a_Présence d'interférences externes  au niveau du GSMR_02/03_x000a_Probléme GSMR"/>
    <x v="0"/>
    <s v="En attente du mise en place des tirroirs filtrés"/>
    <s v="HO Complet entre 202 et 203"/>
    <s v="dl Rxqual=7"/>
    <s v="dl rx level=-66"/>
    <s v="OK"/>
    <s v="OK"/>
    <s v="Mauvais"/>
    <s v=" Retransmission des trames HDLC*5"/>
    <m/>
    <s v="ELHAJOUIA Achraf"/>
    <m/>
    <m/>
    <m/>
    <m/>
    <m/>
    <m/>
    <m/>
  </r>
  <r>
    <n v="1455"/>
    <x v="0"/>
    <x v="540"/>
    <d v="1899-12-30T07:05:20"/>
    <n v="2005"/>
    <x v="7"/>
    <x v="0"/>
    <n v="1055"/>
    <m/>
    <s v="Tanger/Casa"/>
    <n v="6.13"/>
    <x v="2"/>
    <s v="N2"/>
    <x v="0"/>
    <s v="Selon notre analyse, nous avons constaté que le HO est Complet entre 202 et 201 avec Downlink quality  ,les conditions radio étaient Mauvaises avant la déconnexion,La requete de deconnexion a ete envoyé par le RBC  suite au retransmission des trames HDLC"/>
    <s v="Les derniers résultats de la vérification chaine antennaire conformes_x000a_Présence d'interférences externes  au niveau du GSMR_02/03_x000a_Probléme GSMR"/>
    <x v="0"/>
    <s v="En attente du mise en place des tirroirs filtrés"/>
    <s v="HO Complet entre 202 et 201"/>
    <s v="dl Rxqual=7"/>
    <s v="dl rx level=-85"/>
    <s v="OK"/>
    <s v="OK"/>
    <s v="Mauvais"/>
    <s v=" Retransmission des trames HDLC*5"/>
    <m/>
    <s v="ELHAJOUIA Achraf"/>
    <m/>
    <m/>
    <m/>
    <m/>
    <m/>
    <m/>
    <m/>
  </r>
  <r>
    <n v="1456"/>
    <x v="0"/>
    <x v="540"/>
    <d v="1899-12-30T08:54:33"/>
    <n v="1005"/>
    <x v="10"/>
    <x v="1"/>
    <n v="1029"/>
    <m/>
    <s v="Casa/Tanger"/>
    <n v="94.953999999999994"/>
    <x v="8"/>
    <s v="N2"/>
    <x v="0"/>
    <s v="Selon notre analyse, nous avons constaté que le HO est Non finalisé entre 318 et 217 ,les conditions radio étaient Mauvaises avant la déconnexion,La requete de deconnexion a ete envoyé par le Bord sans retransmission des trames HDLC"/>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83"/>
    <s v="OK"/>
    <s v="OK"/>
    <s v="Mauvais"/>
    <s v="Pas de retransmission des trames HDLC"/>
    <m/>
    <s v="Noura MOUSSAOUI"/>
    <m/>
    <m/>
    <m/>
    <m/>
    <m/>
    <m/>
    <m/>
  </r>
  <r>
    <n v="1457"/>
    <x v="0"/>
    <x v="540"/>
    <d v="1899-12-30T10:54:39"/>
    <n v="1013"/>
    <x v="2"/>
    <x v="1"/>
    <n v="1061"/>
    <m/>
    <s v="Casa/Tanger"/>
    <n v="94.953999999999994"/>
    <x v="8"/>
    <s v="N2"/>
    <x v="0"/>
    <s v="Selon notre analyse, nous avons constaté que le HO est Non finalisé entre 318 et 217 ,les conditions radio étaient Mauvaises avant la déconnexion,La requete de deconnexion a ete envoyé par le Bord sans retransmission des trames HDLC"/>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6"/>
    <s v="dl rx level=-83"/>
    <s v="OK"/>
    <s v="OK"/>
    <s v="Mauvais"/>
    <s v="Pas de retransmission des trames HDLC"/>
    <m/>
    <s v="Noura MOUSSAOUI"/>
    <m/>
    <m/>
    <m/>
    <m/>
    <m/>
    <m/>
    <m/>
  </r>
  <r>
    <n v="1458"/>
    <x v="0"/>
    <x v="541"/>
    <d v="1899-12-30T17:54:59"/>
    <n v="1041"/>
    <x v="2"/>
    <x v="1"/>
    <n v="1061"/>
    <m/>
    <s v="Casa/Tanger"/>
    <n v="94.953999999999994"/>
    <x v="8"/>
    <s v="N2"/>
    <x v="0"/>
    <s v="Selon notre analyse, nous avons constaté que le HO est Non finalisé entre 318 et 217 ,les conditions radio étaient Mauvaises avant la déconnexion,La requete de deconnexion a ete envoyé par le Bord  suite au retransmission des trames HDLC"/>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83"/>
    <s v="OK"/>
    <s v="OK"/>
    <s v="Mauvais"/>
    <s v=" Retransmission des trames HDLC*5"/>
    <m/>
    <s v="HAMZAOUI Youssef"/>
    <m/>
    <m/>
    <m/>
    <m/>
    <m/>
    <m/>
    <m/>
  </r>
  <r>
    <n v="1459"/>
    <x v="0"/>
    <x v="541"/>
    <d v="1899-12-30T21:13:58"/>
    <n v="1053"/>
    <x v="7"/>
    <x v="1"/>
    <n v="1040"/>
    <m/>
    <s v="Casa/Tanger"/>
    <n v="7.3209999999999997"/>
    <x v="2"/>
    <s v="N2"/>
    <x v="0"/>
    <s v="Selon notre analyse, nous avons constaté que le HO est Non finalisé entre 203 et 202 ,les conditions radio étaient Mauvaises avant la déconnexion,La requete de deconnexion a ete envoyé par le RBC   suite au retransmission des trames HDLC"/>
    <s v="Les derniers résultats de la vérification chaine antennaire conformes_x000a_Présence d'interférences externes  au niveau du GSMR_02/03_x000a_Probléme GSMR"/>
    <x v="0"/>
    <s v="En attente du mise en place des tirroirs filtrés"/>
    <s v="HO Non finalise entre 203 et 202"/>
    <s v="dl Rxqual=6"/>
    <s v="dl rx level=-53"/>
    <s v="OK"/>
    <s v="OK"/>
    <s v="Mauvais"/>
    <s v=" Retransmission des trames HDLC*5"/>
    <m/>
    <s v="ELHAJOUIA Achraf"/>
    <m/>
    <m/>
    <m/>
    <m/>
    <m/>
    <m/>
    <m/>
  </r>
  <r>
    <n v="1460"/>
    <x v="0"/>
    <x v="542"/>
    <d v="1899-12-30T09:13:22"/>
    <n v="1005"/>
    <x v="9"/>
    <x v="1"/>
    <n v="1034"/>
    <m/>
    <s v="Casa/Tanger"/>
    <n v="7.3209999999999997"/>
    <x v="2"/>
    <s v="N2"/>
    <x v="0"/>
    <s v="Selon notre analyse, nous avons constaté que le HO est Non finalisé entre 303 et 202 ,les conditions radio étaient Mauvaises avant la déconnexion,La requete de deconnexion a ete envoyé par le bord  sans  retransmission des trames HDLC"/>
    <s v="Les derniers résultats de la vérification chaine antennaire conformes_x000a_Présence d'interférences externes  au niveau du GSMR_02/03_x000a_Probléme GSMR"/>
    <x v="0"/>
    <s v="En attente du mise en place des tirroirs filtrés"/>
    <s v="HO Non finalise entre 303 et 202"/>
    <s v="dl Rxqual=7"/>
    <s v="dl rx level=-65"/>
    <s v="OK"/>
    <s v="OK"/>
    <s v="Mauvais"/>
    <s v="Pas de retransmission des trames HDLC"/>
    <m/>
    <s v="ELHAJOUIA Achraf"/>
    <m/>
    <m/>
    <m/>
    <m/>
    <m/>
    <m/>
    <m/>
  </r>
  <r>
    <n v="1461"/>
    <x v="0"/>
    <x v="542"/>
    <d v="1899-12-30T10:24:58"/>
    <n v="2017"/>
    <x v="9"/>
    <x v="0"/>
    <n v="1053"/>
    <m/>
    <s v="Tanger/Casa"/>
    <n v="93.757999999999996"/>
    <x v="8"/>
    <s v="N2"/>
    <x v="1"/>
    <s v="Selon notre analyse, nous avons constaté que le HO est Non finalisé entre 2170 et 218 ,les conditions radio étaient Mauvaises avant la déconnexion,La requete de deconnexion a ete envoyé par le RBC  suite au retransmission des trames HDLC"/>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217 et 218"/>
    <s v="dl Rxqual=4"/>
    <s v="dl rx level=-83"/>
    <s v="OK"/>
    <s v="OK"/>
    <s v="Mauvais"/>
    <s v=" Retransmission des trames HDLC*5"/>
    <m/>
    <s v="MAROUANI Otmane"/>
    <m/>
    <m/>
    <m/>
    <m/>
    <m/>
    <m/>
    <m/>
  </r>
  <r>
    <n v="1462"/>
    <x v="0"/>
    <x v="542"/>
    <d v="1899-12-30T11:54:32"/>
    <n v="1017"/>
    <x v="2"/>
    <x v="1"/>
    <n v="1061"/>
    <m/>
    <s v="Casa/Tanger"/>
    <n v="94.953999999999994"/>
    <x v="8"/>
    <s v="N2"/>
    <x v="0"/>
    <s v="Selon notre analyse, nous avons constaté que le HO est Non finalisé entre 318 et 217 ,les conditions radio étaient Mauvaises avant la déconnexion,La requete de deconnexion a ete envoyé par le bord  + retransmission des trames HDLC*5"/>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e entre 318 et 217"/>
    <s v="dl Rxqual=7"/>
    <s v="dl rx level=-84"/>
    <s v="OK"/>
    <s v="OK"/>
    <s v="Mauvais"/>
    <s v=" Retransmission des trames HDLC*5"/>
    <m/>
    <s v="Achraf SGHAYER"/>
    <m/>
    <m/>
    <m/>
    <m/>
    <m/>
    <m/>
    <m/>
  </r>
  <r>
    <n v="1463"/>
    <x v="0"/>
    <x v="543"/>
    <d v="1899-12-30T18:04:54"/>
    <n v="2049"/>
    <x v="4"/>
    <x v="0"/>
    <n v="1058"/>
    <m/>
    <s v="Tanger/Casa"/>
    <n v="6.13"/>
    <x v="2"/>
    <s v="N2"/>
    <x v="0"/>
    <s v="Selon notre analyse, nous avons constaté que le HO est Complet entre 202 et 203 avec Downlink quality  ,les conditions radio étaient Mauvaises avant la déconnexion,La requete de deconnexion a ete envoyé par le RBC  suite au retransmission des trames HDLC"/>
    <s v="Les derniers résultats de la vérification chaine antennaire conformes_x000a_Présence d'interférences externes  au niveau du GSMR_02/03_x000a_Probléme GSMR"/>
    <x v="0"/>
    <s v="En attente du mise en place des tirroirs filtrés"/>
    <s v="HO Complet entre 202 et 203"/>
    <s v="dl Rxqual=3"/>
    <s v="dl rx level=-68"/>
    <s v="OK"/>
    <s v="OK"/>
    <s v="Mauvais"/>
    <s v=" Retransmission des trames HDLC*5"/>
    <m/>
    <s v="HAMZAOUI Youssef"/>
    <m/>
    <m/>
    <m/>
    <m/>
    <m/>
    <m/>
    <m/>
  </r>
  <r>
    <n v="1464"/>
    <x v="0"/>
    <x v="544"/>
    <d v="1899-12-30T08:21:34"/>
    <n v="2009"/>
    <x v="7"/>
    <x v="0"/>
    <n v="1054"/>
    <m/>
    <s v="Tanger/Casa"/>
    <n v="73.585999999999999"/>
    <x v="13"/>
    <s v="N2"/>
    <x v="0"/>
    <s v="Selon notre analyse, nous avons constaté que le HO est non finalisé entre 213 et 214  ,les conditions radio downlink étaient bonnes avant la déconnexion toutefois, ce n'est pas le cas pour le Uplink qui était degradé Rxqual UL=7, La requete de deconnexion a ete envoyé par le RBC  suite au retransmission des trames HDLC"/>
    <m/>
    <x v="1"/>
    <s v="Zone sous surveillance par le NOC"/>
    <s v="HO non finalisé  entre 213 et 214"/>
    <s v="dl Rxqual=1"/>
    <s v="dl rx level=-70"/>
    <s v="NOK"/>
    <s v="OK"/>
    <s v="Mauvais"/>
    <s v=" Retransmission des trames HDLC*5"/>
    <m/>
    <s v="Noura MOUSSAOUI"/>
    <m/>
    <m/>
    <m/>
    <m/>
    <m/>
    <m/>
    <m/>
  </r>
  <r>
    <n v="1465"/>
    <x v="0"/>
    <x v="544"/>
    <d v="1899-12-30T08:54:29"/>
    <n v="1005"/>
    <x v="2"/>
    <x v="1"/>
    <n v="1061"/>
    <m/>
    <s v="Casa/Tanger"/>
    <n v="94.953999999999994"/>
    <x v="8"/>
    <s v="N2"/>
    <x v="0"/>
    <s v="Selon notre analyse, nous avons constaté que le HO est non finalisé entre 318 et 217 avec ,les conditions radio étaient mauvaises avant la déconnexion,La requete de deconnexion a ete envoyé par le Bord suite au retransmission des trames HDLC"/>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é  entre 218 et 217"/>
    <s v="dl Rxqual=6"/>
    <s v="dl rx level=-83"/>
    <s v="OK"/>
    <s v="OK"/>
    <s v="Mauvais"/>
    <s v="Pas de retransmission des trames HDLC"/>
    <m/>
    <s v="Noura MOUSSAOUI"/>
    <m/>
    <m/>
    <m/>
    <m/>
    <m/>
    <m/>
    <m/>
  </r>
  <r>
    <n v="1466"/>
    <x v="0"/>
    <x v="545"/>
    <d v="1899-12-30T10:39:21"/>
    <n v="2017"/>
    <x v="11"/>
    <x v="0"/>
    <n v="1050"/>
    <m/>
    <s v="Tanger/Casa"/>
    <n v="165.298"/>
    <x v="28"/>
    <s v="N2"/>
    <x v="0"/>
    <s v="Selon notre analyse, nous avons constaté que le HO est non finalisé entre 228 et 229 avec ,les conditions radio étaient mauvaises avant la déconnexion,La requete de deconnexion a ete envoyé par le RBC suite au retransmission des trames HDLC"/>
    <m/>
    <x v="1"/>
    <s v="Zone sous surveillance par le NOC"/>
    <s v="HO non finalisé  entre 228 et 229"/>
    <s v="dl Rxqual=6"/>
    <s v="dl rx level=-82"/>
    <s v="NOK"/>
    <s v="OK"/>
    <s v="Mauvais"/>
    <s v=" Retransmission des trames HDLC*5"/>
    <m/>
    <s v="Noura MOUSSAOUI"/>
    <m/>
    <m/>
    <m/>
    <m/>
    <m/>
    <m/>
    <m/>
  </r>
  <r>
    <n v="1467"/>
    <x v="0"/>
    <x v="546"/>
    <d v="1899-12-30T09:55:05"/>
    <n v="1009"/>
    <x v="2"/>
    <x v="1"/>
    <n v="1061"/>
    <m/>
    <s v="Casa/Tanger"/>
    <n v="94.953999999999994"/>
    <x v="8"/>
    <s v="N2"/>
    <x v="0"/>
    <s v="Selon notre analyse, nous avons constaté que le HO est non finalisé entre 318 et 217 avec ,les conditions radio étaient mauvaises avant la déconnexion,La requete de deconnexion a ete envoyé par le bord suite au retransmission des trames HDLC"/>
    <s v="Aucune anomalie constatée suite à l’analyse du relevé JRU Présence d'interférences externes"/>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é  entre 318 et 217"/>
    <s v="dl Rxqual=6"/>
    <s v="dl rx level=-83"/>
    <s v="OK"/>
    <s v="OK"/>
    <s v="Mauvais"/>
    <s v=" Retransmission des trames HDLC*5"/>
    <m/>
    <s v="Noura MOUSSAOUI"/>
    <m/>
    <m/>
    <m/>
    <m/>
    <m/>
    <m/>
    <m/>
  </r>
  <r>
    <n v="1468"/>
    <x v="0"/>
    <x v="546"/>
    <d v="1899-12-30T23:12:21"/>
    <n v="1061"/>
    <x v="2"/>
    <x v="1"/>
    <n v="1060"/>
    <m/>
    <s v="Casa/Tanger"/>
    <n v="7.3209999999999997"/>
    <x v="2"/>
    <s v="N2"/>
    <x v="0"/>
    <s v="Selon notre analyse, nous avons constaté que le HO est non finalisé entre 203 et 202  ,les conditions radio étaient bonnes avant la déconnexion,La requete de deconnexion a ete envoyé par le bord sans retransmission des trames HDLC"/>
    <s v="Les derniers résultats de la vérification chaine antennaire conformes_x000a_Présence d'interférences externes  au niveau du GSMR_02/03_x000a_Probléme GSMR"/>
    <x v="0"/>
    <s v="En attente du mise en place des tirroirs filtrés"/>
    <s v="HO non finalisé  entre 203 et 202"/>
    <s v="dl Rxqual=4"/>
    <s v="dl rx level=-62"/>
    <s v="OK"/>
    <s v="OK"/>
    <s v="Mauvais"/>
    <s v="Pas de retransmission des trames HDLC"/>
    <m/>
    <s v="AYMANE ASSAL"/>
    <m/>
    <m/>
    <m/>
    <m/>
    <m/>
    <m/>
    <m/>
  </r>
  <r>
    <n v="1469"/>
    <x v="0"/>
    <x v="547"/>
    <d v="1899-12-30T21:05:23"/>
    <n v="2061"/>
    <x v="8"/>
    <x v="0"/>
    <n v="1042"/>
    <m/>
    <s v="Tanger/Casa"/>
    <n v="6.13"/>
    <x v="2"/>
    <s v="N2"/>
    <x v="0"/>
    <s v="Selon notre analyse, nous avons constaté que le HO est non finalisé entre 302 et 203  ,les conditions radio étaient bonnes avant la déconnexion,La requete de deconnexion a ete envoyé par le RBC avec retransmission des trames HDLC*5"/>
    <s v="Les derniers résultats de la vérification chaine antennaire conformes_x000a_Présence d'interférences externes  au niveau du GSMR_02/03_x000a_Probléme GSMR"/>
    <x v="0"/>
    <s v="En attente du mise en place des tirroirs filtrés"/>
    <s v="HO non finalisé  entre 302 et 203"/>
    <s v="dl Rxqual=7"/>
    <s v="dl rx level=-54"/>
    <s v="NOK"/>
    <s v="OK"/>
    <s v="Mauvais"/>
    <s v="Retransmission des trames HDLC*5"/>
    <m/>
    <s v="AYMANE ASSAL"/>
    <m/>
    <m/>
    <m/>
    <m/>
    <m/>
    <m/>
    <m/>
  </r>
  <r>
    <n v="1470"/>
    <x v="0"/>
    <x v="547"/>
    <d v="1899-12-30T22:54:50"/>
    <n v="1061"/>
    <x v="4"/>
    <x v="1"/>
    <n v="1042"/>
    <m/>
    <s v="Tanger/Casa"/>
    <n v="94.953999999999994"/>
    <x v="8"/>
    <s v="N2"/>
    <x v="0"/>
    <s v="Selon notre analyse, nous avons constaté que le HO est non finalisé entre 318 et 217 avec ,les conditions radio étaient mauvaises avant la déconnexion,La requete de deconnexion a ete envoyé par le bord sans retransmission des trames HDLC"/>
    <s v="Les derniers résultats de la vérification chaine antennaire conformes_x000a_Présence d'interférences externes  au niveau du GSMR_02/03_x000a_Probléme GSMR"/>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é  entre 318 et 217"/>
    <s v="dl Rxqual=5"/>
    <s v="dl rx level=-81"/>
    <s v="OK"/>
    <s v="OK"/>
    <s v="Mauvais"/>
    <s v="Pas de retransmission des trames HDLC"/>
    <m/>
    <s v="AYMANE ASSAL"/>
    <m/>
    <m/>
    <m/>
    <m/>
    <m/>
    <m/>
    <m/>
  </r>
  <r>
    <n v="1471"/>
    <x v="0"/>
    <x v="548"/>
    <d v="1899-12-30T10:05:17"/>
    <n v="1017"/>
    <x v="2"/>
    <x v="0"/>
    <n v="7218"/>
    <m/>
    <s v="Tanger/Casa"/>
    <n v="6.13"/>
    <x v="2"/>
    <s v="N2"/>
    <x v="0"/>
    <s v="Selon notre analyse, nous avons constaté que le HO est Complet entre 202  et 201  avec Downlink quality  ,les conditions radio étaient mauvaises avant la déconnexion,La requete de deconnexion a ete envoyé par le RBC suite  au  retransmission des trames HDLC"/>
    <s v="Les derniers résultats de la vérification chaine antennaire conformes_x000a_Présence d'interférences externes  au niveau du GSMR_02/03_x000a_Probléme GSMR"/>
    <x v="0"/>
    <s v="En attente du mise en place des tirroirs filtrés"/>
    <s v="HO Complet entre 202 et 201"/>
    <s v="dl Rxqual=7"/>
    <s v="dl rx level=-72"/>
    <s v="NOK"/>
    <s v="OK"/>
    <s v="Mauvais"/>
    <s v="Retransmission des trames HDLC*5"/>
    <m/>
    <s v="ELHAJOUIA Achraf"/>
    <m/>
    <m/>
    <m/>
    <m/>
    <m/>
    <m/>
    <m/>
  </r>
  <r>
    <n v="1472"/>
    <x v="0"/>
    <x v="548"/>
    <d v="1899-12-30T22:33:54"/>
    <n v="1061"/>
    <x v="8"/>
    <x v="1"/>
    <n v="1030"/>
    <m/>
    <s v="Casa/Tanger"/>
    <n v="200"/>
    <x v="5"/>
    <s v="N1"/>
    <x v="1"/>
    <s v="Selon notre analyse, nous avons constaté que le HO est Complete  entre 99  et 333 avec Downlink quality   ,les conditions radio étaient Mauvaises avant la déconnexion,La requete de deconnexion a ete envoyé par le BORD  suite au retransmission des trames HDLC"/>
    <m/>
    <x v="2"/>
    <s v="En attente du mise en place des tirroirs filtrés/attente de pousser les analyses coté optim"/>
    <s v="HO Complet entre 99 et 333"/>
    <s v="dl Rxqual=7"/>
    <s v="dl rx level=-69"/>
    <s v="OK"/>
    <s v="NOK"/>
    <s v="Mauvais"/>
    <s v=" Retransmission des trames HDLC*5"/>
    <m/>
    <s v="MAROUANI Otmane"/>
    <m/>
    <m/>
    <m/>
    <m/>
    <m/>
    <m/>
    <m/>
  </r>
  <r>
    <n v="1472"/>
    <x v="0"/>
    <x v="549"/>
    <d v="1899-12-30T07:57:46"/>
    <n v="1001"/>
    <x v="9"/>
    <x v="1"/>
    <n v="1034"/>
    <m/>
    <s v="Casa/Tanger"/>
    <n v="79.281999999999996"/>
    <x v="11"/>
    <s v="N2"/>
    <x v="0"/>
    <s v="Selon notre analyse, nous avons constaté que le HO est non finalisé entre 315 et 314 ,les conditions radio étaient bonnes avant la déconnexion,La requete de deconnexion a ete envoyé par le RBC suite au retransmission des trames HDLC"/>
    <m/>
    <x v="1"/>
    <s v="Zone sous surveillance par le NOC"/>
    <s v="HO Non finalisé entre 315 et 314"/>
    <s v="dl Rxqual=0"/>
    <s v="dl rx level=-57"/>
    <s v="OK"/>
    <s v="OK"/>
    <s v="Mauvais"/>
    <s v=" Retransmission des trames HDLC*5"/>
    <m/>
    <s v="Noura MOUSSAOUI"/>
    <m/>
    <m/>
    <m/>
    <m/>
    <m/>
    <m/>
    <m/>
  </r>
  <r>
    <n v="1472"/>
    <x v="0"/>
    <x v="549"/>
    <d v="1899-12-30T09:05:14"/>
    <n v="2013"/>
    <x v="9"/>
    <x v="0"/>
    <n v="1053"/>
    <m/>
    <s v="Tanger/Casa"/>
    <n v="6.13"/>
    <x v="2"/>
    <s v="N2"/>
    <x v="0"/>
    <s v="Selon notre analyse, nous avons constaté que le HO est Complet  entre 202 et 203 ,les conditions radio étaient Mauvaises avant la déconnexion,La requete de deconnexion a ete envoyé par le RBC suite au retransmission des trames HDLC"/>
    <m/>
    <x v="0"/>
    <s v="En attente du mise en place des tirroirs filtrés"/>
    <s v="HO Complet entre 202 et 203"/>
    <s v="dl Rxqual=7"/>
    <s v="dl rx level=-70"/>
    <s v="NOK"/>
    <s v="OK"/>
    <s v="Mauvais"/>
    <s v=" Retransmission des trames HDLC*5"/>
    <m/>
    <s v="Noura MOUSSAOUI"/>
    <m/>
    <m/>
    <m/>
    <m/>
    <m/>
    <m/>
    <m/>
  </r>
  <r>
    <n v="1473"/>
    <x v="0"/>
    <x v="549"/>
    <d v="1899-12-30T12:21:04"/>
    <n v="1017"/>
    <x v="4"/>
    <x v="1"/>
    <n v="1032"/>
    <m/>
    <s v="Casa/Tanger"/>
    <n v="94.953999999999994"/>
    <x v="8"/>
    <s v="N2"/>
    <x v="0"/>
    <s v="Selon notre analyse, nous avons constaté que le HO est non finalisé entre 318 et 217 ,les conditions radio étaient Mauvaises avant la déconnexion,La requete de deconnexion a ete envoyé par le bord suite au retransmission des trames HDLC"/>
    <m/>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é entre 318 et 217"/>
    <s v="dl Rxqual=6"/>
    <s v="dl rx level=-81"/>
    <s v="NOK"/>
    <s v="OK"/>
    <s v="Mauvais"/>
    <s v=" Retransmission des trames HDLC*5"/>
    <m/>
    <s v="Noura MOUSSAOUI"/>
    <m/>
    <m/>
    <m/>
    <m/>
    <m/>
    <m/>
    <m/>
  </r>
  <r>
    <n v="1474"/>
    <x v="0"/>
    <x v="550"/>
    <d v="1899-12-30T17:05:03"/>
    <n v="2045"/>
    <x v="11"/>
    <x v="0"/>
    <n v="1050"/>
    <m/>
    <s v="Tanger/Casa"/>
    <n v="6.13"/>
    <x v="2"/>
    <s v="N2"/>
    <x v="0"/>
    <s v="Selon notre analyse, nous avons constaté que le HO est Complet  entre 202 et 203 ,les conditions radio étaient Mauvaises avant la déconnexion,La requete de deconnexion a ete envoyé par le RBC sans retransmission des trames HDLC"/>
    <s v="HO Complet entre 202 et 203"/>
    <x v="0"/>
    <s v="En attente du mise en place des tirroirs filtrés"/>
    <s v="HO Complet entre 202 et 203"/>
    <s v="dl Rxqual=7"/>
    <s v="dl rx level=-70"/>
    <s v="NOK"/>
    <s v="OK"/>
    <s v="Mauvais"/>
    <s v="Pas Retransmission des trames HDLC"/>
    <m/>
    <s v="Fahd OUSSALH"/>
    <m/>
    <m/>
    <m/>
    <m/>
    <m/>
    <m/>
    <m/>
  </r>
  <r>
    <n v="1475"/>
    <x v="0"/>
    <x v="550"/>
    <d v="1899-12-30T19:21:05"/>
    <n v="2053"/>
    <x v="9"/>
    <x v="0"/>
    <n v="1052"/>
    <m/>
    <s v="Tanger/Casa"/>
    <n v="73.585999999999999"/>
    <x v="13"/>
    <s v="N2"/>
    <x v="0"/>
    <s v="Selon notre analyse, nous avons constaté que le HO est non finalisé  entre 213 et 214 ,les conditions radio étaient Mauvaises avant la déconnexion,La requete de deconnexion a ete envoyé par le RBC avec retransmission des trames HDLC"/>
    <s v="HO Complet entre 202 et 203"/>
    <x v="1"/>
    <s v="Zone sous surveillance par le NOC"/>
    <s v="HO Non finalisé entre 213 et 214"/>
    <s v="dl Rxqual=7"/>
    <s v="dl rx level=-74"/>
    <s v="NOK"/>
    <s v="OK"/>
    <s v="Mauvais"/>
    <s v=" Retransmission des trames HDLC*5"/>
    <m/>
    <s v="Fahd OUSSALH"/>
    <m/>
    <m/>
    <m/>
    <m/>
    <m/>
    <m/>
    <m/>
  </r>
  <r>
    <n v="1476"/>
    <x v="0"/>
    <x v="550"/>
    <d v="1899-12-30T19:37:40"/>
    <n v="1049"/>
    <x v="7"/>
    <x v="1"/>
    <n v="1040"/>
    <m/>
    <s v="Casa/Tanger"/>
    <n v="177.85"/>
    <x v="4"/>
    <s v="N2"/>
    <x v="0"/>
    <s v="Selon notre analyse, nous avons constaté que le HO est complet  entre 331 et 330 avec dowlink quality ,les conditions radio étaient Mauvaises avant la déconnexion,La requete de deconnexion a ete envoyé par le RBC avec retransmission des trames HDLC"/>
    <s v="HO Complet entre 202 et 203"/>
    <x v="1"/>
    <s v="Zone sous surveillance par le NOC"/>
    <s v="HO Complet entre 331 et 330"/>
    <s v="dl Rxqual=7"/>
    <s v="dl rx level=-73"/>
    <s v="NOK"/>
    <s v="OK"/>
    <s v="Mauvais"/>
    <s v=" Retransmission des trames HDLC*5"/>
    <m/>
    <s v="Fahd OUSSALH"/>
    <m/>
    <m/>
    <m/>
    <m/>
    <m/>
    <m/>
    <m/>
  </r>
  <r>
    <n v="1477"/>
    <x v="0"/>
    <x v="551"/>
    <d v="1899-12-30T19:13:42"/>
    <n v="2053"/>
    <x v="1"/>
    <x v="0"/>
    <n v="7194"/>
    <m/>
    <s v="Tanger/Casa"/>
    <n v="39.215000000000003"/>
    <x v="14"/>
    <s v="N2"/>
    <x v="0"/>
    <s v="Selon notre analyse, nous avons constaté que le HO est complet  entre 206 et 207 ,les conditions radio étaient bonnes avant la déconnexion,La requete de deconnexion a ete envoyé par le bord avec retransmission des trames HDLC"/>
    <s v="HO Complet entre 331 et 330"/>
    <x v="10"/>
    <s v="Zone sous surveillance par le NOC"/>
    <s v="HO Complet entre 206 et 207"/>
    <s v="dl Rxqual=0"/>
    <s v="dl rx level=-67"/>
    <s v="OK"/>
    <s v="OK"/>
    <s v="Mauvais"/>
    <s v=" Retransmission des trames HDLC*5"/>
    <m/>
    <s v="Fahd OUSSALH"/>
    <m/>
    <m/>
    <m/>
    <m/>
    <m/>
    <m/>
    <m/>
  </r>
  <r>
    <n v="1478"/>
    <x v="0"/>
    <x v="551"/>
    <d v="1899-12-30T19:55:26"/>
    <n v="1050"/>
    <x v="7"/>
    <x v="1"/>
    <n v="1041"/>
    <m/>
    <s v="Casa/Tanger"/>
    <n v="91.305000000000007"/>
    <x v="8"/>
    <s v="N2"/>
    <x v="0"/>
    <s v="Selon notre analyse, nous avons constaté que le HO est non finalisé entre 318 et 217 ,les conditions radio étaient Mauvaises avant la déconnexion,La requete de deconnexion a ete envoyé par le bord avec retransmission des trames HDLC"/>
    <s v="HO Complet entre 331 et 330"/>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é  entre 318 et 217"/>
    <s v="dl Rxqual=7"/>
    <s v="dl rx level=-84"/>
    <s v="OK"/>
    <s v="OK"/>
    <s v="Mauvais"/>
    <s v=" Retransmission des trames HDLC*5"/>
    <m/>
    <s v="Fahd OUSSALH"/>
    <m/>
    <m/>
    <m/>
    <m/>
    <m/>
    <m/>
    <m/>
  </r>
  <r>
    <n v="1479"/>
    <x v="0"/>
    <x v="551"/>
    <d v="1899-12-30T21:05:02"/>
    <n v="2061"/>
    <x v="11"/>
    <x v="0"/>
    <n v="1050"/>
    <m/>
    <s v="Tanger/Casa"/>
    <n v="6.13"/>
    <x v="2"/>
    <s v="N2"/>
    <x v="0"/>
    <s v="Selon notre analyse, nous avons constaté que le HO est complet  entre 202 et 203 ,les conditions radio étaient Mauvaises avant la déconnexion,La requete de deconnexion a ete envoyé par le RBC avec retransmission des trames HDLC"/>
    <s v="HO Complet entre 331 et 331"/>
    <x v="0"/>
    <s v="En attente du mise en place des tirroirs filtrés"/>
    <s v="HO Complet entre 202 et 203"/>
    <s v="dl Rxqual=5"/>
    <s v="dl rx level=-66"/>
    <s v="OK"/>
    <s v="OK"/>
    <s v="Mauvais"/>
    <s v=" Retransmission des trames HDLC*5"/>
    <m/>
    <s v="LAGDEM Elmehdi"/>
    <m/>
    <m/>
    <m/>
    <m/>
    <m/>
    <m/>
    <m/>
  </r>
  <r>
    <n v="1480"/>
    <x v="0"/>
    <x v="551"/>
    <d v="1899-12-30T21:13:43"/>
    <n v="1053"/>
    <x v="9"/>
    <x v="1"/>
    <n v="1034"/>
    <m/>
    <s v="Casa/Tanger"/>
    <n v="7.3209999999999997"/>
    <x v="2"/>
    <s v="N2"/>
    <x v="0"/>
    <s v="Selon notre analyse, nous avons constaté que le HO est complet  entre 203 et 302 ,les conditions radio étaient bonnes avant la déconnexion,La requete de deconnexion a ete envoyé par le RBC avec retransmission des trames HDLC"/>
    <s v="HO Complet entre 331 et 332"/>
    <x v="0"/>
    <s v="En attente du mise en place des tirroirs filtrés"/>
    <s v="HO Complet entre 203 et 302"/>
    <s v="dl Rxqual=3"/>
    <s v="dl rx level=-51"/>
    <s v="OK"/>
    <s v="OK"/>
    <s v="Mauvais"/>
    <s v=" Retransmission des trames HDLC*5"/>
    <m/>
    <s v="LAGDEM Elmehdi"/>
    <m/>
    <m/>
    <m/>
    <m/>
    <m/>
    <m/>
    <m/>
  </r>
  <r>
    <n v="1481"/>
    <x v="0"/>
    <x v="552"/>
    <d v="1899-12-30T20:14:22"/>
    <n v="1049"/>
    <x v="5"/>
    <x v="1"/>
    <n v="1026"/>
    <m/>
    <s v="Casa/Tanger"/>
    <n v="7.3209999999999997"/>
    <x v="2"/>
    <s v="N2"/>
    <x v="0"/>
    <s v="Selon notre analyse, nous avons constaté que le HO non finalisé entre 303 et 202 ,les conditions radio étaient bonnes avant la déconnexion,La requete de deconnexion a ete envoyé par le RBC sans retransmission des trames HDLC"/>
    <s v="HO Complet entre 331 et 333"/>
    <x v="0"/>
    <s v="En attente du mise en place des tirroirs filtrés"/>
    <s v="HO non finalisé entre 303 et 202"/>
    <s v="dl Rxqual=0"/>
    <s v="dl rx level=-64"/>
    <s v="NOK"/>
    <s v="OK"/>
    <s v="Mauvais"/>
    <s v="Pas Retransmission des trames HDLC*5"/>
    <m/>
    <s v="Fahd OUSSALH"/>
    <m/>
    <m/>
    <m/>
    <m/>
    <m/>
    <m/>
    <m/>
  </r>
  <r>
    <n v="1482"/>
    <x v="0"/>
    <x v="552"/>
    <d v="1899-12-30T21:05:29"/>
    <n v="2061"/>
    <x v="5"/>
    <x v="0"/>
    <n v="1024"/>
    <m/>
    <s v="Tanger/Casa"/>
    <n v="6.13"/>
    <x v="2"/>
    <s v="N2"/>
    <x v="0"/>
    <s v="Selon notre analyse, nous avons constaté que le HO non finalisé entre 301 et 203 ,les conditions radio étaient Mauvaises avant la déconnexion,La requete de deconnexion a ete envoyé par le Bord sans retransmission des trames HDLC"/>
    <m/>
    <x v="0"/>
    <s v="En attente du mise en place des tirroirs filtrés"/>
    <s v="HO non finalisé entre 301 et 203"/>
    <s v="dl Rxqual=7"/>
    <s v="dl rx level=-54"/>
    <s v="OK"/>
    <s v="OK"/>
    <s v="Mauvais"/>
    <s v="Pas Retransmission des trames HDLC"/>
    <m/>
    <s v="HAMZAOUI Youssef"/>
    <m/>
    <m/>
    <m/>
    <m/>
    <m/>
    <m/>
    <m/>
  </r>
  <r>
    <n v="1483"/>
    <x v="0"/>
    <x v="553"/>
    <d v="1899-12-30T10:56:33"/>
    <n v="1013"/>
    <x v="1"/>
    <x v="1"/>
    <n v="3063"/>
    <m/>
    <s v="Casa/Tanger"/>
    <n v="94.953999999999994"/>
    <x v="8"/>
    <s v="N2"/>
    <x v="0"/>
    <s v="Selon notre analyse, nous avons constaté que le HO non finalisé entre 318 et 217 ,les conditions radio étaient Mauvaises avant la déconnexion,La requete de deconnexion a ete envoyé par le Bord sans retransmission des trames HDLC"/>
    <m/>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é entre 318 et 217"/>
    <s v="dl Rxqual=7"/>
    <s v="dl rx level=-84"/>
    <s v="OK"/>
    <s v="OK"/>
    <s v="Mauvais"/>
    <s v="Pas Retransmission des trames HDLC"/>
    <m/>
    <s v="Noura MOUSSAOUI"/>
    <m/>
    <m/>
    <m/>
    <m/>
    <m/>
    <m/>
    <m/>
  </r>
  <r>
    <n v="1484"/>
    <x v="0"/>
    <x v="554"/>
    <d v="1899-12-30T15:56:56"/>
    <n v="1033"/>
    <x v="1"/>
    <x v="1"/>
    <n v="3063"/>
    <m/>
    <s v="Casa/Tanger"/>
    <n v="94.953999999999994"/>
    <x v="8"/>
    <s v="N2"/>
    <x v="0"/>
    <s v="Selon notre analyse, nous avons constaté que le HO non finalisé entre 318 et 217 ,les conditions radio étaient Mauvaises avant la déconnexion,La requete de deconnexion a ete envoyé par le Bord sans retransmission des trames HDLC"/>
    <m/>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é entre 318 et 217"/>
    <s v="dl Rxqual=5"/>
    <s v="dl rx level=-80"/>
    <s v="OK"/>
    <s v="OK"/>
    <s v="Mauvais"/>
    <s v="Pas Retransmission des trames HDLC"/>
    <m/>
    <s v="ELHAJOUIA Achraf"/>
    <m/>
    <m/>
    <m/>
    <m/>
    <m/>
    <m/>
    <m/>
  </r>
  <r>
    <n v="1485"/>
    <x v="0"/>
    <x v="555"/>
    <d v="1899-12-30T15:05:01"/>
    <n v="2037"/>
    <x v="1"/>
    <x v="0"/>
    <m/>
    <m/>
    <s v="Tanger/Casa"/>
    <n v="6.13"/>
    <x v="2"/>
    <s v="N2"/>
    <x v="1"/>
    <s v="Selon notre analyse, nous avons constaté que le HO Complet entre 201 et 202  ,les conditions radio étaient Mauvaises avant la déconnexion,La requete de deconnexion a ete envoyé par le RBC avec retransmission des trames HDLC"/>
    <m/>
    <x v="0"/>
    <s v="En attente du mise en place des tirroirs filtrés"/>
    <s v="HO complet entre 201 et 202"/>
    <s v="dl Rxqual=0"/>
    <s v="dl rx level=-67"/>
    <s v="OK"/>
    <s v="OK"/>
    <m/>
    <s v=" Retransmission des trames HDLC*5"/>
    <m/>
    <s v="Mohamed rida SAFRI"/>
    <m/>
    <m/>
    <m/>
    <m/>
    <m/>
    <m/>
    <m/>
  </r>
  <r>
    <n v="1486"/>
    <x v="0"/>
    <x v="555"/>
    <d v="1899-12-30T15:37:18"/>
    <n v="1034"/>
    <x v="7"/>
    <x v="1"/>
    <n v="1041"/>
    <m/>
    <s v="Casa/Tanger"/>
    <n v="177.85"/>
    <x v="4"/>
    <s v="N2"/>
    <x v="0"/>
    <s v="Selon notre analyse, nous avons constaté que le HO non finalisé entre 331 et 330 ,les conditions radio étaient Mauvaises avant la déconnexion,La requete de deconnexion a ete envoyé par le RBC avec retransmission des trames HDLC"/>
    <m/>
    <x v="1"/>
    <s v="Zone sous surveillance par le NOC"/>
    <s v="HO non finalisé entre 330 et 331"/>
    <s v="dl Rxqual=7"/>
    <s v="dl rx level=-78"/>
    <s v="OK"/>
    <s v="OK"/>
    <s v="Mauvais"/>
    <s v=" Retransmission des trames HDLC"/>
    <m/>
    <s v="HARIRI Bahaeddine"/>
    <m/>
    <m/>
    <m/>
    <m/>
    <m/>
    <m/>
    <m/>
  </r>
  <r>
    <n v="1487"/>
    <x v="0"/>
    <x v="555"/>
    <d v="1899-12-30T17:38:15"/>
    <n v="1042"/>
    <x v="3"/>
    <x v="1"/>
    <n v="1047"/>
    <m/>
    <s v="Casa/Tanger"/>
    <n v="177.85"/>
    <x v="4"/>
    <s v="N2"/>
    <x v="0"/>
    <s v="Selon notre analyse, nous avons constaté que le HO non finalisé entre 331 et 329 ( saute de cellule 330 ) ,les conditions radio étaient Mauvaises avant la déconnexion,La requete de deconnexion a ete envoyé par le RBC avec retransmission des trames HDLC"/>
    <m/>
    <x v="1"/>
    <s v="Zone sous surveillance par le NOC"/>
    <s v="HO non finalisé entre331 et 329 ( saute de cellule 330 )"/>
    <s v="dl Rxqual=7"/>
    <s v="dl rx level=-72"/>
    <s v="OK"/>
    <s v="OK"/>
    <s v="Mauvais"/>
    <s v=" Retransmission des trames HDLC"/>
    <m/>
    <s v="HARIRI Bahaeddine"/>
    <m/>
    <m/>
    <m/>
    <m/>
    <m/>
    <m/>
    <m/>
  </r>
  <r>
    <n v="1488"/>
    <x v="0"/>
    <x v="556"/>
    <d v="1899-12-30T15:57:16"/>
    <n v="1034"/>
    <x v="5"/>
    <x v="1"/>
    <n v="1027"/>
    <m/>
    <s v="Casa/Tanger"/>
    <n v="109.495"/>
    <x v="1"/>
    <s v="N2"/>
    <x v="0"/>
    <s v="Selon notre analyse, nous avons constaté que le HO non finalisé entre 320 et 319 ,les conditions radio étaient Mauvaises avant la déconnexion,La requete de deconnexion a ete envoyé par le RBC avec retransmission des trames HDLC"/>
    <m/>
    <x v="1"/>
    <s v="Zone sous surveillance par le NOC"/>
    <s v="HO non finalisé entre 320 et 319"/>
    <s v="dl Rxqual=0"/>
    <s v="dl rx level=-75"/>
    <s v="OK"/>
    <s v="OK"/>
    <s v="Mauvais"/>
    <s v="Pas Retransmission des trames HDLC"/>
    <m/>
    <s v="HARIRI Bahaeddine"/>
    <m/>
    <m/>
    <m/>
    <m/>
    <m/>
    <m/>
    <m/>
  </r>
  <r>
    <n v="1489"/>
    <x v="0"/>
    <x v="557"/>
    <d v="1899-12-30T15:56:14"/>
    <n v="1033"/>
    <x v="2"/>
    <x v="1"/>
    <n v="1061"/>
    <m/>
    <s v="Casa/Tanger"/>
    <n v="94.953999999999994"/>
    <x v="8"/>
    <s v="N2"/>
    <x v="0"/>
    <s v="Selon notre analyse, nous avons constaté que le HO non finalisé entre 318 et 217 ,les conditions radio étaient Mauvaises avant la déconnexion,La requete de deconnexion a ete envoyé par le BORD avec retransmission des trames HDLC"/>
    <m/>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HO non finalisé entre 318 et 217"/>
    <s v="dl Rxqual=6"/>
    <s v="dl rx level=-83"/>
    <s v="OK"/>
    <s v="OK"/>
    <s v="Mauvais"/>
    <s v=" Retransmission des trames HDLC"/>
    <m/>
    <s v="Mohamed rida SAFRI"/>
    <m/>
    <m/>
    <m/>
    <m/>
    <m/>
    <m/>
    <m/>
  </r>
  <r>
    <n v="1490"/>
    <x v="0"/>
    <x v="558"/>
    <d v="1899-12-30T08:05:34"/>
    <n v="2009"/>
    <x v="9"/>
    <x v="0"/>
    <n v="1053"/>
    <m/>
    <s v="Tanger/Casa"/>
    <n v="6.13"/>
    <x v="2"/>
    <s v="N2"/>
    <x v="0"/>
    <s v="Selon notre analyse, nous avons constaté que le HO complet entre 202 et 203 ,les conditions radio étaient Mauvaises avant la déconnexion,La requete de deconnexion a ete envoyé par le RBC avec retransmission des trames HDLC"/>
    <m/>
    <x v="0"/>
    <s v="En attente du mise en place des tirroirs filtrés"/>
    <s v="HO complet entre 202 et 203"/>
    <s v="dl Rxqual=7"/>
    <s v="dl rx level=-70"/>
    <s v="OK"/>
    <s v="OK"/>
    <s v="Mauvais"/>
    <s v=" Retransmission des trames HDLC"/>
    <m/>
    <s v="Fahd OUSSALH"/>
    <m/>
    <m/>
    <m/>
    <m/>
    <m/>
    <m/>
    <m/>
  </r>
  <r>
    <n v="1491"/>
    <x v="0"/>
    <x v="558"/>
    <d v="1899-12-30T11:54:47"/>
    <n v="1017"/>
    <x v="2"/>
    <x v="1"/>
    <n v="1061"/>
    <m/>
    <s v="Casa/Tanger"/>
    <n v="94.953999999999994"/>
    <x v="8"/>
    <s v="N2"/>
    <x v="0"/>
    <s v="Selon notre analyse, nous avons constaté que le HO non finalisé entre 318 et 217 ,les conditions radio étaient Mauvaises avant la déconnexion,La requete de deconnexion a ete envoyé par le Bord sans retransmission des trames HDLC"/>
    <m/>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 HO non finalisé entre 318 et 217"/>
    <s v="dl Rxqual=7"/>
    <s v="dl rx level=-83"/>
    <s v="OK"/>
    <s v="OK"/>
    <s v="Mauvais"/>
    <s v=" Pas Retransmission des trames HDLC"/>
    <m/>
    <s v="Fahd OUSSALH"/>
    <m/>
    <m/>
    <m/>
    <m/>
    <m/>
    <m/>
    <m/>
  </r>
  <r>
    <n v="1492"/>
    <x v="0"/>
    <x v="559"/>
    <d v="1899-12-30T18:54:57"/>
    <n v="1046"/>
    <x v="4"/>
    <x v="1"/>
    <n v="1061"/>
    <m/>
    <s v="Casa/Tanger"/>
    <n v="94.953999999999994"/>
    <x v="8"/>
    <s v="N2"/>
    <x v="0"/>
    <s v="Selon notre analyse, nous avons constaté que le HO non finalisé entre 318 et 217 ,les conditions radio étaient Mauvaises avant la déconnexion,La requete de deconnexion a ete envoyé par le Bord sans retransmission des trames HDLC"/>
    <m/>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 HO non finalisé entre 318 et 217"/>
    <s v="dl Rxqual=7"/>
    <s v="dl rx level=-74"/>
    <s v="OK"/>
    <s v="OK"/>
    <s v="Mauvais"/>
    <s v=" Pas Retransmission des trames HDLC"/>
    <m/>
    <s v="HARIRI Bahaeddine"/>
    <m/>
    <m/>
    <m/>
    <m/>
    <m/>
    <m/>
    <m/>
  </r>
  <r>
    <n v="1493"/>
    <x v="0"/>
    <x v="560"/>
    <d v="1899-12-30T18:05:16"/>
    <n v="2049"/>
    <x v="11"/>
    <x v="0"/>
    <n v="1051"/>
    <m/>
    <s v="Tanger/Casa"/>
    <n v="6.13"/>
    <x v="2"/>
    <s v="N2"/>
    <x v="1"/>
    <s v="Selon notre analyse, nous avons constaté que le HO Complet entre 202 et 203  ,les conditions radio étaient Mauvaises avant la déconnexion,La requete de deconnexion a ete envoyé par le RBC avec retransmission des trames HDLC"/>
    <m/>
    <x v="0"/>
    <s v="En attente du mise en place des tirroirs filtrés"/>
    <s v="HO complet entre 202 et 203"/>
    <s v="dl Rxqual=7"/>
    <s v="dl rx level=-64"/>
    <s v="NOK"/>
    <s v="OK"/>
    <s v="Mauvais"/>
    <s v=" Retransmission des trames HDLC*5"/>
    <m/>
    <s v="LAGDEM Elmehdi"/>
    <m/>
    <m/>
    <m/>
    <m/>
    <m/>
    <m/>
    <m/>
  </r>
  <r>
    <n v="1494"/>
    <x v="0"/>
    <x v="560"/>
    <d v="1899-12-30T20:14:44"/>
    <n v="2053"/>
    <x v="5"/>
    <x v="0"/>
    <n v="1024"/>
    <m/>
    <s v="Tanger/Casa"/>
    <n v="73.585999999999999"/>
    <x v="13"/>
    <s v="N2"/>
    <x v="0"/>
    <s v="Selon notre analyse, nous avons constaté que le HO est non finalisé  entre 213 et 214 ,les conditions radio étaient Mauvaises avant la déconnexion,La requete de deconnexion a ete envoyé par le RBC avec retransmission des trames HDLC"/>
    <m/>
    <x v="1"/>
    <s v="Zone sous surveillance par le NOC"/>
    <s v=" HO non finalisé entre 213 et 214"/>
    <s v="dl Rxqual=7"/>
    <s v="dl rx level=-67"/>
    <s v="OK"/>
    <s v="OK"/>
    <s v="Mauvais"/>
    <s v=" Retransmission des trames HDLC*5"/>
    <m/>
    <s v="HAMZAOUI Youssef"/>
    <m/>
    <m/>
    <m/>
    <m/>
    <m/>
    <m/>
    <m/>
  </r>
  <r>
    <n v="1495"/>
    <x v="0"/>
    <x v="560"/>
    <d v="1899-12-30T20:57:24"/>
    <n v="2057"/>
    <x v="4"/>
    <x v="0"/>
    <n v="7208"/>
    <m/>
    <s v="Tanger/Casa"/>
    <n v="73.585999999999999"/>
    <x v="13"/>
    <s v="N2"/>
    <x v="0"/>
    <s v="Selon notre analyse, nous avons constaté que le HO est non finalisé  entre 213 et 214 ,les conditions radio étaient Mauvaises avant la déconnexion,La requete de deconnexion a ete envoyé par le RBC Suite au retransmission des trames HDLC"/>
    <m/>
    <x v="1"/>
    <s v="Zone sous surveillance par le NOC"/>
    <s v=" HO non finalisé entre 213 et 214"/>
    <s v="dl Rxqual=7"/>
    <s v="dl rx level=-67"/>
    <s v="OK"/>
    <s v="OK"/>
    <s v="Mauvais"/>
    <s v=" Retransmission des trames HDLC*5"/>
    <m/>
    <s v="ELHAJOUIA Achraf"/>
    <m/>
    <m/>
    <m/>
    <m/>
    <m/>
    <m/>
    <m/>
  </r>
  <r>
    <n v="1496"/>
    <x v="0"/>
    <x v="561"/>
    <d v="1899-12-30T07:04:38"/>
    <n v="2005"/>
    <x v="9"/>
    <x v="0"/>
    <n v="1053"/>
    <m/>
    <s v="Tanger/Casa"/>
    <n v="6.13"/>
    <x v="2"/>
    <s v="N2"/>
    <x v="1"/>
    <s v="Selon notre analyse, nous avons constaté que le HO Complet entre 202 et 303  ,les conditions radio étaient Mauvaises avant la déconnexion,La requete de deconnexion a ete envoyé par le RBC avec retransmission des trames HDLC"/>
    <m/>
    <x v="0"/>
    <s v="En attente du mise en place des tirroirs filtrés"/>
    <s v="HO complet entre 202 et 303"/>
    <s v="dl Rxqual=3"/>
    <s v="dl rx level=-68"/>
    <s v="OK"/>
    <s v="OK"/>
    <s v="Mauvais"/>
    <s v=" Retransmission des trames HDLC*5"/>
    <m/>
    <s v="ISMALI ALAOUI Hamza"/>
    <m/>
    <m/>
    <m/>
    <m/>
    <m/>
    <m/>
    <m/>
  </r>
  <r>
    <n v="1497"/>
    <x v="0"/>
    <x v="561"/>
    <d v="1899-12-30T16:32:38"/>
    <n v="1037"/>
    <x v="11"/>
    <x v="1"/>
    <n v="1004"/>
    <m/>
    <s v="Casa/Tanger"/>
    <s v="RAC 0"/>
    <x v="33"/>
    <s v="N1"/>
    <x v="1"/>
    <s v="Selon notre analyse, nous avons constaté que le HO non finalisé entre 99 et 333   ,les conditions radio étaient Mauvaises avant la déconnexion,La requete de deconnexion a ete envoyé par le bord sans retransmission des trames HDLC"/>
    <m/>
    <x v="1"/>
    <s v="Zone sous surveillance par le NOC"/>
    <s v="HO non finalisé entre 99 et 333 "/>
    <s v="dl Rxqual=7"/>
    <s v="dl rx level=-69"/>
    <s v="OK"/>
    <s v="NOK"/>
    <s v="Mauvais"/>
    <s v="pas de Retransmission des trames HDLC"/>
    <m/>
    <s v="MAROUANI Otmane"/>
    <m/>
    <m/>
    <m/>
    <m/>
    <m/>
    <m/>
    <m/>
  </r>
  <r>
    <n v="1498"/>
    <x v="0"/>
    <x v="561"/>
    <d v="1899-12-30T22:55:26"/>
    <n v="1061"/>
    <x v="11"/>
    <x v="1"/>
    <n v="1072"/>
    <m/>
    <s v="Casa/Tanger"/>
    <n v="94.953999999999994"/>
    <x v="8"/>
    <s v="N2"/>
    <x v="0"/>
    <s v="Selon notre analyse, nous avons constaté que le HO non finalisé entre 318 et 217 Avec Downlink quality ,les conditions radio étaient Mauvaises avant la déconnexion,La requete de deconnexion a ete envoyé par le Bord sans retransmission des trames HDLC"/>
    <m/>
    <x v="0"/>
    <s v="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
    <s v=" HO non finalisé entre 318 et 217"/>
    <s v="dl Rxqual=6"/>
    <s v="dl rx level=-82"/>
    <s v="OK"/>
    <s v="OK"/>
    <s v="Mauvais"/>
    <s v="pas de Retransmission des trames HDLC"/>
    <m/>
    <s v="ELHAJOUIA Achraf"/>
    <m/>
    <m/>
    <m/>
    <m/>
    <m/>
    <m/>
    <m/>
  </r>
  <r>
    <n v="1499"/>
    <x v="0"/>
    <x v="562"/>
    <d v="1899-12-30T21:19:54"/>
    <n v="1053"/>
    <x v="11"/>
    <x v="1"/>
    <n v="1020"/>
    <m/>
    <s v="Casa/Tanger"/>
    <n v="7.3209999999999997"/>
    <x v="2"/>
    <s v="N2"/>
    <x v="0"/>
    <s v="Selon notre analyse, nous avons constaté que le HO non finalisé entre 302 et 203  ,les conditions radio étaient Mauvaises avant la déconnexion,La requete de deconnexion a ete envoyé par le Bord sans retransmission des trames HDLC"/>
    <m/>
    <x v="0"/>
    <s v="En attente du mise en place des tirroirs filtrés"/>
    <s v=" HO non finalisé entre 302 et 203"/>
    <s v="dl Rxqual=4"/>
    <s v="dl rx level=-52"/>
    <s v="NOK"/>
    <s v="OK"/>
    <s v="Mauvais"/>
    <s v="pas de Retransmission des trames HDLC"/>
    <m/>
    <s v="LAGDEM Elmehdi"/>
    <m/>
    <m/>
    <m/>
    <m/>
    <m/>
    <m/>
    <m/>
  </r>
  <r>
    <n v="1500"/>
    <x v="0"/>
    <x v="563"/>
    <d v="1899-12-30T17:05:35"/>
    <n v="2045"/>
    <x v="4"/>
    <x v="0"/>
    <n v="7208"/>
    <m/>
    <s v="Tanger/Casa"/>
    <n v="6.13"/>
    <x v="2"/>
    <s v="N2"/>
    <x v="0"/>
    <s v="Selon notre analyse, nous avons constaté que le HO Complet entre 301 et 302  ,les conditions radio étaient Mauvaises avant la déconnexion,La requete de deconnexion a ete envoyé par le RBC avec retransmission des trames HDLC"/>
    <m/>
    <x v="0"/>
    <s v="En attente du mise en place des tirroirs filtrés"/>
    <s v="HO complet entre 301 et 302"/>
    <s v="dl Rxqual=5"/>
    <s v="dl rx level=-51"/>
    <s v="NOK"/>
    <s v="OK"/>
    <s v="Mauvais"/>
    <s v=" Retransmission des trames HDLC*5"/>
    <m/>
    <s v="HAMZAOUI Youssef"/>
    <m/>
    <m/>
    <m/>
    <m/>
    <m/>
    <m/>
    <m/>
  </r>
  <r>
    <n v="1501"/>
    <x v="0"/>
    <x v="564"/>
    <d v="1899-12-30T21:09:57"/>
    <n v="2061"/>
    <x v="11"/>
    <x v="0"/>
    <n v="1051"/>
    <m/>
    <s v="Tanger/Casa"/>
    <n v="18.95"/>
    <x v="20"/>
    <s v="N2"/>
    <x v="0"/>
    <s v="indisponibilté du site GSMR 04 suite a un problème de transmission,au niveau de la carte principale"/>
    <m/>
    <x v="1"/>
    <s v="Basculement vers la carte de secours ,le site est de nouveau operationel"/>
    <s v=" HO non finalisé entre 205 et 307"/>
    <s v="dl Rxqual=7"/>
    <s v="dl rx level=-75"/>
    <s v="OK"/>
    <s v="OK"/>
    <s v="Mauvais"/>
    <s v=" Retransmission des trames HDLC*5"/>
    <m/>
    <s v="LAGDEM Elmehdi"/>
    <m/>
    <m/>
    <m/>
    <m/>
    <m/>
    <m/>
    <m/>
  </r>
  <r>
    <n v="1502"/>
    <x v="0"/>
    <x v="564"/>
    <d v="1899-12-30T21:15:04"/>
    <n v="2061"/>
    <x v="11"/>
    <x v="0"/>
    <n v="1050"/>
    <m/>
    <s v="Tanger/Casa"/>
    <n v="36.558"/>
    <x v="14"/>
    <s v="N2"/>
    <x v="0"/>
    <s v="indisponibilté du site GSMR 04 suite a un problème de transmission,au niveau de la carte principale,suite a la deconnexion précedente le train s'est connecté au cellule de la ligne classique ce qui a engendré une deconnexion supplementaire"/>
    <m/>
    <x v="1"/>
    <s v="Basculement vers la carte de secours ,le site est de nouveau operationel"/>
    <s v="HO complet entre 595 et 596"/>
    <s v="dl Rxqual=7"/>
    <s v="dl rx level=-70"/>
    <s v="NOK"/>
    <s v="OK"/>
    <s v="Mauvais"/>
    <s v=" Retransmission des trames HDLC*5"/>
    <m/>
    <s v="LAGDEM Elmehdi"/>
    <m/>
    <m/>
    <m/>
    <m/>
    <m/>
    <m/>
    <m/>
  </r>
  <r>
    <n v="1503"/>
    <x v="0"/>
    <x v="565"/>
    <d v="1899-12-30T06:06:19"/>
    <n v="2001"/>
    <x v="1"/>
    <x v="0"/>
    <n v="7195"/>
    <m/>
    <s v="Tanger/Casa"/>
    <n v="6.13"/>
    <x v="2"/>
    <s v="N2"/>
    <x v="1"/>
    <s v="Selon notre analyse, nous avons constaté que le HO non finalisé entre 303 et 301   ,les conditions radio étaient Mauvaises avant la déconnexion,La requete de deconnexion a ete envoyé par le RBC avec retransmission des trames HDLC*5"/>
    <m/>
    <x v="0"/>
    <s v="En attente du mise en place des tirroirs filtrés"/>
    <s v=" HO non finalisé entre 303 et 301"/>
    <s v="dl Rxqual=7"/>
    <s v="dl rx level=-73"/>
    <s v="NOK"/>
    <s v="OK"/>
    <s v="Mauvais"/>
    <s v=" Retransmission des trames HDLC*5"/>
    <m/>
    <s v="ELGUEZZAR Anas"/>
    <m/>
    <m/>
    <m/>
    <m/>
    <m/>
    <m/>
    <m/>
  </r>
  <r>
    <n v="1504"/>
    <x v="0"/>
    <x v="565"/>
    <d v="1899-12-30T10:05:22"/>
    <n v="2017"/>
    <x v="9"/>
    <x v="0"/>
    <n v="1053"/>
    <m/>
    <s v="Tanger/Casa"/>
    <n v="6.13"/>
    <x v="2"/>
    <s v="N2"/>
    <x v="0"/>
    <s v="Selon notre analyse, nous avons constaté que le HO complet entre 202 et 203  ,les conditions radio étaient bonnes avant la déconnexion,La requete de deconnexion a ete envoyé par le RBC suite au retransmission des trames HDLC"/>
    <m/>
    <x v="0"/>
    <s v="En attente du mise en place des tirroirs filtrés"/>
    <s v="HO complet entre 202 et 203"/>
    <s v="dl Rxqual=0"/>
    <s v="dl rx level=-70"/>
    <s v="OK"/>
    <s v="OK"/>
    <s v="Mauvais"/>
    <s v=" Retransmission des trames HDLC*5"/>
    <m/>
    <s v="Noura MOUSSAOUI"/>
    <m/>
    <m/>
    <m/>
    <m/>
    <m/>
    <m/>
    <m/>
  </r>
  <r>
    <n v="1505"/>
    <x v="0"/>
    <x v="566"/>
    <d v="1899-12-30T15:33:22"/>
    <n v="1033"/>
    <x v="7"/>
    <x v="1"/>
    <n v="1040"/>
    <m/>
    <s v="Casa/Tanger"/>
    <n v="198.98400000000001"/>
    <x v="5"/>
    <s v="N2"/>
    <x v="1"/>
    <s v="Selon notre analyse, nous avons constaté que le HO est non finalisé entre 233 et 99, les conditions radio étaient mauvaises avant la déconnexion, La requete de deconnexion a ete envoyé par le bord sans retransmission des trames HDLC "/>
    <m/>
    <x v="2"/>
    <s v="Analyse des relevés JRU/DRU en cours"/>
    <s v=" HO non finalisé entre 99 et 233"/>
    <s v="dl Rxqual=5"/>
    <s v="dl rx level=-77"/>
    <s v="OK"/>
    <s v="NOK"/>
    <s v="Mauvais"/>
    <s v="Pas de Retransmission des trames HDLC"/>
    <m/>
    <s v="LAGDEM Elmehdi"/>
    <m/>
    <m/>
    <m/>
    <m/>
    <m/>
    <m/>
    <m/>
  </r>
  <r>
    <n v="1506"/>
    <x v="0"/>
    <x v="566"/>
    <d v="1899-12-30T17:20:01"/>
    <n v="1037"/>
    <x v="4"/>
    <x v="1"/>
    <n v="1033"/>
    <m/>
    <s v="Casa/Tanger"/>
    <n v="7.3209999999999997"/>
    <x v="2"/>
    <s v="N2"/>
    <x v="1"/>
    <s v="Selon notre analyse, nous avons constaté que le HO non finalisé entre 302 et 203, les conditions radio étaient Mauvaises avant la déconnexion,La requete de deconnexion a ete envoyé par le Bord sans retransmission des trames HDLC*5"/>
    <m/>
    <x v="0"/>
    <s v="En attente du mise en place des tirroirs filtrés"/>
    <s v=" HO non finalisé entre 302 et 203"/>
    <s v="dl Rxqual=7"/>
    <s v="dl rx level=-52"/>
    <s v="NOK"/>
    <s v="OK"/>
    <s v="Mauvais"/>
    <s v="Pas de Retransmission des trames HDLC"/>
    <m/>
    <s v="LAGDEM Elmehdi"/>
    <m/>
    <m/>
    <m/>
    <m/>
    <m/>
    <m/>
    <m/>
  </r>
  <r>
    <n v="1507"/>
    <x v="0"/>
    <x v="567"/>
    <d v="1899-12-30T15:05:11"/>
    <n v="2037"/>
    <x v="4"/>
    <x v="0"/>
    <n v="7208"/>
    <m/>
    <s v="Tanger/Casa"/>
    <n v="6.13"/>
    <x v="2"/>
    <s v="N2"/>
    <x v="0"/>
    <s v="Selon notre analyse, nous avons constaté que le HO non finalisé entre 301 et 203, les conditions radio étaient Mauvaises avant la déconnexion, La requete de deconnexion a ete envoyé par le RBC sans retransmission des trames HDLC."/>
    <m/>
    <x v="0"/>
    <s v="En attente du mise en place des tirroirs filtrés"/>
    <s v=" HO non finalisé entre 301 et 203"/>
    <s v="dl Rxqual=7"/>
    <s v="dl rx level=-51"/>
    <s v="NOK"/>
    <s v="OK"/>
    <s v="Mauvais"/>
    <s v="Pas de Retransmission des trames HDLC"/>
    <m/>
    <s v="HAMZAOUI Youssef"/>
    <m/>
    <m/>
    <m/>
    <m/>
    <m/>
    <m/>
    <m/>
  </r>
  <r>
    <n v="1508"/>
    <x v="0"/>
    <x v="568"/>
    <d v="1899-12-30T16:10:57"/>
    <n v="2041"/>
    <x v="7"/>
    <x v="0"/>
    <n v="1054"/>
    <m/>
    <s v="Tanger/Casa"/>
    <n v="21.55"/>
    <x v="20"/>
    <s v="N2"/>
    <x v="0"/>
    <s v="Selon notre analyse, nous avons constaté que le HO non finalisé entre 204 et 205, les conditions radio étaient bonnes avant la déconnexion, La requete de deconnexion a ete envoyé par le RBC suite au retransmission des trames HDLC."/>
    <m/>
    <x v="2"/>
    <s v="En attente des traces DRU/JRU pour analyse approfondie"/>
    <s v=" HO non finalisé entre 204 et 205"/>
    <s v="dl Rxqual=0"/>
    <s v="dl rx level=-65"/>
    <s v="NOK"/>
    <s v="OK"/>
    <s v="Mauvais"/>
    <s v=" Retransmission des trames HDLC*5"/>
    <m/>
    <s v="HAMZAOUI Youssef"/>
    <m/>
    <m/>
    <m/>
    <m/>
    <m/>
    <m/>
    <m/>
  </r>
  <r>
    <n v="1509"/>
    <x v="0"/>
    <x v="568"/>
    <d v="1899-12-30T16:13:06"/>
    <n v="1033"/>
    <x v="9"/>
    <x v="1"/>
    <n v="1034"/>
    <m/>
    <s v="Casa/Tanger"/>
    <n v="7.3209999999999997"/>
    <x v="2"/>
    <s v="N2"/>
    <x v="0"/>
    <s v="Selon notre analyse, nous avons constaté que le HO non finalisé entre 303 et 202, les conditions radio étaient bonnes avant la déconnexion,La requete de deconnexion a ete envoyé par le Bord sans retransmission des trames HDLC*5"/>
    <m/>
    <x v="0"/>
    <s v="En attente du mise en place des tirroirs filtrés"/>
    <s v=" HO non finalisé entre 303 et 202"/>
    <s v="dl Rxqual=0"/>
    <s v="dl rx level=-60"/>
    <s v="OK"/>
    <s v="OK"/>
    <s v="Mauvais"/>
    <s v="Pas de Retransmission des trames HDLC"/>
    <m/>
    <s v="HAMZAOUI Youssef"/>
    <m/>
    <m/>
    <m/>
    <m/>
    <m/>
    <m/>
    <m/>
  </r>
  <r>
    <n v="1510"/>
    <x v="0"/>
    <x v="568"/>
    <d v="1899-12-30T16:15:04"/>
    <n v="2041"/>
    <x v="7"/>
    <x v="0"/>
    <n v="1055"/>
    <m/>
    <s v="Tanger/Casa"/>
    <n v="35.259"/>
    <x v="25"/>
    <s v="N2"/>
    <x v="0"/>
    <s v="Selon notre analyse, nous avons constaté que le HO complet entre 595 et 596, les conditions radio étaient mauvaies avant la déconnexion,La requete de deconnexion a ete envoyé par le RBC suite au retransmission des trames HDLC"/>
    <m/>
    <x v="1"/>
    <s v="Zone sous surveillance par le NOC"/>
    <s v="HO complet entre 595 et 596"/>
    <s v="dl Rxqual=7"/>
    <s v="dl rx level=-83"/>
    <s v="OK"/>
    <s v="OK"/>
    <s v="Mauvais"/>
    <s v=" Retransmission des trames HDLC*5"/>
    <m/>
    <s v="HAMZAOUI Youssef"/>
    <m/>
    <m/>
    <m/>
    <m/>
    <m/>
    <m/>
    <m/>
  </r>
  <r>
    <n v="1511"/>
    <x v="0"/>
    <x v="569"/>
    <d v="1899-12-30T07:44:24"/>
    <n v="2005"/>
    <x v="0"/>
    <x v="0"/>
    <n v="1036"/>
    <m/>
    <s v="Tanger/Casa"/>
    <n v="186.315"/>
    <x v="19"/>
    <s v="N2"/>
    <x v="0"/>
    <s v="Selon notre analyse, nous avons constaté que le HO Non Finalisé entre 232 et 233, les conditions radio étaient bonnes avant la déconnexion,La requete de deconnexion a ete envoyé par le RBC suite au retransmission des trames HDLC"/>
    <m/>
    <x v="2"/>
    <s v="En attente des traces DRU/JRU pour analyse approfondie"/>
    <s v=" HO non finalisé entre 232 et 233"/>
    <s v="dl Rxqual=0"/>
    <s v="dl rx level=-61"/>
    <s v="NOK"/>
    <s v="OK"/>
    <s v="Mauvais"/>
    <s v=" Retransmission des trames HDLC*5"/>
    <m/>
    <s v="ELHAJOUIA Achraf"/>
    <m/>
    <m/>
    <m/>
    <m/>
    <m/>
    <m/>
    <m/>
  </r>
  <r>
    <n v="1512"/>
    <x v="0"/>
    <x v="569"/>
    <d v="1899-12-30T12:05:34"/>
    <n v="2025"/>
    <x v="9"/>
    <x v="0"/>
    <n v="1053"/>
    <m/>
    <s v="Tanger/Casa"/>
    <n v="6.13"/>
    <x v="2"/>
    <s v="N2"/>
    <x v="0"/>
    <s v="Selon notre analyse, nous avons constaté que le HO complet entre 202 et 203 avec Downlink quality , les conditions radio étaient mauvaies avant la déconnexion,La requete de deconnexion a ete envoyé par le RBC suite au retransmission des trames HDLC"/>
    <m/>
    <x v="0"/>
    <s v="En attente du mise en place des tirroirs filtrés"/>
    <s v="HO complet entre 202 et 203"/>
    <s v="dl Rxqual=7"/>
    <s v="dl rx level=-65"/>
    <s v="OK"/>
    <s v="OK"/>
    <s v="Mauvais"/>
    <s v=" Retransmission des trames HDLC*5"/>
    <m/>
    <s v="ELHAJOUIA Achraf"/>
    <m/>
    <m/>
    <m/>
    <m/>
    <m/>
    <m/>
    <m/>
  </r>
  <r>
    <n v="1513"/>
    <x v="0"/>
    <x v="570"/>
    <d v="1899-12-30T12:05:39"/>
    <n v="2025"/>
    <x v="2"/>
    <x v="0"/>
    <n v="7218"/>
    <m/>
    <s v="Tanger/Casa"/>
    <n v="6.13"/>
    <x v="2"/>
    <s v="N2"/>
    <x v="1"/>
    <s v="Selon notre analyse, nous avons constaté que le HO complet entre 203 et 202 avec Downlink quality , les conditions radio étaient mauvaies avant la déconnexion,La requete de deconnexion a ete envoyé par le RBC suite au retransmission des trames HDLC"/>
    <m/>
    <x v="0"/>
    <s v="En attente du mise en place des tirroirs filtrés"/>
    <s v="HO complet entre 203 et 202"/>
    <s v="dl Rxqual=5"/>
    <s v="dl rx level=-67"/>
    <s v="OK"/>
    <s v="OK"/>
    <s v="Mauvais"/>
    <s v=" Retransmission des trames HDLC*5"/>
    <m/>
    <s v="Noura MOUSSAOUI"/>
    <m/>
    <m/>
    <m/>
    <m/>
    <m/>
    <m/>
    <m/>
  </r>
  <r>
    <n v="1514"/>
    <x v="0"/>
    <x v="570"/>
    <d v="1899-12-30T17:31:46"/>
    <n v="2045"/>
    <x v="5"/>
    <x v="0"/>
    <n v="1025"/>
    <m/>
    <s v="Tanger/Casa"/>
    <n v="126.51"/>
    <x v="6"/>
    <s v="N2"/>
    <x v="1"/>
    <s v="Selon notre analyse, nous avons constaté que le HO non Finalisé entre 222 et 323, les conditions radio étaient bonnes avant la déconnexion,La requete de deconnexion a ete envoyé par le Bord sans retransmission des trames HDLC"/>
    <m/>
    <x v="2"/>
    <s v="En attente des traces DRU/JRU pour analyse approfondie"/>
    <s v="HO non Finalisé entre 222 et 323"/>
    <s v="dl Rxqual=1"/>
    <s v="dl rx level=-79"/>
    <s v="OK"/>
    <s v="OK"/>
    <s v="Mauvais"/>
    <s v="Pas de Retransmission des trames HDLC"/>
    <m/>
    <s v="HAMZAOUI Youssef"/>
    <m/>
    <m/>
    <m/>
    <m/>
    <m/>
    <m/>
    <m/>
  </r>
  <r>
    <n v="1515"/>
    <x v="0"/>
    <x v="570"/>
    <d v="1899-12-30T17:44:03"/>
    <n v="2025"/>
    <x v="5"/>
    <x v="0"/>
    <n v="1024"/>
    <m/>
    <s v="Tanger/Casa"/>
    <n v="130.07400000000001"/>
    <x v="10"/>
    <s v="N2"/>
    <x v="1"/>
    <s v="Selon notre analyse, nous avons constaté que le HO complet entre 223 et 224, les conditions radio étaient mauvaies avant la déconnexion,La requete de deconnexion a ete envoyé par le RBC suite au retransmission des trames HDLC"/>
    <m/>
    <x v="2"/>
    <s v="En attente des traces DRU/JRU pour analyse approfondie"/>
    <s v="HO complet entre 223 et 224"/>
    <s v="dl Rxqual=7"/>
    <s v="dl rx level=-60"/>
    <s v="OK"/>
    <s v="OK"/>
    <s v="Mauvais"/>
    <s v=" Retransmission des trames HDLC*5"/>
    <m/>
    <s v="HAMZAOUI Youssef"/>
    <m/>
    <m/>
    <m/>
    <m/>
    <m/>
    <m/>
    <m/>
  </r>
  <r>
    <n v="1516"/>
    <x v="0"/>
    <x v="571"/>
    <d v="1899-12-30T19:19:47"/>
    <n v="2053"/>
    <x v="9"/>
    <x v="0"/>
    <n v="1052"/>
    <s v="Tanger/Casa"/>
    <s v="Tanger/Casa"/>
    <n v="130.07400000000001"/>
    <x v="10"/>
    <s v="N2"/>
    <x v="0"/>
    <s v="Selon notre analyse, nous avons constaté que le HO Non fnalisé entre 211 et 212, les conditions radio étaient Bonnes avant la déconnexion,La requete de deconnexion a ete envoyé par le RBC suite au retransmission des trames HDLC"/>
    <s v="NA"/>
    <x v="1"/>
    <s v="Zone sous surveillance par le NOC"/>
    <s v="HO Non finalisé entre 211 et 212"/>
    <s v="dl Rxqual=2"/>
    <s v="dl rx level=-65"/>
    <s v="NOK"/>
    <s v="OK"/>
    <s v="Mauvais"/>
    <s v=" Retransmission des trames HDLC*5"/>
    <m/>
    <s v="Saad Elhabib"/>
    <m/>
    <m/>
    <m/>
    <m/>
    <m/>
    <m/>
    <m/>
  </r>
  <r>
    <n v="1517"/>
    <x v="0"/>
    <x v="572"/>
    <d v="1899-12-30T23:00:25"/>
    <n v="1057"/>
    <x v="0"/>
    <x v="1"/>
    <n v="1045"/>
    <m/>
    <s v="Casa/Tanger"/>
    <n v="7.3209999999999997"/>
    <x v="2"/>
    <s v="N2"/>
    <x v="1"/>
    <s v="Selon notre analyse, nous avons constaté que le HO non finalisé entre 203 et 302, les conditions radio étaient mauvaies avant la déconnexion, La requete de deconnexion a ete envoyé par le Bord avec retransmission des trames HDLC*5"/>
    <m/>
    <x v="0"/>
    <s v="En attente du mise en place des tirroirs filtrés"/>
    <s v="HO Non finalisé entre 203 et 302"/>
    <s v="dl Rxqual=7"/>
    <s v="dl rx level=-60"/>
    <s v="OK"/>
    <s v="OK"/>
    <s v="Mauvais"/>
    <s v=" Retransmission des trames HDLC*5"/>
    <m/>
    <s v="ISMALI ALAOUI Hamza"/>
    <m/>
    <m/>
    <m/>
    <m/>
    <m/>
    <m/>
    <m/>
  </r>
  <r>
    <n v="1518"/>
    <x v="0"/>
    <x v="573"/>
    <d v="1899-12-30T07:05:33"/>
    <n v="2005"/>
    <x v="9"/>
    <x v="0"/>
    <n v="1053"/>
    <m/>
    <s v="Tanger/Casa"/>
    <n v="6.13"/>
    <x v="2"/>
    <s v="N2"/>
    <x v="0"/>
    <s v="Selon notre analyse, nous avons constaté que le HO Complet  entre 202 et 303, les conditions radio étaient mauvaies avant la déconnexion, La requete de deconnexion a ete envoyé par le RBC avec retransmission des trames HDLC*5"/>
    <m/>
    <x v="0"/>
    <s v="En attente du mise en place des tirroirs filtrés"/>
    <s v="HO complet entre 202 et 303"/>
    <s v="dl Rxqual=4"/>
    <s v="dl rx level=-65"/>
    <s v="OK"/>
    <s v="OK"/>
    <s v="Mauvais"/>
    <s v=" Retransmission des trames HDLC*5"/>
    <m/>
    <s v="ELHAJOUIA Achraf"/>
    <m/>
    <m/>
    <m/>
    <m/>
    <m/>
    <m/>
    <m/>
  </r>
  <r>
    <n v="1519"/>
    <x v="0"/>
    <x v="574"/>
    <d v="1899-12-30T04:59:56"/>
    <n v="100071"/>
    <x v="0"/>
    <x v="0"/>
    <n v="1037"/>
    <m/>
    <s v="Tanger/Casa"/>
    <n v="6.13"/>
    <x v="2"/>
    <s v="N2"/>
    <x v="0"/>
    <s v="Selon notre analyse, nous avons constaté que le HO Complet  entre 202 et 301, les conditions radio étaient mauvaies avant la déconnexion, La requete de deconnexion a ete envoyé par le RBC avec retransmission des trames HDLC*5"/>
    <m/>
    <x v="0"/>
    <s v="En attente du mise en place des tirroirs filtrés"/>
    <s v="HO complet entre 202 et 301"/>
    <s v="dl Rxqual=7"/>
    <s v="dl rx level=-78"/>
    <s v="OK"/>
    <s v="OK"/>
    <s v="Mauvais"/>
    <s v=" Retransmission des trames HDLC*5"/>
    <m/>
    <s v="HAMZAOUI Youssef"/>
    <m/>
    <m/>
    <m/>
    <m/>
    <m/>
    <m/>
    <m/>
  </r>
  <r>
    <n v="1520"/>
    <x v="0"/>
    <x v="574"/>
    <d v="1899-12-30T05:20:16"/>
    <n v="100071"/>
    <x v="0"/>
    <x v="0"/>
    <n v="1037"/>
    <m/>
    <s v="Tanger/Casa"/>
    <n v="52.289000000000001"/>
    <x v="29"/>
    <s v="N2"/>
    <x v="0"/>
    <s v="Selon notre analyse, nous avons constaté que le HO non finalisé entre 209 et 310, les conditions radio étaient bonnes avant la déconnexion, La requete de deconnexion a ete envoyé par le RBC avec retransmission des trames HDLC*5"/>
    <m/>
    <x v="2"/>
    <s v="Zone sous surveillence par le NOC"/>
    <s v="HO Non finalisé entre 209 et 310"/>
    <s v="dl Rxqual=0"/>
    <s v="dl rx level=-58"/>
    <s v="OK"/>
    <s v="OK"/>
    <s v="Mauvais"/>
    <s v="Pas de retransmission des trames HDLC"/>
    <m/>
    <s v="HAMZAOUI Youssef"/>
    <m/>
    <m/>
    <m/>
    <m/>
    <m/>
    <m/>
    <m/>
  </r>
  <r>
    <n v="1521"/>
    <x v="0"/>
    <x v="574"/>
    <d v="1899-12-30T12:05:36"/>
    <n v="2025"/>
    <x v="10"/>
    <x v="0"/>
    <n v="1056"/>
    <m/>
    <s v="Tanger/Casa"/>
    <n v="6.13"/>
    <x v="2"/>
    <s v="N2"/>
    <x v="1"/>
    <s v="Selon notre analyse, nous avons constaté que le HO Complete entre 203 et 202, les conditions radio étaient mauvaies avant la déconnexion, La requete de deconnexion a ete envoyé par le RBC  avec retransmission des trames HDLC*5"/>
    <m/>
    <x v="0"/>
    <s v="En attente du mise en place des tirroirs filtrés"/>
    <s v="HO Complete entre 203 et 202"/>
    <s v="dl Rxqual=6"/>
    <s v="dl rx level=-70"/>
    <s v="OK"/>
    <s v="OK"/>
    <s v="Mauvais"/>
    <s v=" Retransmission des trames HDLC*5"/>
    <m/>
    <s v="Mohamed rida SAFRI"/>
    <m/>
    <m/>
    <m/>
    <m/>
    <m/>
    <m/>
    <m/>
  </r>
  <r>
    <n v="1522"/>
    <x v="0"/>
    <x v="574"/>
    <d v="1899-12-30T15:04:36"/>
    <n v="2037"/>
    <x v="4"/>
    <x v="0"/>
    <n v="7208"/>
    <m/>
    <s v="Tanger/Casa"/>
    <n v="6.13"/>
    <x v="2"/>
    <s v="N2"/>
    <x v="1"/>
    <s v="Selon notre analyse, nous avons constaté que le HO Complete entre 301 et 302, les conditions radio étaient mauvaies avant la déconnexion, La requete de deconnexion a ete envoyé par le RBC  avec retransmission des trames HDLC*5"/>
    <m/>
    <x v="0"/>
    <s v="En attente du mise en place des tirroirs filtrés"/>
    <s v="HO Complete entre 301 et 302"/>
    <s v="dl Rxqual=6"/>
    <s v="dl rx level=-54"/>
    <s v="NOK"/>
    <s v="OK"/>
    <s v="Mauvais"/>
    <s v=" Retransmission des trames HDLC*5"/>
    <m/>
    <s v="MAROUANI Otmane"/>
    <m/>
    <m/>
    <m/>
    <m/>
    <m/>
    <m/>
    <m/>
  </r>
  <r>
    <n v="1523"/>
    <x v="0"/>
    <x v="574"/>
    <d v="1899-12-30T21:04:58"/>
    <n v="2061"/>
    <x v="4"/>
    <x v="0"/>
    <n v="7208"/>
    <m/>
    <s v="Tanger/Casa"/>
    <n v="6.13"/>
    <x v="2"/>
    <s v="N2"/>
    <x v="0"/>
    <s v="Selon notre analyse, nous avons constaté que le HO Complete entre 301 et 202, les conditions radio étaient mauvaies avant la déconnexion, La requete de deconnexion a ete envoyé par le RBC  avec retransmission des trames HDLC*5"/>
    <m/>
    <x v="0"/>
    <s v="En attente du mise en place des tirroirs filtrés"/>
    <s v="HO Complete entre 301 et 202"/>
    <s v="dl Rxqual=7"/>
    <s v="dl rx level=-58"/>
    <s v="NOK"/>
    <s v="OK"/>
    <s v="Mauvais"/>
    <s v=" Retransmission des trames HDLC*5"/>
    <m/>
    <s v="HAMZAOUI Youssef"/>
    <m/>
    <m/>
    <m/>
    <m/>
    <m/>
    <m/>
    <m/>
  </r>
  <r>
    <n v="1524"/>
    <x v="0"/>
    <x v="575"/>
    <d v="1899-12-30T17:35:24"/>
    <n v="2045"/>
    <x v="5"/>
    <x v="0"/>
    <n v="1024"/>
    <m/>
    <s v="Tanger/Casa"/>
    <n v="140.65899999999999"/>
    <x v="26"/>
    <s v="N2"/>
    <x v="0"/>
    <s v="Selon notre analyse, nous avons constaté que le HO non finalisé entre 224 et 225, les conditions radio étaient mauvaies avant la déconnexion, La requete de deconnexion a ete envoyé par le RBC  avec retransmission des trames HDLC*5"/>
    <m/>
    <x v="2"/>
    <s v="Zone sous surveillence par le NOC"/>
    <s v="HO Non finalisé entre 224 et 225"/>
    <s v="dl Rxqual=2"/>
    <s v="dl rx level=-75"/>
    <s v="OK"/>
    <s v="OK"/>
    <s v="Mauvais"/>
    <s v=" Retransmission des trames HDLC*5"/>
    <m/>
    <s v="AYMANE ASSAL"/>
    <m/>
    <m/>
    <m/>
    <m/>
    <m/>
    <m/>
    <m/>
  </r>
  <r>
    <n v="1523"/>
    <x v="0"/>
    <x v="576"/>
    <d v="1899-12-30T15:05:14"/>
    <n v="2037"/>
    <x v="1"/>
    <x v="0"/>
    <n v="7195"/>
    <m/>
    <s v="Tanger/Casa"/>
    <n v="6.13"/>
    <x v="2"/>
    <s v="N2"/>
    <x v="0"/>
    <s v="Selon notre analyse, nous avons constaté que le HO Complete entre 202 et 203, les conditions radio étaient mauvaies avant la déconnexion, La requete de deconnexion a ete envoyé par le RBC  avec retransmission des trames HDLC*5"/>
    <m/>
    <x v="0"/>
    <s v="En attente du mise en place des tirroirs filtrés"/>
    <s v="HO Complete entre 202 et 203"/>
    <s v="dl Rxqual=7"/>
    <s v="dl rx level=-67"/>
    <s v="OK"/>
    <s v="OK"/>
    <s v="Mauvais"/>
    <s v=" Retransmission des trames HDLC*5"/>
    <m/>
    <s v="HARIRI Bahaeddine"/>
    <m/>
    <m/>
    <m/>
    <m/>
    <m/>
    <m/>
    <m/>
  </r>
  <r>
    <n v="1524"/>
    <x v="0"/>
    <x v="577"/>
    <d v="1899-12-30T22:54:26"/>
    <n v="1062"/>
    <x v="3"/>
    <x v="1"/>
    <n v="1047"/>
    <m/>
    <s v="Casa/Tanger"/>
    <n v="108.206"/>
    <x v="1"/>
    <s v="N2"/>
    <x v="0"/>
    <s v="Selon notre analyse, nous avons constaté que le HO non finalisé entre 320 et 319, les conditions radio étaient bonnes avant la déconnexion, La requete de deconnexion a ete envoyé par le RBC avec retransmission des trames HDLC*5"/>
    <m/>
    <x v="2"/>
    <s v="Zone sous surveillance par NOC"/>
    <s v="HO Non finalisé entre 320 et 319"/>
    <s v="dl Rxqual=2"/>
    <s v="dl rx level=-76"/>
    <s v="OK"/>
    <s v="OK"/>
    <s v="Mauvais"/>
    <s v=" Retransmission des trames HDLC*5"/>
    <m/>
    <s v="HAMZAOUI Youssef"/>
    <m/>
    <m/>
    <m/>
    <m/>
    <m/>
    <m/>
    <m/>
  </r>
  <r>
    <n v="1525"/>
    <x v="0"/>
    <x v="578"/>
    <d v="1899-12-30T13:55:47"/>
    <n v="1025"/>
    <x v="3"/>
    <x v="1"/>
    <n v="1046"/>
    <m/>
    <s v="Casa/Tanger"/>
    <n v="94.953999999999994"/>
    <x v="8"/>
    <s v="N2"/>
    <x v="0"/>
    <s v="Selon notre analyse, nous avons constaté que le HO non finalisé entre 318 et 317, les conditions radio étaient mauvaies avant la déconnexion, La requete de deconnexion a ete envoyé par le RBC avec retransmission des trames HDLC*5"/>
    <m/>
    <x v="0"/>
    <s v="En attente du mise en place des tirroirs filtrés"/>
    <s v="HO Non finalisé entre 318 et 317"/>
    <s v="dl Rxqual=7"/>
    <s v="dl rx level=-68"/>
    <s v="OK"/>
    <s v="NOK"/>
    <s v="Mauvais"/>
    <s v=" Retransmission des trames HDLC*5"/>
    <m/>
    <s v="LAGDEM Elmehdi"/>
    <m/>
    <m/>
    <m/>
    <m/>
    <m/>
    <m/>
    <m/>
  </r>
  <r>
    <n v="1526"/>
    <x v="0"/>
    <x v="578"/>
    <d v="1899-12-30T20:51:23"/>
    <n v="1053"/>
    <x v="3"/>
    <x v="1"/>
    <n v="1047"/>
    <m/>
    <s v="Casa/Tanger"/>
    <n v="118.562"/>
    <x v="17"/>
    <s v="N2"/>
    <x v="0"/>
    <s v="Selon notre analyse, nous avons constaté que le HO non finalisé entre 321 et 320, les conditions radio étaient bonnes avant la déconnexion, La requete de deconnexion a ete envoyé par le RBC avec retransmission des trames HDLC*5"/>
    <m/>
    <x v="2"/>
    <s v="Zone sous surveillance par NOC"/>
    <s v="HO Non finalisé entre 321 et 320"/>
    <s v="dl Rxqual=1"/>
    <s v="dl rx level=-65"/>
    <s v="NOK"/>
    <s v="OK"/>
    <s v="Mauvais"/>
    <s v=" Retransmission des trames HDLC*5"/>
    <m/>
    <s v="Saad Elhabib"/>
    <m/>
    <m/>
    <m/>
    <m/>
    <m/>
    <m/>
    <m/>
  </r>
  <r>
    <n v="1527"/>
    <x v="0"/>
    <x v="579"/>
    <d v="1899-12-30T10:05:37"/>
    <n v="2017"/>
    <x v="4"/>
    <x v="0"/>
    <n v="1058"/>
    <m/>
    <s v="Casa/Tanger"/>
    <n v="6.13"/>
    <x v="2"/>
    <s v="N2"/>
    <x v="1"/>
    <s v="Selon notre analyse, nous avons constaté que le HO non finalisé  entre 226 et 327, les conditions radio étaient mauvaises avant la déconnexion, La requete de deconnexion a ete envoyé par le RBC avec retransmission des trames HDLC*5"/>
    <m/>
    <x v="0"/>
    <s v="En attente du mise en place des tirroirs filtrés"/>
    <s v="HO Non finalisé entre 202 et 303"/>
    <s v="dl Rxqual=7"/>
    <s v="dl rx level=-70"/>
    <s v="OK"/>
    <s v="OK"/>
    <s v="Mauvais"/>
    <s v=" Retransmission des trames HDLC*5"/>
    <m/>
    <s v="Noura MOUSSAOUI"/>
    <m/>
    <m/>
    <m/>
    <m/>
    <m/>
    <m/>
    <m/>
  </r>
  <r>
    <n v="1528"/>
    <x v="0"/>
    <x v="580"/>
    <d v="1899-12-30T07:38:05"/>
    <n v="2005"/>
    <x v="3"/>
    <x v="0"/>
    <n v="1010"/>
    <m/>
    <s v="Tanger/Casa"/>
    <n v="152.548"/>
    <x v="18"/>
    <s v="N2"/>
    <x v="0"/>
    <s v="Selon notre analyse, nous avons constaté que le HO downlink quality non finalisé entre 226 et 327, les conditions radio étaient mauvaises lors du HO ce qui a engendré la déconnexion, La requete de deconnexion a ete envoyé par le MSC avec retransmission des trames HDLC*5"/>
    <m/>
    <x v="1"/>
    <s v="Zone sous surveillance par le NOC"/>
    <s v="HO Non finalisé entre 226 et 327"/>
    <s v="dl Rxqual=7"/>
    <s v="dl rx level=-54"/>
    <s v="OK"/>
    <s v="OK"/>
    <s v="Mauvais"/>
    <s v=" Retransmission des trames HDLC*5"/>
    <m/>
    <s v="SGHAYER Achraf"/>
    <m/>
    <m/>
    <m/>
    <m/>
    <m/>
    <m/>
    <m/>
  </r>
  <r>
    <n v="1529"/>
    <x v="0"/>
    <x v="581"/>
    <d v="1899-12-30T15:05:08"/>
    <n v="2037"/>
    <x v="1"/>
    <x v="0"/>
    <n v="7195"/>
    <m/>
    <s v="Tanger/Casa"/>
    <n v="6.13"/>
    <x v="2"/>
    <s v="N2"/>
    <x v="0"/>
    <s v="Selon notre analyse, nous avons constaté que le HO  finalisé entre 202 et 203 , les conditions radio étaient  mauvaises avant la déconnexion, La requete de deconnexion a ete envoyé par le RBC avec retransmission des trames HDLC*5"/>
    <m/>
    <x v="0"/>
    <s v="En attente du mise en place des tirroirs filtrés"/>
    <s v="HO  finalisé entre 202 et 203 "/>
    <s v="dl Rxqual=7"/>
    <s v="dl rx level=-71"/>
    <s v="OK"/>
    <s v="OK"/>
    <s v="Mauvais"/>
    <s v=" Retransmission des trames HDLC*5"/>
    <m/>
    <s v="Saad Elhabib"/>
    <m/>
    <m/>
    <m/>
    <m/>
    <m/>
    <m/>
    <m/>
  </r>
  <r>
    <n v="1530"/>
    <x v="0"/>
    <x v="581"/>
    <d v="1899-12-30T16:45:03"/>
    <n v="1037"/>
    <x v="7"/>
    <x v="1"/>
    <n v="1040"/>
    <m/>
    <s v="Casa/Tanger"/>
    <n v="140.65899999999999"/>
    <x v="26"/>
    <s v="N2"/>
    <x v="0"/>
    <s v="Selon notre analyse, nous avons constaté que le HO  non finalisé entre 325 et 224 , les conditions radio étaient  mauvaises avant la déconnexion, La requete de deconnexion a ete envoyé par le RBC avec retransmission des trames HDLC*5"/>
    <m/>
    <x v="1"/>
    <s v="Zone sous surveillance par le NOC"/>
    <s v="HO  non finalisé entre 325 et 224"/>
    <s v="dl Rxqual=1"/>
    <s v="dl rx level=-74"/>
    <s v="NOK"/>
    <s v="OK"/>
    <s v="Mauvais"/>
    <s v=" Retransmission des trames HDLC*5"/>
    <m/>
    <s v="Saad Elhabib"/>
    <m/>
    <m/>
    <m/>
    <m/>
    <m/>
    <m/>
    <m/>
  </r>
  <r>
    <n v="1531"/>
    <x v="0"/>
    <x v="582"/>
    <d v="1899-12-30T12:16:08"/>
    <n v="2025"/>
    <x v="10"/>
    <x v="0"/>
    <n v="1057"/>
    <m/>
    <s v="Tanger/Casa"/>
    <n v="49.784999999999997"/>
    <x v="29"/>
    <s v="N2"/>
    <x v="0"/>
    <s v="Selon notre analyse, nous avons constaté que le HO est complet entre 208 et 209 , les conditions radio étaient bonnes avant la déconnexion, La requete de deconnexion a ete envoyé par le bord  avec retransmission des trames HDLC*5"/>
    <m/>
    <x v="0"/>
    <s v="En attente du mise en place des tirroirs filtrés"/>
    <s v="HO complet entre 208 et 209"/>
    <s v="dl Rxqual=0"/>
    <s v="dl rx level=-62"/>
    <s v="OK"/>
    <s v="OK"/>
    <s v="Mauvais"/>
    <s v=" Retransmission des trames HDLC*5"/>
    <m/>
    <s v="Noura MOUSSAOUI"/>
    <m/>
    <m/>
    <m/>
    <m/>
    <m/>
    <m/>
    <m/>
  </r>
  <r>
    <n v="1532"/>
    <x v="0"/>
    <x v="583"/>
    <d v="1899-12-30T12:34:35"/>
    <n v="2025"/>
    <x v="3"/>
    <x v="1"/>
    <n v="1046"/>
    <m/>
    <s v="Casa/Tanger"/>
    <n v="198.98400000000001"/>
    <x v="5"/>
    <s v="N2"/>
    <x v="1"/>
    <s v="Selon notre analyse, nous avons constaté que le train s'est connecté au cellule 233, les conditions radio étaient bonnes avant la déconnexion, La requete de deconnexion a ete envoyé par le bord sans retransmission des trames HDLC"/>
    <m/>
    <x v="2"/>
    <s v="En attente du mise en place des tirroirs filtrés + Analyse en cours des relevés DRU/JRU de la rame + Zone sous surveillance par le NOC"/>
    <s v="le train s'est connecté au cellule 233"/>
    <s v="dl Rxqual=1"/>
    <s v="dl rx level=-52"/>
    <s v="OK"/>
    <s v="NOK"/>
    <s v="Mauvais"/>
    <s v="Pas de retranssmision des trames HDLC"/>
    <m/>
    <s v="Noura MOUSSAOUI"/>
    <m/>
    <m/>
    <m/>
    <m/>
    <m/>
    <m/>
    <m/>
  </r>
  <r>
    <n v="1533"/>
    <x v="0"/>
    <x v="584"/>
    <d v="1899-12-30T21:14:56"/>
    <n v="1053"/>
    <x v="4"/>
    <x v="1"/>
    <n v="1033"/>
    <m/>
    <s v="Casa/Tanger"/>
    <n v="8.9700000000000006"/>
    <x v="2"/>
    <s v="N2"/>
    <x v="1"/>
    <s v="Selon notre analyse, nous avons constaté que le HO est complet entre 303 et 302 , les conditions radio étaient mauvais avant la déconnexion, La requete de deconnexion a ete envoyé par le RBC  avec retransmission des trames HDLC*5"/>
    <m/>
    <x v="0"/>
    <s v="En attente du mise en place des tirroirs filtrés"/>
    <s v="HO complet entre 303 et 302"/>
    <s v="dl Rxqual=0"/>
    <s v="dl rx level=-110"/>
    <s v="OK"/>
    <s v="OK"/>
    <s v="Mauvais"/>
    <s v=" Retransmission des trames HDLC*5"/>
    <m/>
    <s v="ELGUEZZAR Anas"/>
    <m/>
    <m/>
    <m/>
    <m/>
    <m/>
    <m/>
    <m/>
  </r>
  <r>
    <n v="1534"/>
    <x v="0"/>
    <x v="585"/>
    <d v="1899-12-30T20:46:08"/>
    <n v="2057"/>
    <x v="4"/>
    <x v="0"/>
    <n v="1042"/>
    <m/>
    <s v="Tanger/Casa"/>
    <n v="179.149"/>
    <x v="4"/>
    <s v="N2"/>
    <x v="0"/>
    <s v="Selon notre analyse, nous avons constaté que le HO est non complet entre 230 et 231 ,les conditions radio étaient bonnes avant la déconnexion, La requete de deconnexion a ete envoyé par le RBC suite au retransmission des trames HDLC"/>
    <m/>
    <x v="1"/>
    <s v="Zone sous surveillance par le NOC"/>
    <s v="HO Non complet entre 230 et 231"/>
    <s v="dl Rxqual=0"/>
    <s v="dl rx level=-64"/>
    <s v="OK"/>
    <s v="OK"/>
    <s v="Mauvais"/>
    <s v=" Retransmission des trames HDLC*5"/>
    <m/>
    <s v="AYMANE ASSAL"/>
    <m/>
    <m/>
    <m/>
    <m/>
    <m/>
    <m/>
    <m/>
  </r>
  <r>
    <n v="1535"/>
    <x v="0"/>
    <x v="586"/>
    <d v="1899-12-30T08:12:36"/>
    <n v="2009"/>
    <x v="3"/>
    <x v="0"/>
    <n v="1060"/>
    <m/>
    <s v="Tanger/Casa"/>
    <n v="27.568000000000001"/>
    <x v="7"/>
    <s v="N2"/>
    <x v="0"/>
    <s v="Selon notre analyse, nous avons constaté que le HO est complet entre 205 et 206 ,les conditions radio étaient bonnes avant la déconnexion, La requete de deconnexion a ete envoyé par le bord suite au retransmission des trames HDLC"/>
    <m/>
    <x v="0"/>
    <s v="En attente du mise en place des tirroirs filtrés"/>
    <s v="HO Non complet entre 205 et 206"/>
    <s v="dl Rxqual=3"/>
    <s v="dl rx level=-60"/>
    <s v="OK"/>
    <s v="OK"/>
    <s v="Mauvais"/>
    <s v=" Retransmission des trames HDLC*5"/>
    <m/>
    <s v="Noura MOUSSAOUI"/>
    <m/>
    <m/>
    <m/>
    <m/>
    <m/>
    <m/>
    <m/>
  </r>
  <r>
    <n v="1536"/>
    <x v="0"/>
    <x v="587"/>
    <d v="1899-12-30T06:47:39"/>
    <n v="1081"/>
    <x v="4"/>
    <x v="1"/>
    <n v="1032"/>
    <m/>
    <s v="Casa/Tanger"/>
    <n v="58.71"/>
    <x v="23"/>
    <s v="N2"/>
    <x v="0"/>
    <s v="Selon notre analyse, nous avons constaté que le HO est complet entre 311 et 310 ,les conditions radio étaient bonnes avant la déconnexion, La requete de deconnexion a ete envoyé par le RBC suite au retransmission des trames HDLC"/>
    <m/>
    <x v="1"/>
    <s v="Zone sous surveillance par le NOC"/>
    <s v="HO Non finaliser entre 311 et 310"/>
    <s v="dl Rxqual=1"/>
    <s v="dl rx level=-72"/>
    <s v="OK"/>
    <s v="OK"/>
    <s v="Mauvais"/>
    <s v=" Retransmission des trames HDLC*5"/>
    <m/>
    <s v="HARIRI Bahaeddine"/>
    <m/>
    <m/>
    <m/>
    <m/>
    <m/>
    <m/>
    <m/>
  </r>
  <r>
    <n v="1537"/>
    <x v="0"/>
    <x v="587"/>
    <d v="1899-12-30T12:12:56"/>
    <n v="2025"/>
    <x v="3"/>
    <x v="0"/>
    <n v="1060"/>
    <m/>
    <s v="Tanger/Casa"/>
    <n v="33.960999999999999"/>
    <x v="25"/>
    <s v="N2"/>
    <x v="0"/>
    <s v="Selon notre analyse, nous avons constaté que le HO est complet entre 206 et 207 ,les conditions radio étaient bonnes avant la déconnexion, La requete de deconnexion a ete envoyé par le bord suite au retransmission des trames HDLC"/>
    <m/>
    <x v="3"/>
    <s v="En attente de pousser les analyse coté RBC"/>
    <s v="HO  complet entre 206 et 207"/>
    <s v="dl Rxqual=3"/>
    <s v="dl rx level=-49"/>
    <s v="OK"/>
    <s v="OK"/>
    <s v="Mauvais"/>
    <s v=" Retransmission des trames HDLC*5"/>
    <m/>
    <s v="Noura MOUSSAOUI"/>
    <m/>
    <m/>
    <m/>
    <m/>
    <m/>
    <m/>
    <m/>
  </r>
  <r>
    <n v="1538"/>
    <x v="0"/>
    <x v="587"/>
    <d v="1899-12-30T12:12:58"/>
    <n v="1018"/>
    <x v="11"/>
    <x v="1"/>
    <n v="1072"/>
    <m/>
    <s v="Casa/Tanger"/>
    <n v="8.9700000000000006"/>
    <x v="2"/>
    <s v="N2"/>
    <x v="0"/>
    <s v="Selon notre analyse, nous avons constaté que le HO est complet entre 204 et 303 ,les conditions radio étaient bonnes avant la déconnexion, La requete de deconnexion a ete envoyé par le bord suite au retransmission des trames HDLC"/>
    <m/>
    <x v="3"/>
    <s v="En attente de pousser les analyse coté RBC"/>
    <s v="HO complet entre 204 et 303"/>
    <s v="dl Rxqual=0"/>
    <s v="dl rx level=-60"/>
    <s v="OK"/>
    <s v="NOK"/>
    <s v="Mauvais"/>
    <s v=" Retransmission des trames HDLC*5"/>
    <m/>
    <s v="Noura MOUSSAOUI"/>
    <m/>
    <m/>
    <m/>
    <m/>
    <m/>
    <m/>
    <m/>
  </r>
  <r>
    <n v="1539"/>
    <x v="0"/>
    <x v="587"/>
    <d v="1899-12-30T20:13:27"/>
    <n v="1049"/>
    <x v="11"/>
    <x v="1"/>
    <n v="1020"/>
    <m/>
    <s v="Casa/Tanger"/>
    <n v="7.3209999999999997"/>
    <x v="2"/>
    <s v="N2"/>
    <x v="0"/>
    <s v="Selon notre analyse, nous avons constaté que le HO est Non finaliser entre 303 et 202 ,les conditions radio étaient Mauvaises avant la déconnexion, La requete de deconnexion a ete envoyé par le bord suite au retransmission des trames HDLC"/>
    <m/>
    <x v="0"/>
    <s v="En attente du mise en place des tirroirs filtrés"/>
    <s v="Non finaliser entre 303 et 202"/>
    <s v="dl Rxqual=6"/>
    <s v="dl rx level=-61"/>
    <s v="OK"/>
    <s v="NOK"/>
    <s v="Mauvais"/>
    <s v=" Retransmission des trames HDLC*5"/>
    <m/>
    <s v="Saad Elhabib"/>
    <m/>
    <m/>
    <m/>
    <m/>
    <m/>
    <m/>
    <m/>
  </r>
  <r>
    <n v="1540"/>
    <x v="0"/>
    <x v="588"/>
    <d v="1899-12-30T07:05:31"/>
    <n v="2005"/>
    <x v="3"/>
    <x v="0"/>
    <n v="1061"/>
    <m/>
    <s v="Tanger/Casa"/>
    <n v="6.13"/>
    <x v="2"/>
    <s v="N2"/>
    <x v="0"/>
    <s v="Selon notre analyse, nous avons constaté que le HO est Complet entre 302 et 201 avec Downlink quality ,les conditions radio étaient Mauvaises avant la déconnexion, La requete de deconnexion a ete envoyé par le RBC  suite au retransmission des trames HDLC"/>
    <m/>
    <x v="0"/>
    <s v="En attente du mise en place des tirroirs filtrés"/>
    <s v="HO complet entre 302 et 201"/>
    <s v="dl Rxqual=7"/>
    <s v="dl rx level=-84"/>
    <s v="OK"/>
    <s v="OK"/>
    <s v="Mauvais"/>
    <s v=" Retransmission des trames HDLC*5"/>
    <m/>
    <s v="ELHAJOUIA Achraf"/>
    <m/>
    <m/>
    <m/>
    <m/>
    <m/>
    <m/>
    <m/>
  </r>
  <r>
    <n v="1541"/>
    <x v="0"/>
    <x v="588"/>
    <d v="1899-12-30T11:05:22"/>
    <n v="2021"/>
    <x v="0"/>
    <x v="0"/>
    <n v="1037"/>
    <m/>
    <s v="Tanger/Casa"/>
    <n v="6.13"/>
    <x v="2"/>
    <s v="N2"/>
    <x v="1"/>
    <s v="Selon notre analyse, nous avons constaté que le HO est complet entre 202 et 303 , les conditions radio étaient mauvaises avant la déconnexion, La requete de deconnexion a ete envoyé par le RBC  avec retransmission des trames HDLC*5"/>
    <m/>
    <x v="0"/>
    <s v="En attente du mise en place des tirroirs filtrés"/>
    <s v="HO complet entre 202 et 303"/>
    <s v="dl Rxqual=7"/>
    <s v="dl rx level=-69"/>
    <s v="OK"/>
    <s v="OK"/>
    <s v="Mauvais"/>
    <s v=" Retransmission des trames HDLC*5"/>
    <m/>
    <s v="ISMALI ALAOUI Hamza"/>
    <m/>
    <m/>
    <m/>
    <m/>
    <m/>
    <m/>
    <m/>
  </r>
  <r>
    <n v="1542"/>
    <x v="0"/>
    <x v="589"/>
    <d v="1899-12-30T07:26:37"/>
    <n v="2005"/>
    <x v="8"/>
    <x v="0"/>
    <n v="1042"/>
    <m/>
    <s v="Tanger/Casa"/>
    <n v="95.013999999999996"/>
    <x v="8"/>
    <s v="N2"/>
    <x v="0"/>
    <s v="Selon notre analyse, nous avons constaté que le HO est Non finalisé entre 317 et 218 , les conditions radio en UPLINK étaient Mauvaises (Le downlink était OK) avant la déconnexion, La requete de deconnexion a ete envoyé par la BTS sans retransmission des trames HDLC"/>
    <m/>
    <x v="1"/>
    <s v="Zone sous surveillance par l'équipe SOR"/>
    <s v="HO Non finaliser entre 317 et 218"/>
    <s v="dl Rxqual=0 (Ul rxqual = 7)"/>
    <s v="dl rx level=-76 (ul rx level = -87)"/>
    <s v="OK"/>
    <s v="OK"/>
    <s v="Mauvais"/>
    <s v="Pas de retranssmision des trames HDLC"/>
    <m/>
    <s v="ELHAJOUIA Achraf"/>
    <m/>
    <m/>
    <m/>
    <m/>
    <m/>
    <m/>
    <m/>
  </r>
  <r>
    <n v="1543"/>
    <x v="0"/>
    <x v="590"/>
    <d v="1899-12-30T17:05:57"/>
    <n v="2045"/>
    <x v="7"/>
    <x v="0"/>
    <n v="1055"/>
    <m/>
    <s v="Tanger/Casa"/>
    <n v="6.13"/>
    <x v="2"/>
    <s v="N2"/>
    <x v="0"/>
    <s v="Selon notre analyse, nous avons constaté que le HO est complet entre 202 et 203 , les conditions radio étaient mauvaises avant la déconnexion, La requete de deconnexion a ete envoyé par le RBC  avec retransmission des trames HDLC*5"/>
    <m/>
    <x v="0"/>
    <s v="En attente du mise en place des tirroirs filtrés"/>
    <s v="HO complet entre 202 et 203"/>
    <s v="dl Rxqual=7"/>
    <s v="dl rx level=-71"/>
    <s v="OK"/>
    <s v="OK"/>
    <s v="Mauvais"/>
    <s v=" Retransmission des trames HDLC*5"/>
    <m/>
    <s v="HAMZAOUI Youssef"/>
    <m/>
    <m/>
    <m/>
    <m/>
    <m/>
    <m/>
    <m/>
  </r>
  <r>
    <n v="1544"/>
    <x v="0"/>
    <x v="591"/>
    <d v="1899-12-30T12:05:32"/>
    <n v="2025"/>
    <x v="4"/>
    <x v="0"/>
    <n v="7208"/>
    <m/>
    <s v="Tanger/Casa"/>
    <n v="6.13"/>
    <x v="2"/>
    <s v="N2"/>
    <x v="1"/>
    <s v="Selon notre analyse, nous avons constaté que le HO est non finalisé entre 202 et 203 , les conditions radio étaient mauvaises avant la déconnexion, La requete de deconnexion a ete envoyé par le RBC  avec retransmission des trames HDLC*5"/>
    <m/>
    <x v="0"/>
    <s v="En attente du mise en place des tirroirs filtrés"/>
    <s v="HO non finalisé entre 202 et 203"/>
    <s v="dl Rxqual=5"/>
    <s v="dl rx level=-51"/>
    <s v="OK"/>
    <s v="OK"/>
    <s v="Mauvais"/>
    <s v=" Retransmission des trames HDLC*5"/>
    <m/>
    <s v="Noura MOUSSAOUI"/>
    <m/>
    <m/>
    <m/>
    <m/>
    <m/>
    <m/>
    <m/>
  </r>
  <r>
    <n v="1545"/>
    <x v="0"/>
    <x v="592"/>
    <d v="1899-12-30T19:05:09"/>
    <n v="2053"/>
    <x v="10"/>
    <x v="0"/>
    <n v="1056"/>
    <m/>
    <s v="Tanger/Casa"/>
    <n v="6.13"/>
    <x v="2"/>
    <s v="N2"/>
    <x v="0"/>
    <s v="Selon notre analyse, nous avons constaté que le HO est complet entre 202 et 203 , les conditions radio étaient mauvaises avant la déconnexion, La requete de deconnexion a ete envoyé par le RBC  avec retransmission des trames HDLC*5"/>
    <m/>
    <x v="0"/>
    <s v="En attente du mise en place des tirroirs filtrés"/>
    <s v="HO complet entre 202 et 203"/>
    <s v="dl Rxqual=7"/>
    <s v="dl rx level=-59"/>
    <s v="NOK"/>
    <s v="OK"/>
    <s v="Mauvais"/>
    <s v=" Retransmission des trames HDLC*5"/>
    <m/>
    <s v="HARIRI Bahaeddine"/>
    <m/>
    <m/>
    <m/>
    <m/>
    <m/>
    <m/>
    <m/>
  </r>
  <r>
    <n v="1546"/>
    <x v="0"/>
    <x v="593"/>
    <d v="1899-12-30T14:05:08"/>
    <n v="2033"/>
    <x v="10"/>
    <x v="0"/>
    <n v="1053"/>
    <m/>
    <s v="Tanger/Casa"/>
    <n v="6.13"/>
    <x v="2"/>
    <s v="N2"/>
    <x v="1"/>
    <s v="Selon notre analyse, nous avons constaté que le HO est Complete entre 202 et 203 , les conditions radio étaient mauvaises avant la déconnexion, La requete de deconnexion a ete envoyé par le RBC  avec retransmission des trames HDLC*5"/>
    <m/>
    <x v="0"/>
    <s v="En attente du mise en place des tirroirs filtrés"/>
    <s v="HO complet entre 202 et 203"/>
    <s v="dl Rxqual=6"/>
    <s v="dl rx level=-66"/>
    <s v="OK"/>
    <s v="OK"/>
    <s v="Mauvais"/>
    <s v=" Retransmission des trames HDLC*5"/>
    <m/>
    <s v="MAROUANI Otmane"/>
    <m/>
    <m/>
    <m/>
    <m/>
    <m/>
    <m/>
    <m/>
  </r>
  <r>
    <n v="1547"/>
    <x v="0"/>
    <x v="594"/>
    <d v="1899-12-30T12:14:51"/>
    <n v="1018"/>
    <x v="3"/>
    <x v="1"/>
    <n v="1053"/>
    <m/>
    <s v="Tanger/Casa"/>
    <n v="5.73"/>
    <x v="2"/>
    <s v="N2"/>
    <x v="0"/>
    <s v="Selon notre analyse, nous avons constaté que le HO est non Complete entre 203 et 302 , les conditions radio étaient mauvaises avant la déconnexion, La requete de deconnexion a ete envoyé par le RBC  avec retransmission des trames HDLC*5"/>
    <m/>
    <x v="0"/>
    <s v="En attente du mise en place des tirroirs filtrés"/>
    <s v="HO non finalisé entre 203 et 302"/>
    <s v="dl Rxqual=7"/>
    <s v="dl rx level=-51"/>
    <s v="NOK"/>
    <s v="OK"/>
    <s v="Mauvais"/>
    <s v=" Retransmission des trames HDLC*5"/>
    <m/>
    <s v="AYMANE ASSAL"/>
    <m/>
    <m/>
    <m/>
    <m/>
    <m/>
    <m/>
    <m/>
  </r>
  <r>
    <n v="1548"/>
    <x v="0"/>
    <x v="595"/>
    <d v="1899-12-30T07:31:36"/>
    <n v="2005"/>
    <x v="8"/>
    <x v="0"/>
    <n v="1043"/>
    <m/>
    <s v="Tanger/Casa"/>
    <n v="126.51"/>
    <x v="6"/>
    <s v="N2"/>
    <x v="0"/>
    <s v="Selon notre analyse, nous avons constaté que le HO est non finalisé entre 222 et 223, les conditions radio étaient Bonnes avant la déconnexion, La requete de deconnexion a ete envoyé par le RBC  avec retransmission des trames HDLC*5"/>
    <m/>
    <x v="1"/>
    <s v="Zone sous surveillance par l'équipe SOR"/>
    <s v="HO non finalisé entre 222 et 223"/>
    <s v="dl Rxqual=2"/>
    <s v="dl rx level=-77"/>
    <s v="NOK"/>
    <s v="OK"/>
    <s v="Mauvais"/>
    <s v=" Retransmission des trames HDLC*5"/>
    <m/>
    <s v="ELHAJOUIA Achraf"/>
    <m/>
    <m/>
    <m/>
    <m/>
    <m/>
    <m/>
    <m/>
  </r>
  <r>
    <n v="1549"/>
    <x v="0"/>
    <x v="596"/>
    <d v="1899-12-30T14:05:34"/>
    <n v="2033"/>
    <x v="8"/>
    <x v="0"/>
    <n v="1043"/>
    <m/>
    <s v="Tanger/Casa"/>
    <n v="6.13"/>
    <x v="2"/>
    <s v="N2"/>
    <x v="0"/>
    <s v="Selon notre analyse, nous avons constaté que le HO est Complete entre 202 et 203 , les conditions radio étaient mauvaises avant la déconnexion, La requete de deconnexion a ete envoyé par le RBC  avec retransmission des trames HDLC*5"/>
    <m/>
    <x v="0"/>
    <s v="En attente du mise en place des tirroirs filtrés"/>
    <s v="HO complet entre 202 et 203"/>
    <s v="dl Rxqual=7"/>
    <s v="dl rx level=-74"/>
    <s v="OK"/>
    <s v="OK"/>
    <s v="Mauvais"/>
    <s v=" Retransmission des trames HDLC*5"/>
    <m/>
    <s v="Saad Elhabib"/>
    <m/>
    <m/>
    <m/>
    <m/>
    <m/>
    <m/>
    <m/>
  </r>
  <r>
    <n v="1550"/>
    <x v="0"/>
    <x v="596"/>
    <d v="1899-12-30T17:05:24"/>
    <n v="2045"/>
    <x v="0"/>
    <x v="0"/>
    <n v="1036"/>
    <m/>
    <s v="Tanger/Casa"/>
    <n v="6.13"/>
    <x v="2"/>
    <s v="N2"/>
    <x v="1"/>
    <s v="Selon notre analyse, nous avons constaté que le HO n'est pas Complete entre 202 et 303 , les conditions radio étaient mauvaises avant la déconnexion, La requete de deconnexion a ete envoyé par le RBC  avec retransmission des trames HDLC*5"/>
    <m/>
    <x v="0"/>
    <s v="En attente du mise en place des tirroirs filtrés"/>
    <s v="HO non finalisé entre 202 et 303"/>
    <s v="dl Rxqual=6"/>
    <s v="dl rx level=-54"/>
    <s v="NOK"/>
    <s v="OK"/>
    <s v="Mauvais"/>
    <s v=" Retransmission des trames HDLC*5"/>
    <m/>
    <s v="Nassim NAJIM"/>
    <m/>
    <m/>
    <m/>
    <m/>
    <m/>
    <m/>
    <m/>
  </r>
  <r>
    <n v="1551"/>
    <x v="0"/>
    <x v="596"/>
    <d v="1899-12-30T18:13:13"/>
    <n v="1041"/>
    <x v="5"/>
    <x v="1"/>
    <n v="1026"/>
    <m/>
    <s v="Casa/Tanger"/>
    <n v="7.3209999999999997"/>
    <x v="2"/>
    <s v="N2"/>
    <x v="0"/>
    <s v="Selon notre analyse, nous avons constaté que le HO est Non finalisé entre 303 et 202 , les conditions radio étaient mauvaises avant la déconnexion, La requete de deconnexion a ete envoyé par le RBC  avec retransmission des trames HDLC*5"/>
    <m/>
    <x v="0"/>
    <s v="En attente du mise en place des tirroirs filtrés"/>
    <s v="HO non finalisé entre 303 et 202"/>
    <s v="dl Rxqual=6"/>
    <s v="dl rx level=-52"/>
    <s v="NOK"/>
    <s v="NOK"/>
    <s v="Mauvais"/>
    <s v=" Retransmission des trames HDLC*5"/>
    <m/>
    <s v="Saad Elhabib"/>
    <m/>
    <m/>
    <m/>
    <m/>
    <m/>
    <m/>
    <m/>
  </r>
  <r>
    <n v="1552"/>
    <x v="0"/>
    <x v="597"/>
    <d v="1899-12-30T09:57:48"/>
    <n v="1009"/>
    <x v="2"/>
    <x v="1"/>
    <n v="1083"/>
    <m/>
    <s v="Tanger/Casa"/>
    <n v="127.815"/>
    <x v="6"/>
    <s v="N2"/>
    <x v="0"/>
    <s v="Selon notre analyse, nous avons constaté que le HO est non finalisé entre 222 et 223, les conditions radio étaient Bonne avant la déconnexion, La requete de deconnexion a ete envoyé par le Bord  sans retransmission des trames HDLC*5"/>
    <m/>
    <x v="1"/>
    <s v="Zone sous surveillance par l'équipe SOR"/>
    <s v="HO non finalisé entre 222 et 223"/>
    <s v="dl Rxqual=6"/>
    <s v="dl rx level=-88"/>
    <s v="OK"/>
    <s v="OK"/>
    <s v="Mauvais"/>
    <s v="Pas de retranssmision des trames HDLC"/>
    <m/>
    <s v="HARIRI Bahaeddine"/>
    <m/>
    <m/>
    <m/>
    <m/>
    <m/>
    <m/>
    <m/>
  </r>
  <r>
    <n v="1553"/>
    <x v="0"/>
    <x v="598"/>
    <d v="1899-12-30T22:12:43"/>
    <n v="1057"/>
    <x v="10"/>
    <x v="1"/>
    <n v="1028"/>
    <m/>
    <s v="Tanger/Casa"/>
    <n v="7.3209999999999997"/>
    <x v="2"/>
    <s v="N2"/>
    <x v="0"/>
    <s v="Selon notre analyse, nous avons constaté que le HO est non finalisé entre 203 et 202, les conditions radio étaient Bonne avant la déconnexion, La requete de deconnexion a ete envoyé par le Bord  sans retransmission des trames HDLC*5"/>
    <m/>
    <x v="0"/>
    <s v="En attente du mise en place des tirroirs filtrés"/>
    <s v="HO non finalisé entre 203 et 202"/>
    <s v="dl Rxqual=5"/>
    <s v="dl rx level=-62"/>
    <s v="OK"/>
    <s v="OK"/>
    <s v="Mauvais"/>
    <s v="Pas de retranssmision des trames HDLC"/>
    <m/>
    <s v="AYMANE ASSAL"/>
    <m/>
    <m/>
    <m/>
    <m/>
    <m/>
    <m/>
    <m/>
  </r>
  <r>
    <n v="1554"/>
    <x v="0"/>
    <x v="599"/>
    <d v="1899-12-30T00:08:18"/>
    <n v="15665"/>
    <x v="7"/>
    <x v="1"/>
    <n v="1040"/>
    <m/>
    <s v="Casa/Tanger"/>
    <n v="202.125"/>
    <x v="5"/>
    <s v="N2"/>
    <x v="1"/>
    <s v="Selon notre analyse, nous avons constaté que le HO est complet entre 234 et 233, les conditions radio sont mauvaises  La requete de deconnexion a ete envoyé par le  RBC  avec retransmission des trames HDLC*5"/>
    <m/>
    <x v="1"/>
    <s v="Zone sous surveillance par l'équipe SOR"/>
    <s v="HO complet entre 234 et 233"/>
    <s v="dl Rxqual=7"/>
    <s v="dl rx level=-72"/>
    <s v="OK"/>
    <s v="OK"/>
    <s v="Mauvais"/>
    <s v="Retranssmision des trames HDLC*5"/>
    <m/>
    <s v="ELGUEZZAR Anas"/>
    <m/>
    <m/>
    <m/>
    <m/>
    <m/>
    <m/>
    <m/>
  </r>
  <r>
    <n v="1555"/>
    <x v="0"/>
    <x v="600"/>
    <d v="1899-12-30T04:35:16"/>
    <n v="2081"/>
    <x v="2"/>
    <x v="0"/>
    <n v="7218"/>
    <m/>
    <s v="Tanger/Casa"/>
    <n v="79.281999999999996"/>
    <x v="11"/>
    <s v="N2"/>
    <x v="1"/>
    <s v="Selon notre analyse, nous avons constaté que le HO est complet entre  214 et 215, les conditions radio sont Bonnes  La requete de deconnexion a ete envoyé par le RBC  sans retransmission des trames HDLC"/>
    <m/>
    <x v="3"/>
    <s v="En attente de pousser les analyse coté RBC"/>
    <s v="HO complet entre 214 et 215"/>
    <s v="dl Rxqual=0"/>
    <s v="dl rx level=-48"/>
    <s v="OK"/>
    <s v="OK"/>
    <s v="Mauvais"/>
    <s v="Pas de Retranssmision des trames HDLC"/>
    <m/>
    <s v="ELGUEZZAR Anas"/>
    <m/>
    <m/>
    <m/>
    <m/>
    <m/>
    <m/>
    <m/>
  </r>
  <r>
    <n v="1556"/>
    <x v="0"/>
    <x v="601"/>
    <d v="1899-12-30T19:05:24"/>
    <n v="2053"/>
    <x v="11"/>
    <x v="0"/>
    <n v="1051"/>
    <m/>
    <s v="Tanger/Casa"/>
    <n v="6.13"/>
    <x v="2"/>
    <s v="N2"/>
    <x v="0"/>
    <s v="Selon notre analyse, nous avons constaté que le HO Complet entre 302 et 302, les conditions radio étaient mauvaises avant la déconnexion, La requete de deconnexion a ete envoyé par le Bord  sans retransmission des trames HDLC*5"/>
    <m/>
    <x v="0"/>
    <s v="En attente du mise en place des tirroirs filtrés"/>
    <s v="HO Complet entre 302 et 303"/>
    <s v="dl Rxqual=6"/>
    <s v="dl rx level=-67"/>
    <s v="OK"/>
    <s v="OK"/>
    <s v="Mauvais"/>
    <s v="Retranssmision des trames HDLC*5"/>
    <m/>
    <s v="Fahd OUSSALH"/>
    <m/>
    <m/>
    <m/>
    <m/>
    <m/>
    <m/>
    <m/>
  </r>
  <r>
    <n v="1557"/>
    <x v="0"/>
    <x v="601"/>
    <d v="1899-12-30T22:13:18"/>
    <n v="1057"/>
    <x v="0"/>
    <x v="1"/>
    <n v="1044"/>
    <m/>
    <s v="Casa/Tanger"/>
    <n v="7.3209999999999997"/>
    <x v="2"/>
    <s v="N2"/>
    <x v="1"/>
    <s v="Selon notre analyse, nous avons constaté que le HO non finalisé entre 202 et 203, les conditions radio étaient mauvaises avant la déconnexion, La requete de deconnexion a ete envoyé par le  RBC  avec retransmission des trames HDLC*5"/>
    <m/>
    <x v="0"/>
    <s v="En attente du mise en place des tirroirs filtrés"/>
    <s v="HO non finalisé entre 202 et 203"/>
    <s v="dl Rxqual=6"/>
    <s v="dl rx level=-54"/>
    <s v="OK"/>
    <s v="OK"/>
    <s v="Mauvais"/>
    <s v="Retranssmision des trames HDLC*5"/>
    <m/>
    <s v="MAROUANI Otmane"/>
    <m/>
    <m/>
    <m/>
    <m/>
    <m/>
    <m/>
    <m/>
  </r>
  <r>
    <n v="1558"/>
    <x v="0"/>
    <x v="602"/>
    <d v="1899-12-30T10:05:19"/>
    <n v="2017"/>
    <x v="7"/>
    <x v="0"/>
    <n v="1055"/>
    <m/>
    <s v="Casa/Tanger"/>
    <n v="6.13"/>
    <x v="2"/>
    <s v="N2"/>
    <x v="0"/>
    <s v="Selon notre analyse, nous avons constaté que le HO non finalisé entre 202 et 303, les conditions radio étaient bonnes  avant la déconnexion, La requete de deconnexion a ete envoyé par le  RBC  avec retransmission des trames HDLC*5"/>
    <m/>
    <x v="0"/>
    <s v="En attente du mise en place des tirroirs filtrés"/>
    <s v="HO complet entre 202 et 303"/>
    <s v="dl Rxqual=2"/>
    <s v="dl rx level=-72"/>
    <s v="OK"/>
    <s v="OK"/>
    <s v="Mauvais"/>
    <s v="Retranssmision des trames HDLC*5"/>
    <m/>
    <s v="Noura MOUSSAOUI"/>
    <m/>
    <m/>
    <m/>
    <m/>
    <m/>
    <m/>
    <m/>
  </r>
  <r>
    <n v="1559"/>
    <x v="0"/>
    <x v="603"/>
    <d v="1899-12-30T07:37:24"/>
    <n v="2005"/>
    <x v="9"/>
    <x v="0"/>
    <n v="1053"/>
    <m/>
    <s v="Casa/Tanger"/>
    <n v="145.6"/>
    <x v="3"/>
    <s v="N2"/>
    <x v="0"/>
    <s v="Selon notre analyse, nous avons constaté que le HO non finalisé entre 225 et 226, les conditions radio étaient bonnes  avant la déconnexion, La requete de deconnexion a ete envoyé par le  RBC  avec retransmission des trames HDLC*5"/>
    <m/>
    <x v="1"/>
    <s v="Zone sous surveillance par l'équipe SOR"/>
    <s v="HO non finalisé entre 225 et 226"/>
    <s v="dl Rxqual=2"/>
    <s v="dl rx level=-71"/>
    <s v="NOK"/>
    <s v="OK"/>
    <s v="Mauvais"/>
    <s v="Retranssmision des trames HDLC*5"/>
    <m/>
    <s v="Saad Elhabib"/>
    <m/>
    <m/>
    <m/>
    <m/>
    <m/>
    <m/>
    <m/>
  </r>
  <r>
    <n v="1560"/>
    <x v="0"/>
    <x v="603"/>
    <d v="1899-12-30T19:38:31"/>
    <n v="2053"/>
    <x v="0"/>
    <x v="0"/>
    <n v="1036"/>
    <m/>
    <s v="Tanger/Casa"/>
    <n v="161.72200000000001"/>
    <x v="9"/>
    <s v="N2"/>
    <x v="0"/>
    <s v="Selon notre analyse, nous avons constaté que le HO non finalisé entre 228 et 227, les conditions radio étaient bonnes  avant la déconnexion, La requete de deconnexion a ete envoyé par le  RBC  avec retransmission des trames HDLC*5"/>
    <m/>
    <x v="1"/>
    <s v="Zone sous surveillance par l'équipe SOR"/>
    <s v="HO non finalisé entre 228 et 227"/>
    <s v="dl Rxqual=3"/>
    <s v="dl rx level=-60"/>
    <s v="NOK"/>
    <s v="OK"/>
    <s v="Mauvais"/>
    <s v="Retranssmision des trames HDLC*5"/>
    <m/>
    <s v="HARIRI Bahaeddine"/>
    <m/>
    <m/>
    <m/>
    <m/>
    <m/>
    <m/>
    <m/>
  </r>
  <r>
    <n v="1561"/>
    <x v="0"/>
    <x v="604"/>
    <d v="1899-12-30T18:32:36"/>
    <n v="2049"/>
    <x v="8"/>
    <x v="0"/>
    <n v="1036"/>
    <m/>
    <s v="Tanger/Casa"/>
    <n v="125.206"/>
    <x v="6"/>
    <s v="N2"/>
    <x v="0"/>
    <s v="Selon notre analyse, nous avons constaté que le HO complet entre 222 et 221, les conditions radio étaient bonnes  avant la déconnexion, La requete de deconnexion a ete envoyé par le  RBC  avec retransmission des trames HDLC*5"/>
    <m/>
    <x v="3"/>
    <s v="En attente de pousser les analyse coté RBC"/>
    <s v="HO complet entre 222 et 221"/>
    <s v="dl Rxqual=0"/>
    <s v="dl rx level=-56"/>
    <s v="OK"/>
    <s v="OK"/>
    <s v="Mauvais"/>
    <s v="Pas de Retranssmision des trames HDLC"/>
    <m/>
    <s v="HARIRI Bahaeddine"/>
    <m/>
    <m/>
    <m/>
    <m/>
    <m/>
    <m/>
    <m/>
  </r>
  <r>
    <n v="1562"/>
    <x v="0"/>
    <x v="605"/>
    <d v="1899-12-30T20:13:19"/>
    <n v="1050"/>
    <x v="7"/>
    <x v="1"/>
    <n v="1040"/>
    <m/>
    <s v="Casa/Tanger"/>
    <n v="7.3209999999999997"/>
    <x v="2"/>
    <s v="N2"/>
    <x v="0"/>
    <s v="Selon notre analyse, nous avons constaté que le HO Non finalisé entre 302 et 203 avec Downlink quality , les conditions radio étaient mauvaise  avant la déconnexion, La requete de deconnexion a ete envoyé par le  bord  Sans  retransmission des trames HDLC"/>
    <m/>
    <x v="0"/>
    <s v="En attente du mise en place des tirroirs filtrés"/>
    <s v="HO non finalisé entre 302 et 203"/>
    <s v="dl Rxqual=6"/>
    <s v="dl rx level=-53"/>
    <s v="OK"/>
    <s v="OK"/>
    <s v="Mauvais"/>
    <s v="Pas de Retranssmision des trames HDLC"/>
    <m/>
    <s v="ELHAJOUIA Achraf"/>
    <m/>
    <m/>
    <m/>
    <m/>
    <m/>
    <m/>
    <m/>
  </r>
  <r>
    <n v="1563"/>
    <x v="0"/>
    <x v="606"/>
    <d v="1899-12-30T11:05:15"/>
    <n v="2021"/>
    <x v="2"/>
    <x v="0"/>
    <n v="7281"/>
    <m/>
    <s v="Tanger/Casa"/>
    <n v="6.13"/>
    <x v="2"/>
    <s v="N2"/>
    <x v="1"/>
    <s v="Selon notre analyse, nous avons constaté que le HO complet entre 302 et 203  , les conditions radio étaient mauvaises avant la déconnexion, La requete de deconnexion a ete envoyé par le  RBC  avec  retransmission des trames HDLC*5"/>
    <m/>
    <x v="0"/>
    <s v="En attente du mise en place des tirroirs filtrés"/>
    <s v="HO complet entre 302 et 203"/>
    <s v="dl Rxqual=7"/>
    <s v="dl rx level=-67"/>
    <s v="OK"/>
    <s v="OK"/>
    <s v="Mauvais"/>
    <s v="Retranssmision des trames HDLC*5"/>
    <m/>
    <s v="ELGUEZZAR Anas"/>
    <m/>
    <m/>
    <m/>
    <m/>
    <m/>
    <m/>
    <m/>
  </r>
  <r>
    <n v="1564"/>
    <x v="0"/>
    <x v="606"/>
    <d v="1899-12-30T19:14:18"/>
    <n v="1045"/>
    <x v="3"/>
    <x v="1"/>
    <n v="1046"/>
    <m/>
    <s v="Casa/Tanger"/>
    <n v="7.13"/>
    <x v="2"/>
    <s v="N2"/>
    <x v="0"/>
    <s v="Selon notre analyse, nous avons constaté que le HO complet entre 303 et 202  , les conditions radio étaient Bonne avant la déconnexion, La requete de deconnexion a ete envoyé par le  RBC  avec  retransmission des trames HDLC*5"/>
    <m/>
    <x v="0"/>
    <s v="En attente du mise en place des tirroirs filtrés"/>
    <s v="HO complet entre 303 et 202"/>
    <s v="dl Rxqual=3"/>
    <s v="dl rx level=-50"/>
    <s v="NOK"/>
    <s v="OK"/>
    <s v="Mauvais"/>
    <s v="Retranssmision des trames HDLC*5"/>
    <m/>
    <s v="ELHAJOUIA Achraf"/>
    <m/>
    <m/>
    <m/>
    <m/>
    <m/>
    <m/>
    <m/>
  </r>
  <r>
    <n v="1565"/>
    <x v="0"/>
    <x v="607"/>
    <d v="1899-12-30T11:05:09"/>
    <n v="2021"/>
    <x v="4"/>
    <x v="0"/>
    <n v="1058"/>
    <m/>
    <s v="Tanger/Casa"/>
    <n v="4.7069999999999999"/>
    <x v="2"/>
    <s v="N2"/>
    <x v="1"/>
    <s v="Selon notre analyse, nous avons constaté que le HO non finalisé entre 303et 201, les conditions radio étaient mauvaises avant la déconnexion, La requete de deconnexion a ete envoyé par le  RBC  avec  retransmission des trames HDLC*5"/>
    <m/>
    <x v="0"/>
    <s v="En attente du mise en place des tirroirs filtrés"/>
    <s v="HO non finalisé entre 303 et 201"/>
    <s v="dl Rxqual=7"/>
    <s v="dl rx level=-70"/>
    <s v="OK"/>
    <s v="OK"/>
    <s v="Mauvais"/>
    <s v="Retranssmision des trames HDLC*5"/>
    <m/>
    <s v="MAROUANI Otmane"/>
    <m/>
    <m/>
    <m/>
    <m/>
    <m/>
    <m/>
    <m/>
  </r>
  <r>
    <n v="1566"/>
    <x v="0"/>
    <x v="608"/>
    <d v="1899-12-30T18:35:16"/>
    <n v="1045"/>
    <x v="10"/>
    <x v="1"/>
    <n v="1029"/>
    <m/>
    <s v="Tanger/Casa"/>
    <n v="185.47"/>
    <x v="19"/>
    <s v="N2"/>
    <x v="0"/>
    <s v="Selon notre analyse, nous avons constaté que le HO non finalisé entre 332 et 331, les conditions radio étaient mauvaises en uplink avant la déconnexion, La requete de deconnexion a ete envoyé par le  bord  avec  retransmission des trames HDLC*5"/>
    <m/>
    <x v="2"/>
    <s v="Zone sous surveillance par NOC"/>
    <s v="HO non finalisé entre 332 et 331"/>
    <s v="dl Rxqual=0"/>
    <s v="dl rx level=-57"/>
    <s v="NOK"/>
    <s v="OK"/>
    <s v="Mauvais"/>
    <s v="Retranssmision des trames HDLC*5"/>
    <m/>
    <s v="ELHAJOUIA Achraf"/>
    <m/>
    <m/>
    <m/>
    <m/>
    <m/>
    <m/>
    <m/>
  </r>
  <r>
    <n v="1567"/>
    <x v="0"/>
    <x v="609"/>
    <d v="1899-12-30T16:05:07"/>
    <n v="2041"/>
    <x v="1"/>
    <x v="0"/>
    <n v="7195"/>
    <m/>
    <s v="Tanger/Casa"/>
    <n v="6.13"/>
    <x v="2"/>
    <s v="N2"/>
    <x v="0"/>
    <s v="Selon notre analyse, nous avons constaté que le HO Complet entre 202 et 203 avec Downlink quality, les conditions radio étaient Mauvaise avant la déconnexion, La requete de deconnexion a ete envoyé par le RBC  avec  retransmission des trames HDLC*5"/>
    <m/>
    <x v="0"/>
    <s v="En attente du mise en place des tirroirs filtrés"/>
    <s v="HO complet entre 202 et 203"/>
    <s v="dl Rxqual=7"/>
    <s v="dl rx level=-57"/>
    <s v="OK"/>
    <s v="OK"/>
    <s v="Mauvais"/>
    <s v="Retranssmision des trames HDLC*5"/>
    <m/>
    <s v="ELHAJOUIA Achraf"/>
    <m/>
    <m/>
    <m/>
    <m/>
    <m/>
    <m/>
    <m/>
  </r>
  <r>
    <n v="1568"/>
    <x v="0"/>
    <x v="610"/>
    <d v="1899-12-30T08:05:30"/>
    <n v="2009"/>
    <x v="4"/>
    <x v="0"/>
    <n v="7208"/>
    <m/>
    <s v="Tanger/Casa"/>
    <n v="6.13"/>
    <x v="2"/>
    <s v="N2"/>
    <x v="0"/>
    <s v="Selon notre analyse, nous avons constaté que le HO non finalisé entre 202 et 203, les conditions radio étaient Mauvaise avant la déconnexion, La requete de deconnexion a ete envoyé par le RBC  avec  retransmission des trames HDLC*5"/>
    <m/>
    <x v="0"/>
    <s v="En attente du mise en place des tirroirs filtrés"/>
    <s v="HO non finalisé entre 202 et 203"/>
    <s v="dl Rxqual=6"/>
    <s v="dl rx level=-53"/>
    <s v="NOK"/>
    <s v="OK"/>
    <s v="Mauvais"/>
    <s v="Retranssmision des trames HDLC*5"/>
    <m/>
    <s v="LAGDEM Elmehdi"/>
    <m/>
    <m/>
    <m/>
    <m/>
    <m/>
    <m/>
    <m/>
  </r>
  <r>
    <n v="1569"/>
    <x v="0"/>
    <x v="611"/>
    <d v="1899-12-30T18:04:48"/>
    <n v="2049"/>
    <x v="11"/>
    <x v="0"/>
    <n v="1050"/>
    <m/>
    <s v="Tanger/Casa"/>
    <n v="6.13"/>
    <x v="2"/>
    <s v="N2"/>
    <x v="1"/>
    <s v="Selon notre analyse, nous avons constaté que le HO complet entre 202 et 203, les conditions radio étaient Mauvaise avant la déconnexion, La requete de deconnexion a ete envoyé par le RBC  avec  retransmission des trames HDLC*5"/>
    <m/>
    <x v="0"/>
    <s v="En attente du mise en place des tirroirs filtrés"/>
    <s v="HO complet entre 202 et 203"/>
    <s v="dl Rxqual=7"/>
    <s v="dl rx level=-69"/>
    <s v="OK"/>
    <s v="OK"/>
    <s v="Mauvais"/>
    <s v="Retranssmision des trames HDLC*5"/>
    <m/>
    <s v="ELGUEZZAR Anas"/>
    <m/>
    <m/>
    <m/>
    <m/>
    <m/>
    <m/>
    <m/>
  </r>
  <r>
    <n v="1570"/>
    <x v="0"/>
    <x v="612"/>
    <d v="1899-12-30T14:05:30"/>
    <n v="2033"/>
    <x v="5"/>
    <x v="0"/>
    <n v="1024"/>
    <m/>
    <s v="Tanger/Casa"/>
    <n v="6.13"/>
    <x v="2"/>
    <s v="N2"/>
    <x v="0"/>
    <s v="Selon notre analyse, nous avons constaté que le HO non finalisé entre 202 et 203, les conditions radio étaient Mauvaise avant la déconnexion, La requete de deconnexion a ete envoyé par le RBC  avec  retransmission des trames HDLC*5"/>
    <m/>
    <x v="0"/>
    <s v="En attente du mise en place des tirroirs filtrés"/>
    <s v="HO non finalisé entre 202 et 203"/>
    <s v="dl Rxqual=6"/>
    <s v="dl rx level=-52"/>
    <s v="NOK"/>
    <s v="OK"/>
    <s v="Mauvais"/>
    <s v="Retranssmision des trames HDLC*5"/>
    <m/>
    <s v="Saad Elhabib"/>
    <m/>
    <m/>
    <m/>
    <m/>
    <m/>
    <m/>
    <m/>
  </r>
  <r>
    <n v="1571"/>
    <x v="0"/>
    <x v="613"/>
    <d v="1899-12-30T19:38:12"/>
    <n v="2053"/>
    <x v="0"/>
    <x v="0"/>
    <n v="1037"/>
    <m/>
    <s v="Tanger/Casa"/>
    <n v="161.72200000000001"/>
    <x v="9"/>
    <s v="N2"/>
    <x v="0"/>
    <s v="Selon notre analyse, nous avons constaté que le HO non finalisé entre 228 et 227, les conditions radio étaient mauvaises en uplink avant la déconnexion, La requete de deconnexion a ete envoyé par le  RBC  avec retransmission des trames HDLC*5"/>
    <m/>
    <x v="2"/>
    <s v="Zone sous surveillance par NOC"/>
    <s v="HO non finalisé entre 228 et 227"/>
    <s v="dl Rxqual=0"/>
    <s v="dl rx level=-67"/>
    <s v="NOK"/>
    <s v="OK"/>
    <s v="Mauvais"/>
    <s v="Retranssmision des trames HDLC*5"/>
    <m/>
    <s v="HARIRI Bahaeddine"/>
    <m/>
    <m/>
    <m/>
    <m/>
    <m/>
    <m/>
    <m/>
  </r>
  <r>
    <n v="1572"/>
    <x v="0"/>
    <x v="614"/>
    <d v="1899-12-30T20:15:22"/>
    <n v="1049"/>
    <x v="1"/>
    <x v="1"/>
    <n v="3062"/>
    <m/>
    <s v="Casa/Tanger"/>
    <n v="8.9700000000000006"/>
    <x v="2"/>
    <s v="N2"/>
    <x v="1"/>
    <s v="Selon notre analyse, nous avons constaté que le HO complet entre 303 et 202, les conditions radio étaient Mauvaise avant la déconnexion, La requete de deconnexion a ete envoyé par le RBC  avec  retransmission des trames HDLC*5"/>
    <m/>
    <x v="0"/>
    <s v="En attente du mise en place des tirroirs filtrés"/>
    <s v="HO complet entre 303 et 202"/>
    <s v="dl Rxqual=5"/>
    <s v="dl rx level=-53"/>
    <s v="OK"/>
    <s v="OK"/>
    <s v="Mauvais"/>
    <s v="Retranssmision des trames HDLC*5"/>
    <m/>
    <s v="MAROUANI Otmane"/>
    <m/>
    <m/>
    <m/>
    <m/>
    <m/>
    <m/>
    <m/>
  </r>
  <r>
    <n v="1573"/>
    <x v="0"/>
    <x v="615"/>
    <d v="1899-12-30T16:26:56"/>
    <n v="2041"/>
    <x v="0"/>
    <x v="0"/>
    <n v="1037"/>
    <m/>
    <s v="Tanger/Casa"/>
    <n v="101.587"/>
    <x v="24"/>
    <s v="N2"/>
    <x v="0"/>
    <s v="Selon notre analyse, nous avons constaté que le HO est Non finalisé entre 219 et 218 , les conditions radio en UPLINK étaient Mauvaises (Le downlink était OK) avant la déconnexion, La requete de deconnexion a ete envoyé par la RBC avec retransmission des trames HDLC"/>
    <m/>
    <x v="0"/>
    <s v="En attente du mise en place des tirroirs filtrés"/>
    <s v="HO Non finaliser entre 219 et 218"/>
    <s v="dl Rxqual=2"/>
    <s v="dl rx level=-68"/>
    <s v="OK"/>
    <s v="OK"/>
    <s v="Mauvais"/>
    <s v="Retranssmision des trames HDLC*5"/>
    <m/>
    <s v="HARIRI Bahaeddine"/>
    <m/>
    <m/>
    <m/>
    <m/>
    <m/>
    <m/>
    <m/>
  </r>
  <r>
    <n v="1574"/>
    <x v="1"/>
    <x v="616"/>
    <d v="1899-12-30T19:05:26"/>
    <n v="2053"/>
    <x v="2"/>
    <x v="0"/>
    <n v="7217"/>
    <m/>
    <s v="Tanger/Casa"/>
    <n v="6.13"/>
    <x v="2"/>
    <s v="N2"/>
    <x v="0"/>
    <s v="Selon notre analyse, nous avons constaté que le HO non finalisé entre 202 et 203, les conditions radio étaient Mauvaise avant la déconnexion, La requete de deconnexion a ete envoyé par le RBC  avec  retransmission des trames HDLC*5"/>
    <m/>
    <x v="0"/>
    <s v="En attente du mise en place des tirroirs filtrés"/>
    <s v="HO non finalisé entre 202 et 203"/>
    <s v="dl Rxqual=7"/>
    <s v="dl rx level=-50"/>
    <s v="OK"/>
    <s v="OK"/>
    <s v="Mauvais"/>
    <s v="Retranssmision des trames HDLC*5"/>
    <m/>
    <s v="Saad Elhabib"/>
    <m/>
    <m/>
    <m/>
    <m/>
    <m/>
    <m/>
    <m/>
  </r>
  <r>
    <n v="1575"/>
    <x v="1"/>
    <x v="616"/>
    <d v="1899-12-30T23:16:13"/>
    <n v="1061"/>
    <x v="3"/>
    <x v="1"/>
    <n v="1046"/>
    <m/>
    <s v="Casa/Tanger"/>
    <n v="7.3209999999999997"/>
    <x v="2"/>
    <s v="N2"/>
    <x v="1"/>
    <s v="Selon notre analyse, nous avons constaté que le HO non finalisé entre 303 et 202, les conditions radio étaient Mauvaise avant la déconnexion, La requete de deconnexion a ete envoyé par le RBC  avec  retransmission des trames HDLC*5"/>
    <m/>
    <x v="0"/>
    <s v="En attente du mise en place des tirroirs filtrés"/>
    <s v="HO non finalisé entre 303 et 202"/>
    <s v="dl Rxqual=7"/>
    <s v="dl rx level=-61"/>
    <s v="OK"/>
    <s v="NOK"/>
    <s v="Mauvais"/>
    <s v="Retranssmision des trames HDLC*5"/>
    <m/>
    <s v="ISMALI ALAOUI Hamza"/>
    <m/>
    <m/>
    <m/>
    <m/>
    <m/>
    <m/>
    <m/>
  </r>
  <r>
    <n v="1576"/>
    <x v="1"/>
    <x v="617"/>
    <d v="1899-12-30T08:05:20"/>
    <n v="2009"/>
    <x v="11"/>
    <x v="0"/>
    <n v="1050"/>
    <m/>
    <s v="Tanger/Casa"/>
    <n v="6.13"/>
    <x v="2"/>
    <s v="N2"/>
    <x v="0"/>
    <s v="Selon notre analyse, nous avons constaté que le HO Complet entre 202 et 301, les conditions radio étaient Mauvaise avant la déconnexion, La requete de deconnexion a ete envoyé par le RBC  avec  retransmission des trames HDLC*5"/>
    <m/>
    <x v="0"/>
    <s v="En attente du mise en place des tirroirs filtrés"/>
    <s v="HO complet entre 202 et 301"/>
    <s v="dl Rxqual=7"/>
    <s v="dl rx level=-73"/>
    <s v="OK"/>
    <s v="OK"/>
    <s v="Mauvais"/>
    <s v="Retranssmision des trames HDLC*5"/>
    <m/>
    <s v="HARIRI Bahaeddine"/>
    <m/>
    <m/>
    <m/>
    <m/>
    <m/>
    <m/>
    <m/>
  </r>
  <r>
    <n v="1576"/>
    <x v="1"/>
    <x v="618"/>
    <d v="1899-12-30T07:05:09"/>
    <n v="2005"/>
    <x v="7"/>
    <x v="0"/>
    <n v="1055"/>
    <m/>
    <s v="Tanger/Casa"/>
    <n v="6.13"/>
    <x v="2"/>
    <s v="N2"/>
    <x v="0"/>
    <s v="Selon notre analyse, nous avons constaté que le HO Non finalisé  entre 202 et 203, les conditions radio étaient Mauvaise avant la déconnexion, La requete de deconnexion a ete envoyé par le RBC  avec  retransmission des trames HDLC*5"/>
    <m/>
    <x v="0"/>
    <s v="En attente du mise en place des tirroirs filtrés"/>
    <s v="HO non finalisé entre 202 et 203"/>
    <s v="dl Rxqual=7"/>
    <s v="dl rx level=-71"/>
    <s v="NOK"/>
    <s v="OK"/>
    <s v="Mauvais"/>
    <s v="Retranssmision des trames HDLC*5"/>
    <m/>
    <s v="ELHAJOUIA Achraf"/>
    <m/>
    <m/>
    <m/>
    <m/>
    <m/>
    <m/>
    <m/>
  </r>
  <r>
    <n v="1577"/>
    <x v="1"/>
    <x v="619"/>
    <d v="1899-12-30T13:13:33"/>
    <n v="1021"/>
    <x v="3"/>
    <x v="1"/>
    <n v="1046"/>
    <m/>
    <s v="Casa/Tanger"/>
    <n v="7.3209999999999997"/>
    <x v="2"/>
    <s v="N2"/>
    <x v="0"/>
    <s v="Selon notre analyse, nous avons constaté que le HO complet  entre 203 et 302, les conditions radio étaient Mauvaise avant la déconnexion, La requete de deconnexion a ete envoyé par le RBC avec retransmission des trames HDLC*5"/>
    <m/>
    <x v="0"/>
    <s v="En attente du mise en place des tirroirs filtrés"/>
    <s v="HO complet entre 203 et 302"/>
    <s v="dl Rxqual=5"/>
    <s v="dl rx level=-52"/>
    <s v="NOK"/>
    <s v="OK"/>
    <s v="Mauvais"/>
    <s v="Retranssmision des trames HDLC*5"/>
    <m/>
    <s v="Noura MOUSSAOUI"/>
    <m/>
    <m/>
    <m/>
    <m/>
    <m/>
    <m/>
    <m/>
  </r>
  <r>
    <n v="1577"/>
    <x v="1"/>
    <x v="619"/>
    <d v="1899-12-30T19:05:07"/>
    <n v="2053"/>
    <x v="9"/>
    <x v="0"/>
    <n v="1052"/>
    <m/>
    <s v="Tanger/Casa"/>
    <n v="5.93"/>
    <x v="2"/>
    <s v="N2"/>
    <x v="1"/>
    <s v="Selon notre analyse, nous avons constaté que le HO Non finalisé  entre 302 et 203, les conditions radio étaient Mauvaise avant la déconnexion, La requete de deconnexion a ete envoyé par le Bord  avec  retransmission des trames HDLC*3"/>
    <m/>
    <x v="0"/>
    <s v="En attente du mise en place des tirroirs filtrés"/>
    <s v="HO non finalisé entre 302 et 203"/>
    <s v="dl Rxqual=6"/>
    <s v="dl rx level=-54"/>
    <s v="OK"/>
    <s v="OK"/>
    <s v="Mauvais"/>
    <s v="Pas de retransmission des trames HDLC"/>
    <m/>
    <s v="Nassim NAJI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r>
    <m/>
    <x v="2"/>
    <x v="620"/>
    <m/>
    <m/>
    <x v="17"/>
    <x v="2"/>
    <m/>
    <m/>
    <m/>
    <m/>
    <x v="34"/>
    <m/>
    <x v="2"/>
    <m/>
    <m/>
    <x v="12"/>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eau croisé dynamique3" cacheId="70" applyNumberFormats="0" applyBorderFormats="0" applyFontFormats="0" applyPatternFormats="0" applyAlignmentFormats="0" applyWidthHeightFormats="1" dataCaption="Valeurs" updatedVersion="8" minRefreshableVersion="3" useAutoFormatting="1" itemPrintTitles="1" createdVersion="6" indent="0" outline="1" outlineData="1" chartFormat="27" rowHeaderCaption="Intervalle">
  <location ref="BS6:BU18" firstHeaderRow="1" firstDataRow="2" firstDataCol="1" rowPageCount="2" colPageCount="1"/>
  <pivotFields count="34">
    <pivotField showAll="0"/>
    <pivotField axis="axisPage" showAll="0">
      <items count="4">
        <item h="1" x="0"/>
        <item x="1"/>
        <item h="1" x="2"/>
        <item t="default"/>
      </items>
    </pivotField>
    <pivotField axis="axisPage" numFmtId="14" multipleItemSelectionAllowed="1" showAll="0">
      <items count="15">
        <item x="0"/>
        <item x="1"/>
        <item x="2"/>
        <item x="3"/>
        <item x="4"/>
        <item x="5"/>
        <item x="6"/>
        <item x="7"/>
        <item x="8"/>
        <item x="9"/>
        <item x="10"/>
        <item x="11"/>
        <item x="12"/>
        <item x="13"/>
        <item t="default"/>
      </items>
    </pivotField>
    <pivotField showAll="0"/>
    <pivotField showAll="0"/>
    <pivotField axis="axisRow" showAll="0">
      <items count="20">
        <item x="10"/>
        <item x="8"/>
        <item x="5"/>
        <item x="9"/>
        <item x="2"/>
        <item x="7"/>
        <item x="3"/>
        <item x="0"/>
        <item x="4"/>
        <item x="11"/>
        <item x="1"/>
        <item x="6"/>
        <item x="17"/>
        <item x="12"/>
        <item x="13"/>
        <item x="14"/>
        <item x="15"/>
        <item x="16"/>
        <item m="1" x="18"/>
        <item t="default"/>
      </items>
    </pivotField>
    <pivotField axis="axisRow" showAll="0">
      <items count="6">
        <item x="0"/>
        <item x="1"/>
        <item m="1" x="4"/>
        <item m="1" x="3"/>
        <item x="2"/>
        <item t="default"/>
      </items>
    </pivotField>
    <pivotField showAll="0"/>
    <pivotField showAll="0" defaultSubtotal="0"/>
    <pivotField showAll="0"/>
    <pivotField dataField="1" showAll="0"/>
    <pivotField axis="axisCol" showAll="0" sortType="ascending" defaultSubtotal="0">
      <items count="61">
        <item m="1" x="36"/>
        <item x="33"/>
        <item x="2"/>
        <item m="1" x="52"/>
        <item m="1" x="45"/>
        <item x="22"/>
        <item m="1" x="51"/>
        <item x="20"/>
        <item x="7"/>
        <item m="1" x="48"/>
        <item x="25"/>
        <item m="1" x="44"/>
        <item x="14"/>
        <item x="32"/>
        <item m="1" x="57"/>
        <item x="16"/>
        <item x="29"/>
        <item x="23"/>
        <item x="21"/>
        <item x="0"/>
        <item x="13"/>
        <item m="1" x="54"/>
        <item x="11"/>
        <item x="15"/>
        <item m="1" x="58"/>
        <item x="12"/>
        <item x="8"/>
        <item m="1" x="47"/>
        <item m="1" x="42"/>
        <item m="1" x="59"/>
        <item x="24"/>
        <item x="1"/>
        <item m="1" x="37"/>
        <item m="1" x="41"/>
        <item x="17"/>
        <item m="1" x="60"/>
        <item x="30"/>
        <item x="6"/>
        <item x="10"/>
        <item m="1" x="56"/>
        <item m="1" x="50"/>
        <item x="26"/>
        <item x="3"/>
        <item m="1" x="55"/>
        <item x="18"/>
        <item x="9"/>
        <item m="1" x="49"/>
        <item x="28"/>
        <item x="27"/>
        <item m="1" x="43"/>
        <item x="4"/>
        <item m="1" x="40"/>
        <item x="31"/>
        <item m="1" x="38"/>
        <item x="19"/>
        <item m="1" x="53"/>
        <item n="GSMR_34-99-33" x="5"/>
        <item m="1" x="46"/>
        <item m="1" x="39"/>
        <item m="1" x="35"/>
        <item x="34"/>
      </items>
    </pivotField>
    <pivotField showAll="0"/>
    <pivotField showAll="0"/>
    <pivotField showAll="0"/>
    <pivotField showAll="0"/>
    <pivotField showAll="0"/>
    <pivotField showAll="0"/>
    <pivotField showAl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2">
    <field x="5"/>
    <field x="6"/>
  </rowFields>
  <rowItems count="11">
    <i>
      <x v="3"/>
    </i>
    <i r="1">
      <x/>
    </i>
    <i>
      <x v="4"/>
    </i>
    <i r="1">
      <x/>
    </i>
    <i>
      <x v="5"/>
    </i>
    <i r="1">
      <x/>
    </i>
    <i>
      <x v="6"/>
    </i>
    <i r="1">
      <x v="1"/>
    </i>
    <i>
      <x v="9"/>
    </i>
    <i r="1">
      <x/>
    </i>
    <i t="grand">
      <x/>
    </i>
  </rowItems>
  <colFields count="1">
    <field x="11"/>
  </colFields>
  <colItems count="2">
    <i>
      <x v="2"/>
    </i>
    <i t="grand">
      <x/>
    </i>
  </colItems>
  <pageFields count="2">
    <pageField fld="2" hier="-1"/>
    <pageField fld="1" item="1" hier="-1"/>
  </pageFields>
  <dataFields count="1">
    <dataField name="Nombre" fld="10" subtotal="count" baseField="9" baseItem="0"/>
  </dataFields>
  <formats count="10">
    <format dxfId="216">
      <pivotArea field="11" type="button" dataOnly="0" labelOnly="1" outline="0" axis="axisCol" fieldPosition="0"/>
    </format>
    <format dxfId="217">
      <pivotArea dataOnly="0" labelOnly="1" outline="0" axis="axisValues" fieldPosition="0"/>
    </format>
    <format dxfId="218">
      <pivotArea dataOnly="0" labelOnly="1" outline="0" axis="axisValues" fieldPosition="0"/>
    </format>
    <format dxfId="219">
      <pivotArea type="all" dataOnly="0" outline="0" fieldPosition="0"/>
    </format>
    <format dxfId="220">
      <pivotArea outline="0" collapsedLevelsAreSubtotals="1" fieldPosition="0"/>
    </format>
    <format dxfId="221">
      <pivotArea field="11" type="button" dataOnly="0" labelOnly="1" outline="0" axis="axisCol" fieldPosition="0"/>
    </format>
    <format dxfId="222">
      <pivotArea dataOnly="0" labelOnly="1" outline="0" axis="axisValues" fieldPosition="0"/>
    </format>
    <format dxfId="223">
      <pivotArea dataOnly="0" labelOnly="1" fieldPosition="0">
        <references count="1">
          <reference field="11" count="0"/>
        </references>
      </pivotArea>
    </format>
    <format dxfId="224">
      <pivotArea dataOnly="0" labelOnly="1" grandRow="1" outline="0" fieldPosition="0"/>
    </format>
    <format dxfId="225">
      <pivotArea dataOnly="0" labelOnly="1" outline="0" axis="axisValues" fieldPosition="0"/>
    </format>
  </formats>
  <chartFormats count="78">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6" format="0" series="1">
      <pivotArea type="data" outline="0" fieldPosition="0">
        <references count="3">
          <reference field="4294967294" count="1" selected="0">
            <x v="0"/>
          </reference>
          <reference field="5" count="1" selected="0">
            <x v="0"/>
          </reference>
          <reference field="6" count="1" selected="0">
            <x v="0"/>
          </reference>
        </references>
      </pivotArea>
    </chartFormat>
    <chartFormat chart="26" format="1" series="1">
      <pivotArea type="data" outline="0" fieldPosition="0">
        <references count="3">
          <reference field="4294967294" count="1" selected="0">
            <x v="0"/>
          </reference>
          <reference field="5" count="1" selected="0">
            <x v="3"/>
          </reference>
          <reference field="6" count="1" selected="0">
            <x v="0"/>
          </reference>
        </references>
      </pivotArea>
    </chartFormat>
    <chartFormat chart="26" format="2" series="1">
      <pivotArea type="data" outline="0" fieldPosition="0">
        <references count="3">
          <reference field="4294967294" count="1" selected="0">
            <x v="0"/>
          </reference>
          <reference field="5" count="1" selected="0">
            <x v="3"/>
          </reference>
          <reference field="6" count="1" selected="0">
            <x v="1"/>
          </reference>
        </references>
      </pivotArea>
    </chartFormat>
    <chartFormat chart="26" format="3" series="1">
      <pivotArea type="data" outline="0" fieldPosition="0">
        <references count="3">
          <reference field="4294967294" count="1" selected="0">
            <x v="0"/>
          </reference>
          <reference field="5" count="1" selected="0">
            <x v="4"/>
          </reference>
          <reference field="6" count="1" selected="0">
            <x v="0"/>
          </reference>
        </references>
      </pivotArea>
    </chartFormat>
    <chartFormat chart="26" format="4" series="1">
      <pivotArea type="data" outline="0" fieldPosition="0">
        <references count="3">
          <reference field="4294967294" count="1" selected="0">
            <x v="0"/>
          </reference>
          <reference field="5" count="1" selected="0">
            <x v="4"/>
          </reference>
          <reference field="6" count="1" selected="0">
            <x v="1"/>
          </reference>
        </references>
      </pivotArea>
    </chartFormat>
    <chartFormat chart="26" format="5" series="1">
      <pivotArea type="data" outline="0" fieldPosition="0">
        <references count="3">
          <reference field="4294967294" count="1" selected="0">
            <x v="0"/>
          </reference>
          <reference field="5" count="1" selected="0">
            <x v="5"/>
          </reference>
          <reference field="6" count="1" selected="0">
            <x v="0"/>
          </reference>
        </references>
      </pivotArea>
    </chartFormat>
    <chartFormat chart="26" format="6" series="1">
      <pivotArea type="data" outline="0" fieldPosition="0">
        <references count="3">
          <reference field="4294967294" count="1" selected="0">
            <x v="0"/>
          </reference>
          <reference field="5" count="1" selected="0">
            <x v="6"/>
          </reference>
          <reference field="6" count="1" selected="0">
            <x v="1"/>
          </reference>
        </references>
      </pivotArea>
    </chartFormat>
    <chartFormat chart="26" format="7" series="1">
      <pivotArea type="data" outline="0" fieldPosition="0">
        <references count="3">
          <reference field="4294967294" count="1" selected="0">
            <x v="0"/>
          </reference>
          <reference field="5" count="1" selected="0">
            <x v="7"/>
          </reference>
          <reference field="6" count="1" selected="0">
            <x v="0"/>
          </reference>
        </references>
      </pivotArea>
    </chartFormat>
    <chartFormat chart="26" format="8" series="1">
      <pivotArea type="data" outline="0" fieldPosition="0">
        <references count="3">
          <reference field="4294967294" count="1" selected="0">
            <x v="0"/>
          </reference>
          <reference field="5" count="1" selected="0">
            <x v="7"/>
          </reference>
          <reference field="6" count="1" selected="0">
            <x v="1"/>
          </reference>
        </references>
      </pivotArea>
    </chartFormat>
    <chartFormat chart="26" format="9" series="1">
      <pivotArea type="data" outline="0" fieldPosition="0">
        <references count="3">
          <reference field="4294967294" count="1" selected="0">
            <x v="0"/>
          </reference>
          <reference field="5" count="1" selected="0">
            <x v="8"/>
          </reference>
          <reference field="6" count="1" selected="0">
            <x v="0"/>
          </reference>
        </references>
      </pivotArea>
    </chartFormat>
    <chartFormat chart="26" format="10" series="1">
      <pivotArea type="data" outline="0" fieldPosition="0">
        <references count="3">
          <reference field="4294967294" count="1" selected="0">
            <x v="0"/>
          </reference>
          <reference field="5" count="1" selected="0">
            <x v="8"/>
          </reference>
          <reference field="6" count="1" selected="0">
            <x v="1"/>
          </reference>
        </references>
      </pivotArea>
    </chartFormat>
    <chartFormat chart="26" format="11" series="1">
      <pivotArea type="data" outline="0" fieldPosition="0">
        <references count="3">
          <reference field="4294967294" count="1" selected="0">
            <x v="0"/>
          </reference>
          <reference field="5" count="1" selected="0">
            <x v="9"/>
          </reference>
          <reference field="6" count="1" selected="0">
            <x v="0"/>
          </reference>
        </references>
      </pivotArea>
    </chartFormat>
    <chartFormat chart="26" format="12" series="1">
      <pivotArea type="data" outline="0" fieldPosition="0">
        <references count="3">
          <reference field="4294967294" count="1" selected="0">
            <x v="0"/>
          </reference>
          <reference field="5" count="1" selected="0">
            <x v="9"/>
          </reference>
          <reference field="6" count="1" selected="0">
            <x v="1"/>
          </reference>
        </references>
      </pivotArea>
    </chartFormat>
    <chartFormat chart="26" format="13" series="1">
      <pivotArea type="data" outline="0" fieldPosition="0">
        <references count="3">
          <reference field="4294967294" count="1" selected="0">
            <x v="0"/>
          </reference>
          <reference field="5" count="1" selected="0">
            <x v="10"/>
          </reference>
          <reference field="6" count="1" selected="0">
            <x v="1"/>
          </reference>
        </references>
      </pivotArea>
    </chartFormat>
    <chartFormat chart="26" format="14" series="1">
      <pivotArea type="data" outline="0" fieldPosition="0">
        <references count="3">
          <reference field="4294967294" count="1" selected="0">
            <x v="0"/>
          </reference>
          <reference field="5" count="1" selected="0">
            <x v="10"/>
          </reference>
          <reference field="6" count="1" selected="0">
            <x v="0"/>
          </reference>
        </references>
      </pivotArea>
    </chartFormat>
    <chartFormat chart="26" format="15" series="1">
      <pivotArea type="data" outline="0" fieldPosition="0">
        <references count="3">
          <reference field="4294967294" count="1" selected="0">
            <x v="0"/>
          </reference>
          <reference field="5" count="1" selected="0">
            <x v="11"/>
          </reference>
          <reference field="6" count="1" selected="0">
            <x v="0"/>
          </reference>
        </references>
      </pivotArea>
    </chartFormat>
    <chartFormat chart="26" format="16" series="1">
      <pivotArea type="data" outline="0" fieldPosition="0">
        <references count="3">
          <reference field="4294967294" count="1" selected="0">
            <x v="0"/>
          </reference>
          <reference field="5" count="1" selected="0">
            <x v="11"/>
          </reference>
          <reference field="6" count="1" selected="0">
            <x v="1"/>
          </reference>
        </references>
      </pivotArea>
    </chartFormat>
    <chartFormat chart="26" format="23" series="1">
      <pivotArea type="data" outline="0" fieldPosition="0">
        <references count="3">
          <reference field="4294967294" count="1" selected="0">
            <x v="0"/>
          </reference>
          <reference field="5" count="1" selected="0">
            <x v="12"/>
          </reference>
          <reference field="6" count="1" selected="0">
            <x v="4"/>
          </reference>
        </references>
      </pivotArea>
    </chartFormat>
    <chartFormat chart="26" format="24" series="1">
      <pivotArea type="data" outline="0" fieldPosition="0">
        <references count="3">
          <reference field="4294967294" count="1" selected="0">
            <x v="0"/>
          </reference>
          <reference field="5" count="1" selected="0">
            <x v="0"/>
          </reference>
          <reference field="6" count="1" selected="0">
            <x v="1"/>
          </reference>
        </references>
      </pivotArea>
    </chartFormat>
    <chartFormat chart="26" format="25" series="1">
      <pivotArea type="data" outline="0" fieldPosition="0">
        <references count="3">
          <reference field="4294967294" count="1" selected="0">
            <x v="0"/>
          </reference>
          <reference field="5" count="1" selected="0">
            <x v="1"/>
          </reference>
          <reference field="6" count="1" selected="0">
            <x v="0"/>
          </reference>
        </references>
      </pivotArea>
    </chartFormat>
    <chartFormat chart="26" format="26" series="1">
      <pivotArea type="data" outline="0" fieldPosition="0">
        <references count="3">
          <reference field="4294967294" count="1" selected="0">
            <x v="0"/>
          </reference>
          <reference field="5" count="1" selected="0">
            <x v="1"/>
          </reference>
          <reference field="6" count="1" selected="0">
            <x v="1"/>
          </reference>
        </references>
      </pivotArea>
    </chartFormat>
    <chartFormat chart="26" format="27" series="1">
      <pivotArea type="data" outline="0" fieldPosition="0">
        <references count="3">
          <reference field="4294967294" count="1" selected="0">
            <x v="0"/>
          </reference>
          <reference field="5" count="1" selected="0">
            <x v="2"/>
          </reference>
          <reference field="6" count="1" selected="0">
            <x v="0"/>
          </reference>
        </references>
      </pivotArea>
    </chartFormat>
    <chartFormat chart="26" format="28" series="1">
      <pivotArea type="data" outline="0" fieldPosition="0">
        <references count="3">
          <reference field="4294967294" count="1" selected="0">
            <x v="0"/>
          </reference>
          <reference field="5" count="1" selected="0">
            <x v="2"/>
          </reference>
          <reference field="6" count="1" selected="0">
            <x v="1"/>
          </reference>
        </references>
      </pivotArea>
    </chartFormat>
    <chartFormat chart="26" format="29" series="1">
      <pivotArea type="data" outline="0" fieldPosition="0">
        <references count="3">
          <reference field="4294967294" count="1" selected="0">
            <x v="0"/>
          </reference>
          <reference field="5" count="1" selected="0">
            <x v="5"/>
          </reference>
          <reference field="6" count="1" selected="0">
            <x v="1"/>
          </reference>
        </references>
      </pivotArea>
    </chartFormat>
    <chartFormat chart="26" format="30" series="1">
      <pivotArea type="data" outline="0" fieldPosition="0">
        <references count="3">
          <reference field="4294967294" count="1" selected="0">
            <x v="0"/>
          </reference>
          <reference field="5" count="1" selected="0">
            <x v="6"/>
          </reference>
          <reference field="6" count="1" selected="0">
            <x v="0"/>
          </reference>
        </references>
      </pivotArea>
    </chartFormat>
    <chartFormat chart="26" format="31" series="1">
      <pivotArea type="data" outline="0" fieldPosition="0">
        <references count="3">
          <reference field="4294967294" count="1" selected="0">
            <x v="0"/>
          </reference>
          <reference field="6" count="1" selected="0">
            <x v="0"/>
          </reference>
          <reference field="11" count="1" selected="0">
            <x v="2"/>
          </reference>
        </references>
      </pivotArea>
    </chartFormat>
    <chartFormat chart="26" format="32" series="1">
      <pivotArea type="data" outline="0" fieldPosition="0">
        <references count="3">
          <reference field="4294967294" count="1" selected="0">
            <x v="0"/>
          </reference>
          <reference field="6" count="1" selected="0">
            <x v="0"/>
          </reference>
          <reference field="11" count="1" selected="0">
            <x v="17"/>
          </reference>
        </references>
      </pivotArea>
    </chartFormat>
    <chartFormat chart="26" format="33" series="1">
      <pivotArea type="data" outline="0" fieldPosition="0">
        <references count="3">
          <reference field="4294967294" count="1" selected="0">
            <x v="0"/>
          </reference>
          <reference field="6" count="1" selected="0">
            <x v="0"/>
          </reference>
          <reference field="11" count="1" selected="0">
            <x v="18"/>
          </reference>
        </references>
      </pivotArea>
    </chartFormat>
    <chartFormat chart="26" format="34" series="1">
      <pivotArea type="data" outline="0" fieldPosition="0">
        <references count="3">
          <reference field="4294967294" count="1" selected="0">
            <x v="0"/>
          </reference>
          <reference field="6" count="1" selected="0">
            <x v="0"/>
          </reference>
          <reference field="11" count="1" selected="0">
            <x v="31"/>
          </reference>
        </references>
      </pivotArea>
    </chartFormat>
    <chartFormat chart="26" format="35" series="1">
      <pivotArea type="data" outline="0" fieldPosition="0">
        <references count="3">
          <reference field="4294967294" count="1" selected="0">
            <x v="0"/>
          </reference>
          <reference field="6" count="1" selected="0">
            <x v="0"/>
          </reference>
          <reference field="11" count="1" selected="0">
            <x v="34"/>
          </reference>
        </references>
      </pivotArea>
    </chartFormat>
    <chartFormat chart="26" format="36" series="1">
      <pivotArea type="data" outline="0" fieldPosition="0">
        <references count="3">
          <reference field="4294967294" count="1" selected="0">
            <x v="0"/>
          </reference>
          <reference field="6" count="1" selected="0">
            <x v="0"/>
          </reference>
          <reference field="11" count="1" selected="0">
            <x v="44"/>
          </reference>
        </references>
      </pivotArea>
    </chartFormat>
    <chartFormat chart="26" format="37" series="1">
      <pivotArea type="data" outline="0" fieldPosition="0">
        <references count="3">
          <reference field="4294967294" count="1" selected="0">
            <x v="0"/>
          </reference>
          <reference field="6" count="1" selected="0">
            <x v="1"/>
          </reference>
          <reference field="11" count="1" selected="0">
            <x v="2"/>
          </reference>
        </references>
      </pivotArea>
    </chartFormat>
    <chartFormat chart="26" format="38" series="1">
      <pivotArea type="data" outline="0" fieldPosition="0">
        <references count="3">
          <reference field="4294967294" count="1" selected="0">
            <x v="0"/>
          </reference>
          <reference field="6" count="1" selected="0">
            <x v="1"/>
          </reference>
          <reference field="11" count="1" selected="0">
            <x v="16"/>
          </reference>
        </references>
      </pivotArea>
    </chartFormat>
    <chartFormat chart="26" format="39" series="1">
      <pivotArea type="data" outline="0" fieldPosition="0">
        <references count="3">
          <reference field="4294967294" count="1" selected="0">
            <x v="0"/>
          </reference>
          <reference field="6" count="1" selected="0">
            <x v="1"/>
          </reference>
          <reference field="11" count="1" selected="0">
            <x v="30"/>
          </reference>
        </references>
      </pivotArea>
    </chartFormat>
    <chartFormat chart="26" format="40" series="1">
      <pivotArea type="data" outline="0" fieldPosition="0">
        <references count="3">
          <reference field="4294967294" count="1" selected="0">
            <x v="0"/>
          </reference>
          <reference field="6" count="1" selected="0">
            <x v="1"/>
          </reference>
          <reference field="11" count="1" selected="0">
            <x v="42"/>
          </reference>
        </references>
      </pivotArea>
    </chartFormat>
    <chartFormat chart="26" format="41" series="1">
      <pivotArea type="data" outline="0" fieldPosition="0">
        <references count="3">
          <reference field="4294967294" count="1" selected="0">
            <x v="0"/>
          </reference>
          <reference field="6" count="1" selected="0">
            <x v="1"/>
          </reference>
          <reference field="11" count="1" selected="0">
            <x v="50"/>
          </reference>
        </references>
      </pivotArea>
    </chartFormat>
    <chartFormat chart="26" format="42" series="1">
      <pivotArea type="data" outline="0" fieldPosition="0">
        <references count="3">
          <reference field="4294967294" count="1" selected="0">
            <x v="0"/>
          </reference>
          <reference field="6" count="1" selected="0">
            <x v="1"/>
          </reference>
          <reference field="11" count="1" selected="0">
            <x v="56"/>
          </reference>
        </references>
      </pivotArea>
    </chartFormat>
    <chartFormat chart="26" format="43" series="1">
      <pivotArea type="data" outline="0" fieldPosition="0">
        <references count="2">
          <reference field="4294967294" count="1" selected="0">
            <x v="0"/>
          </reference>
          <reference field="11" count="1" selected="0">
            <x v="2"/>
          </reference>
        </references>
      </pivotArea>
    </chartFormat>
    <chartFormat chart="26" format="44" series="1">
      <pivotArea type="data" outline="0" fieldPosition="0">
        <references count="2">
          <reference field="4294967294" count="1" selected="0">
            <x v="0"/>
          </reference>
          <reference field="11" count="1" selected="0">
            <x v="16"/>
          </reference>
        </references>
      </pivotArea>
    </chartFormat>
    <chartFormat chart="26" format="45" series="1">
      <pivotArea type="data" outline="0" fieldPosition="0">
        <references count="2">
          <reference field="4294967294" count="1" selected="0">
            <x v="0"/>
          </reference>
          <reference field="11" count="1" selected="0">
            <x v="17"/>
          </reference>
        </references>
      </pivotArea>
    </chartFormat>
    <chartFormat chart="26" format="46" series="1">
      <pivotArea type="data" outline="0" fieldPosition="0">
        <references count="2">
          <reference field="4294967294" count="1" selected="0">
            <x v="0"/>
          </reference>
          <reference field="11" count="1" selected="0">
            <x v="18"/>
          </reference>
        </references>
      </pivotArea>
    </chartFormat>
    <chartFormat chart="26" format="47" series="1">
      <pivotArea type="data" outline="0" fieldPosition="0">
        <references count="2">
          <reference field="4294967294" count="1" selected="0">
            <x v="0"/>
          </reference>
          <reference field="11" count="1" selected="0">
            <x v="30"/>
          </reference>
        </references>
      </pivotArea>
    </chartFormat>
    <chartFormat chart="26" format="48" series="1">
      <pivotArea type="data" outline="0" fieldPosition="0">
        <references count="2">
          <reference field="4294967294" count="1" selected="0">
            <x v="0"/>
          </reference>
          <reference field="11" count="1" selected="0">
            <x v="31"/>
          </reference>
        </references>
      </pivotArea>
    </chartFormat>
    <chartFormat chart="26" format="49" series="1">
      <pivotArea type="data" outline="0" fieldPosition="0">
        <references count="2">
          <reference field="4294967294" count="1" selected="0">
            <x v="0"/>
          </reference>
          <reference field="11" count="1" selected="0">
            <x v="34"/>
          </reference>
        </references>
      </pivotArea>
    </chartFormat>
    <chartFormat chart="26" format="50" series="1">
      <pivotArea type="data" outline="0" fieldPosition="0">
        <references count="2">
          <reference field="4294967294" count="1" selected="0">
            <x v="0"/>
          </reference>
          <reference field="11" count="1" selected="0">
            <x v="42"/>
          </reference>
        </references>
      </pivotArea>
    </chartFormat>
    <chartFormat chart="26" format="51" series="1">
      <pivotArea type="data" outline="0" fieldPosition="0">
        <references count="2">
          <reference field="4294967294" count="1" selected="0">
            <x v="0"/>
          </reference>
          <reference field="11" count="1" selected="0">
            <x v="44"/>
          </reference>
        </references>
      </pivotArea>
    </chartFormat>
    <chartFormat chart="26" format="52" series="1">
      <pivotArea type="data" outline="0" fieldPosition="0">
        <references count="2">
          <reference field="4294967294" count="1" selected="0">
            <x v="0"/>
          </reference>
          <reference field="11" count="1" selected="0">
            <x v="50"/>
          </reference>
        </references>
      </pivotArea>
    </chartFormat>
    <chartFormat chart="26" format="53" series="1">
      <pivotArea type="data" outline="0" fieldPosition="0">
        <references count="2">
          <reference field="4294967294" count="1" selected="0">
            <x v="0"/>
          </reference>
          <reference field="11" count="1" selected="0">
            <x v="56"/>
          </reference>
        </references>
      </pivotArea>
    </chartFormat>
    <chartFormat chart="26" format="54" series="1">
      <pivotArea type="data" outline="0" fieldPosition="0">
        <references count="2">
          <reference field="4294967294" count="1" selected="0">
            <x v="0"/>
          </reference>
          <reference field="11" count="1" selected="0">
            <x v="5"/>
          </reference>
        </references>
      </pivotArea>
    </chartFormat>
    <chartFormat chart="26" format="55" series="1">
      <pivotArea type="data" outline="0" fieldPosition="0">
        <references count="2">
          <reference field="4294967294" count="1" selected="0">
            <x v="0"/>
          </reference>
          <reference field="11" count="1" selected="0">
            <x v="8"/>
          </reference>
        </references>
      </pivotArea>
    </chartFormat>
    <chartFormat chart="26" format="56" series="1">
      <pivotArea type="data" outline="0" fieldPosition="0">
        <references count="2">
          <reference field="4294967294" count="1" selected="0">
            <x v="0"/>
          </reference>
          <reference field="11" count="1" selected="0">
            <x v="10"/>
          </reference>
        </references>
      </pivotArea>
    </chartFormat>
    <chartFormat chart="26" format="57" series="1">
      <pivotArea type="data" outline="0" fieldPosition="0">
        <references count="2">
          <reference field="4294967294" count="1" selected="0">
            <x v="0"/>
          </reference>
          <reference field="11" count="1" selected="0">
            <x v="12"/>
          </reference>
        </references>
      </pivotArea>
    </chartFormat>
    <chartFormat chart="26" format="58" series="1">
      <pivotArea type="data" outline="0" fieldPosition="0">
        <references count="2">
          <reference field="4294967294" count="1" selected="0">
            <x v="0"/>
          </reference>
          <reference field="11" count="1" selected="0">
            <x v="25"/>
          </reference>
        </references>
      </pivotArea>
    </chartFormat>
    <chartFormat chart="26" format="59" series="1">
      <pivotArea type="data" outline="0" fieldPosition="0">
        <references count="2">
          <reference field="4294967294" count="1" selected="0">
            <x v="0"/>
          </reference>
          <reference field="11" count="1" selected="0">
            <x v="26"/>
          </reference>
        </references>
      </pivotArea>
    </chartFormat>
    <chartFormat chart="26" format="60" series="1">
      <pivotArea type="data" outline="0" fieldPosition="0">
        <references count="2">
          <reference field="4294967294" count="1" selected="0">
            <x v="0"/>
          </reference>
          <reference field="11" count="1" selected="0">
            <x v="41"/>
          </reference>
        </references>
      </pivotArea>
    </chartFormat>
    <chartFormat chart="26" format="61" series="1">
      <pivotArea type="data" outline="0" fieldPosition="0">
        <references count="2">
          <reference field="4294967294" count="1" selected="0">
            <x v="0"/>
          </reference>
          <reference field="11" count="1" selected="0">
            <x v="54"/>
          </reference>
        </references>
      </pivotArea>
    </chartFormat>
    <chartFormat chart="26" format="62" series="1">
      <pivotArea type="data" outline="0" fieldPosition="0">
        <references count="2">
          <reference field="4294967294" count="1" selected="0">
            <x v="0"/>
          </reference>
          <reference field="11" count="1" selected="0">
            <x v="45"/>
          </reference>
        </references>
      </pivotArea>
    </chartFormat>
    <chartFormat chart="26" format="63" series="1">
      <pivotArea type="data" outline="0" fieldPosition="0">
        <references count="2">
          <reference field="4294967294" count="1" selected="0">
            <x v="0"/>
          </reference>
          <reference field="11" count="1" selected="0">
            <x v="7"/>
          </reference>
        </references>
      </pivotArea>
    </chartFormat>
    <chartFormat chart="26" format="64" series="1">
      <pivotArea type="data" outline="0" fieldPosition="0">
        <references count="2">
          <reference field="4294967294" count="1" selected="0">
            <x v="0"/>
          </reference>
          <reference field="11" count="1" selected="0">
            <x v="20"/>
          </reference>
        </references>
      </pivotArea>
    </chartFormat>
    <chartFormat chart="26" format="65" series="1">
      <pivotArea type="data" outline="0" fieldPosition="0">
        <references count="2">
          <reference field="4294967294" count="1" selected="0">
            <x v="0"/>
          </reference>
          <reference field="11" count="1" selected="0">
            <x v="23"/>
          </reference>
        </references>
      </pivotArea>
    </chartFormat>
    <chartFormat chart="26" format="66" series="1">
      <pivotArea type="data" outline="0" fieldPosition="0">
        <references count="2">
          <reference field="4294967294" count="1" selected="0">
            <x v="0"/>
          </reference>
          <reference field="11" count="1" selected="0">
            <x v="38"/>
          </reference>
        </references>
      </pivotArea>
    </chartFormat>
    <chartFormat chart="26" format="67" series="1">
      <pivotArea type="data" outline="0" fieldPosition="0">
        <references count="2">
          <reference field="4294967294" count="1" selected="0">
            <x v="0"/>
          </reference>
          <reference field="11" count="1" selected="0">
            <x v="15"/>
          </reference>
        </references>
      </pivotArea>
    </chartFormat>
    <chartFormat chart="26" format="68" series="1">
      <pivotArea type="data" outline="0" fieldPosition="0">
        <references count="2">
          <reference field="4294967294" count="1" selected="0">
            <x v="0"/>
          </reference>
          <reference field="11" count="1" selected="0">
            <x v="22"/>
          </reference>
        </references>
      </pivotArea>
    </chartFormat>
    <chartFormat chart="26" format="69" series="1">
      <pivotArea type="data" outline="0" fieldPosition="0">
        <references count="2">
          <reference field="4294967294" count="1" selected="0">
            <x v="0"/>
          </reference>
          <reference field="11" count="1" selected="0">
            <x v="36"/>
          </reference>
        </references>
      </pivotArea>
    </chartFormat>
    <chartFormat chart="26" format="70" series="1">
      <pivotArea type="data" outline="0" fieldPosition="0">
        <references count="2">
          <reference field="4294967294" count="1" selected="0">
            <x v="0"/>
          </reference>
          <reference field="11" count="1" selected="0">
            <x v="13"/>
          </reference>
        </references>
      </pivotArea>
    </chartFormat>
    <chartFormat chart="26" format="71" series="1">
      <pivotArea type="data" outline="0" fieldPosition="0">
        <references count="2">
          <reference field="4294967294" count="1" selected="0">
            <x v="0"/>
          </reference>
          <reference field="11" count="1" selected="0">
            <x v="19"/>
          </reference>
        </references>
      </pivotArea>
    </chartFormat>
    <chartFormat chart="26" format="72" series="1">
      <pivotArea type="data" outline="0" fieldPosition="0">
        <references count="2">
          <reference field="4294967294" count="1" selected="0">
            <x v="0"/>
          </reference>
          <reference field="11" count="1" selected="0">
            <x v="52"/>
          </reference>
        </references>
      </pivotArea>
    </chartFormat>
    <chartFormat chart="26" format="73" series="1">
      <pivotArea type="data" outline="0" fieldPosition="0">
        <references count="2">
          <reference field="4294967294" count="1" selected="0">
            <x v="0"/>
          </reference>
          <reference field="11" count="1" selected="0">
            <x v="37"/>
          </reference>
        </references>
      </pivotArea>
    </chartFormat>
    <chartFormat chart="26" format="74" series="1">
      <pivotArea type="data" outline="0" fieldPosition="0">
        <references count="2">
          <reference field="4294967294" count="1" selected="0">
            <x v="0"/>
          </reference>
          <reference field="11" count="1" selected="0">
            <x v="48"/>
          </reference>
        </references>
      </pivotArea>
    </chartFormat>
    <chartFormat chart="26" format="77" series="1">
      <pivotArea type="data" outline="0" fieldPosition="0">
        <references count="2">
          <reference field="4294967294" count="1" selected="0">
            <x v="0"/>
          </reference>
          <reference field="11" count="1" selected="0">
            <x v="1"/>
          </reference>
        </references>
      </pivotArea>
    </chartFormat>
    <chartFormat chart="26" format="78" series="1">
      <pivotArea type="data" outline="0" fieldPosition="0">
        <references count="2">
          <reference field="4294967294" count="1" selected="0">
            <x v="0"/>
          </reference>
          <reference field="11" count="1" selected="0">
            <x v="47"/>
          </reference>
        </references>
      </pivotArea>
    </chartFormat>
    <chartFormat chart="26" format="79" series="1">
      <pivotArea type="data" outline="0" fieldPosition="0">
        <references count="2">
          <reference field="4294967294" count="1" selected="0">
            <x v="0"/>
          </reference>
          <reference field="11" count="1" selected="0">
            <x v="59"/>
          </reference>
        </references>
      </pivotArea>
    </chartFormat>
    <chartFormat chart="26" format="80" series="1">
      <pivotArea type="data" outline="0" fieldPosition="0">
        <references count="2">
          <reference field="4294967294" count="1" selected="0">
            <x v="0"/>
          </reference>
          <reference field="11" count="1" selected="0">
            <x v="6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Tableau croisé dynamique4" cacheId="70" applyNumberFormats="0" applyBorderFormats="0" applyFontFormats="0" applyPatternFormats="0" applyAlignmentFormats="0" applyWidthHeightFormats="1" dataCaption="Valeurs" updatedVersion="8" minRefreshableVersion="3" useAutoFormatting="1" itemPrintTitles="1" createdVersion="6" indent="0" outline="1" outlineData="1" multipleFieldFilters="0" chartFormat="51" rowHeaderCaption="Sous-Système" colHeaderCaption="Sous système mis encause">
  <location ref="G4:H6" firstHeaderRow="1" firstDataRow="1" firstDataCol="1" rowPageCount="2" colPageCount="1"/>
  <pivotFields count="34">
    <pivotField showAll="0"/>
    <pivotField axis="axisPage" multipleItemSelectionAllowed="1" showAll="0">
      <items count="4">
        <item h="1" x="0"/>
        <item x="1"/>
        <item h="1" x="2"/>
        <item t="default"/>
      </items>
    </pivotField>
    <pivotField axis="axisPage" multipleItemSelectionAllowed="1" showAll="0" defaultSubtotal="0">
      <items count="14">
        <item x="0"/>
        <item x="1"/>
        <item x="2"/>
        <item x="3"/>
        <item x="4"/>
        <item x="5"/>
        <item x="6"/>
        <item x="7"/>
        <item x="8"/>
        <item x="9"/>
        <item x="10"/>
        <item x="11"/>
        <item x="12"/>
        <item x="13"/>
      </items>
    </pivotField>
    <pivotField showAll="0" defaultSubtotal="0"/>
    <pivotField showAll="0"/>
    <pivotField showAll="0"/>
    <pivotField showAll="0"/>
    <pivotField showAll="0"/>
    <pivotField showAll="0" defaultSubtotal="0"/>
    <pivotField showAll="0"/>
    <pivotField dataField="1" showAll="0"/>
    <pivotField showAll="0" defaultSubtotal="0"/>
    <pivotField showAll="0"/>
    <pivotField showAll="0"/>
    <pivotField showAll="0"/>
    <pivotField showAll="0"/>
    <pivotField axis="axisRow" showAll="0">
      <items count="31">
        <item x="0"/>
        <item m="1" x="20"/>
        <item x="3"/>
        <item x="12"/>
        <item x="2"/>
        <item x="8"/>
        <item x="9"/>
        <item m="1" x="23"/>
        <item m="1" x="13"/>
        <item m="1" x="16"/>
        <item m="1" x="17"/>
        <item x="1"/>
        <item x="6"/>
        <item m="1" x="29"/>
        <item m="1" x="28"/>
        <item m="1" x="18"/>
        <item x="5"/>
        <item m="1" x="19"/>
        <item m="1" x="22"/>
        <item x="7"/>
        <item m="1" x="21"/>
        <item x="4"/>
        <item m="1" x="15"/>
        <item m="1" x="24"/>
        <item m="1" x="25"/>
        <item m="1" x="26"/>
        <item m="1" x="27"/>
        <item m="1" x="14"/>
        <item x="10"/>
        <item x="11"/>
        <item t="default"/>
      </items>
    </pivotField>
    <pivotField showAll="0"/>
    <pivotField showAl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16"/>
  </rowFields>
  <rowItems count="2">
    <i>
      <x/>
    </i>
    <i t="grand">
      <x/>
    </i>
  </rowItems>
  <colItems count="1">
    <i/>
  </colItems>
  <pageFields count="2">
    <pageField fld="2" hier="-1"/>
    <pageField fld="1" hier="-1"/>
  </pageFields>
  <dataFields count="1">
    <dataField name="Nb dcnx" fld="10" subtotal="count" baseField="13" baseItem="2"/>
  </dataFields>
  <formats count="26">
    <format dxfId="190">
      <pivotArea dataOnly="0" labelOnly="1" grandCol="1" outline="0" fieldPosition="0"/>
    </format>
    <format dxfId="191">
      <pivotArea dataOnly="0" labelOnly="1" grandCol="1" outline="0" fieldPosition="0"/>
    </format>
    <format dxfId="192">
      <pivotArea dataOnly="0" labelOnly="1" grandCol="1" outline="0" fieldPosition="0"/>
    </format>
    <format dxfId="193">
      <pivotArea dataOnly="0" labelOnly="1" grandCol="1" outline="0" fieldPosition="0"/>
    </format>
    <format dxfId="194">
      <pivotArea field="16" type="button" dataOnly="0" labelOnly="1" outline="0" axis="axisRow" fieldPosition="0"/>
    </format>
    <format dxfId="195">
      <pivotArea type="topRight" dataOnly="0" labelOnly="1" outline="0" fieldPosition="0"/>
    </format>
    <format dxfId="196">
      <pivotArea field="16" type="button" dataOnly="0" labelOnly="1" outline="0" axis="axisRow" fieldPosition="0"/>
    </format>
    <format dxfId="197">
      <pivotArea field="16" type="button" dataOnly="0" labelOnly="1" outline="0" axis="axisRow" fieldPosition="0"/>
    </format>
    <format dxfId="198">
      <pivotArea field="16" type="button" dataOnly="0" labelOnly="1" outline="0" axis="axisRow" fieldPosition="0"/>
    </format>
    <format dxfId="199">
      <pivotArea type="all" dataOnly="0" outline="0" fieldPosition="0"/>
    </format>
    <format dxfId="200">
      <pivotArea field="16" type="button" dataOnly="0" labelOnly="1" outline="0" axis="axisRow" fieldPosition="0"/>
    </format>
    <format dxfId="201">
      <pivotArea dataOnly="0" labelOnly="1" outline="0" axis="axisValues" fieldPosition="0"/>
    </format>
    <format dxfId="202">
      <pivotArea dataOnly="0" labelOnly="1" outline="0" axis="axisValues" fieldPosition="0"/>
    </format>
    <format dxfId="203">
      <pivotArea dataOnly="0" labelOnly="1" outline="0" axis="axisValues" fieldPosition="0"/>
    </format>
    <format dxfId="204">
      <pivotArea dataOnly="0" labelOnly="1" outline="0" axis="axisValues" fieldPosition="0"/>
    </format>
    <format dxfId="205">
      <pivotArea dataOnly="0" labelOnly="1" outline="0" axis="axisValues" fieldPosition="0"/>
    </format>
    <format dxfId="206">
      <pivotArea dataOnly="0" labelOnly="1" outline="0" axis="axisValues" fieldPosition="0"/>
    </format>
    <format dxfId="207">
      <pivotArea dataOnly="0" labelOnly="1" outline="0" axis="axisValues" fieldPosition="0"/>
    </format>
    <format dxfId="208">
      <pivotArea dataOnly="0" labelOnly="1" outline="0" axis="axisValues" fieldPosition="0"/>
    </format>
    <format dxfId="209">
      <pivotArea field="16" type="button" dataOnly="0" labelOnly="1" outline="0" axis="axisRow" fieldPosition="0"/>
    </format>
    <format dxfId="210">
      <pivotArea field="16" type="button" dataOnly="0" labelOnly="1" outline="0" axis="axisRow" fieldPosition="0"/>
    </format>
    <format dxfId="211">
      <pivotArea field="16" type="button" dataOnly="0" labelOnly="1" outline="0" axis="axisRow" fieldPosition="0"/>
    </format>
    <format dxfId="212">
      <pivotArea field="16" type="button" dataOnly="0" labelOnly="1" outline="0" axis="axisRow" fieldPosition="0"/>
    </format>
    <format dxfId="213">
      <pivotArea dataOnly="0" labelOnly="1" outline="0" fieldPosition="0">
        <references count="1">
          <reference field="4294967294" count="1">
            <x v="0"/>
          </reference>
        </references>
      </pivotArea>
    </format>
    <format dxfId="214">
      <pivotArea field="16" type="button" dataOnly="0" labelOnly="1" outline="0" axis="axisRow" fieldPosition="0"/>
    </format>
    <format dxfId="215">
      <pivotArea dataOnly="0" labelOnly="1" outline="0" fieldPosition="0">
        <references count="1">
          <reference field="4294967294" count="1">
            <x v="0"/>
          </reference>
        </references>
      </pivotArea>
    </format>
  </formats>
  <chartFormats count="24">
    <chartFormat chart="2"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3"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Tableau croisé dynamique2" cacheId="70" applyNumberFormats="0" applyBorderFormats="0" applyFontFormats="0" applyPatternFormats="0" applyAlignmentFormats="0" applyWidthHeightFormats="1" dataCaption="Valeurs" updatedVersion="8" minRefreshableVersion="3" useAutoFormatting="1" itemPrintTitles="1" createdVersion="6" indent="0" outline="1" outlineData="1" chartFormat="26" rowHeaderCaption="Intervalle">
  <location ref="AR6:AT9" firstHeaderRow="1" firstDataRow="2" firstDataCol="1" rowPageCount="1" colPageCount="1"/>
  <pivotFields count="34">
    <pivotField showAll="0"/>
    <pivotField axis="axisPage" showAll="0">
      <items count="4">
        <item x="0"/>
        <item x="1"/>
        <item x="2"/>
        <item t="default"/>
      </items>
    </pivotField>
    <pivotField numFmtId="14" multipleItemSelectionAllowed="1" showAll="0"/>
    <pivotField showAll="0"/>
    <pivotField showAll="0"/>
    <pivotField showAll="0"/>
    <pivotField showAll="0"/>
    <pivotField showAll="0"/>
    <pivotField showAll="0" defaultSubtotal="0"/>
    <pivotField showAll="0"/>
    <pivotField dataField="1" showAll="0"/>
    <pivotField axis="axisRow" showAll="0" sortType="ascending" defaultSubtotal="0">
      <items count="61">
        <item m="1" x="36"/>
        <item x="33"/>
        <item x="2"/>
        <item m="1" x="52"/>
        <item m="1" x="45"/>
        <item x="22"/>
        <item m="1" x="51"/>
        <item x="20"/>
        <item x="7"/>
        <item m="1" x="48"/>
        <item x="25"/>
        <item m="1" x="44"/>
        <item x="14"/>
        <item x="32"/>
        <item m="1" x="57"/>
        <item x="16"/>
        <item x="29"/>
        <item x="23"/>
        <item x="21"/>
        <item x="0"/>
        <item x="13"/>
        <item m="1" x="54"/>
        <item x="11"/>
        <item x="15"/>
        <item m="1" x="58"/>
        <item x="12"/>
        <item x="8"/>
        <item m="1" x="47"/>
        <item m="1" x="42"/>
        <item m="1" x="59"/>
        <item x="24"/>
        <item x="1"/>
        <item m="1" x="37"/>
        <item m="1" x="41"/>
        <item x="17"/>
        <item m="1" x="60"/>
        <item x="30"/>
        <item x="6"/>
        <item x="10"/>
        <item m="1" x="56"/>
        <item m="1" x="50"/>
        <item x="26"/>
        <item x="3"/>
        <item m="1" x="55"/>
        <item x="18"/>
        <item x="9"/>
        <item m="1" x="49"/>
        <item x="28"/>
        <item x="27"/>
        <item m="1" x="43"/>
        <item x="4"/>
        <item m="1" x="40"/>
        <item x="31"/>
        <item m="1" x="38"/>
        <item x="19"/>
        <item m="1" x="53"/>
        <item n="GSMR_34-99-33" x="5"/>
        <item m="1" x="46"/>
        <item m="1" x="39"/>
        <item m="1" x="35"/>
        <item x="34"/>
      </items>
    </pivotField>
    <pivotField showAll="0"/>
    <pivotField showAll="0"/>
    <pivotField showAll="0"/>
    <pivotField showAll="0"/>
    <pivotField axis="axisCol" showAll="0">
      <items count="31">
        <item m="1" x="17"/>
        <item m="1" x="18"/>
        <item m="1" x="22"/>
        <item x="0"/>
        <item x="2"/>
        <item m="1" x="19"/>
        <item x="9"/>
        <item x="1"/>
        <item m="1" x="20"/>
        <item x="8"/>
        <item m="1" x="28"/>
        <item m="1" x="16"/>
        <item m="1" x="29"/>
        <item m="1" x="13"/>
        <item x="5"/>
        <item x="3"/>
        <item x="6"/>
        <item m="1" x="23"/>
        <item x="12"/>
        <item x="7"/>
        <item m="1" x="21"/>
        <item x="4"/>
        <item m="1" x="15"/>
        <item m="1" x="24"/>
        <item m="1" x="25"/>
        <item m="1" x="26"/>
        <item m="1" x="27"/>
        <item m="1" x="14"/>
        <item x="10"/>
        <item x="11"/>
        <item t="default"/>
      </items>
    </pivotField>
    <pivotField showAll="0"/>
    <pivotField showAl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11"/>
  </rowFields>
  <rowItems count="2">
    <i>
      <x v="2"/>
    </i>
    <i t="grand">
      <x/>
    </i>
  </rowItems>
  <colFields count="1">
    <field x="16"/>
  </colFields>
  <colItems count="2">
    <i>
      <x v="3"/>
    </i>
    <i t="grand">
      <x/>
    </i>
  </colItems>
  <pageFields count="1">
    <pageField fld="1" item="1" hier="-1"/>
  </pageFields>
  <dataFields count="1">
    <dataField name="Nombre" fld="10" subtotal="count" baseField="9" baseItem="0"/>
  </dataFields>
  <formats count="10">
    <format dxfId="180">
      <pivotArea field="11" type="button" dataOnly="0" labelOnly="1" outline="0" axis="axisRow" fieldPosition="0"/>
    </format>
    <format dxfId="181">
      <pivotArea dataOnly="0" labelOnly="1" outline="0" axis="axisValues" fieldPosition="0"/>
    </format>
    <format dxfId="182">
      <pivotArea dataOnly="0" labelOnly="1" outline="0" axis="axisValues" fieldPosition="0"/>
    </format>
    <format dxfId="183">
      <pivotArea type="all" dataOnly="0" outline="0" fieldPosition="0"/>
    </format>
    <format dxfId="184">
      <pivotArea outline="0" collapsedLevelsAreSubtotals="1" fieldPosition="0"/>
    </format>
    <format dxfId="185">
      <pivotArea field="11" type="button" dataOnly="0" labelOnly="1" outline="0" axis="axisRow" fieldPosition="0"/>
    </format>
    <format dxfId="186">
      <pivotArea dataOnly="0" labelOnly="1" outline="0" axis="axisValues" fieldPosition="0"/>
    </format>
    <format dxfId="187">
      <pivotArea dataOnly="0" labelOnly="1" fieldPosition="0">
        <references count="1">
          <reference field="11" count="0"/>
        </references>
      </pivotArea>
    </format>
    <format dxfId="188">
      <pivotArea dataOnly="0" labelOnly="1" grandRow="1" outline="0" fieldPosition="0"/>
    </format>
    <format dxfId="189">
      <pivotArea dataOnly="0" labelOnly="1" outline="0" axis="axisValues" fieldPosition="0"/>
    </format>
  </formats>
  <chartFormats count="33">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4" format="0" series="1">
      <pivotArea type="data" outline="0" fieldPosition="0">
        <references count="2">
          <reference field="4294967294" count="1" selected="0">
            <x v="0"/>
          </reference>
          <reference field="16" count="1" selected="0">
            <x v="3"/>
          </reference>
        </references>
      </pivotArea>
    </chartFormat>
    <chartFormat chart="24" format="1" series="1">
      <pivotArea type="data" outline="0" fieldPosition="0">
        <references count="2">
          <reference field="4294967294" count="1" selected="0">
            <x v="0"/>
          </reference>
          <reference field="16" count="1" selected="0">
            <x v="4"/>
          </reference>
        </references>
      </pivotArea>
    </chartFormat>
    <chartFormat chart="24" format="2" series="1">
      <pivotArea type="data" outline="0" fieldPosition="0">
        <references count="2">
          <reference field="4294967294" count="1" selected="0">
            <x v="0"/>
          </reference>
          <reference field="16" count="1" selected="0">
            <x v="7"/>
          </reference>
        </references>
      </pivotArea>
    </chartFormat>
    <chartFormat chart="24" format="3" series="1">
      <pivotArea type="data" outline="0" fieldPosition="0">
        <references count="2">
          <reference field="4294967294" count="1" selected="0">
            <x v="0"/>
          </reference>
          <reference field="16" count="1" selected="0">
            <x v="15"/>
          </reference>
        </references>
      </pivotArea>
    </chartFormat>
    <chartFormat chart="24" format="4" series="1">
      <pivotArea type="data" outline="0" fieldPosition="0">
        <references count="2">
          <reference field="4294967294" count="1" selected="0">
            <x v="0"/>
          </reference>
          <reference field="16" count="1" selected="0">
            <x v="16"/>
          </reference>
        </references>
      </pivotArea>
    </chartFormat>
    <chartFormat chart="25" format="0" series="1">
      <pivotArea type="data" outline="0" fieldPosition="0">
        <references count="2">
          <reference field="4294967294" count="1" selected="0">
            <x v="0"/>
          </reference>
          <reference field="16" count="1" selected="0">
            <x v="3"/>
          </reference>
        </references>
      </pivotArea>
    </chartFormat>
    <chartFormat chart="25" format="1" series="1">
      <pivotArea type="data" outline="0" fieldPosition="0">
        <references count="2">
          <reference field="4294967294" count="1" selected="0">
            <x v="0"/>
          </reference>
          <reference field="16" count="1" selected="0">
            <x v="4"/>
          </reference>
        </references>
      </pivotArea>
    </chartFormat>
    <chartFormat chart="25" format="2" series="1">
      <pivotArea type="data" outline="0" fieldPosition="0">
        <references count="2">
          <reference field="4294967294" count="1" selected="0">
            <x v="0"/>
          </reference>
          <reference field="16" count="1" selected="0">
            <x v="7"/>
          </reference>
        </references>
      </pivotArea>
    </chartFormat>
    <chartFormat chart="25" format="3" series="1">
      <pivotArea type="data" outline="0" fieldPosition="0">
        <references count="2">
          <reference field="4294967294" count="1" selected="0">
            <x v="0"/>
          </reference>
          <reference field="16" count="1" selected="0">
            <x v="15"/>
          </reference>
        </references>
      </pivotArea>
    </chartFormat>
    <chartFormat chart="25" format="4" series="1">
      <pivotArea type="data" outline="0" fieldPosition="0">
        <references count="2">
          <reference field="4294967294" count="1" selected="0">
            <x v="0"/>
          </reference>
          <reference field="16" count="1" selected="0">
            <x v="16"/>
          </reference>
        </references>
      </pivotArea>
    </chartFormat>
    <chartFormat chart="25" format="5" series="1">
      <pivotArea type="data" outline="0" fieldPosition="0">
        <references count="2">
          <reference field="4294967294" count="1" selected="0">
            <x v="0"/>
          </reference>
          <reference field="16" count="1" selected="0">
            <x v="19"/>
          </reference>
        </references>
      </pivotArea>
    </chartFormat>
    <chartFormat chart="25" format="6" series="1">
      <pivotArea type="data" outline="0" fieldPosition="0">
        <references count="2">
          <reference field="4294967294" count="1" selected="0">
            <x v="0"/>
          </reference>
          <reference field="16" count="1" selected="0">
            <x v="6"/>
          </reference>
        </references>
      </pivotArea>
    </chartFormat>
    <chartFormat chart="25" format="7" series="1">
      <pivotArea type="data" outline="0" fieldPosition="0">
        <references count="2">
          <reference field="4294967294" count="1" selected="0">
            <x v="0"/>
          </reference>
          <reference field="16" count="1" selected="0">
            <x v="18"/>
          </reference>
        </references>
      </pivotArea>
    </chartFormat>
    <chartFormat chart="25" format="8" series="1">
      <pivotArea type="data" outline="0" fieldPosition="0">
        <references count="2">
          <reference field="4294967294" count="1" selected="0">
            <x v="0"/>
          </reference>
          <reference field="16" count="1" selected="0">
            <x v="20"/>
          </reference>
        </references>
      </pivotArea>
    </chartFormat>
    <chartFormat chart="25" format="9" series="1">
      <pivotArea type="data" outline="0" fieldPosition="0">
        <references count="2">
          <reference field="4294967294" count="1" selected="0">
            <x v="0"/>
          </reference>
          <reference field="16" count="1" selected="0">
            <x v="5"/>
          </reference>
        </references>
      </pivotArea>
    </chartFormat>
    <chartFormat chart="25" format="10" series="1">
      <pivotArea type="data" outline="0" fieldPosition="0">
        <references count="2">
          <reference field="4294967294" count="1" selected="0">
            <x v="0"/>
          </reference>
          <reference field="16" count="1" selected="0">
            <x v="8"/>
          </reference>
        </references>
      </pivotArea>
    </chartFormat>
    <chartFormat chart="25" format="11" series="1">
      <pivotArea type="data" outline="0" fieldPosition="0">
        <references count="2">
          <reference field="4294967294" count="1" selected="0">
            <x v="0"/>
          </reference>
          <reference field="16" count="1" selected="0">
            <x v="9"/>
          </reference>
        </references>
      </pivotArea>
    </chartFormat>
    <chartFormat chart="25" format="12" series="1">
      <pivotArea type="data" outline="0" fieldPosition="0">
        <references count="2">
          <reference field="4294967294" count="1" selected="0">
            <x v="0"/>
          </reference>
          <reference field="16" count="1" selected="0">
            <x v="12"/>
          </reference>
        </references>
      </pivotArea>
    </chartFormat>
    <chartFormat chart="25" format="13" series="1">
      <pivotArea type="data" outline="0" fieldPosition="0">
        <references count="2">
          <reference field="4294967294" count="1" selected="0">
            <x v="0"/>
          </reference>
          <reference field="16" count="1" selected="0">
            <x v="14"/>
          </reference>
        </references>
      </pivotArea>
    </chartFormat>
    <chartFormat chart="25" format="14" series="1">
      <pivotArea type="data" outline="0" fieldPosition="0">
        <references count="2">
          <reference field="4294967294" count="1" selected="0">
            <x v="0"/>
          </reference>
          <reference field="16" count="1" selected="0">
            <x v="21"/>
          </reference>
        </references>
      </pivotArea>
    </chartFormat>
    <chartFormat chart="25" format="15" series="1">
      <pivotArea type="data" outline="0" fieldPosition="0">
        <references count="2">
          <reference field="4294967294" count="1" selected="0">
            <x v="0"/>
          </reference>
          <reference field="16" count="1" selected="0">
            <x v="22"/>
          </reference>
        </references>
      </pivotArea>
    </chartFormat>
    <chartFormat chart="25" format="16" series="1">
      <pivotArea type="data" outline="0" fieldPosition="0">
        <references count="2">
          <reference field="4294967294" count="1" selected="0">
            <x v="0"/>
          </reference>
          <reference field="16" count="1" selected="0">
            <x v="23"/>
          </reference>
        </references>
      </pivotArea>
    </chartFormat>
    <chartFormat chart="25" format="17" series="1">
      <pivotArea type="data" outline="0" fieldPosition="0">
        <references count="2">
          <reference field="4294967294" count="1" selected="0">
            <x v="0"/>
          </reference>
          <reference field="16" count="1" selected="0">
            <x v="11"/>
          </reference>
        </references>
      </pivotArea>
    </chartFormat>
    <chartFormat chart="25" format="18" series="1">
      <pivotArea type="data" outline="0" fieldPosition="0">
        <references count="1">
          <reference field="4294967294" count="1" selected="0">
            <x v="0"/>
          </reference>
        </references>
      </pivotArea>
    </chartFormat>
    <chartFormat chart="25" format="19" series="1">
      <pivotArea type="data" outline="0" fieldPosition="0">
        <references count="2">
          <reference field="4294967294" count="1" selected="0">
            <x v="0"/>
          </reference>
          <reference field="16" count="1" selected="0">
            <x v="27"/>
          </reference>
        </references>
      </pivotArea>
    </chartFormat>
    <chartFormat chart="25" format="20" series="1">
      <pivotArea type="data" outline="0" fieldPosition="0">
        <references count="2">
          <reference field="4294967294" count="1" selected="0">
            <x v="0"/>
          </reference>
          <reference field="16" count="1" selected="0">
            <x v="28"/>
          </reference>
        </references>
      </pivotArea>
    </chartFormat>
    <chartFormat chart="25" format="21" series="1">
      <pivotArea type="data" outline="0" fieldPosition="0">
        <references count="2">
          <reference field="4294967294" count="1" selected="0">
            <x v="0"/>
          </reference>
          <reference field="16" count="1" selected="0">
            <x v="29"/>
          </reference>
        </references>
      </pivotArea>
    </chartFormat>
    <chartFormat chart="25" format="22" series="1">
      <pivotArea type="data" outline="0" fieldPosition="0">
        <references count="2">
          <reference field="4294967294" count="1" selected="0">
            <x v="0"/>
          </reference>
          <reference field="16"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Tableau croisé dynamique5" cacheId="70" applyNumberFormats="0" applyBorderFormats="0" applyFontFormats="0" applyPatternFormats="0" applyAlignmentFormats="0" applyWidthHeightFormats="1" dataCaption="Valeurs" updatedVersion="8" minRefreshableVersion="3" useAutoFormatting="1" itemPrintTitles="1" createdVersion="6" indent="0" outline="1" outlineData="1" chartFormat="21" rowHeaderCaption="Intervalle">
  <location ref="K4:L6" firstHeaderRow="1" firstDataRow="1" firstDataCol="1" rowPageCount="1" colPageCount="1"/>
  <pivotFields count="34">
    <pivotField showAll="0"/>
    <pivotField axis="axisPage" multipleItemSelectionAllowed="1" showAll="0">
      <items count="4">
        <item h="1" x="0"/>
        <item x="1"/>
        <item h="1" x="2"/>
        <item t="default"/>
      </items>
    </pivotField>
    <pivotField numFmtId="14" multipleItemSelectionAllowed="1" showAll="0"/>
    <pivotField showAll="0"/>
    <pivotField showAll="0"/>
    <pivotField showAll="0"/>
    <pivotField showAll="0"/>
    <pivotField showAll="0"/>
    <pivotField showAll="0" defaultSubtotal="0"/>
    <pivotField showAll="0"/>
    <pivotField dataField="1" showAll="0"/>
    <pivotField axis="axisRow" showAll="0" sortType="ascending" defaultSubtotal="0">
      <items count="61">
        <item m="1" x="36"/>
        <item x="33"/>
        <item x="2"/>
        <item m="1" x="52"/>
        <item m="1" x="45"/>
        <item x="22"/>
        <item m="1" x="51"/>
        <item x="20"/>
        <item x="7"/>
        <item m="1" x="48"/>
        <item x="25"/>
        <item m="1" x="44"/>
        <item x="14"/>
        <item x="32"/>
        <item m="1" x="57"/>
        <item x="16"/>
        <item x="29"/>
        <item x="23"/>
        <item x="21"/>
        <item x="0"/>
        <item x="13"/>
        <item m="1" x="54"/>
        <item x="11"/>
        <item x="15"/>
        <item m="1" x="58"/>
        <item x="12"/>
        <item x="8"/>
        <item m="1" x="47"/>
        <item m="1" x="42"/>
        <item m="1" x="59"/>
        <item x="24"/>
        <item x="1"/>
        <item m="1" x="37"/>
        <item m="1" x="41"/>
        <item x="17"/>
        <item m="1" x="60"/>
        <item x="30"/>
        <item x="6"/>
        <item x="10"/>
        <item m="1" x="56"/>
        <item m="1" x="50"/>
        <item x="26"/>
        <item x="3"/>
        <item m="1" x="55"/>
        <item x="18"/>
        <item x="9"/>
        <item m="1" x="49"/>
        <item x="28"/>
        <item x="27"/>
        <item m="1" x="43"/>
        <item x="4"/>
        <item m="1" x="40"/>
        <item x="31"/>
        <item m="1" x="38"/>
        <item x="19"/>
        <item m="1" x="53"/>
        <item n="GSMR_34-99-33" x="5"/>
        <item m="1" x="46"/>
        <item m="1" x="39"/>
        <item m="1" x="35"/>
        <item x="34"/>
      </items>
    </pivotField>
    <pivotField showAll="0"/>
    <pivotField showAll="0"/>
    <pivotField showAll="0"/>
    <pivotField showAll="0"/>
    <pivotField showAll="0"/>
    <pivotField showAll="0"/>
    <pivotField showAl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11"/>
  </rowFields>
  <rowItems count="2">
    <i>
      <x v="2"/>
    </i>
    <i t="grand">
      <x/>
    </i>
  </rowItems>
  <colItems count="1">
    <i/>
  </colItems>
  <pageFields count="1">
    <pageField fld="1" hier="-1"/>
  </pageFields>
  <dataFields count="1">
    <dataField name="Nombre" fld="10" subtotal="count" baseField="9" baseItem="0"/>
  </dataFields>
  <formats count="10">
    <format dxfId="170">
      <pivotArea field="11" type="button" dataOnly="0" labelOnly="1" outline="0" axis="axisRow" fieldPosition="0"/>
    </format>
    <format dxfId="171">
      <pivotArea dataOnly="0" labelOnly="1" outline="0" axis="axisValues" fieldPosition="0"/>
    </format>
    <format dxfId="172">
      <pivotArea dataOnly="0" labelOnly="1" outline="0" axis="axisValues" fieldPosition="0"/>
    </format>
    <format dxfId="173">
      <pivotArea type="all" dataOnly="0" outline="0" fieldPosition="0"/>
    </format>
    <format dxfId="174">
      <pivotArea outline="0" collapsedLevelsAreSubtotals="1" fieldPosition="0"/>
    </format>
    <format dxfId="175">
      <pivotArea field="11" type="button" dataOnly="0" labelOnly="1" outline="0" axis="axisRow" fieldPosition="0"/>
    </format>
    <format dxfId="176">
      <pivotArea dataOnly="0" labelOnly="1" outline="0" axis="axisValues" fieldPosition="0"/>
    </format>
    <format dxfId="177">
      <pivotArea dataOnly="0" labelOnly="1" fieldPosition="0">
        <references count="1">
          <reference field="11" count="0"/>
        </references>
      </pivotArea>
    </format>
    <format dxfId="178">
      <pivotArea dataOnly="0" labelOnly="1" grandRow="1" outline="0" fieldPosition="0"/>
    </format>
    <format dxfId="179">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Tableau croisé dynamique6" cacheId="70" applyNumberFormats="0" applyBorderFormats="0" applyFontFormats="0" applyPatternFormats="0" applyAlignmentFormats="0" applyWidthHeightFormats="1" dataCaption="Valeurs" updatedVersion="8" minRefreshableVersion="3" useAutoFormatting="1" itemPrintTitles="1" createdVersion="6" indent="0" outline="1" outlineData="1" multipleFieldFilters="0" chartFormat="31" rowHeaderCaption="Rame" colHeaderCaption="Sous système mis encause">
  <location ref="N4:P11" firstHeaderRow="1" firstDataRow="2" firstDataCol="1" rowPageCount="1" colPageCount="1"/>
  <pivotFields count="34">
    <pivotField showAll="0"/>
    <pivotField axis="axisPage" showAll="0">
      <items count="4">
        <item x="0"/>
        <item x="1"/>
        <item x="2"/>
        <item t="default"/>
      </items>
    </pivotField>
    <pivotField multipleItemSelectionAllowed="1" showAll="0" defaultSubtotal="0"/>
    <pivotField showAll="0" defaultSubtotal="0"/>
    <pivotField showAll="0"/>
    <pivotField axis="axisRow" dataField="1" showAll="0">
      <items count="20">
        <item x="10"/>
        <item x="8"/>
        <item x="5"/>
        <item x="9"/>
        <item x="2"/>
        <item x="7"/>
        <item x="3"/>
        <item x="0"/>
        <item x="4"/>
        <item x="1"/>
        <item x="6"/>
        <item x="17"/>
        <item x="11"/>
        <item x="12"/>
        <item x="13"/>
        <item x="14"/>
        <item x="15"/>
        <item x="16"/>
        <item m="1" x="18"/>
        <item t="default"/>
      </items>
    </pivotField>
    <pivotField showAll="0"/>
    <pivotField showAll="0"/>
    <pivotField showAll="0" defaultSubtotal="0"/>
    <pivotField showAll="0"/>
    <pivotField showAll="0"/>
    <pivotField showAll="0" defaultSubtotal="0"/>
    <pivotField showAll="0"/>
    <pivotField showAll="0"/>
    <pivotField showAll="0"/>
    <pivotField showAll="0"/>
    <pivotField axis="axisCol" showAll="0">
      <items count="31">
        <item x="0"/>
        <item m="1" x="20"/>
        <item x="3"/>
        <item x="12"/>
        <item x="2"/>
        <item x="8"/>
        <item x="9"/>
        <item m="1" x="23"/>
        <item m="1" x="13"/>
        <item m="1" x="16"/>
        <item m="1" x="17"/>
        <item x="1"/>
        <item x="6"/>
        <item m="1" x="29"/>
        <item m="1" x="28"/>
        <item m="1" x="18"/>
        <item x="5"/>
        <item m="1" x="19"/>
        <item m="1" x="22"/>
        <item x="7"/>
        <item m="1" x="21"/>
        <item x="4"/>
        <item m="1" x="15"/>
        <item m="1" x="24"/>
        <item m="1" x="25"/>
        <item m="1" x="26"/>
        <item m="1" x="27"/>
        <item m="1" x="14"/>
        <item x="10"/>
        <item x="11"/>
        <item t="default"/>
      </items>
    </pivotField>
    <pivotField showAll="0"/>
    <pivotField showAl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5"/>
  </rowFields>
  <rowItems count="6">
    <i>
      <x v="3"/>
    </i>
    <i>
      <x v="4"/>
    </i>
    <i>
      <x v="5"/>
    </i>
    <i>
      <x v="6"/>
    </i>
    <i>
      <x v="12"/>
    </i>
    <i t="grand">
      <x/>
    </i>
  </rowItems>
  <colFields count="1">
    <field x="16"/>
  </colFields>
  <colItems count="2">
    <i>
      <x/>
    </i>
    <i t="grand">
      <x/>
    </i>
  </colItems>
  <pageFields count="1">
    <pageField fld="1" item="1" hier="-1"/>
  </pageFields>
  <dataFields count="1">
    <dataField name="Nombre de Rame" fld="5" subtotal="count" baseField="0" baseItem="0"/>
  </dataFields>
  <formats count="27">
    <format dxfId="143">
      <pivotArea dataOnly="0" labelOnly="1" fieldPosition="0">
        <references count="1">
          <reference field="16" count="0"/>
        </references>
      </pivotArea>
    </format>
    <format dxfId="144">
      <pivotArea dataOnly="0" labelOnly="1" grandCol="1" outline="0" fieldPosition="0"/>
    </format>
    <format dxfId="145">
      <pivotArea dataOnly="0" labelOnly="1" fieldPosition="0">
        <references count="1">
          <reference field="16" count="0"/>
        </references>
      </pivotArea>
    </format>
    <format dxfId="146">
      <pivotArea dataOnly="0" labelOnly="1" grandCol="1" outline="0" fieldPosition="0"/>
    </format>
    <format dxfId="147">
      <pivotArea dataOnly="0" labelOnly="1" fieldPosition="0">
        <references count="1">
          <reference field="16" count="0"/>
        </references>
      </pivotArea>
    </format>
    <format dxfId="148">
      <pivotArea dataOnly="0" labelOnly="1" grandCol="1" outline="0" fieldPosition="0"/>
    </format>
    <format dxfId="149">
      <pivotArea dataOnly="0" labelOnly="1" fieldPosition="0">
        <references count="1">
          <reference field="16" count="0"/>
        </references>
      </pivotArea>
    </format>
    <format dxfId="150">
      <pivotArea dataOnly="0" labelOnly="1" grandCol="1" outline="0" fieldPosition="0"/>
    </format>
    <format dxfId="151">
      <pivotArea field="16" type="button" dataOnly="0" labelOnly="1" outline="0" axis="axisCol" fieldPosition="0"/>
    </format>
    <format dxfId="152">
      <pivotArea type="topRight" dataOnly="0" labelOnly="1" outline="0" fieldPosition="0"/>
    </format>
    <format dxfId="153">
      <pivotArea field="16" type="button" dataOnly="0" labelOnly="1" outline="0" axis="axisCol" fieldPosition="0"/>
    </format>
    <format dxfId="154">
      <pivotArea field="16" type="button" dataOnly="0" labelOnly="1" outline="0" axis="axisCol" fieldPosition="0"/>
    </format>
    <format dxfId="155">
      <pivotArea field="16" type="button" dataOnly="0" labelOnly="1" outline="0" axis="axisCol" fieldPosition="0"/>
    </format>
    <format dxfId="156">
      <pivotArea type="all" dataOnly="0" outline="0" fieldPosition="0"/>
    </format>
    <format dxfId="157">
      <pivotArea field="5" type="button" dataOnly="0" labelOnly="1" outline="0" axis="axisRow" fieldPosition="0"/>
    </format>
    <format dxfId="158">
      <pivotArea dataOnly="0" labelOnly="1" fieldPosition="0">
        <references count="1">
          <reference field="16" count="3">
            <x v="1"/>
            <x v="2"/>
            <x v="3"/>
          </reference>
        </references>
      </pivotArea>
    </format>
    <format dxfId="159">
      <pivotArea dataOnly="0" labelOnly="1" grandCol="1" outline="0" fieldPosition="0"/>
    </format>
    <format dxfId="160">
      <pivotArea field="5" type="button" dataOnly="0" labelOnly="1" outline="0" axis="axisRow" fieldPosition="0"/>
    </format>
    <format dxfId="161">
      <pivotArea dataOnly="0" labelOnly="1" fieldPosition="0">
        <references count="1">
          <reference field="16" count="0"/>
        </references>
      </pivotArea>
    </format>
    <format dxfId="162">
      <pivotArea dataOnly="0" labelOnly="1" grandCol="1" outline="0" fieldPosition="0"/>
    </format>
    <format dxfId="163">
      <pivotArea field="5" type="button" dataOnly="0" labelOnly="1" outline="0" axis="axisRow" fieldPosition="0"/>
    </format>
    <format dxfId="164">
      <pivotArea dataOnly="0" labelOnly="1" fieldPosition="0">
        <references count="1">
          <reference field="16" count="0"/>
        </references>
      </pivotArea>
    </format>
    <format dxfId="165">
      <pivotArea dataOnly="0" labelOnly="1" grandCol="1" outline="0" fieldPosition="0"/>
    </format>
    <format dxfId="166">
      <pivotArea type="origin" dataOnly="0" labelOnly="1" outline="0" fieldPosition="0"/>
    </format>
    <format dxfId="167">
      <pivotArea field="5" type="button" dataOnly="0" labelOnly="1" outline="0" axis="axisRow" fieldPosition="0"/>
    </format>
    <format dxfId="168">
      <pivotArea type="origin" dataOnly="0" labelOnly="1" outline="0" fieldPosition="0"/>
    </format>
    <format dxfId="169">
      <pivotArea field="5" type="button" dataOnly="0" labelOnly="1" outline="0" axis="axisRow" fieldPosition="0"/>
    </format>
  </formats>
  <chartFormats count="37">
    <chartFormat chart="9" format="20" series="1">
      <pivotArea type="data" outline="0" fieldPosition="0">
        <references count="1">
          <reference field="16" count="1" selected="0">
            <x v="12"/>
          </reference>
        </references>
      </pivotArea>
    </chartFormat>
    <chartFormat chart="9" format="21" series="1">
      <pivotArea type="data" outline="0" fieldPosition="0">
        <references count="1">
          <reference field="16" count="1" selected="0">
            <x v="0"/>
          </reference>
        </references>
      </pivotArea>
    </chartFormat>
    <chartFormat chart="9" format="22" series="1">
      <pivotArea type="data" outline="0" fieldPosition="0">
        <references count="1">
          <reference field="16" count="1" selected="0">
            <x v="1"/>
          </reference>
        </references>
      </pivotArea>
    </chartFormat>
    <chartFormat chart="9" format="23" series="1">
      <pivotArea type="data" outline="0" fieldPosition="0">
        <references count="1">
          <reference field="16" count="1" selected="0">
            <x v="2"/>
          </reference>
        </references>
      </pivotArea>
    </chartFormat>
    <chartFormat chart="9" format="24" series="1">
      <pivotArea type="data" outline="0" fieldPosition="0">
        <references count="1">
          <reference field="16" count="1" selected="0">
            <x v="3"/>
          </reference>
        </references>
      </pivotArea>
    </chartFormat>
    <chartFormat chart="9" format="25" series="1">
      <pivotArea type="data" outline="0" fieldPosition="0">
        <references count="1">
          <reference field="16" count="1" selected="0">
            <x v="4"/>
          </reference>
        </references>
      </pivotArea>
    </chartFormat>
    <chartFormat chart="9" format="26" series="1">
      <pivotArea type="data" outline="0" fieldPosition="0">
        <references count="1">
          <reference field="16" count="1" selected="0">
            <x v="6"/>
          </reference>
        </references>
      </pivotArea>
    </chartFormat>
    <chartFormat chart="9" format="27" series="1">
      <pivotArea type="data" outline="0" fieldPosition="0">
        <references count="1">
          <reference field="16" count="1" selected="0">
            <x v="7"/>
          </reference>
        </references>
      </pivotArea>
    </chartFormat>
    <chartFormat chart="9" format="28" series="1">
      <pivotArea type="data" outline="0" fieldPosition="0">
        <references count="1">
          <reference field="16" count="1" selected="0">
            <x v="8"/>
          </reference>
        </references>
      </pivotArea>
    </chartFormat>
    <chartFormat chart="9" format="29" series="1">
      <pivotArea type="data" outline="0" fieldPosition="0">
        <references count="1">
          <reference field="16" count="1" selected="0">
            <x v="9"/>
          </reference>
        </references>
      </pivotArea>
    </chartFormat>
    <chartFormat chart="9" format="30" series="1">
      <pivotArea type="data" outline="0" fieldPosition="0">
        <references count="1">
          <reference field="16" count="1" selected="0">
            <x v="10"/>
          </reference>
        </references>
      </pivotArea>
    </chartFormat>
    <chartFormat chart="9" format="31" series="1">
      <pivotArea type="data" outline="0" fieldPosition="0">
        <references count="1">
          <reference field="16" count="1" selected="0">
            <x v="11"/>
          </reference>
        </references>
      </pivotArea>
    </chartFormat>
    <chartFormat chart="9" format="32" series="1">
      <pivotArea type="data" outline="0" fieldPosition="0">
        <references count="2">
          <reference field="4294967294" count="1" selected="0">
            <x v="0"/>
          </reference>
          <reference field="16" count="1" selected="0">
            <x v="5"/>
          </reference>
        </references>
      </pivotArea>
    </chartFormat>
    <chartFormat chart="26" format="2" series="1">
      <pivotArea type="data" outline="0" fieldPosition="0">
        <references count="2">
          <reference field="4294967294" count="1" selected="0">
            <x v="0"/>
          </reference>
          <reference field="16" count="1" selected="0">
            <x v="0"/>
          </reference>
        </references>
      </pivotArea>
    </chartFormat>
    <chartFormat chart="26" format="3" series="1">
      <pivotArea type="data" outline="0" fieldPosition="0">
        <references count="2">
          <reference field="4294967294" count="1" selected="0">
            <x v="0"/>
          </reference>
          <reference field="16" count="1" selected="0">
            <x v="5"/>
          </reference>
        </references>
      </pivotArea>
    </chartFormat>
    <chartFormat chart="26" format="4" series="1">
      <pivotArea type="data" outline="0" fieldPosition="0">
        <references count="2">
          <reference field="4294967294" count="1" selected="0">
            <x v="0"/>
          </reference>
          <reference field="16" count="1" selected="0">
            <x v="4"/>
          </reference>
        </references>
      </pivotArea>
    </chartFormat>
    <chartFormat chart="26" format="37" series="1">
      <pivotArea type="data" outline="0" fieldPosition="0">
        <references count="2">
          <reference field="4294967294" count="1" selected="0">
            <x v="0"/>
          </reference>
          <reference field="16" count="1" selected="0">
            <x v="13"/>
          </reference>
        </references>
      </pivotArea>
    </chartFormat>
    <chartFormat chart="26" format="38" series="1">
      <pivotArea type="data" outline="0" fieldPosition="0">
        <references count="2">
          <reference field="4294967294" count="1" selected="0">
            <x v="0"/>
          </reference>
          <reference field="16" count="1" selected="0">
            <x v="3"/>
          </reference>
        </references>
      </pivotArea>
    </chartFormat>
    <chartFormat chart="26" format="39" series="1">
      <pivotArea type="data" outline="0" fieldPosition="0">
        <references count="2">
          <reference field="4294967294" count="1" selected="0">
            <x v="0"/>
          </reference>
          <reference field="16" count="1" selected="0">
            <x v="15"/>
          </reference>
        </references>
      </pivotArea>
    </chartFormat>
    <chartFormat chart="26" format="40" series="1">
      <pivotArea type="data" outline="0" fieldPosition="0">
        <references count="2">
          <reference field="4294967294" count="1" selected="0">
            <x v="0"/>
          </reference>
          <reference field="16" count="1" selected="0">
            <x v="16"/>
          </reference>
        </references>
      </pivotArea>
    </chartFormat>
    <chartFormat chart="26" format="41" series="1">
      <pivotArea type="data" outline="0" fieldPosition="0">
        <references count="2">
          <reference field="4294967294" count="1" selected="0">
            <x v="0"/>
          </reference>
          <reference field="16" count="1" selected="0">
            <x v="8"/>
          </reference>
        </references>
      </pivotArea>
    </chartFormat>
    <chartFormat chart="26" format="42" series="1">
      <pivotArea type="data" outline="0" fieldPosition="0">
        <references count="2">
          <reference field="4294967294" count="1" selected="0">
            <x v="0"/>
          </reference>
          <reference field="16" count="1" selected="0">
            <x v="11"/>
          </reference>
        </references>
      </pivotArea>
    </chartFormat>
    <chartFormat chart="26" format="43" series="1">
      <pivotArea type="data" outline="0" fieldPosition="0">
        <references count="2">
          <reference field="4294967294" count="1" selected="0">
            <x v="0"/>
          </reference>
          <reference field="16" count="1" selected="0">
            <x v="6"/>
          </reference>
        </references>
      </pivotArea>
    </chartFormat>
    <chartFormat chart="26" format="44" series="1">
      <pivotArea type="data" outline="0" fieldPosition="0">
        <references count="2">
          <reference field="4294967294" count="1" selected="0">
            <x v="0"/>
          </reference>
          <reference field="16" count="1" selected="0">
            <x v="9"/>
          </reference>
        </references>
      </pivotArea>
    </chartFormat>
    <chartFormat chart="26" format="45" series="1">
      <pivotArea type="data" outline="0" fieldPosition="0">
        <references count="2">
          <reference field="4294967294" count="1" selected="0">
            <x v="0"/>
          </reference>
          <reference field="16" count="1" selected="0">
            <x v="17"/>
          </reference>
        </references>
      </pivotArea>
    </chartFormat>
    <chartFormat chart="26" format="46" series="1">
      <pivotArea type="data" outline="0" fieldPosition="0">
        <references count="2">
          <reference field="4294967294" count="1" selected="0">
            <x v="0"/>
          </reference>
          <reference field="16" count="1" selected="0">
            <x v="18"/>
          </reference>
        </references>
      </pivotArea>
    </chartFormat>
    <chartFormat chart="26" format="47" series="1">
      <pivotArea type="data" outline="0" fieldPosition="0">
        <references count="2">
          <reference field="4294967294" count="1" selected="0">
            <x v="0"/>
          </reference>
          <reference field="16" count="1" selected="0">
            <x v="2"/>
          </reference>
        </references>
      </pivotArea>
    </chartFormat>
    <chartFormat chart="26" format="48" series="1">
      <pivotArea type="data" outline="0" fieldPosition="0">
        <references count="2">
          <reference field="4294967294" count="1" selected="0">
            <x v="0"/>
          </reference>
          <reference field="16" count="1" selected="0">
            <x v="12"/>
          </reference>
        </references>
      </pivotArea>
    </chartFormat>
    <chartFormat chart="26" format="49" series="1">
      <pivotArea type="data" outline="0" fieldPosition="0">
        <references count="2">
          <reference field="4294967294" count="1" selected="0">
            <x v="0"/>
          </reference>
          <reference field="16" count="1" selected="0">
            <x v="19"/>
          </reference>
        </references>
      </pivotArea>
    </chartFormat>
    <chartFormat chart="26" format="50" series="1">
      <pivotArea type="data" outline="0" fieldPosition="0">
        <references count="2">
          <reference field="4294967294" count="1" selected="0">
            <x v="0"/>
          </reference>
          <reference field="16" count="1" selected="0">
            <x v="20"/>
          </reference>
        </references>
      </pivotArea>
    </chartFormat>
    <chartFormat chart="26" format="51" series="1">
      <pivotArea type="data" outline="0" fieldPosition="0">
        <references count="2">
          <reference field="4294967294" count="1" selected="0">
            <x v="0"/>
          </reference>
          <reference field="16" count="1" selected="0">
            <x v="22"/>
          </reference>
        </references>
      </pivotArea>
    </chartFormat>
    <chartFormat chart="26" format="52" series="1">
      <pivotArea type="data" outline="0" fieldPosition="0">
        <references count="2">
          <reference field="4294967294" count="1" selected="0">
            <x v="0"/>
          </reference>
          <reference field="16" count="1" selected="0">
            <x v="23"/>
          </reference>
        </references>
      </pivotArea>
    </chartFormat>
    <chartFormat chart="26" format="53" series="1">
      <pivotArea type="data" outline="0" fieldPosition="0">
        <references count="2">
          <reference field="4294967294" count="1" selected="0">
            <x v="0"/>
          </reference>
          <reference field="16" count="1" selected="0">
            <x v="25"/>
          </reference>
        </references>
      </pivotArea>
    </chartFormat>
    <chartFormat chart="26" format="55" series="1">
      <pivotArea type="data" outline="0" fieldPosition="0">
        <references count="1">
          <reference field="4294967294" count="1" selected="0">
            <x v="0"/>
          </reference>
        </references>
      </pivotArea>
    </chartFormat>
    <chartFormat chart="26" format="56" series="1">
      <pivotArea type="data" outline="0" fieldPosition="0">
        <references count="2">
          <reference field="4294967294" count="1" selected="0">
            <x v="0"/>
          </reference>
          <reference field="16" count="1" selected="0">
            <x v="27"/>
          </reference>
        </references>
      </pivotArea>
    </chartFormat>
    <chartFormat chart="26" format="57" series="1">
      <pivotArea type="data" outline="0" fieldPosition="0">
        <references count="2">
          <reference field="4294967294" count="1" selected="0">
            <x v="0"/>
          </reference>
          <reference field="16" count="1" selected="0">
            <x v="28"/>
          </reference>
        </references>
      </pivotArea>
    </chartFormat>
    <chartFormat chart="26" format="58" series="1">
      <pivotArea type="data" outline="0" fieldPosition="0">
        <references count="2">
          <reference field="4294967294" count="1" selected="0">
            <x v="0"/>
          </reference>
          <reference field="16" count="1" selected="0">
            <x v="2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Tableau croisé dynamique1" cacheId="70" applyNumberFormats="0" applyBorderFormats="0" applyFontFormats="0" applyPatternFormats="0" applyAlignmentFormats="0" applyWidthHeightFormats="1" dataCaption="Valeurs" updatedVersion="8" minRefreshableVersion="3" useAutoFormatting="1" itemPrintTitles="1" createdVersion="6" indent="0" outline="1" outlineData="1" chartFormat="24" rowHeaderCaption="Intervalle">
  <location ref="AB6:AE9" firstHeaderRow="1" firstDataRow="2" firstDataCol="1" rowPageCount="1" colPageCount="1"/>
  <pivotFields count="34">
    <pivotField showAll="0"/>
    <pivotField axis="axisPage" showAll="0">
      <items count="4">
        <item x="0"/>
        <item x="1"/>
        <item x="2"/>
        <item t="default"/>
      </items>
    </pivotField>
    <pivotField numFmtId="14" multipleItemSelectionAllowed="1" showAll="0"/>
    <pivotField showAll="0"/>
    <pivotField showAll="0"/>
    <pivotField showAll="0"/>
    <pivotField showAll="0"/>
    <pivotField showAll="0"/>
    <pivotField showAll="0" defaultSubtotal="0"/>
    <pivotField showAll="0"/>
    <pivotField dataField="1" showAll="0"/>
    <pivotField axis="axisRow" showAll="0" sortType="ascending" defaultSubtotal="0">
      <items count="61">
        <item m="1" x="36"/>
        <item x="33"/>
        <item x="2"/>
        <item m="1" x="52"/>
        <item m="1" x="45"/>
        <item x="22"/>
        <item m="1" x="51"/>
        <item x="20"/>
        <item x="7"/>
        <item m="1" x="48"/>
        <item x="25"/>
        <item m="1" x="44"/>
        <item x="14"/>
        <item x="32"/>
        <item m="1" x="57"/>
        <item x="16"/>
        <item x="29"/>
        <item x="23"/>
        <item x="21"/>
        <item x="0"/>
        <item x="13"/>
        <item m="1" x="54"/>
        <item x="11"/>
        <item x="15"/>
        <item m="1" x="58"/>
        <item x="12"/>
        <item x="8"/>
        <item m="1" x="47"/>
        <item m="1" x="42"/>
        <item m="1" x="59"/>
        <item x="24"/>
        <item x="1"/>
        <item m="1" x="37"/>
        <item m="1" x="41"/>
        <item x="17"/>
        <item m="1" x="60"/>
        <item x="30"/>
        <item x="6"/>
        <item x="10"/>
        <item m="1" x="56"/>
        <item m="1" x="50"/>
        <item x="26"/>
        <item x="3"/>
        <item m="1" x="55"/>
        <item x="18"/>
        <item x="9"/>
        <item m="1" x="49"/>
        <item x="28"/>
        <item x="27"/>
        <item m="1" x="43"/>
        <item x="4"/>
        <item m="1" x="40"/>
        <item x="31"/>
        <item m="1" x="38"/>
        <item x="19"/>
        <item m="1" x="53"/>
        <item n="GSMR_34-99-33" x="5"/>
        <item m="1" x="46"/>
        <item m="1" x="39"/>
        <item m="1" x="35"/>
        <item x="34"/>
      </items>
    </pivotField>
    <pivotField showAll="0"/>
    <pivotField axis="axisCol" showAll="0">
      <items count="7">
        <item x="1"/>
        <item m="1" x="4"/>
        <item x="0"/>
        <item m="1" x="5"/>
        <item x="2"/>
        <item m="1" x="3"/>
        <item t="default"/>
      </items>
    </pivotField>
    <pivotField showAll="0"/>
    <pivotField showAll="0"/>
    <pivotField showAll="0"/>
    <pivotField showAll="0"/>
    <pivotField showAl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11"/>
  </rowFields>
  <rowItems count="2">
    <i>
      <x v="2"/>
    </i>
    <i t="grand">
      <x/>
    </i>
  </rowItems>
  <colFields count="1">
    <field x="13"/>
  </colFields>
  <colItems count="3">
    <i>
      <x/>
    </i>
    <i>
      <x v="2"/>
    </i>
    <i t="grand">
      <x/>
    </i>
  </colItems>
  <pageFields count="1">
    <pageField fld="1" item="1" hier="-1"/>
  </pageFields>
  <dataFields count="1">
    <dataField name="Nombre" fld="10" subtotal="count" baseField="9" baseItem="0"/>
  </dataFields>
  <formats count="10">
    <format dxfId="133">
      <pivotArea field="11" type="button" dataOnly="0" labelOnly="1" outline="0" axis="axisRow" fieldPosition="0"/>
    </format>
    <format dxfId="134">
      <pivotArea dataOnly="0" labelOnly="1" outline="0" axis="axisValues" fieldPosition="0"/>
    </format>
    <format dxfId="135">
      <pivotArea dataOnly="0" labelOnly="1" outline="0" axis="axisValues" fieldPosition="0"/>
    </format>
    <format dxfId="136">
      <pivotArea type="all" dataOnly="0" outline="0" fieldPosition="0"/>
    </format>
    <format dxfId="137">
      <pivotArea outline="0" collapsedLevelsAreSubtotals="1" fieldPosition="0"/>
    </format>
    <format dxfId="138">
      <pivotArea field="11" type="button" dataOnly="0" labelOnly="1" outline="0" axis="axisRow" fieldPosition="0"/>
    </format>
    <format dxfId="139">
      <pivotArea dataOnly="0" labelOnly="1" outline="0" axis="axisValues" fieldPosition="0"/>
    </format>
    <format dxfId="140">
      <pivotArea dataOnly="0" labelOnly="1" fieldPosition="0">
        <references count="1">
          <reference field="11" count="0"/>
        </references>
      </pivotArea>
    </format>
    <format dxfId="141">
      <pivotArea dataOnly="0" labelOnly="1" grandRow="1" outline="0" fieldPosition="0"/>
    </format>
    <format dxfId="142">
      <pivotArea dataOnly="0" labelOnly="1" outline="0" axis="axisValues" fieldPosition="0"/>
    </format>
  </formats>
  <chartFormats count="16">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1" format="0" series="1">
      <pivotArea type="data" outline="0" fieldPosition="0">
        <references count="2">
          <reference field="4294967294" count="1" selected="0">
            <x v="0"/>
          </reference>
          <reference field="13" count="1" selected="0">
            <x v="0"/>
          </reference>
        </references>
      </pivotArea>
    </chartFormat>
    <chartFormat chart="21" format="1" series="1">
      <pivotArea type="data" outline="0" fieldPosition="0">
        <references count="2">
          <reference field="4294967294" count="1" selected="0">
            <x v="0"/>
          </reference>
          <reference field="13" count="1" selected="0">
            <x v="2"/>
          </reference>
        </references>
      </pivotArea>
    </chartFormat>
    <chartFormat chart="22" format="2" series="1">
      <pivotArea type="data" outline="0" fieldPosition="0">
        <references count="2">
          <reference field="4294967294" count="1" selected="0">
            <x v="0"/>
          </reference>
          <reference field="13" count="1" selected="0">
            <x v="0"/>
          </reference>
        </references>
      </pivotArea>
    </chartFormat>
    <chartFormat chart="22" format="3" series="1">
      <pivotArea type="data" outline="0" fieldPosition="0">
        <references count="2">
          <reference field="4294967294" count="1" selected="0">
            <x v="0"/>
          </reference>
          <reference field="13" count="1" selected="0">
            <x v="2"/>
          </reference>
        </references>
      </pivotArea>
    </chartFormat>
    <chartFormat chart="23" format="4" series="1">
      <pivotArea type="data" outline="0" fieldPosition="0">
        <references count="2">
          <reference field="4294967294" count="1" selected="0">
            <x v="0"/>
          </reference>
          <reference field="13" count="1" selected="0">
            <x v="0"/>
          </reference>
        </references>
      </pivotArea>
    </chartFormat>
    <chartFormat chart="23" format="5" series="1">
      <pivotArea type="data" outline="0" fieldPosition="0">
        <references count="2">
          <reference field="4294967294" count="1" selected="0">
            <x v="0"/>
          </reference>
          <reference field="13" count="1" selected="0">
            <x v="2"/>
          </reference>
        </references>
      </pivotArea>
    </chartFormat>
    <chartFormat chart="21" format="2" series="1">
      <pivotArea type="data" outline="0" fieldPosition="0">
        <references count="2">
          <reference field="4294967294" count="1" selected="0">
            <x v="0"/>
          </reference>
          <reference field="13" count="1" selected="0">
            <x v="5"/>
          </reference>
        </references>
      </pivotArea>
    </chartFormat>
    <chartFormat chart="21" format="3" series="1">
      <pivotArea type="data" outline="0" fieldPosition="0">
        <references count="2">
          <reference field="4294967294" count="1" selected="0">
            <x v="0"/>
          </reference>
          <reference field="13" count="1" selected="0">
            <x v="3"/>
          </reference>
        </references>
      </pivotArea>
    </chartFormat>
    <chartFormat chart="21" format="4" series="1">
      <pivotArea type="data" outline="0" fieldPosition="0">
        <references count="2">
          <reference field="4294967294" count="1" selected="0">
            <x v="0"/>
          </reference>
          <reference field="13" count="1" selected="0">
            <x v="4"/>
          </reference>
        </references>
      </pivotArea>
    </chartFormat>
    <chartFormat chart="21" format="5" series="1">
      <pivotArea type="data" outline="0" fieldPosition="0">
        <references count="2">
          <reference field="4294967294" count="1" selected="0">
            <x v="0"/>
          </reference>
          <reference field="13" count="1" selected="0">
            <x v="1"/>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ableau croisé dynamique7" cacheId="70" applyNumberFormats="0" applyBorderFormats="0" applyFontFormats="0" applyPatternFormats="0" applyAlignmentFormats="0" applyWidthHeightFormats="1" dataCaption="Valeurs" grandTotalCaption="Total" updatedVersion="8" minRefreshableVersion="3" useAutoFormatting="1" itemPrintTitles="1" mergeItem="1" createdVersion="6" indent="0" outline="1" outlineData="1" multipleFieldFilters="0" chartFormat="13" rowHeaderCaption="" colHeaderCaption="" customListSort="0">
  <location ref="A4:D11" firstHeaderRow="1" firstDataRow="2" firstDataCol="1" rowPageCount="1" colPageCount="1"/>
  <pivotFields count="34">
    <pivotField showAll="0"/>
    <pivotField axis="axisPage" multipleItemSelectionAllowed="1" showAll="0">
      <items count="4">
        <item h="1" x="0"/>
        <item x="1"/>
        <item h="1" x="2"/>
        <item t="default"/>
      </items>
    </pivotField>
    <pivotField numFmtId="14" multipleItemSelectionAllowed="1" showAll="0"/>
    <pivotField showAll="0"/>
    <pivotField showAll="0"/>
    <pivotField axis="axisRow" dataField="1" showAll="0">
      <items count="20">
        <item x="10"/>
        <item x="8"/>
        <item x="5"/>
        <item x="9"/>
        <item x="2"/>
        <item x="7"/>
        <item x="3"/>
        <item x="0"/>
        <item x="4"/>
        <item x="1"/>
        <item x="6"/>
        <item x="17"/>
        <item x="11"/>
        <item x="12"/>
        <item x="13"/>
        <item x="14"/>
        <item x="15"/>
        <item x="16"/>
        <item m="1" x="18"/>
        <item t="default"/>
      </items>
    </pivotField>
    <pivotField axis="axisCol" showAll="0">
      <items count="6">
        <item x="0"/>
        <item x="1"/>
        <item x="2"/>
        <item m="1" x="4"/>
        <item m="1" x="3"/>
        <item t="default"/>
      </items>
    </pivotField>
    <pivotField showAll="0"/>
    <pivotField showAll="0" defaultSubtota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5"/>
  </rowFields>
  <rowItems count="6">
    <i>
      <x v="3"/>
    </i>
    <i>
      <x v="4"/>
    </i>
    <i>
      <x v="5"/>
    </i>
    <i>
      <x v="6"/>
    </i>
    <i>
      <x v="12"/>
    </i>
    <i t="grand">
      <x/>
    </i>
  </rowItems>
  <colFields count="1">
    <field x="6"/>
  </colFields>
  <colItems count="3">
    <i>
      <x/>
    </i>
    <i>
      <x v="1"/>
    </i>
    <i t="grand">
      <x/>
    </i>
  </colItems>
  <pageFields count="1">
    <pageField fld="1" hier="-1"/>
  </pageFields>
  <dataFields count="1">
    <dataField name="Nombre de Rame" fld="5" subtotal="count" baseField="0" baseItem="0"/>
  </dataFields>
  <formats count="17">
    <format dxfId="116">
      <pivotArea outline="0" collapsedLevelsAreSubtotals="1" fieldPosition="0"/>
    </format>
    <format dxfId="117">
      <pivotArea field="6" type="button" dataOnly="0" labelOnly="1" outline="0" axis="axisCol" fieldPosition="0"/>
    </format>
    <format dxfId="118">
      <pivotArea type="topRight" dataOnly="0" labelOnly="1" outline="0" fieldPosition="0"/>
    </format>
    <format dxfId="119">
      <pivotArea dataOnly="0" labelOnly="1" fieldPosition="0">
        <references count="1">
          <reference field="6" count="0"/>
        </references>
      </pivotArea>
    </format>
    <format dxfId="120">
      <pivotArea dataOnly="0" labelOnly="1" grandCol="1" outline="0" fieldPosition="0"/>
    </format>
    <format dxfId="121">
      <pivotArea outline="0" collapsedLevelsAreSubtotals="1" fieldPosition="0"/>
    </format>
    <format dxfId="122">
      <pivotArea field="6" type="button" dataOnly="0" labelOnly="1" outline="0" axis="axisCol" fieldPosition="0"/>
    </format>
    <format dxfId="123">
      <pivotArea type="topRight" dataOnly="0" labelOnly="1" outline="0" fieldPosition="0"/>
    </format>
    <format dxfId="124">
      <pivotArea dataOnly="0" labelOnly="1" fieldPosition="0">
        <references count="1">
          <reference field="6" count="0"/>
        </references>
      </pivotArea>
    </format>
    <format dxfId="125">
      <pivotArea dataOnly="0" labelOnly="1" grandCol="1" outline="0" fieldPosition="0"/>
    </format>
    <format dxfId="126">
      <pivotArea type="origin" dataOnly="0" labelOnly="1" outline="0" fieldPosition="0"/>
    </format>
    <format dxfId="127">
      <pivotArea field="6" type="button" dataOnly="0" labelOnly="1" outline="0" axis="axisCol" fieldPosition="0"/>
    </format>
    <format dxfId="128">
      <pivotArea type="topRight" dataOnly="0" labelOnly="1" outline="0" fieldPosition="0"/>
    </format>
    <format dxfId="129">
      <pivotArea field="5" type="button" dataOnly="0" labelOnly="1" outline="0" axis="axisRow" fieldPosition="0"/>
    </format>
    <format dxfId="130">
      <pivotArea dataOnly="0" labelOnly="1" fieldPosition="0">
        <references count="1">
          <reference field="6" count="0"/>
        </references>
      </pivotArea>
    </format>
    <format dxfId="131">
      <pivotArea dataOnly="0" labelOnly="1" grandCol="1" outline="0" fieldPosition="0"/>
    </format>
    <format dxfId="132">
      <pivotArea type="origin" dataOnly="0" labelOnly="1" outline="0" fieldPosition="0"/>
    </format>
  </formats>
  <chartFormats count="4">
    <chartFormat chart="6" format="2" series="1">
      <pivotArea type="data" outline="0" fieldPosition="0">
        <references count="1">
          <reference field="6" count="1" selected="0">
            <x v="0"/>
          </reference>
        </references>
      </pivotArea>
    </chartFormat>
    <chartFormat chart="6" format="3" series="1">
      <pivotArea type="data" outline="0" fieldPosition="0">
        <references count="1">
          <reference field="6" count="1" selected="0">
            <x v="1"/>
          </reference>
        </references>
      </pivotArea>
    </chartFormat>
    <chartFormat chart="8" format="26" series="1">
      <pivotArea type="data" outline="0" fieldPosition="0">
        <references count="2">
          <reference field="4294967294" count="1" selected="0">
            <x v="0"/>
          </reference>
          <reference field="6" count="1" selected="0">
            <x v="0"/>
          </reference>
        </references>
      </pivotArea>
    </chartFormat>
    <chartFormat chart="8" format="27"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982F08-B70D-4131-AA65-3826F5313C85}" name="Tableau croisé dynamique2" cacheId="69"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V3:BM18" firstHeaderRow="1" firstDataRow="3" firstDataCol="1" rowPageCount="1" colPageCount="1"/>
  <pivotFields count="36">
    <pivotField showAll="0"/>
    <pivotField showAll="0"/>
    <pivotField showAll="0">
      <items count="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showAll="0"/>
    <pivotField showAll="0"/>
    <pivotField axis="axisCol" showAll="0">
      <items count="17">
        <item x="10"/>
        <item x="8"/>
        <item x="5"/>
        <item x="9"/>
        <item x="2"/>
        <item x="7"/>
        <item x="3"/>
        <item x="0"/>
        <item x="4"/>
        <item x="11"/>
        <item x="1"/>
        <item x="6"/>
        <item x="15"/>
        <item x="14"/>
        <item x="12"/>
        <item x="13"/>
        <item t="default"/>
      </items>
    </pivotField>
    <pivotField axis="axisCol" showAll="0">
      <items count="3">
        <item x="0"/>
        <item x="1"/>
        <item t="default"/>
      </items>
    </pivotField>
    <pivotField showAll="0"/>
    <pivotField showAll="0"/>
    <pivotField showAll="0"/>
    <pivotField showAll="0"/>
    <pivotField axis="axisPage" dataField="1" showAll="0">
      <items count="38">
        <item x="33"/>
        <item x="2"/>
        <item x="22"/>
        <item x="20"/>
        <item x="7"/>
        <item x="25"/>
        <item x="14"/>
        <item x="32"/>
        <item x="16"/>
        <item x="29"/>
        <item x="23"/>
        <item x="21"/>
        <item x="0"/>
        <item x="13"/>
        <item x="11"/>
        <item x="15"/>
        <item x="12"/>
        <item x="8"/>
        <item x="24"/>
        <item x="1"/>
        <item x="17"/>
        <item x="30"/>
        <item x="6"/>
        <item x="10"/>
        <item x="26"/>
        <item x="3"/>
        <item x="18"/>
        <item x="9"/>
        <item x="28"/>
        <item x="27"/>
        <item x="4"/>
        <item x="31"/>
        <item x="19"/>
        <item x="5"/>
        <item m="1" x="36"/>
        <item m="1" x="35"/>
        <item m="1"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35"/>
    <field x="34"/>
  </rowFields>
  <rowItems count="13">
    <i>
      <x v="1"/>
    </i>
    <i r="1">
      <x v="2"/>
    </i>
    <i r="1">
      <x v="3"/>
    </i>
    <i r="1">
      <x v="4"/>
    </i>
    <i r="1">
      <x v="5"/>
    </i>
    <i r="1">
      <x v="8"/>
    </i>
    <i r="1">
      <x v="9"/>
    </i>
    <i r="1">
      <x v="10"/>
    </i>
    <i r="1">
      <x v="11"/>
    </i>
    <i>
      <x v="2"/>
    </i>
    <i r="1">
      <x v="6"/>
    </i>
    <i r="1">
      <x v="8"/>
    </i>
    <i t="grand">
      <x/>
    </i>
  </rowItems>
  <colFields count="2">
    <field x="5"/>
    <field x="6"/>
  </colFields>
  <colItems count="17">
    <i>
      <x v="2"/>
      <x/>
    </i>
    <i r="1">
      <x v="1"/>
    </i>
    <i t="default">
      <x v="2"/>
    </i>
    <i>
      <x v="3"/>
      <x v="1"/>
    </i>
    <i t="default">
      <x v="3"/>
    </i>
    <i>
      <x v="4"/>
      <x v="1"/>
    </i>
    <i t="default">
      <x v="4"/>
    </i>
    <i>
      <x v="5"/>
      <x/>
    </i>
    <i t="default">
      <x v="5"/>
    </i>
    <i>
      <x v="6"/>
      <x v="1"/>
    </i>
    <i t="default">
      <x v="6"/>
    </i>
    <i>
      <x v="7"/>
      <x v="1"/>
    </i>
    <i t="default">
      <x v="7"/>
    </i>
    <i>
      <x v="8"/>
      <x/>
    </i>
    <i r="1">
      <x v="1"/>
    </i>
    <i t="default">
      <x v="8"/>
    </i>
    <i t="grand">
      <x/>
    </i>
  </colItems>
  <pageFields count="1">
    <pageField fld="11" item="28" hier="-1"/>
  </pageFields>
  <dataFields count="1">
    <dataField name="Nombre de Intervall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A259D9-FC93-4143-82C0-43D733E5C8FC}" name="Tableau croisé dynamique1" cacheId="69"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F17" firstHeaderRow="1" firstDataRow="2" firstDataCol="1" rowPageCount="1" colPageCount="1"/>
  <pivotFields count="36">
    <pivotField showAll="0"/>
    <pivotField showAll="0"/>
    <pivotField showAll="0">
      <items count="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showAll="0"/>
    <pivotField showAll="0"/>
    <pivotField showAll="0"/>
    <pivotField showAll="0"/>
    <pivotField showAll="0"/>
    <pivotField showAll="0"/>
    <pivotField showAll="0"/>
    <pivotField showAll="0"/>
    <pivotField axis="axisPage" dataField="1" showAll="0">
      <items count="38">
        <item x="33"/>
        <item x="2"/>
        <item x="22"/>
        <item x="20"/>
        <item x="7"/>
        <item x="25"/>
        <item x="14"/>
        <item x="32"/>
        <item x="16"/>
        <item x="29"/>
        <item x="23"/>
        <item x="21"/>
        <item x="0"/>
        <item x="13"/>
        <item x="11"/>
        <item x="15"/>
        <item x="12"/>
        <item x="8"/>
        <item x="24"/>
        <item x="1"/>
        <item x="17"/>
        <item x="30"/>
        <item x="6"/>
        <item x="10"/>
        <item x="26"/>
        <item x="3"/>
        <item x="18"/>
        <item x="9"/>
        <item x="28"/>
        <item x="27"/>
        <item x="4"/>
        <item x="31"/>
        <item x="19"/>
        <item x="5"/>
        <item m="1" x="36"/>
        <item m="1" x="35"/>
        <item m="1" x="34"/>
        <item t="default"/>
      </items>
    </pivotField>
    <pivotField showAll="0"/>
    <pivotField showAll="0"/>
    <pivotField showAll="0"/>
    <pivotField showAll="0"/>
    <pivotField axis="axisCol" showAll="0">
      <items count="17">
        <item m="1" x="14"/>
        <item x="10"/>
        <item x="0"/>
        <item x="2"/>
        <item x="9"/>
        <item m="1" x="15"/>
        <item x="1"/>
        <item x="8"/>
        <item x="11"/>
        <item x="7"/>
        <item x="5"/>
        <item x="3"/>
        <item x="6"/>
        <item x="4"/>
        <item m="1" x="12"/>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35"/>
    <field x="34"/>
  </rowFields>
  <rowItems count="13">
    <i>
      <x v="1"/>
    </i>
    <i r="1">
      <x v="2"/>
    </i>
    <i r="1">
      <x v="3"/>
    </i>
    <i r="1">
      <x v="4"/>
    </i>
    <i r="1">
      <x v="5"/>
    </i>
    <i r="1">
      <x v="8"/>
    </i>
    <i r="1">
      <x v="9"/>
    </i>
    <i r="1">
      <x v="10"/>
    </i>
    <i r="1">
      <x v="11"/>
    </i>
    <i>
      <x v="2"/>
    </i>
    <i r="1">
      <x v="6"/>
    </i>
    <i r="1">
      <x v="8"/>
    </i>
    <i t="grand">
      <x/>
    </i>
  </rowItems>
  <colFields count="1">
    <field x="16"/>
  </colFields>
  <colItems count="5">
    <i>
      <x v="2"/>
    </i>
    <i>
      <x v="3"/>
    </i>
    <i>
      <x v="6"/>
    </i>
    <i>
      <x v="11"/>
    </i>
    <i t="grand">
      <x/>
    </i>
  </colItems>
  <pageFields count="1">
    <pageField fld="11" item="28" hier="-1"/>
  </pageFields>
  <dataFields count="1">
    <dataField name="Nombre de Intervall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A565CD-079B-4D9D-AA6D-81C999806FB0}" name="Tableau croisé dynamique3" cacheId="69"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W5:AJ543" firstHeaderRow="1" firstDataRow="2" firstDataCol="1"/>
  <pivotFields count="36">
    <pivotField showAll="0"/>
    <pivotField showAll="0"/>
    <pivotField axis="axisRow" multipleItemSelectionAllowed="1" showAll="0">
      <items count="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axis="axisCol" showAll="0">
      <items count="17">
        <item m="1" x="14"/>
        <item x="10"/>
        <item x="0"/>
        <item x="2"/>
        <item x="9"/>
        <item m="1" x="15"/>
        <item x="1"/>
        <item x="8"/>
        <item x="11"/>
        <item x="7"/>
        <item x="5"/>
        <item x="3"/>
        <item x="6"/>
        <item x="4"/>
        <item m="1" x="12"/>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35"/>
    <field x="34"/>
    <field x="2"/>
  </rowFields>
  <rowItems count="537">
    <i>
      <x v="1"/>
    </i>
    <i r="1">
      <x v="1"/>
    </i>
    <i r="2">
      <x/>
    </i>
    <i r="2">
      <x v="1"/>
    </i>
    <i r="2">
      <x v="2"/>
    </i>
    <i r="2">
      <x v="3"/>
    </i>
    <i r="2">
      <x v="4"/>
    </i>
    <i r="2">
      <x v="5"/>
    </i>
    <i r="2">
      <x v="6"/>
    </i>
    <i r="2">
      <x v="7"/>
    </i>
    <i r="2">
      <x v="8"/>
    </i>
    <i r="2">
      <x v="9"/>
    </i>
    <i r="2">
      <x v="10"/>
    </i>
    <i r="2">
      <x v="11"/>
    </i>
    <i r="2">
      <x v="12"/>
    </i>
    <i r="2">
      <x v="13"/>
    </i>
    <i r="2">
      <x v="14"/>
    </i>
    <i r="2">
      <x v="15"/>
    </i>
    <i r="2">
      <x v="16"/>
    </i>
    <i r="1">
      <x v="2"/>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1">
      <x v="3"/>
    </i>
    <i r="2">
      <x v="40"/>
    </i>
    <i r="2">
      <x v="41"/>
    </i>
    <i r="2">
      <x v="42"/>
    </i>
    <i r="2">
      <x v="43"/>
    </i>
    <i r="2">
      <x v="44"/>
    </i>
    <i r="2">
      <x v="45"/>
    </i>
    <i r="2">
      <x v="46"/>
    </i>
    <i r="2">
      <x v="47"/>
    </i>
    <i r="2">
      <x v="48"/>
    </i>
    <i r="2">
      <x v="49"/>
    </i>
    <i r="2">
      <x v="50"/>
    </i>
    <i r="2">
      <x v="51"/>
    </i>
    <i r="2">
      <x v="52"/>
    </i>
    <i r="2">
      <x v="53"/>
    </i>
    <i r="2">
      <x v="54"/>
    </i>
    <i r="2">
      <x v="55"/>
    </i>
    <i r="2">
      <x v="56"/>
    </i>
    <i r="2">
      <x v="57"/>
    </i>
    <i r="2">
      <x v="58"/>
    </i>
    <i r="2">
      <x v="59"/>
    </i>
    <i r="2">
      <x v="60"/>
    </i>
    <i r="1">
      <x v="4"/>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1">
      <x v="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1">
      <x v="6"/>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2">
      <x v="153"/>
    </i>
    <i r="1">
      <x v="7"/>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2">
      <x v="183"/>
    </i>
    <i r="2">
      <x v="184"/>
    </i>
    <i r="1">
      <x v="8"/>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1">
      <x v="9"/>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1">
      <x v="10"/>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1">
      <x v="11"/>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1">
      <x v="12"/>
    </i>
    <i r="2">
      <x v="303"/>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x v="2"/>
    </i>
    <i r="1">
      <x v="1"/>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1">
      <x v="2"/>
    </i>
    <i r="2">
      <x v="356"/>
    </i>
    <i r="2">
      <x v="357"/>
    </i>
    <i r="2">
      <x v="358"/>
    </i>
    <i r="2">
      <x v="359"/>
    </i>
    <i r="2">
      <x v="360"/>
    </i>
    <i r="2">
      <x v="361"/>
    </i>
    <i r="2">
      <x v="362"/>
    </i>
    <i r="2">
      <x v="363"/>
    </i>
    <i r="2">
      <x v="364"/>
    </i>
    <i r="2">
      <x v="365"/>
    </i>
    <i r="2">
      <x v="366"/>
    </i>
    <i r="2">
      <x v="367"/>
    </i>
    <i r="2">
      <x v="368"/>
    </i>
    <i r="2">
      <x v="369"/>
    </i>
    <i r="2">
      <x v="370"/>
    </i>
    <i r="2">
      <x v="371"/>
    </i>
    <i r="2">
      <x v="372"/>
    </i>
    <i r="2">
      <x v="373"/>
    </i>
    <i r="2">
      <x v="374"/>
    </i>
    <i r="2">
      <x v="375"/>
    </i>
    <i r="2">
      <x v="376"/>
    </i>
    <i r="2">
      <x v="377"/>
    </i>
    <i r="1">
      <x v="3"/>
    </i>
    <i r="2">
      <x v="378"/>
    </i>
    <i r="2">
      <x v="379"/>
    </i>
    <i r="2">
      <x v="380"/>
    </i>
    <i r="2">
      <x v="381"/>
    </i>
    <i r="2">
      <x v="382"/>
    </i>
    <i r="2">
      <x v="383"/>
    </i>
    <i r="2">
      <x v="384"/>
    </i>
    <i r="2">
      <x v="385"/>
    </i>
    <i r="2">
      <x v="386"/>
    </i>
    <i r="2">
      <x v="387"/>
    </i>
    <i r="2">
      <x v="388"/>
    </i>
    <i r="2">
      <x v="389"/>
    </i>
    <i r="2">
      <x v="390"/>
    </i>
    <i r="2">
      <x v="391"/>
    </i>
    <i r="2">
      <x v="392"/>
    </i>
    <i r="2">
      <x v="393"/>
    </i>
    <i r="2">
      <x v="394"/>
    </i>
    <i r="2">
      <x v="395"/>
    </i>
    <i r="1">
      <x v="4"/>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1">
      <x v="5"/>
    </i>
    <i r="2">
      <x v="420"/>
    </i>
    <i r="2">
      <x v="421"/>
    </i>
    <i r="2">
      <x v="422"/>
    </i>
    <i r="2">
      <x v="423"/>
    </i>
    <i r="2">
      <x v="424"/>
    </i>
    <i r="2">
      <x v="425"/>
    </i>
    <i r="2">
      <x v="426"/>
    </i>
    <i r="2">
      <x v="427"/>
    </i>
    <i r="2">
      <x v="428"/>
    </i>
    <i r="2">
      <x v="429"/>
    </i>
    <i r="2">
      <x v="430"/>
    </i>
    <i r="2">
      <x v="431"/>
    </i>
    <i r="2">
      <x v="432"/>
    </i>
    <i r="2">
      <x v="433"/>
    </i>
    <i r="2">
      <x v="434"/>
    </i>
    <i r="2">
      <x v="435"/>
    </i>
    <i r="2">
      <x v="436"/>
    </i>
    <i r="2">
      <x v="437"/>
    </i>
    <i r="2">
      <x v="438"/>
    </i>
    <i r="2">
      <x v="439"/>
    </i>
    <i r="2">
      <x v="440"/>
    </i>
    <i r="2">
      <x v="441"/>
    </i>
    <i r="1">
      <x v="6"/>
    </i>
    <i r="2">
      <x v="442"/>
    </i>
    <i r="2">
      <x v="443"/>
    </i>
    <i r="2">
      <x v="444"/>
    </i>
    <i r="2">
      <x v="445"/>
    </i>
    <i r="2">
      <x v="446"/>
    </i>
    <i r="2">
      <x v="447"/>
    </i>
    <i r="2">
      <x v="448"/>
    </i>
    <i r="2">
      <x v="449"/>
    </i>
    <i r="2">
      <x v="450"/>
    </i>
    <i r="2">
      <x v="451"/>
    </i>
    <i r="2">
      <x v="452"/>
    </i>
    <i r="2">
      <x v="453"/>
    </i>
    <i r="2">
      <x v="454"/>
    </i>
    <i r="2">
      <x v="455"/>
    </i>
    <i r="2">
      <x v="456"/>
    </i>
    <i r="2">
      <x v="457"/>
    </i>
    <i r="2">
      <x v="458"/>
    </i>
    <i r="2">
      <x v="459"/>
    </i>
    <i r="2">
      <x v="460"/>
    </i>
    <i r="2">
      <x v="461"/>
    </i>
    <i r="1">
      <x v="7"/>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2">
      <x v="484"/>
    </i>
    <i r="2">
      <x v="485"/>
    </i>
    <i r="2">
      <x v="486"/>
    </i>
    <i r="2">
      <x v="487"/>
    </i>
    <i r="2">
      <x v="488"/>
    </i>
    <i r="2">
      <x v="489"/>
    </i>
    <i r="1">
      <x v="8"/>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2">
      <x v="511"/>
    </i>
    <i r="2">
      <x v="512"/>
    </i>
    <i r="2">
      <x v="513"/>
    </i>
    <i t="grand">
      <x/>
    </i>
  </rowItems>
  <colFields count="1">
    <field x="16"/>
  </colFields>
  <colItems count="13">
    <i>
      <x v="1"/>
    </i>
    <i>
      <x v="2"/>
    </i>
    <i>
      <x v="3"/>
    </i>
    <i>
      <x v="4"/>
    </i>
    <i>
      <x v="6"/>
    </i>
    <i>
      <x v="7"/>
    </i>
    <i>
      <x v="8"/>
    </i>
    <i>
      <x v="9"/>
    </i>
    <i>
      <x v="10"/>
    </i>
    <i>
      <x v="11"/>
    </i>
    <i>
      <x v="12"/>
    </i>
    <i>
      <x v="13"/>
    </i>
    <i t="grand">
      <x/>
    </i>
  </colItems>
  <dataFields count="1">
    <dataField name="Nombre de Intervall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AI3008"/>
  <sheetViews>
    <sheetView tabSelected="1" topLeftCell="S1588" zoomScale="85" zoomScaleNormal="85" workbookViewId="0">
      <selection activeCell="AA1595" sqref="AA1595"/>
    </sheetView>
  </sheetViews>
  <sheetFormatPr defaultColWidth="15" defaultRowHeight="15"/>
  <cols>
    <col min="1" max="1" width="10.28515625" style="90" customWidth="1"/>
    <col min="2" max="2" width="21" style="90" customWidth="1"/>
    <col min="3" max="3" width="13" style="90" bestFit="1" customWidth="1"/>
    <col min="4" max="4" width="17.28515625" style="90" bestFit="1" customWidth="1"/>
    <col min="5" max="5" width="13.7109375" style="90" customWidth="1"/>
    <col min="6" max="6" width="11" style="90" bestFit="1" customWidth="1"/>
    <col min="7" max="7" width="18" style="90" bestFit="1" customWidth="1"/>
    <col min="8" max="8" width="12" style="90" customWidth="1"/>
    <col min="9" max="9" width="0.28515625" style="92" hidden="1" customWidth="1"/>
    <col min="10" max="10" width="12.5703125" style="95" bestFit="1" customWidth="1"/>
    <col min="11" max="11" width="13.140625" style="90" customWidth="1"/>
    <col min="12" max="12" width="14.7109375" style="90" bestFit="1" customWidth="1"/>
    <col min="13" max="13" width="17.42578125" style="90" bestFit="1" customWidth="1"/>
    <col min="14" max="14" width="23.28515625" style="90" bestFit="1" customWidth="1"/>
    <col min="15" max="15" width="72.28515625" style="93" customWidth="1"/>
    <col min="16" max="16" width="30.5703125" style="93" hidden="1" customWidth="1"/>
    <col min="17" max="17" width="29.5703125" style="90" bestFit="1" customWidth="1"/>
    <col min="18" max="18" width="53.28515625" style="90" customWidth="1"/>
    <col min="19" max="19" width="73.5703125" style="90" bestFit="1" customWidth="1"/>
    <col min="20" max="20" width="34.7109375" style="90" bestFit="1" customWidth="1"/>
    <col min="21" max="21" width="35.42578125" style="90" bestFit="1" customWidth="1"/>
    <col min="22" max="22" width="34.7109375" style="90" bestFit="1" customWidth="1"/>
    <col min="23" max="23" width="18.7109375" style="90" bestFit="1" customWidth="1"/>
    <col min="24" max="24" width="10.42578125" style="90" bestFit="1" customWidth="1"/>
    <col min="25" max="25" width="42" style="90" bestFit="1" customWidth="1"/>
    <col min="26" max="26" width="7.85546875" style="90" hidden="1" customWidth="1"/>
    <col min="27" max="27" width="22.28515625" style="90" bestFit="1" customWidth="1"/>
    <col min="28" max="28" width="10" style="90" hidden="1" customWidth="1"/>
    <col min="29" max="29" width="11.140625" style="90" hidden="1" customWidth="1"/>
    <col min="30" max="30" width="33.42578125" style="90" hidden="1" customWidth="1"/>
    <col min="31" max="31" width="14.28515625" style="90" hidden="1" customWidth="1"/>
    <col min="32" max="32" width="14" style="90" hidden="1" customWidth="1"/>
    <col min="33" max="33" width="11" style="90" hidden="1" customWidth="1"/>
    <col min="34" max="34" width="14.7109375" style="90" hidden="1" customWidth="1"/>
    <col min="35" max="35" width="0" style="90" hidden="1" customWidth="1"/>
    <col min="36" max="16384" width="15" style="90"/>
  </cols>
  <sheetData>
    <row r="1" spans="1:34" s="178" customFormat="1">
      <c r="A1" s="154" t="s">
        <v>0</v>
      </c>
      <c r="B1" s="154" t="s">
        <v>1</v>
      </c>
      <c r="C1" s="155" t="s">
        <v>2</v>
      </c>
      <c r="D1" s="156" t="s">
        <v>3</v>
      </c>
      <c r="E1" s="157" t="s">
        <v>4</v>
      </c>
      <c r="F1" s="158" t="s">
        <v>5</v>
      </c>
      <c r="G1" s="158" t="s">
        <v>6</v>
      </c>
      <c r="H1" s="195" t="s">
        <v>7</v>
      </c>
      <c r="I1" s="154" t="s">
        <v>8</v>
      </c>
      <c r="J1" s="158" t="s">
        <v>9</v>
      </c>
      <c r="K1" s="159" t="s">
        <v>10</v>
      </c>
      <c r="L1" s="159" t="s">
        <v>11</v>
      </c>
      <c r="M1" s="159" t="s">
        <v>12</v>
      </c>
      <c r="N1" s="159" t="s">
        <v>13</v>
      </c>
      <c r="O1" s="192" t="s">
        <v>14</v>
      </c>
      <c r="P1" s="192" t="s">
        <v>15</v>
      </c>
      <c r="Q1" s="158" t="s">
        <v>16</v>
      </c>
      <c r="R1" s="158" t="s">
        <v>17</v>
      </c>
      <c r="S1" s="196" t="s">
        <v>18</v>
      </c>
      <c r="T1" s="196" t="s">
        <v>19</v>
      </c>
      <c r="U1" s="196" t="s">
        <v>20</v>
      </c>
      <c r="V1" s="196" t="s">
        <v>21</v>
      </c>
      <c r="W1" s="196" t="s">
        <v>22</v>
      </c>
      <c r="X1" s="196" t="s">
        <v>23</v>
      </c>
      <c r="Y1" s="196" t="s">
        <v>24</v>
      </c>
      <c r="Z1" s="196" t="s">
        <v>25</v>
      </c>
      <c r="AA1" s="196" t="s">
        <v>26</v>
      </c>
      <c r="AB1" s="197" t="s">
        <v>27</v>
      </c>
      <c r="AC1" s="197" t="s">
        <v>28</v>
      </c>
      <c r="AD1" s="197" t="s">
        <v>29</v>
      </c>
      <c r="AE1" s="197" t="s">
        <v>30</v>
      </c>
      <c r="AF1" s="197" t="s">
        <v>31</v>
      </c>
      <c r="AG1" s="158" t="s">
        <v>32</v>
      </c>
      <c r="AH1" s="198" t="s">
        <v>33</v>
      </c>
    </row>
    <row r="2" spans="1:34" ht="30">
      <c r="A2" s="120">
        <v>1</v>
      </c>
      <c r="B2" s="120" t="b">
        <f t="shared" ref="B2:B65" ca="1" si="0">AND(C2&gt;=TODAY()-7, C2&lt;=TODAY()-1)</f>
        <v>0</v>
      </c>
      <c r="C2" s="131">
        <v>45297</v>
      </c>
      <c r="D2" s="123">
        <v>0.38918981481481479</v>
      </c>
      <c r="E2" s="91">
        <v>2013</v>
      </c>
      <c r="F2" s="91">
        <v>1208</v>
      </c>
      <c r="G2" s="91" t="s">
        <v>34</v>
      </c>
      <c r="H2" s="91">
        <v>1037</v>
      </c>
      <c r="I2" s="132">
        <v>35214500045488</v>
      </c>
      <c r="J2" s="91" t="s">
        <v>35</v>
      </c>
      <c r="K2" s="91">
        <v>68.956000000000003</v>
      </c>
      <c r="L2" s="133" t="str">
        <f>VLOOKUP(K2,Liste!$L$2:$O$34,4,1)</f>
        <v>GSMR_12/13</v>
      </c>
      <c r="M2" s="133" t="s">
        <v>36</v>
      </c>
      <c r="N2" s="180" t="s">
        <v>37</v>
      </c>
      <c r="O2" s="125" t="s">
        <v>38</v>
      </c>
      <c r="P2" s="125"/>
      <c r="Q2" s="134" t="s">
        <v>39</v>
      </c>
      <c r="R2" s="124"/>
      <c r="S2" s="91" t="s">
        <v>40</v>
      </c>
      <c r="T2" s="91" t="s">
        <v>41</v>
      </c>
      <c r="U2" s="91" t="s">
        <v>42</v>
      </c>
      <c r="V2" s="91" t="s">
        <v>43</v>
      </c>
      <c r="W2" s="134" t="s">
        <v>43</v>
      </c>
      <c r="X2" s="94" t="s">
        <v>44</v>
      </c>
      <c r="Y2" s="91" t="s">
        <v>45</v>
      </c>
      <c r="Z2" s="91"/>
      <c r="AA2" s="91"/>
      <c r="AB2" s="91"/>
      <c r="AC2" s="91"/>
      <c r="AD2" s="91"/>
      <c r="AE2" s="91"/>
      <c r="AF2" s="91"/>
      <c r="AG2" s="91"/>
      <c r="AH2" s="91"/>
    </row>
    <row r="3" spans="1:34" customFormat="1" ht="30">
      <c r="A3" s="120">
        <v>2</v>
      </c>
      <c r="B3" s="120" t="b">
        <f t="shared" ca="1" si="0"/>
        <v>0</v>
      </c>
      <c r="C3" s="131">
        <v>45301</v>
      </c>
      <c r="D3" s="123">
        <v>0.43631944444444443</v>
      </c>
      <c r="E3" s="91">
        <v>2017</v>
      </c>
      <c r="F3" s="91">
        <v>1211</v>
      </c>
      <c r="G3" s="91" t="s">
        <v>34</v>
      </c>
      <c r="H3" s="91">
        <v>1029</v>
      </c>
      <c r="I3" s="132">
        <v>35214500045449</v>
      </c>
      <c r="J3" s="91" t="s">
        <v>35</v>
      </c>
      <c r="K3" s="91">
        <v>108.206</v>
      </c>
      <c r="L3" s="133" t="str">
        <f>VLOOKUP(K3,Liste!$L$2:$O$34,4,1)</f>
        <v>GSMR_19/20</v>
      </c>
      <c r="M3" s="133" t="s">
        <v>36</v>
      </c>
      <c r="N3" s="180" t="s">
        <v>37</v>
      </c>
      <c r="O3" s="125" t="s">
        <v>46</v>
      </c>
      <c r="P3" s="126"/>
      <c r="Q3" s="124" t="s">
        <v>47</v>
      </c>
      <c r="R3" s="124" t="s">
        <v>48</v>
      </c>
      <c r="S3" s="91" t="s">
        <v>49</v>
      </c>
      <c r="T3" s="91" t="s">
        <v>41</v>
      </c>
      <c r="U3" s="91" t="s">
        <v>50</v>
      </c>
      <c r="V3" s="91" t="s">
        <v>43</v>
      </c>
      <c r="W3" s="134" t="s">
        <v>51</v>
      </c>
      <c r="X3" s="94" t="s">
        <v>52</v>
      </c>
      <c r="Y3" s="91" t="s">
        <v>45</v>
      </c>
      <c r="Z3" s="91"/>
      <c r="AA3" s="91"/>
      <c r="AB3" s="91"/>
      <c r="AC3" s="91"/>
      <c r="AD3" s="91"/>
      <c r="AE3" s="91"/>
      <c r="AF3" s="91"/>
      <c r="AG3" s="91"/>
      <c r="AH3" s="91"/>
    </row>
    <row r="4" spans="1:34" customFormat="1" ht="30">
      <c r="A4" s="120">
        <v>3</v>
      </c>
      <c r="B4" s="120" t="b">
        <f t="shared" ca="1" si="0"/>
        <v>0</v>
      </c>
      <c r="C4" s="131">
        <v>45301</v>
      </c>
      <c r="D4" s="123">
        <v>0.33729166666666666</v>
      </c>
      <c r="E4" s="91">
        <v>2009</v>
      </c>
      <c r="F4" s="91">
        <v>1205</v>
      </c>
      <c r="G4" s="91" t="s">
        <v>34</v>
      </c>
      <c r="H4" s="91">
        <v>7217</v>
      </c>
      <c r="I4" s="132">
        <v>35214500044557</v>
      </c>
      <c r="J4" s="91" t="s">
        <v>35</v>
      </c>
      <c r="K4" s="152">
        <v>6.13</v>
      </c>
      <c r="L4" s="133" t="str">
        <f>VLOOKUP(K4,Liste!$L$2:$O$34,4,1)</f>
        <v>GSMR_02/03</v>
      </c>
      <c r="M4" s="133" t="s">
        <v>36</v>
      </c>
      <c r="N4" s="180" t="s">
        <v>37</v>
      </c>
      <c r="O4" s="125" t="s">
        <v>53</v>
      </c>
      <c r="P4" s="126"/>
      <c r="Q4" s="94" t="s">
        <v>54</v>
      </c>
      <c r="R4" s="124"/>
      <c r="S4" s="91" t="s">
        <v>55</v>
      </c>
      <c r="T4" s="91" t="s">
        <v>56</v>
      </c>
      <c r="U4" s="91" t="s">
        <v>57</v>
      </c>
      <c r="V4" s="91" t="s">
        <v>43</v>
      </c>
      <c r="W4" s="134" t="s">
        <v>51</v>
      </c>
      <c r="X4" s="94" t="s">
        <v>52</v>
      </c>
      <c r="Y4" s="91" t="s">
        <v>45</v>
      </c>
      <c r="Z4" s="91"/>
      <c r="AA4" s="91"/>
      <c r="AB4" s="91"/>
      <c r="AC4" s="91"/>
      <c r="AD4" s="91"/>
      <c r="AE4" s="91"/>
      <c r="AF4" s="91"/>
      <c r="AG4" s="91"/>
      <c r="AH4" s="91"/>
    </row>
    <row r="5" spans="1:34" customFormat="1" ht="30">
      <c r="A5" s="120">
        <v>4</v>
      </c>
      <c r="B5" s="120" t="b">
        <f t="shared" ca="1" si="0"/>
        <v>0</v>
      </c>
      <c r="C5" s="131">
        <v>45302</v>
      </c>
      <c r="D5" s="123">
        <v>0.67072916666666671</v>
      </c>
      <c r="E5" s="91">
        <v>2041</v>
      </c>
      <c r="F5" s="94">
        <v>1207</v>
      </c>
      <c r="G5" s="91" t="s">
        <v>34</v>
      </c>
      <c r="H5" s="91">
        <v>1046</v>
      </c>
      <c r="I5" s="132">
        <v>35214500038730</v>
      </c>
      <c r="J5" s="91" t="s">
        <v>35</v>
      </c>
      <c r="K5" s="152">
        <v>6.13</v>
      </c>
      <c r="L5" s="133" t="str">
        <f>VLOOKUP(K5,Liste!$L$2:$O$34,4,1)</f>
        <v>GSMR_02/03</v>
      </c>
      <c r="M5" s="133" t="s">
        <v>36</v>
      </c>
      <c r="N5" s="181" t="s">
        <v>58</v>
      </c>
      <c r="O5" s="125" t="s">
        <v>59</v>
      </c>
      <c r="P5" s="126"/>
      <c r="Q5" s="124" t="s">
        <v>47</v>
      </c>
      <c r="R5" s="134" t="s">
        <v>60</v>
      </c>
      <c r="S5" s="91" t="s">
        <v>61</v>
      </c>
      <c r="T5" s="91" t="s">
        <v>56</v>
      </c>
      <c r="U5" s="91" t="s">
        <v>57</v>
      </c>
      <c r="V5" s="91" t="s">
        <v>43</v>
      </c>
      <c r="W5" s="134" t="s">
        <v>51</v>
      </c>
      <c r="X5" s="94" t="s">
        <v>44</v>
      </c>
      <c r="Y5" s="91" t="s">
        <v>45</v>
      </c>
      <c r="Z5" s="91"/>
      <c r="AA5" s="91"/>
      <c r="AB5" s="91"/>
      <c r="AC5" s="91"/>
      <c r="AD5" s="91"/>
      <c r="AE5" s="91"/>
      <c r="AF5" s="91"/>
      <c r="AG5" s="91"/>
      <c r="AH5" s="91"/>
    </row>
    <row r="6" spans="1:34" customFormat="1" ht="30">
      <c r="A6" s="120">
        <v>5</v>
      </c>
      <c r="B6" s="120" t="b">
        <f t="shared" ca="1" si="0"/>
        <v>0</v>
      </c>
      <c r="C6" s="131">
        <v>45304</v>
      </c>
      <c r="D6" s="123">
        <v>0.60820601851851852</v>
      </c>
      <c r="E6" s="91">
        <v>2033</v>
      </c>
      <c r="F6" s="94">
        <v>1209</v>
      </c>
      <c r="G6" s="91" t="s">
        <v>34</v>
      </c>
      <c r="H6" s="91">
        <v>7208</v>
      </c>
      <c r="I6" s="132">
        <v>35214500004427</v>
      </c>
      <c r="J6" s="91" t="s">
        <v>35</v>
      </c>
      <c r="K6" s="91">
        <v>147.876</v>
      </c>
      <c r="L6" s="133" t="str">
        <f>VLOOKUP(K6,Liste!$L$2:$O$34,4,1)</f>
        <v>GSMR_25/26</v>
      </c>
      <c r="M6" s="133" t="s">
        <v>36</v>
      </c>
      <c r="N6" s="180" t="s">
        <v>37</v>
      </c>
      <c r="O6" s="125" t="s">
        <v>62</v>
      </c>
      <c r="P6" s="126"/>
      <c r="Q6" s="94" t="s">
        <v>54</v>
      </c>
      <c r="R6" s="134" t="s">
        <v>63</v>
      </c>
      <c r="S6" s="91" t="s">
        <v>64</v>
      </c>
      <c r="T6" s="91" t="s">
        <v>56</v>
      </c>
      <c r="U6" s="91" t="s">
        <v>65</v>
      </c>
      <c r="V6" s="91" t="s">
        <v>43</v>
      </c>
      <c r="W6" s="134"/>
      <c r="X6" s="94" t="s">
        <v>44</v>
      </c>
      <c r="Y6" s="91" t="s">
        <v>66</v>
      </c>
      <c r="Z6" s="91"/>
      <c r="AA6" s="91"/>
      <c r="AB6" s="91"/>
      <c r="AC6" s="91"/>
      <c r="AD6" s="91"/>
      <c r="AE6" s="91"/>
      <c r="AF6" s="91"/>
      <c r="AG6" s="91"/>
      <c r="AH6" s="91"/>
    </row>
    <row r="7" spans="1:34" customFormat="1" ht="30">
      <c r="A7" s="120">
        <v>6</v>
      </c>
      <c r="B7" s="120" t="b">
        <f t="shared" ca="1" si="0"/>
        <v>0</v>
      </c>
      <c r="C7" s="135">
        <v>45307</v>
      </c>
      <c r="D7" s="123">
        <v>0.52515046296296297</v>
      </c>
      <c r="E7" s="91">
        <v>2025</v>
      </c>
      <c r="F7" s="94">
        <v>1207</v>
      </c>
      <c r="G7" s="91" t="s">
        <v>34</v>
      </c>
      <c r="H7" s="91">
        <v>1046</v>
      </c>
      <c r="I7" s="132">
        <v>35214500038730</v>
      </c>
      <c r="J7" s="91" t="s">
        <v>35</v>
      </c>
      <c r="K7" s="91">
        <v>147.876</v>
      </c>
      <c r="L7" s="133" t="str">
        <f>VLOOKUP(K7,Liste!$L$2:$O$34,4,1)</f>
        <v>GSMR_25/26</v>
      </c>
      <c r="M7" s="133" t="s">
        <v>36</v>
      </c>
      <c r="N7" s="180" t="s">
        <v>37</v>
      </c>
      <c r="O7" s="125" t="s">
        <v>67</v>
      </c>
      <c r="P7" s="126"/>
      <c r="Q7" s="94" t="s">
        <v>54</v>
      </c>
      <c r="R7" s="91"/>
      <c r="S7" s="91" t="s">
        <v>68</v>
      </c>
      <c r="T7" s="91" t="s">
        <v>69</v>
      </c>
      <c r="U7" s="91" t="s">
        <v>70</v>
      </c>
      <c r="V7" s="91" t="s">
        <v>43</v>
      </c>
      <c r="W7" s="134" t="s">
        <v>51</v>
      </c>
      <c r="X7" s="94" t="s">
        <v>44</v>
      </c>
      <c r="Y7" s="91" t="s">
        <v>45</v>
      </c>
      <c r="Z7" s="91"/>
      <c r="AA7" s="91"/>
      <c r="AB7" s="91"/>
      <c r="AC7" s="91"/>
      <c r="AD7" s="91"/>
      <c r="AE7" s="91"/>
      <c r="AF7" s="91"/>
      <c r="AG7" s="91"/>
      <c r="AH7" s="91"/>
    </row>
    <row r="8" spans="1:34" customFormat="1" ht="30">
      <c r="A8" s="120">
        <v>7</v>
      </c>
      <c r="B8" s="120" t="b">
        <f t="shared" ca="1" si="0"/>
        <v>0</v>
      </c>
      <c r="C8" s="135">
        <v>45308</v>
      </c>
      <c r="D8" s="123">
        <v>0.71152777777777776</v>
      </c>
      <c r="E8" s="91">
        <v>1037</v>
      </c>
      <c r="F8" s="91">
        <v>1203</v>
      </c>
      <c r="G8" s="91" t="s">
        <v>71</v>
      </c>
      <c r="H8" s="94">
        <v>1026</v>
      </c>
      <c r="I8" s="132">
        <v>35214500045083</v>
      </c>
      <c r="J8" s="91" t="s">
        <v>72</v>
      </c>
      <c r="K8" s="152">
        <v>7.3209999999999997</v>
      </c>
      <c r="L8" s="133" t="str">
        <f>VLOOKUP(K8,Liste!$L$2:$O$34,4,1)</f>
        <v>GSMR_02/03</v>
      </c>
      <c r="M8" s="133" t="s">
        <v>36</v>
      </c>
      <c r="N8" s="181" t="s">
        <v>58</v>
      </c>
      <c r="O8" s="125" t="s">
        <v>73</v>
      </c>
      <c r="P8" s="126"/>
      <c r="Q8" s="124" t="s">
        <v>47</v>
      </c>
      <c r="R8" s="91"/>
      <c r="S8" s="91" t="s">
        <v>74</v>
      </c>
      <c r="T8" s="91" t="s">
        <v>56</v>
      </c>
      <c r="U8" s="91" t="s">
        <v>75</v>
      </c>
      <c r="V8" s="91" t="s">
        <v>51</v>
      </c>
      <c r="W8" s="134" t="s">
        <v>51</v>
      </c>
      <c r="X8" s="94" t="s">
        <v>44</v>
      </c>
      <c r="Y8" s="91" t="s">
        <v>45</v>
      </c>
      <c r="Z8" s="91"/>
      <c r="AA8" s="91"/>
      <c r="AB8" s="91"/>
      <c r="AC8" s="91"/>
      <c r="AD8" s="91"/>
      <c r="AE8" s="91"/>
      <c r="AF8" s="91"/>
      <c r="AG8" s="91"/>
      <c r="AH8" s="91"/>
    </row>
    <row r="9" spans="1:34" customFormat="1" ht="30">
      <c r="A9" s="120">
        <v>8</v>
      </c>
      <c r="B9" s="120" t="b">
        <f t="shared" ca="1" si="0"/>
        <v>0</v>
      </c>
      <c r="C9" s="135">
        <v>45308</v>
      </c>
      <c r="D9" s="123">
        <v>0.44628472222222221</v>
      </c>
      <c r="E9" s="91">
        <v>2017</v>
      </c>
      <c r="F9" s="91">
        <v>1212</v>
      </c>
      <c r="G9" s="91" t="s">
        <v>34</v>
      </c>
      <c r="H9" s="91">
        <v>1057</v>
      </c>
      <c r="I9" s="132">
        <v>35214500045187</v>
      </c>
      <c r="J9" s="91" t="s">
        <v>35</v>
      </c>
      <c r="K9" s="91">
        <v>179.149</v>
      </c>
      <c r="L9" s="133" t="str">
        <f>VLOOKUP(K9,Liste!$L$2:$O$34,4,1)</f>
        <v>GSMR_30/31</v>
      </c>
      <c r="M9" s="133" t="s">
        <v>36</v>
      </c>
      <c r="N9" s="180" t="s">
        <v>37</v>
      </c>
      <c r="O9" s="125" t="s">
        <v>76</v>
      </c>
      <c r="P9" s="125"/>
      <c r="Q9" s="134" t="s">
        <v>39</v>
      </c>
      <c r="R9" s="91"/>
      <c r="S9" s="91" t="s">
        <v>77</v>
      </c>
      <c r="T9" s="91" t="s">
        <v>78</v>
      </c>
      <c r="U9" s="91" t="s">
        <v>79</v>
      </c>
      <c r="V9" s="91" t="s">
        <v>51</v>
      </c>
      <c r="W9" s="134" t="s">
        <v>51</v>
      </c>
      <c r="X9" s="94" t="s">
        <v>44</v>
      </c>
      <c r="Y9" s="91" t="s">
        <v>45</v>
      </c>
      <c r="Z9" s="91"/>
      <c r="AA9" s="91"/>
      <c r="AB9" s="91"/>
      <c r="AC9" s="91"/>
      <c r="AD9" s="91"/>
      <c r="AE9" s="91"/>
      <c r="AF9" s="91"/>
      <c r="AG9" s="91"/>
      <c r="AH9" s="91"/>
    </row>
    <row r="10" spans="1:34" customFormat="1" ht="30">
      <c r="A10" s="120">
        <v>9</v>
      </c>
      <c r="B10" s="120" t="b">
        <f t="shared" ca="1" si="0"/>
        <v>0</v>
      </c>
      <c r="C10" s="135">
        <v>45311</v>
      </c>
      <c r="D10" s="123">
        <v>0.6839467592592593</v>
      </c>
      <c r="E10" s="91">
        <v>1037</v>
      </c>
      <c r="F10" s="91">
        <v>1206</v>
      </c>
      <c r="G10" s="91" t="s">
        <v>71</v>
      </c>
      <c r="H10" s="91">
        <v>1040</v>
      </c>
      <c r="I10" s="132"/>
      <c r="J10" s="91" t="s">
        <v>72</v>
      </c>
      <c r="K10" s="91">
        <v>202.125</v>
      </c>
      <c r="L10" s="133" t="str">
        <f>VLOOKUP(K10,Liste!$L$2:$O$34,4,1)</f>
        <v>GSMR_33/RAC</v>
      </c>
      <c r="M10" s="133" t="s">
        <v>36</v>
      </c>
      <c r="N10" s="180" t="s">
        <v>37</v>
      </c>
      <c r="O10" s="125" t="s">
        <v>80</v>
      </c>
      <c r="P10" s="126"/>
      <c r="Q10" s="124" t="s">
        <v>47</v>
      </c>
      <c r="R10" s="91"/>
      <c r="S10" s="91" t="s">
        <v>81</v>
      </c>
      <c r="T10" s="91" t="s">
        <v>56</v>
      </c>
      <c r="U10" s="91" t="s">
        <v>82</v>
      </c>
      <c r="V10" s="91" t="s">
        <v>43</v>
      </c>
      <c r="W10" s="134" t="s">
        <v>51</v>
      </c>
      <c r="X10" s="94" t="s">
        <v>44</v>
      </c>
      <c r="Y10" s="91" t="s">
        <v>45</v>
      </c>
      <c r="Z10" s="91"/>
      <c r="AA10" s="91"/>
      <c r="AB10" s="91"/>
      <c r="AC10" s="91"/>
      <c r="AD10" s="91"/>
      <c r="AE10" s="91"/>
      <c r="AF10" s="91"/>
      <c r="AG10" s="91"/>
      <c r="AH10" s="91"/>
    </row>
    <row r="11" spans="1:34" customFormat="1" ht="30">
      <c r="A11" s="120">
        <v>10</v>
      </c>
      <c r="B11" s="120" t="b">
        <f t="shared" ca="1" si="0"/>
        <v>0</v>
      </c>
      <c r="C11" s="135">
        <v>45313</v>
      </c>
      <c r="D11" s="123">
        <v>0.86572916666666666</v>
      </c>
      <c r="E11" s="91"/>
      <c r="F11" s="91">
        <v>1202</v>
      </c>
      <c r="G11" s="91" t="s">
        <v>71</v>
      </c>
      <c r="H11" s="91">
        <v>1022</v>
      </c>
      <c r="I11" s="132">
        <v>35214500045326</v>
      </c>
      <c r="J11" s="91" t="s">
        <v>72</v>
      </c>
      <c r="K11" s="91">
        <v>127.815</v>
      </c>
      <c r="L11" s="133" t="str">
        <f>VLOOKUP(K11,Liste!$L$2:$O$34,4,1)</f>
        <v>GSMR_22/23</v>
      </c>
      <c r="M11" s="133" t="s">
        <v>36</v>
      </c>
      <c r="N11" s="180" t="s">
        <v>37</v>
      </c>
      <c r="O11" s="125" t="s">
        <v>83</v>
      </c>
      <c r="P11" s="126"/>
      <c r="Q11" s="124" t="s">
        <v>47</v>
      </c>
      <c r="R11" s="91"/>
      <c r="S11" s="91" t="s">
        <v>84</v>
      </c>
      <c r="T11" s="91" t="s">
        <v>56</v>
      </c>
      <c r="U11" s="91" t="s">
        <v>85</v>
      </c>
      <c r="V11" s="91" t="s">
        <v>51</v>
      </c>
      <c r="W11" s="134" t="s">
        <v>51</v>
      </c>
      <c r="X11" s="94" t="s">
        <v>86</v>
      </c>
      <c r="Y11" s="91" t="s">
        <v>45</v>
      </c>
      <c r="Z11" s="91"/>
      <c r="AA11" s="91"/>
      <c r="AB11" s="91"/>
      <c r="AC11" s="91"/>
      <c r="AD11" s="91"/>
      <c r="AE11" s="91"/>
      <c r="AF11" s="91"/>
      <c r="AG11" s="91"/>
      <c r="AH11" s="91"/>
    </row>
    <row r="12" spans="1:34" customFormat="1" ht="30">
      <c r="A12" s="120">
        <v>11</v>
      </c>
      <c r="B12" s="120" t="b">
        <f t="shared" ca="1" si="0"/>
        <v>0</v>
      </c>
      <c r="C12" s="135">
        <v>45313</v>
      </c>
      <c r="D12" s="123">
        <v>0.71731481481481485</v>
      </c>
      <c r="E12" s="91">
        <v>1037</v>
      </c>
      <c r="F12" s="91">
        <v>1203</v>
      </c>
      <c r="G12" s="91" t="s">
        <v>71</v>
      </c>
      <c r="H12" s="91">
        <v>1026</v>
      </c>
      <c r="I12" s="132">
        <v>35214500045083</v>
      </c>
      <c r="J12" s="91" t="s">
        <v>72</v>
      </c>
      <c r="K12" s="152">
        <v>7.3209999999999997</v>
      </c>
      <c r="L12" s="133" t="str">
        <f>VLOOKUP(K12,Liste!$L$2:$O$34,4,1)</f>
        <v>GSMR_02/03</v>
      </c>
      <c r="M12" s="133" t="s">
        <v>36</v>
      </c>
      <c r="N12" s="181" t="s">
        <v>58</v>
      </c>
      <c r="O12" s="125" t="s">
        <v>87</v>
      </c>
      <c r="P12" s="126"/>
      <c r="Q12" s="94" t="s">
        <v>54</v>
      </c>
      <c r="R12" s="91"/>
      <c r="S12" s="91" t="s">
        <v>74</v>
      </c>
      <c r="T12" s="91" t="s">
        <v>56</v>
      </c>
      <c r="U12" s="91" t="s">
        <v>75</v>
      </c>
      <c r="V12" s="91" t="s">
        <v>51</v>
      </c>
      <c r="W12" s="134" t="s">
        <v>51</v>
      </c>
      <c r="X12" s="94" t="s">
        <v>44</v>
      </c>
      <c r="Y12" s="91" t="s">
        <v>45</v>
      </c>
      <c r="Z12" s="91"/>
      <c r="AA12" s="91"/>
      <c r="AB12" s="91"/>
      <c r="AC12" s="91"/>
      <c r="AD12" s="91"/>
      <c r="AE12" s="91"/>
      <c r="AF12" s="91"/>
      <c r="AG12" s="91"/>
      <c r="AH12" s="91"/>
    </row>
    <row r="13" spans="1:34" customFormat="1" ht="30">
      <c r="A13" s="120">
        <v>12</v>
      </c>
      <c r="B13" s="120" t="b">
        <f t="shared" ca="1" si="0"/>
        <v>0</v>
      </c>
      <c r="C13" s="135">
        <v>45314</v>
      </c>
      <c r="D13" s="123">
        <v>0.76916666666666667</v>
      </c>
      <c r="E13" s="91">
        <v>2049</v>
      </c>
      <c r="F13" s="94">
        <v>1209</v>
      </c>
      <c r="G13" s="91" t="s">
        <v>34</v>
      </c>
      <c r="H13" s="91">
        <v>7208</v>
      </c>
      <c r="I13" s="132">
        <v>35214500004427</v>
      </c>
      <c r="J13" s="91" t="s">
        <v>35</v>
      </c>
      <c r="K13" s="91">
        <v>108.206</v>
      </c>
      <c r="L13" s="133" t="str">
        <f>VLOOKUP(K13,Liste!$L$2:$O$34,4,1)</f>
        <v>GSMR_19/20</v>
      </c>
      <c r="M13" s="133" t="s">
        <v>36</v>
      </c>
      <c r="N13" s="180" t="s">
        <v>37</v>
      </c>
      <c r="O13" s="125" t="s">
        <v>88</v>
      </c>
      <c r="P13" s="125"/>
      <c r="Q13" s="134" t="s">
        <v>39</v>
      </c>
      <c r="R13" s="91"/>
      <c r="S13" s="91" t="s">
        <v>89</v>
      </c>
      <c r="T13" s="91" t="s">
        <v>56</v>
      </c>
      <c r="U13" s="91" t="s">
        <v>90</v>
      </c>
      <c r="V13" s="91" t="s">
        <v>51</v>
      </c>
      <c r="W13" s="134" t="s">
        <v>51</v>
      </c>
      <c r="X13" s="94" t="s">
        <v>44</v>
      </c>
      <c r="Y13" s="91" t="s">
        <v>66</v>
      </c>
      <c r="Z13" s="91"/>
      <c r="AA13" s="91"/>
      <c r="AB13" s="91"/>
      <c r="AC13" s="91"/>
      <c r="AD13" s="91"/>
      <c r="AE13" s="91"/>
      <c r="AF13" s="91"/>
      <c r="AG13" s="91"/>
      <c r="AH13" s="91"/>
    </row>
    <row r="14" spans="1:34" customFormat="1" ht="30">
      <c r="A14" s="120">
        <v>13</v>
      </c>
      <c r="B14" s="120" t="b">
        <f t="shared" ca="1" si="0"/>
        <v>0</v>
      </c>
      <c r="C14" s="135">
        <v>45315</v>
      </c>
      <c r="D14" s="123">
        <v>0.71660879629629626</v>
      </c>
      <c r="E14" s="91">
        <v>2045</v>
      </c>
      <c r="F14" s="91">
        <v>1208</v>
      </c>
      <c r="G14" s="91" t="s">
        <v>34</v>
      </c>
      <c r="H14" s="91">
        <v>1037</v>
      </c>
      <c r="I14" s="132">
        <v>35214500045488</v>
      </c>
      <c r="J14" s="91" t="s">
        <v>35</v>
      </c>
      <c r="K14" s="91">
        <v>25.91</v>
      </c>
      <c r="L14" s="133" t="str">
        <f>VLOOKUP(K14,Liste!$L$2:$O$34,4,1)</f>
        <v>GSMR_05/06</v>
      </c>
      <c r="M14" s="133" t="s">
        <v>36</v>
      </c>
      <c r="N14" s="180" t="s">
        <v>37</v>
      </c>
      <c r="O14" s="125" t="s">
        <v>91</v>
      </c>
      <c r="P14" s="125"/>
      <c r="Q14" s="134" t="s">
        <v>39</v>
      </c>
      <c r="R14" s="91"/>
      <c r="S14" s="91" t="s">
        <v>92</v>
      </c>
      <c r="T14" s="91" t="s">
        <v>93</v>
      </c>
      <c r="U14" s="91" t="s">
        <v>94</v>
      </c>
      <c r="V14" s="91" t="s">
        <v>43</v>
      </c>
      <c r="W14" s="134" t="s">
        <v>51</v>
      </c>
      <c r="X14" s="94" t="s">
        <v>44</v>
      </c>
      <c r="Y14" s="91" t="s">
        <v>45</v>
      </c>
      <c r="Z14" s="91"/>
      <c r="AA14" s="91"/>
      <c r="AB14" s="91"/>
      <c r="AC14" s="91"/>
      <c r="AD14" s="91"/>
      <c r="AE14" s="91"/>
      <c r="AF14" s="91"/>
      <c r="AG14" s="91"/>
      <c r="AH14" s="91"/>
    </row>
    <row r="15" spans="1:34" customFormat="1" ht="30">
      <c r="A15" s="120">
        <v>14</v>
      </c>
      <c r="B15" s="120" t="b">
        <f t="shared" ca="1" si="0"/>
        <v>0</v>
      </c>
      <c r="C15" s="135">
        <v>45315</v>
      </c>
      <c r="D15" s="123">
        <v>0.93679398148148152</v>
      </c>
      <c r="E15" s="91">
        <v>1061</v>
      </c>
      <c r="F15" s="91">
        <v>1212</v>
      </c>
      <c r="G15" s="91" t="s">
        <v>71</v>
      </c>
      <c r="H15" s="91">
        <v>1072</v>
      </c>
      <c r="I15" s="132">
        <v>35214500045424</v>
      </c>
      <c r="J15" s="91" t="s">
        <v>72</v>
      </c>
      <c r="K15" s="91">
        <v>177.85</v>
      </c>
      <c r="L15" s="133" t="str">
        <f>VLOOKUP(K15,Liste!$L$2:$O$34,4,1)</f>
        <v>GSMR_30/31</v>
      </c>
      <c r="M15" s="133" t="s">
        <v>36</v>
      </c>
      <c r="N15" s="180" t="s">
        <v>37</v>
      </c>
      <c r="O15" s="125" t="s">
        <v>95</v>
      </c>
      <c r="P15" s="125"/>
      <c r="Q15" s="134" t="s">
        <v>39</v>
      </c>
      <c r="R15" s="91"/>
      <c r="S15" s="91" t="s">
        <v>96</v>
      </c>
      <c r="T15" s="91" t="s">
        <v>56</v>
      </c>
      <c r="U15" s="91" t="s">
        <v>97</v>
      </c>
      <c r="V15" s="91" t="s">
        <v>51</v>
      </c>
      <c r="W15" s="134" t="s">
        <v>51</v>
      </c>
      <c r="X15" s="94" t="s">
        <v>98</v>
      </c>
      <c r="Y15" s="91" t="s">
        <v>45</v>
      </c>
      <c r="Z15" s="91"/>
      <c r="AA15" s="91"/>
      <c r="AB15" s="91"/>
      <c r="AC15" s="91"/>
      <c r="AD15" s="91"/>
      <c r="AE15" s="91"/>
      <c r="AF15" s="91"/>
      <c r="AG15" s="91"/>
      <c r="AH15" s="91"/>
    </row>
    <row r="16" spans="1:34" customFormat="1" ht="30">
      <c r="A16" s="120">
        <v>15</v>
      </c>
      <c r="B16" s="120" t="b">
        <f t="shared" ca="1" si="0"/>
        <v>0</v>
      </c>
      <c r="C16" s="135">
        <v>45316</v>
      </c>
      <c r="D16" s="123">
        <v>0.77451388888888884</v>
      </c>
      <c r="E16" s="91">
        <v>2049</v>
      </c>
      <c r="F16" s="91">
        <v>1204</v>
      </c>
      <c r="G16" s="91" t="s">
        <v>34</v>
      </c>
      <c r="H16" s="91">
        <v>1052</v>
      </c>
      <c r="I16" s="115">
        <v>35214500043740</v>
      </c>
      <c r="J16" s="91" t="s">
        <v>35</v>
      </c>
      <c r="K16" s="91">
        <v>144.32599999999999</v>
      </c>
      <c r="L16" s="133" t="str">
        <f>VLOOKUP(K16,Liste!$L$2:$O$34,4,1)</f>
        <v>GSMR_25/26</v>
      </c>
      <c r="M16" s="133" t="s">
        <v>36</v>
      </c>
      <c r="N16" s="181" t="s">
        <v>58</v>
      </c>
      <c r="O16" s="125" t="s">
        <v>99</v>
      </c>
      <c r="P16" s="125"/>
      <c r="Q16" s="134" t="s">
        <v>39</v>
      </c>
      <c r="R16" s="91"/>
      <c r="S16" s="91" t="s">
        <v>100</v>
      </c>
      <c r="T16" s="91" t="s">
        <v>101</v>
      </c>
      <c r="U16" s="91" t="s">
        <v>102</v>
      </c>
      <c r="V16" s="91" t="s">
        <v>51</v>
      </c>
      <c r="W16" s="134" t="s">
        <v>51</v>
      </c>
      <c r="X16" s="94" t="s">
        <v>52</v>
      </c>
      <c r="Y16" s="91" t="s">
        <v>103</v>
      </c>
      <c r="Z16" s="91"/>
      <c r="AA16" s="91"/>
      <c r="AB16" s="91"/>
      <c r="AC16" s="91"/>
      <c r="AD16" s="91"/>
      <c r="AE16" s="91"/>
      <c r="AF16" s="91"/>
      <c r="AG16" s="91"/>
      <c r="AH16" s="91"/>
    </row>
    <row r="17" spans="1:34" customFormat="1" ht="30">
      <c r="A17" s="120">
        <v>16</v>
      </c>
      <c r="B17" s="120" t="b">
        <f t="shared" ca="1" si="0"/>
        <v>0</v>
      </c>
      <c r="C17" s="131">
        <v>45317</v>
      </c>
      <c r="D17" s="123">
        <v>0.82337962962962963</v>
      </c>
      <c r="E17" s="91"/>
      <c r="F17" s="91">
        <v>1204</v>
      </c>
      <c r="G17" s="91" t="s">
        <v>71</v>
      </c>
      <c r="H17" s="91">
        <v>1030</v>
      </c>
      <c r="I17" s="115">
        <v>35214500045348</v>
      </c>
      <c r="J17" s="91" t="s">
        <v>72</v>
      </c>
      <c r="K17" s="91">
        <v>96.316999999999993</v>
      </c>
      <c r="L17" s="133" t="str">
        <f>VLOOKUP(K17,Liste!$L$2:$O$34,4,1)</f>
        <v>GSMR_17/18</v>
      </c>
      <c r="M17" s="133" t="s">
        <v>36</v>
      </c>
      <c r="N17" s="180" t="s">
        <v>37</v>
      </c>
      <c r="O17" s="125" t="s">
        <v>104</v>
      </c>
      <c r="P17" s="126"/>
      <c r="Q17" s="124" t="s">
        <v>105</v>
      </c>
      <c r="R17" s="124" t="s">
        <v>106</v>
      </c>
      <c r="S17" s="91" t="s">
        <v>107</v>
      </c>
      <c r="T17" s="91" t="s">
        <v>69</v>
      </c>
      <c r="U17" s="91" t="s">
        <v>108</v>
      </c>
      <c r="V17" s="91" t="s">
        <v>51</v>
      </c>
      <c r="W17" s="134" t="s">
        <v>43</v>
      </c>
      <c r="X17" s="94" t="s">
        <v>44</v>
      </c>
      <c r="Y17" s="91" t="s">
        <v>45</v>
      </c>
      <c r="Z17" s="91"/>
      <c r="AA17" s="91"/>
      <c r="AB17" s="91"/>
      <c r="AC17" s="91"/>
      <c r="AD17" s="91"/>
      <c r="AE17" s="91"/>
      <c r="AF17" s="91"/>
      <c r="AG17" s="91"/>
      <c r="AH17" s="91"/>
    </row>
    <row r="18" spans="1:34" customFormat="1" ht="30">
      <c r="A18" s="120">
        <v>17</v>
      </c>
      <c r="B18" s="120" t="b">
        <f t="shared" ca="1" si="0"/>
        <v>0</v>
      </c>
      <c r="C18" s="135">
        <v>45318</v>
      </c>
      <c r="D18" s="123">
        <v>0.77776620370370375</v>
      </c>
      <c r="E18" s="91">
        <v>1045</v>
      </c>
      <c r="F18" s="91">
        <v>1207</v>
      </c>
      <c r="G18" s="91" t="s">
        <v>71</v>
      </c>
      <c r="H18" s="91">
        <v>1007</v>
      </c>
      <c r="I18" s="132"/>
      <c r="J18" s="91" t="s">
        <v>72</v>
      </c>
      <c r="K18" s="91">
        <v>127.815</v>
      </c>
      <c r="L18" s="133" t="str">
        <f>VLOOKUP(K18,Liste!$L$2:$O$34,4,1)</f>
        <v>GSMR_22/23</v>
      </c>
      <c r="M18" s="133" t="s">
        <v>36</v>
      </c>
      <c r="N18" s="180" t="s">
        <v>37</v>
      </c>
      <c r="O18" s="125" t="s">
        <v>109</v>
      </c>
      <c r="P18" s="126"/>
      <c r="Q18" s="124" t="s">
        <v>47</v>
      </c>
      <c r="R18" s="124" t="s">
        <v>110</v>
      </c>
      <c r="S18" s="91" t="s">
        <v>111</v>
      </c>
      <c r="T18" s="91" t="s">
        <v>93</v>
      </c>
      <c r="U18" s="91" t="s">
        <v>112</v>
      </c>
      <c r="V18" s="91" t="s">
        <v>51</v>
      </c>
      <c r="W18" s="134" t="s">
        <v>51</v>
      </c>
      <c r="X18" s="94" t="s">
        <v>52</v>
      </c>
      <c r="Y18" s="91" t="s">
        <v>45</v>
      </c>
      <c r="Z18" s="91"/>
      <c r="AA18" s="91"/>
      <c r="AB18" s="91"/>
      <c r="AC18" s="91"/>
      <c r="AD18" s="91"/>
      <c r="AE18" s="91"/>
      <c r="AF18" s="91"/>
      <c r="AG18" s="91"/>
      <c r="AH18" s="91"/>
    </row>
    <row r="19" spans="1:34" customFormat="1" ht="30">
      <c r="A19" s="120">
        <v>18</v>
      </c>
      <c r="B19" s="120" t="b">
        <f t="shared" ca="1" si="0"/>
        <v>0</v>
      </c>
      <c r="C19" s="135">
        <v>45318</v>
      </c>
      <c r="D19" s="123">
        <v>0.81199074074074074</v>
      </c>
      <c r="E19" s="91">
        <v>1049</v>
      </c>
      <c r="F19" s="91">
        <v>1212</v>
      </c>
      <c r="G19" s="91" t="s">
        <v>71</v>
      </c>
      <c r="H19" s="91">
        <v>1020</v>
      </c>
      <c r="I19" s="115">
        <v>35214500045494</v>
      </c>
      <c r="J19" s="91" t="s">
        <v>72</v>
      </c>
      <c r="K19" s="91">
        <v>177.85</v>
      </c>
      <c r="L19" s="133" t="str">
        <f>VLOOKUP(K19,Liste!$L$2:$O$34,4,1)</f>
        <v>GSMR_30/31</v>
      </c>
      <c r="M19" s="133" t="s">
        <v>36</v>
      </c>
      <c r="N19" s="180" t="s">
        <v>37</v>
      </c>
      <c r="O19" s="125" t="s">
        <v>113</v>
      </c>
      <c r="P19" s="126"/>
      <c r="Q19" s="124" t="s">
        <v>39</v>
      </c>
      <c r="R19" s="124" t="s">
        <v>114</v>
      </c>
      <c r="S19" s="91" t="s">
        <v>115</v>
      </c>
      <c r="T19" s="91" t="s">
        <v>116</v>
      </c>
      <c r="U19" s="91" t="s">
        <v>42</v>
      </c>
      <c r="V19" s="91" t="s">
        <v>51</v>
      </c>
      <c r="W19" s="134" t="s">
        <v>51</v>
      </c>
      <c r="X19" s="94" t="s">
        <v>98</v>
      </c>
      <c r="Y19" s="91" t="s">
        <v>45</v>
      </c>
      <c r="Z19" s="91"/>
      <c r="AA19" s="91"/>
      <c r="AB19" s="91"/>
      <c r="AC19" s="91"/>
      <c r="AD19" s="91"/>
      <c r="AE19" s="91"/>
      <c r="AF19" s="91"/>
      <c r="AG19" s="91"/>
      <c r="AH19" s="91"/>
    </row>
    <row r="20" spans="1:34" customFormat="1" ht="30">
      <c r="A20" s="120">
        <v>19</v>
      </c>
      <c r="B20" s="120" t="b">
        <f t="shared" ca="1" si="0"/>
        <v>0</v>
      </c>
      <c r="C20" s="135">
        <v>45318</v>
      </c>
      <c r="D20" s="123">
        <v>0.40195601851851853</v>
      </c>
      <c r="E20" s="91">
        <v>2013</v>
      </c>
      <c r="F20" s="91">
        <v>1212</v>
      </c>
      <c r="G20" s="91" t="s">
        <v>34</v>
      </c>
      <c r="H20" s="91">
        <v>1056</v>
      </c>
      <c r="I20" s="115">
        <v>35214500045217</v>
      </c>
      <c r="J20" s="91" t="s">
        <v>35</v>
      </c>
      <c r="K20" s="91">
        <v>162.89500000000001</v>
      </c>
      <c r="L20" s="133" t="str">
        <f>VLOOKUP(K20,Liste!$L$2:$O$34,4,1)</f>
        <v>GSMR_27/28</v>
      </c>
      <c r="M20" s="133" t="s">
        <v>36</v>
      </c>
      <c r="N20" s="180" t="s">
        <v>37</v>
      </c>
      <c r="O20" s="125" t="s">
        <v>117</v>
      </c>
      <c r="P20" s="126"/>
      <c r="Q20" s="124" t="s">
        <v>118</v>
      </c>
      <c r="R20" s="124"/>
      <c r="S20" s="91" t="s">
        <v>119</v>
      </c>
      <c r="T20" s="91" t="s">
        <v>69</v>
      </c>
      <c r="U20" s="91" t="s">
        <v>120</v>
      </c>
      <c r="V20" s="91" t="s">
        <v>51</v>
      </c>
      <c r="W20" s="134" t="s">
        <v>43</v>
      </c>
      <c r="X20" s="94" t="s">
        <v>52</v>
      </c>
      <c r="Y20" s="91" t="s">
        <v>45</v>
      </c>
      <c r="Z20" s="91"/>
      <c r="AA20" s="91"/>
      <c r="AB20" s="91"/>
      <c r="AC20" s="91"/>
      <c r="AD20" s="91"/>
      <c r="AE20" s="91"/>
      <c r="AF20" s="91"/>
      <c r="AG20" s="91"/>
      <c r="AH20" s="91"/>
    </row>
    <row r="21" spans="1:34" customFormat="1" ht="30">
      <c r="A21" s="120">
        <v>20</v>
      </c>
      <c r="B21" s="120" t="b">
        <f t="shared" ca="1" si="0"/>
        <v>0</v>
      </c>
      <c r="C21" s="135">
        <v>45318</v>
      </c>
      <c r="D21" s="123">
        <v>0.40196759259259257</v>
      </c>
      <c r="E21" s="91"/>
      <c r="F21" s="91">
        <v>1211</v>
      </c>
      <c r="G21" s="91" t="s">
        <v>71</v>
      </c>
      <c r="H21" s="91">
        <v>3063</v>
      </c>
      <c r="I21" s="132">
        <v>35214500046055</v>
      </c>
      <c r="J21" s="91" t="s">
        <v>72</v>
      </c>
      <c r="K21" s="91">
        <v>130.48400000000001</v>
      </c>
      <c r="L21" s="133" t="str">
        <f>VLOOKUP(K21,Liste!$L$2:$O$34,4,1)</f>
        <v>GSMR_23/24</v>
      </c>
      <c r="M21" s="133" t="s">
        <v>36</v>
      </c>
      <c r="N21" s="180" t="s">
        <v>37</v>
      </c>
      <c r="O21" s="125" t="s">
        <v>121</v>
      </c>
      <c r="P21" s="126"/>
      <c r="Q21" s="124" t="s">
        <v>118</v>
      </c>
      <c r="R21" s="91"/>
      <c r="S21" s="91" t="s">
        <v>122</v>
      </c>
      <c r="T21" s="91" t="s">
        <v>69</v>
      </c>
      <c r="U21" s="91" t="s">
        <v>120</v>
      </c>
      <c r="V21" s="91" t="s">
        <v>51</v>
      </c>
      <c r="W21" s="134" t="s">
        <v>43</v>
      </c>
      <c r="X21" s="91" t="s">
        <v>52</v>
      </c>
      <c r="Y21" s="91" t="s">
        <v>45</v>
      </c>
      <c r="Z21" s="91"/>
      <c r="AA21" s="91"/>
      <c r="AB21" s="91"/>
      <c r="AC21" s="91"/>
      <c r="AD21" s="91"/>
      <c r="AE21" s="91"/>
      <c r="AF21" s="91"/>
      <c r="AG21" s="91"/>
      <c r="AH21" s="91"/>
    </row>
    <row r="22" spans="1:34" customFormat="1" ht="30">
      <c r="A22" s="120">
        <v>21</v>
      </c>
      <c r="B22" s="120" t="b">
        <f t="shared" ca="1" si="0"/>
        <v>0</v>
      </c>
      <c r="C22" s="135">
        <v>45319</v>
      </c>
      <c r="D22" s="123">
        <v>0.31692129629629628</v>
      </c>
      <c r="E22" s="91">
        <v>10075</v>
      </c>
      <c r="F22" s="91">
        <v>1212</v>
      </c>
      <c r="G22" s="91" t="s">
        <v>71</v>
      </c>
      <c r="H22" s="91">
        <v>1020</v>
      </c>
      <c r="I22" s="115">
        <v>35214500045494</v>
      </c>
      <c r="J22" s="91" t="s">
        <v>72</v>
      </c>
      <c r="K22" s="91">
        <v>79.281999999999996</v>
      </c>
      <c r="L22" s="133" t="str">
        <f>VLOOKUP(K22,Liste!$L$2:$O$34,4,1)</f>
        <v>GSMR_14/15</v>
      </c>
      <c r="M22" s="133" t="s">
        <v>36</v>
      </c>
      <c r="N22" s="180" t="s">
        <v>37</v>
      </c>
      <c r="O22" s="125" t="s">
        <v>123</v>
      </c>
      <c r="P22" s="126"/>
      <c r="Q22" s="124" t="s">
        <v>39</v>
      </c>
      <c r="R22" s="124" t="s">
        <v>114</v>
      </c>
      <c r="S22" s="91" t="s">
        <v>124</v>
      </c>
      <c r="T22" s="91" t="s">
        <v>69</v>
      </c>
      <c r="U22" s="91" t="s">
        <v>125</v>
      </c>
      <c r="V22" s="91" t="s">
        <v>51</v>
      </c>
      <c r="W22" s="134" t="s">
        <v>51</v>
      </c>
      <c r="X22" s="94" t="s">
        <v>52</v>
      </c>
      <c r="Y22" s="91" t="s">
        <v>103</v>
      </c>
      <c r="Z22" s="91"/>
      <c r="AA22" s="91"/>
      <c r="AB22" s="91"/>
      <c r="AC22" s="91"/>
      <c r="AD22" s="91"/>
      <c r="AE22" s="91"/>
      <c r="AF22" s="91"/>
      <c r="AG22" s="91"/>
      <c r="AH22" s="91"/>
    </row>
    <row r="23" spans="1:34" customFormat="1" ht="30">
      <c r="A23" s="120">
        <v>22</v>
      </c>
      <c r="B23" s="120" t="b">
        <f t="shared" ca="1" si="0"/>
        <v>0</v>
      </c>
      <c r="C23" s="135">
        <v>45320</v>
      </c>
      <c r="D23" s="123">
        <v>0.4624537037037037</v>
      </c>
      <c r="E23" s="91">
        <v>1013</v>
      </c>
      <c r="F23" s="91">
        <v>1211</v>
      </c>
      <c r="G23" s="91" t="s">
        <v>71</v>
      </c>
      <c r="H23" s="91">
        <v>3062</v>
      </c>
      <c r="I23" s="132"/>
      <c r="J23" s="91" t="s">
        <v>72</v>
      </c>
      <c r="K23" s="152">
        <v>7.3209999999999997</v>
      </c>
      <c r="L23" s="133" t="str">
        <f>VLOOKUP(K23,Liste!$L$2:$O$34,4,1)</f>
        <v>GSMR_02/03</v>
      </c>
      <c r="M23" s="133" t="s">
        <v>36</v>
      </c>
      <c r="N23" s="180" t="s">
        <v>37</v>
      </c>
      <c r="O23" s="125" t="s">
        <v>126</v>
      </c>
      <c r="P23" s="126"/>
      <c r="Q23" s="124" t="s">
        <v>127</v>
      </c>
      <c r="R23" s="124" t="s">
        <v>128</v>
      </c>
      <c r="S23" s="91" t="s">
        <v>129</v>
      </c>
      <c r="T23" s="91" t="s">
        <v>69</v>
      </c>
      <c r="U23" s="91" t="s">
        <v>57</v>
      </c>
      <c r="V23" s="91" t="s">
        <v>51</v>
      </c>
      <c r="W23" s="134" t="s">
        <v>51</v>
      </c>
      <c r="X23" s="94" t="s">
        <v>98</v>
      </c>
      <c r="Y23" s="91" t="s">
        <v>45</v>
      </c>
      <c r="Z23" s="91"/>
      <c r="AA23" s="91"/>
      <c r="AB23" s="91"/>
      <c r="AC23" s="91"/>
      <c r="AD23" s="91"/>
      <c r="AE23" s="91"/>
      <c r="AF23" s="91"/>
      <c r="AG23" s="91"/>
      <c r="AH23" s="91"/>
    </row>
    <row r="24" spans="1:34" customFormat="1" ht="30">
      <c r="A24" s="120">
        <v>23</v>
      </c>
      <c r="B24" s="120" t="b">
        <f t="shared" ca="1" si="0"/>
        <v>0</v>
      </c>
      <c r="C24" s="135">
        <v>45321</v>
      </c>
      <c r="D24" s="123">
        <v>0.47582175925925924</v>
      </c>
      <c r="E24" s="91">
        <v>2021</v>
      </c>
      <c r="F24" s="91">
        <v>1207</v>
      </c>
      <c r="G24" s="91" t="s">
        <v>34</v>
      </c>
      <c r="H24" s="91">
        <v>1047</v>
      </c>
      <c r="I24" s="115">
        <v>35214500038727</v>
      </c>
      <c r="J24" s="91" t="s">
        <v>35</v>
      </c>
      <c r="K24" s="91">
        <v>91.364999999999995</v>
      </c>
      <c r="L24" s="133" t="str">
        <f>VLOOKUP(K24,Liste!$L$2:$O$34,4,1)</f>
        <v>GSMR_16/17</v>
      </c>
      <c r="M24" s="133" t="s">
        <v>36</v>
      </c>
      <c r="N24" s="180" t="s">
        <v>37</v>
      </c>
      <c r="O24" s="125" t="s">
        <v>130</v>
      </c>
      <c r="P24" s="126"/>
      <c r="Q24" s="124" t="s">
        <v>118</v>
      </c>
      <c r="R24" s="124"/>
      <c r="S24" s="91" t="s">
        <v>131</v>
      </c>
      <c r="T24" s="91" t="s">
        <v>69</v>
      </c>
      <c r="U24" s="91" t="s">
        <v>120</v>
      </c>
      <c r="V24" s="91" t="s">
        <v>51</v>
      </c>
      <c r="W24" s="134" t="s">
        <v>51</v>
      </c>
      <c r="X24" s="94"/>
      <c r="Y24" s="91" t="s">
        <v>45</v>
      </c>
      <c r="Z24" s="91"/>
      <c r="AA24" s="91"/>
      <c r="AB24" s="91"/>
      <c r="AC24" s="91"/>
      <c r="AD24" s="91"/>
      <c r="AE24" s="91"/>
      <c r="AF24" s="91"/>
      <c r="AG24" s="91"/>
      <c r="AH24" s="91"/>
    </row>
    <row r="25" spans="1:34" customFormat="1" ht="30">
      <c r="A25" s="120">
        <v>24</v>
      </c>
      <c r="B25" s="120" t="b">
        <f t="shared" ca="1" si="0"/>
        <v>0</v>
      </c>
      <c r="C25" s="135">
        <v>45321</v>
      </c>
      <c r="D25" s="123">
        <v>0.33680555555555558</v>
      </c>
      <c r="E25" s="91">
        <v>2009</v>
      </c>
      <c r="F25" s="94">
        <v>1209</v>
      </c>
      <c r="G25" s="91" t="s">
        <v>34</v>
      </c>
      <c r="H25" s="91">
        <v>7208</v>
      </c>
      <c r="I25" s="132">
        <v>35214500004427</v>
      </c>
      <c r="J25" s="91" t="s">
        <v>35</v>
      </c>
      <c r="K25" s="152">
        <v>5.73</v>
      </c>
      <c r="L25" s="133" t="str">
        <f>VLOOKUP(K25,Liste!$L$2:$O$34,4,1)</f>
        <v>GSMR_02/03</v>
      </c>
      <c r="M25" s="133" t="s">
        <v>36</v>
      </c>
      <c r="N25" s="181" t="s">
        <v>58</v>
      </c>
      <c r="O25" s="125" t="s">
        <v>132</v>
      </c>
      <c r="P25" s="126"/>
      <c r="Q25" s="124" t="s">
        <v>39</v>
      </c>
      <c r="R25" s="91"/>
      <c r="S25" s="91" t="s">
        <v>133</v>
      </c>
      <c r="T25" s="91" t="s">
        <v>69</v>
      </c>
      <c r="U25" s="91" t="s">
        <v>120</v>
      </c>
      <c r="V25" s="91" t="s">
        <v>51</v>
      </c>
      <c r="W25" s="134" t="s">
        <v>51</v>
      </c>
      <c r="X25" s="94" t="s">
        <v>52</v>
      </c>
      <c r="Y25" s="91" t="s">
        <v>45</v>
      </c>
      <c r="Z25" s="91"/>
      <c r="AA25" s="91"/>
      <c r="AB25" s="91"/>
      <c r="AC25" s="91"/>
      <c r="AD25" s="91"/>
      <c r="AE25" s="91"/>
      <c r="AF25" s="91"/>
      <c r="AG25" s="91"/>
      <c r="AH25" s="91"/>
    </row>
    <row r="26" spans="1:34" customFormat="1" ht="30">
      <c r="A26" s="120">
        <v>25</v>
      </c>
      <c r="B26" s="120" t="b">
        <f t="shared" ca="1" si="0"/>
        <v>0</v>
      </c>
      <c r="C26" s="135">
        <v>45322</v>
      </c>
      <c r="D26" s="123">
        <v>0.49259259259259258</v>
      </c>
      <c r="E26" s="91">
        <v>1017</v>
      </c>
      <c r="F26" s="91">
        <v>1212</v>
      </c>
      <c r="G26" s="91" t="s">
        <v>71</v>
      </c>
      <c r="H26" s="91">
        <v>1072</v>
      </c>
      <c r="I26" s="132">
        <v>35214500045424</v>
      </c>
      <c r="J26" s="91" t="s">
        <v>72</v>
      </c>
      <c r="K26" s="91">
        <v>73.525999999999996</v>
      </c>
      <c r="L26" s="133" t="str">
        <f>VLOOKUP(K26,Liste!$L$2:$O$34,4,1)</f>
        <v>GSMR_13/14</v>
      </c>
      <c r="M26" s="133" t="s">
        <v>36</v>
      </c>
      <c r="N26" s="180" t="s">
        <v>37</v>
      </c>
      <c r="O26" s="125" t="s">
        <v>134</v>
      </c>
      <c r="P26" s="126"/>
      <c r="Q26" s="124" t="s">
        <v>118</v>
      </c>
      <c r="R26" s="124" t="s">
        <v>135</v>
      </c>
      <c r="S26" s="91" t="s">
        <v>136</v>
      </c>
      <c r="T26" s="91" t="s">
        <v>41</v>
      </c>
      <c r="U26" s="91" t="s">
        <v>137</v>
      </c>
      <c r="V26" s="91" t="s">
        <v>51</v>
      </c>
      <c r="W26" s="134" t="s">
        <v>43</v>
      </c>
      <c r="X26" s="94" t="s">
        <v>52</v>
      </c>
      <c r="Y26" s="91" t="s">
        <v>45</v>
      </c>
      <c r="Z26" s="91"/>
      <c r="AA26" s="91"/>
      <c r="AB26" s="91"/>
      <c r="AC26" s="91"/>
      <c r="AD26" s="91"/>
      <c r="AE26" s="91"/>
      <c r="AF26" s="91"/>
      <c r="AG26" s="91"/>
      <c r="AH26" s="91"/>
    </row>
    <row r="27" spans="1:34" customFormat="1" ht="30">
      <c r="A27" s="120">
        <v>26</v>
      </c>
      <c r="B27" s="120" t="b">
        <f t="shared" ca="1" si="0"/>
        <v>0</v>
      </c>
      <c r="C27" s="135">
        <v>45323</v>
      </c>
      <c r="D27" s="123">
        <v>0.40967592592592594</v>
      </c>
      <c r="E27" s="91">
        <v>1009</v>
      </c>
      <c r="F27" s="91">
        <v>1209</v>
      </c>
      <c r="G27" s="91" t="s">
        <v>71</v>
      </c>
      <c r="H27" s="91">
        <v>1032</v>
      </c>
      <c r="I27" s="132">
        <v>35214500040638</v>
      </c>
      <c r="J27" s="91" t="s">
        <v>72</v>
      </c>
      <c r="K27" s="91">
        <v>74.712999999999994</v>
      </c>
      <c r="L27" s="133" t="str">
        <f>VLOOKUP(K27,Liste!$L$2:$O$34,4,1)</f>
        <v>GSMR_13/14</v>
      </c>
      <c r="M27" s="133" t="s">
        <v>36</v>
      </c>
      <c r="N27" s="180" t="s">
        <v>37</v>
      </c>
      <c r="O27" s="125" t="s">
        <v>138</v>
      </c>
      <c r="P27" s="126"/>
      <c r="Q27" s="124" t="s">
        <v>118</v>
      </c>
      <c r="R27" s="91"/>
      <c r="S27" s="91" t="s">
        <v>139</v>
      </c>
      <c r="T27" s="91" t="s">
        <v>41</v>
      </c>
      <c r="U27" s="91" t="s">
        <v>140</v>
      </c>
      <c r="V27" s="91" t="s">
        <v>51</v>
      </c>
      <c r="W27" s="134" t="s">
        <v>51</v>
      </c>
      <c r="X27" s="94" t="s">
        <v>98</v>
      </c>
      <c r="Y27" s="91" t="s">
        <v>45</v>
      </c>
      <c r="Z27" s="91"/>
      <c r="AA27" s="91"/>
      <c r="AB27" s="91"/>
      <c r="AC27" s="91"/>
      <c r="AD27" s="91"/>
      <c r="AE27" s="91"/>
      <c r="AF27" s="91"/>
      <c r="AG27" s="91"/>
      <c r="AH27" s="91"/>
    </row>
    <row r="28" spans="1:34" customFormat="1" ht="30">
      <c r="A28" s="120">
        <v>27</v>
      </c>
      <c r="B28" s="120" t="b">
        <f t="shared" ca="1" si="0"/>
        <v>0</v>
      </c>
      <c r="C28" s="135">
        <v>45323</v>
      </c>
      <c r="D28" s="123">
        <v>0.66469907407407403</v>
      </c>
      <c r="E28" s="91">
        <v>1033</v>
      </c>
      <c r="F28" s="91">
        <v>1209</v>
      </c>
      <c r="G28" s="91" t="s">
        <v>71</v>
      </c>
      <c r="H28" s="91">
        <v>1032</v>
      </c>
      <c r="I28" s="132">
        <v>35214500040638</v>
      </c>
      <c r="J28" s="91" t="s">
        <v>72</v>
      </c>
      <c r="K28" s="91">
        <v>39.215000000000003</v>
      </c>
      <c r="L28" s="133" t="str">
        <f>VLOOKUP(K28,Liste!$L$2:$O$34,4,1)</f>
        <v>GSMR_07/08</v>
      </c>
      <c r="M28" s="133" t="s">
        <v>36</v>
      </c>
      <c r="N28" s="180" t="s">
        <v>37</v>
      </c>
      <c r="O28" s="125" t="s">
        <v>141</v>
      </c>
      <c r="P28" s="126"/>
      <c r="Q28" s="124" t="s">
        <v>39</v>
      </c>
      <c r="R28" s="91"/>
      <c r="S28" s="91" t="s">
        <v>142</v>
      </c>
      <c r="T28" s="91" t="s">
        <v>78</v>
      </c>
      <c r="U28" s="91" t="s">
        <v>82</v>
      </c>
      <c r="V28" s="91" t="s">
        <v>43</v>
      </c>
      <c r="W28" s="134" t="s">
        <v>51</v>
      </c>
      <c r="X28" s="94" t="s">
        <v>98</v>
      </c>
      <c r="Y28" s="91" t="s">
        <v>45</v>
      </c>
      <c r="Z28" s="91"/>
      <c r="AA28" s="91"/>
      <c r="AB28" s="91"/>
      <c r="AC28" s="91"/>
      <c r="AD28" s="91"/>
      <c r="AE28" s="91"/>
      <c r="AF28" s="91"/>
      <c r="AG28" s="91"/>
      <c r="AH28" s="91"/>
    </row>
    <row r="29" spans="1:34" customFormat="1" ht="30">
      <c r="A29" s="120">
        <v>28</v>
      </c>
      <c r="B29" s="120" t="b">
        <f t="shared" ca="1" si="0"/>
        <v>0</v>
      </c>
      <c r="C29" s="135">
        <v>45324</v>
      </c>
      <c r="D29" s="123">
        <v>0.34760416666666666</v>
      </c>
      <c r="E29" s="91">
        <v>2009</v>
      </c>
      <c r="F29" s="94">
        <v>1207</v>
      </c>
      <c r="G29" s="91" t="s">
        <v>34</v>
      </c>
      <c r="H29" s="91">
        <v>1046</v>
      </c>
      <c r="I29" s="115">
        <v>35214500038730</v>
      </c>
      <c r="J29" s="91" t="s">
        <v>72</v>
      </c>
      <c r="K29" s="91">
        <v>70.144000000000005</v>
      </c>
      <c r="L29" s="133" t="str">
        <f>VLOOKUP(K29,Liste!$L$2:$O$34,4,1)</f>
        <v>GSMR_12/13</v>
      </c>
      <c r="M29" s="133" t="s">
        <v>36</v>
      </c>
      <c r="N29" s="180" t="s">
        <v>37</v>
      </c>
      <c r="O29" s="125" t="s">
        <v>143</v>
      </c>
      <c r="P29" s="126"/>
      <c r="Q29" s="124" t="s">
        <v>105</v>
      </c>
      <c r="R29" s="124" t="s">
        <v>144</v>
      </c>
      <c r="S29" s="91" t="s">
        <v>145</v>
      </c>
      <c r="T29" s="91" t="s">
        <v>78</v>
      </c>
      <c r="U29" s="91" t="s">
        <v>137</v>
      </c>
      <c r="V29" s="91" t="s">
        <v>51</v>
      </c>
      <c r="W29" s="134" t="s">
        <v>51</v>
      </c>
      <c r="X29" s="94" t="s">
        <v>52</v>
      </c>
      <c r="Y29" s="91" t="s">
        <v>146</v>
      </c>
      <c r="Z29" s="91"/>
      <c r="AA29" s="91"/>
      <c r="AB29" s="91"/>
      <c r="AC29" s="91"/>
      <c r="AD29" s="91"/>
      <c r="AE29" s="91"/>
      <c r="AF29" s="91"/>
      <c r="AG29" s="91"/>
      <c r="AH29" s="91"/>
    </row>
    <row r="30" spans="1:34" customFormat="1" ht="30">
      <c r="A30" s="120">
        <v>29</v>
      </c>
      <c r="B30" s="120" t="b">
        <f t="shared" ca="1" si="0"/>
        <v>0</v>
      </c>
      <c r="C30" s="135">
        <v>45325</v>
      </c>
      <c r="D30" s="123">
        <v>0.94324074074074071</v>
      </c>
      <c r="E30" s="91">
        <v>1061</v>
      </c>
      <c r="F30" s="91">
        <v>1205</v>
      </c>
      <c r="G30" s="91" t="s">
        <v>71</v>
      </c>
      <c r="H30" s="91">
        <v>1050</v>
      </c>
      <c r="I30" s="115">
        <v>35214500045357</v>
      </c>
      <c r="J30" s="91" t="s">
        <v>35</v>
      </c>
      <c r="K30" s="91">
        <v>131.78899999999999</v>
      </c>
      <c r="L30" s="133" t="str">
        <f>VLOOKUP(K30,Liste!$L$2:$O$34,4,1)</f>
        <v>GSMR_23/24</v>
      </c>
      <c r="M30" s="133" t="s">
        <v>36</v>
      </c>
      <c r="N30" s="180" t="s">
        <v>37</v>
      </c>
      <c r="O30" s="125" t="s">
        <v>147</v>
      </c>
      <c r="P30" s="126"/>
      <c r="Q30" s="124" t="s">
        <v>39</v>
      </c>
      <c r="R30" s="91"/>
      <c r="S30" s="91" t="s">
        <v>148</v>
      </c>
      <c r="T30" s="91" t="s">
        <v>116</v>
      </c>
      <c r="U30" s="91" t="s">
        <v>112</v>
      </c>
      <c r="V30" s="91" t="s">
        <v>51</v>
      </c>
      <c r="W30" s="134" t="s">
        <v>51</v>
      </c>
      <c r="X30" s="94" t="s">
        <v>52</v>
      </c>
      <c r="Y30" s="91" t="s">
        <v>45</v>
      </c>
      <c r="Z30" s="91"/>
      <c r="AA30" s="91"/>
      <c r="AB30" s="91"/>
      <c r="AC30" s="91"/>
      <c r="AD30" s="91"/>
      <c r="AE30" s="91"/>
      <c r="AF30" s="91"/>
      <c r="AG30" s="91"/>
      <c r="AH30" s="91"/>
    </row>
    <row r="31" spans="1:34" customFormat="1" ht="30">
      <c r="A31" s="120">
        <v>30</v>
      </c>
      <c r="B31" s="120" t="b">
        <f t="shared" ca="1" si="0"/>
        <v>0</v>
      </c>
      <c r="C31" s="135">
        <v>45326</v>
      </c>
      <c r="D31" s="123">
        <v>0.47518518518518521</v>
      </c>
      <c r="E31" s="91">
        <v>2021</v>
      </c>
      <c r="F31" s="91">
        <v>1208</v>
      </c>
      <c r="G31" s="91" t="s">
        <v>34</v>
      </c>
      <c r="H31" s="91">
        <v>1037</v>
      </c>
      <c r="I31" s="132">
        <v>35214500045488</v>
      </c>
      <c r="J31" s="91" t="s">
        <v>35</v>
      </c>
      <c r="K31" s="91">
        <v>84.451999999999998</v>
      </c>
      <c r="L31" s="133" t="str">
        <f>VLOOKUP(K31,Liste!$L$2:$O$34,4,1)</f>
        <v>GSMR_15/16</v>
      </c>
      <c r="M31" s="133" t="s">
        <v>36</v>
      </c>
      <c r="N31" s="180" t="s">
        <v>37</v>
      </c>
      <c r="O31" s="125" t="s">
        <v>149</v>
      </c>
      <c r="P31" s="126"/>
      <c r="Q31" s="124" t="s">
        <v>150</v>
      </c>
      <c r="R31" s="124" t="s">
        <v>151</v>
      </c>
      <c r="S31" s="91" t="s">
        <v>152</v>
      </c>
      <c r="T31" s="91" t="s">
        <v>41</v>
      </c>
      <c r="U31" s="91" t="s">
        <v>85</v>
      </c>
      <c r="V31" s="91" t="s">
        <v>51</v>
      </c>
      <c r="W31" s="134" t="s">
        <v>51</v>
      </c>
      <c r="X31" s="94" t="s">
        <v>98</v>
      </c>
      <c r="Y31" s="91" t="s">
        <v>45</v>
      </c>
      <c r="Z31" s="91"/>
      <c r="AA31" s="91"/>
      <c r="AB31" s="91"/>
      <c r="AC31" s="91"/>
      <c r="AD31" s="91"/>
      <c r="AE31" s="91"/>
      <c r="AF31" s="91"/>
      <c r="AG31" s="91"/>
      <c r="AH31" s="91"/>
    </row>
    <row r="32" spans="1:34" customFormat="1" ht="30">
      <c r="A32" s="120">
        <v>31</v>
      </c>
      <c r="B32" s="120" t="b">
        <f t="shared" ca="1" si="0"/>
        <v>0</v>
      </c>
      <c r="C32" s="135">
        <v>45327</v>
      </c>
      <c r="D32" s="123">
        <v>0.51060185185185181</v>
      </c>
      <c r="E32" s="91">
        <v>2025</v>
      </c>
      <c r="F32" s="91">
        <v>1208</v>
      </c>
      <c r="G32" s="91" t="s">
        <v>34</v>
      </c>
      <c r="H32" s="91">
        <v>1036</v>
      </c>
      <c r="I32" s="115">
        <v>35214500045461</v>
      </c>
      <c r="J32" s="91" t="s">
        <v>35</v>
      </c>
      <c r="K32" s="91">
        <v>45.829000000000001</v>
      </c>
      <c r="L32" s="133" t="str">
        <f>VLOOKUP(K32,Liste!$L$2:$O$34,4,1)</f>
        <v>GSMR_08/09</v>
      </c>
      <c r="M32" s="133" t="s">
        <v>36</v>
      </c>
      <c r="N32" s="180" t="s">
        <v>37</v>
      </c>
      <c r="O32" s="125" t="s">
        <v>153</v>
      </c>
      <c r="P32" s="126"/>
      <c r="Q32" s="124" t="s">
        <v>127</v>
      </c>
      <c r="R32" s="124" t="s">
        <v>154</v>
      </c>
      <c r="S32" s="91" t="s">
        <v>155</v>
      </c>
      <c r="T32" s="91" t="s">
        <v>69</v>
      </c>
      <c r="U32" s="91" t="s">
        <v>156</v>
      </c>
      <c r="V32" s="91" t="s">
        <v>51</v>
      </c>
      <c r="W32" s="134" t="s">
        <v>51</v>
      </c>
      <c r="X32" s="94" t="s">
        <v>157</v>
      </c>
      <c r="Y32" s="91" t="s">
        <v>45</v>
      </c>
      <c r="Z32" s="91"/>
      <c r="AA32" s="91"/>
      <c r="AB32" s="91"/>
      <c r="AC32" s="91"/>
      <c r="AD32" s="91"/>
      <c r="AE32" s="91"/>
      <c r="AF32" s="91"/>
      <c r="AG32" s="91"/>
      <c r="AH32" s="91"/>
    </row>
    <row r="33" spans="1:34" customFormat="1" ht="30">
      <c r="A33" s="120">
        <v>32</v>
      </c>
      <c r="B33" s="120" t="b">
        <f t="shared" ca="1" si="0"/>
        <v>0</v>
      </c>
      <c r="C33" s="135">
        <v>45327</v>
      </c>
      <c r="D33" s="123">
        <v>0.32181712962962961</v>
      </c>
      <c r="E33" s="91">
        <v>1001</v>
      </c>
      <c r="F33" s="91">
        <v>1206</v>
      </c>
      <c r="G33" s="91" t="s">
        <v>71</v>
      </c>
      <c r="H33" s="91">
        <v>1041</v>
      </c>
      <c r="I33" s="115">
        <v>35214500045477</v>
      </c>
      <c r="J33" s="91" t="s">
        <v>72</v>
      </c>
      <c r="K33" s="91">
        <v>111.97499999999999</v>
      </c>
      <c r="L33" s="133" t="str">
        <f>VLOOKUP(K33,Liste!$L$2:$O$34,4,1)</f>
        <v>GSMR_20/21</v>
      </c>
      <c r="M33" s="133" t="s">
        <v>36</v>
      </c>
      <c r="N33" s="180" t="s">
        <v>37</v>
      </c>
      <c r="O33" s="125" t="s">
        <v>158</v>
      </c>
      <c r="P33" s="126"/>
      <c r="Q33" s="124" t="s">
        <v>39</v>
      </c>
      <c r="R33" s="124" t="s">
        <v>159</v>
      </c>
      <c r="S33" s="91" t="s">
        <v>160</v>
      </c>
      <c r="T33" s="91" t="s">
        <v>69</v>
      </c>
      <c r="U33" s="91" t="s">
        <v>120</v>
      </c>
      <c r="V33" s="91" t="s">
        <v>51</v>
      </c>
      <c r="W33" s="134" t="s">
        <v>51</v>
      </c>
      <c r="X33" s="94" t="s">
        <v>157</v>
      </c>
      <c r="Y33" s="91" t="s">
        <v>45</v>
      </c>
      <c r="Z33" s="91"/>
      <c r="AA33" s="91"/>
      <c r="AB33" s="91"/>
      <c r="AC33" s="91"/>
      <c r="AD33" s="91"/>
      <c r="AE33" s="91"/>
      <c r="AF33" s="91"/>
      <c r="AG33" s="91"/>
      <c r="AH33" s="91"/>
    </row>
    <row r="34" spans="1:34" customFormat="1" ht="30">
      <c r="A34" s="120">
        <v>33</v>
      </c>
      <c r="B34" s="120" t="b">
        <f t="shared" ca="1" si="0"/>
        <v>0</v>
      </c>
      <c r="C34" s="135">
        <v>45327</v>
      </c>
      <c r="D34" s="123">
        <v>0.4440972222222222</v>
      </c>
      <c r="E34" s="91">
        <v>1013</v>
      </c>
      <c r="F34" s="91">
        <v>1208</v>
      </c>
      <c r="G34" s="91" t="s">
        <v>71</v>
      </c>
      <c r="H34" s="91">
        <v>1045</v>
      </c>
      <c r="I34" s="115">
        <v>35214500045098</v>
      </c>
      <c r="J34" s="91" t="s">
        <v>72</v>
      </c>
      <c r="K34" s="91">
        <v>125.206</v>
      </c>
      <c r="L34" s="133" t="str">
        <f>VLOOKUP(K34,Liste!$L$2:$O$34,4,1)</f>
        <v>GSMR_22/23</v>
      </c>
      <c r="M34" s="133" t="s">
        <v>36</v>
      </c>
      <c r="N34" s="180" t="s">
        <v>37</v>
      </c>
      <c r="O34" s="125" t="s">
        <v>161</v>
      </c>
      <c r="P34" s="126"/>
      <c r="Q34" s="124" t="s">
        <v>47</v>
      </c>
      <c r="R34" s="124" t="s">
        <v>162</v>
      </c>
      <c r="S34" s="91" t="s">
        <v>163</v>
      </c>
      <c r="T34" s="91" t="s">
        <v>69</v>
      </c>
      <c r="U34" s="91" t="s">
        <v>120</v>
      </c>
      <c r="V34" s="91" t="s">
        <v>51</v>
      </c>
      <c r="W34" s="134" t="s">
        <v>51</v>
      </c>
      <c r="X34" s="94" t="s">
        <v>157</v>
      </c>
      <c r="Y34" s="91" t="s">
        <v>45</v>
      </c>
      <c r="Z34" s="91"/>
      <c r="AA34" s="91"/>
      <c r="AB34" s="91"/>
      <c r="AC34" s="91"/>
      <c r="AD34" s="91"/>
      <c r="AE34" s="91"/>
      <c r="AF34" s="91"/>
      <c r="AG34" s="91"/>
      <c r="AH34" s="91"/>
    </row>
    <row r="35" spans="1:34" customFormat="1" ht="30">
      <c r="A35" s="120">
        <v>34</v>
      </c>
      <c r="B35" s="120" t="b">
        <f t="shared" ca="1" si="0"/>
        <v>0</v>
      </c>
      <c r="C35" s="135">
        <v>45327</v>
      </c>
      <c r="D35" s="123">
        <v>0.38385416666666666</v>
      </c>
      <c r="E35" s="91">
        <v>2013</v>
      </c>
      <c r="F35" s="91">
        <v>1206</v>
      </c>
      <c r="G35" s="91" t="s">
        <v>34</v>
      </c>
      <c r="H35" s="91">
        <v>1054</v>
      </c>
      <c r="I35" s="115">
        <v>35214500022752</v>
      </c>
      <c r="J35" s="91" t="s">
        <v>35</v>
      </c>
      <c r="K35" s="91">
        <v>26.739000000000001</v>
      </c>
      <c r="L35" s="133" t="str">
        <f>VLOOKUP(K35,Liste!$L$2:$O$34,4,1)</f>
        <v>GSMR_05/06</v>
      </c>
      <c r="M35" s="133" t="s">
        <v>36</v>
      </c>
      <c r="N35" s="180" t="s">
        <v>37</v>
      </c>
      <c r="O35" s="125" t="s">
        <v>164</v>
      </c>
      <c r="P35" s="126"/>
      <c r="Q35" s="124" t="s">
        <v>39</v>
      </c>
      <c r="R35" s="124" t="s">
        <v>159</v>
      </c>
      <c r="S35" s="91" t="s">
        <v>165</v>
      </c>
      <c r="T35" s="91" t="s">
        <v>69</v>
      </c>
      <c r="U35" s="91" t="s">
        <v>166</v>
      </c>
      <c r="V35" s="91" t="s">
        <v>51</v>
      </c>
      <c r="W35" s="134" t="s">
        <v>51</v>
      </c>
      <c r="X35" s="94" t="s">
        <v>157</v>
      </c>
      <c r="Y35" s="91" t="s">
        <v>45</v>
      </c>
      <c r="Z35" s="91"/>
      <c r="AA35" s="91"/>
      <c r="AB35" s="91"/>
      <c r="AC35" s="91"/>
      <c r="AD35" s="91"/>
      <c r="AE35" s="91"/>
      <c r="AF35" s="91"/>
      <c r="AG35" s="91"/>
      <c r="AH35" s="91"/>
    </row>
    <row r="36" spans="1:34" customFormat="1" ht="30">
      <c r="A36" s="120">
        <v>35</v>
      </c>
      <c r="B36" s="120" t="b">
        <f t="shared" ca="1" si="0"/>
        <v>0</v>
      </c>
      <c r="C36" s="135">
        <v>45329</v>
      </c>
      <c r="D36" s="123">
        <v>0.44673611111111111</v>
      </c>
      <c r="E36" s="91">
        <v>2017</v>
      </c>
      <c r="F36" s="91">
        <v>1211</v>
      </c>
      <c r="G36" s="91" t="s">
        <v>34</v>
      </c>
      <c r="H36" s="91">
        <v>1029</v>
      </c>
      <c r="I36" s="132">
        <v>35214500045449</v>
      </c>
      <c r="J36" s="91" t="s">
        <v>35</v>
      </c>
      <c r="K36" s="91">
        <v>179.149</v>
      </c>
      <c r="L36" s="133" t="str">
        <f>VLOOKUP(K36,Liste!$L$2:$O$34,4,1)</f>
        <v>GSMR_30/31</v>
      </c>
      <c r="M36" s="133" t="s">
        <v>36</v>
      </c>
      <c r="N36" s="180" t="s">
        <v>37</v>
      </c>
      <c r="O36" s="125" t="s">
        <v>167</v>
      </c>
      <c r="P36" s="126"/>
      <c r="Q36" s="124" t="s">
        <v>105</v>
      </c>
      <c r="R36" s="91"/>
      <c r="S36" s="91" t="s">
        <v>168</v>
      </c>
      <c r="T36" s="91" t="s">
        <v>69</v>
      </c>
      <c r="U36" s="91" t="s">
        <v>97</v>
      </c>
      <c r="V36" s="91" t="s">
        <v>51</v>
      </c>
      <c r="W36" s="134" t="s">
        <v>51</v>
      </c>
      <c r="X36" s="94" t="s">
        <v>98</v>
      </c>
      <c r="Y36" s="91" t="s">
        <v>146</v>
      </c>
      <c r="Z36" s="91"/>
      <c r="AA36" s="91"/>
      <c r="AB36" s="91"/>
      <c r="AC36" s="91"/>
      <c r="AD36" s="91"/>
      <c r="AE36" s="91"/>
      <c r="AF36" s="91"/>
      <c r="AG36" s="91"/>
      <c r="AH36" s="91"/>
    </row>
    <row r="37" spans="1:34" customFormat="1" ht="30">
      <c r="A37" s="120">
        <v>36</v>
      </c>
      <c r="B37" s="120" t="b">
        <f t="shared" ca="1" si="0"/>
        <v>0</v>
      </c>
      <c r="C37" s="131">
        <v>45329</v>
      </c>
      <c r="D37" s="123">
        <v>0.76428240740740738</v>
      </c>
      <c r="E37" s="91">
        <v>2049</v>
      </c>
      <c r="F37" s="94">
        <v>1209</v>
      </c>
      <c r="G37" s="91" t="s">
        <v>34</v>
      </c>
      <c r="H37" s="91">
        <v>1058</v>
      </c>
      <c r="I37" s="115">
        <v>35214500044293</v>
      </c>
      <c r="J37" s="91" t="s">
        <v>35</v>
      </c>
      <c r="K37" s="91">
        <v>66.701999999999998</v>
      </c>
      <c r="L37" s="133" t="str">
        <f>VLOOKUP(K37,Liste!$L$2:$O$34,4,1)</f>
        <v>GSMR_12/13</v>
      </c>
      <c r="M37" s="133" t="s">
        <v>36</v>
      </c>
      <c r="N37" s="180" t="s">
        <v>37</v>
      </c>
      <c r="O37" s="125" t="s">
        <v>169</v>
      </c>
      <c r="P37" s="126"/>
      <c r="Q37" s="124" t="s">
        <v>39</v>
      </c>
      <c r="R37" s="124" t="s">
        <v>170</v>
      </c>
      <c r="S37" s="91" t="s">
        <v>171</v>
      </c>
      <c r="T37" s="91" t="s">
        <v>69</v>
      </c>
      <c r="U37" s="91" t="s">
        <v>172</v>
      </c>
      <c r="V37" s="91" t="s">
        <v>51</v>
      </c>
      <c r="W37" s="134" t="s">
        <v>51</v>
      </c>
      <c r="X37" s="94"/>
      <c r="Y37" s="91" t="s">
        <v>45</v>
      </c>
      <c r="Z37" s="91"/>
      <c r="AA37" s="91"/>
      <c r="AB37" s="91"/>
      <c r="AC37" s="91"/>
      <c r="AD37" s="91"/>
      <c r="AE37" s="91"/>
      <c r="AF37" s="91"/>
      <c r="AG37" s="91"/>
      <c r="AH37" s="91"/>
    </row>
    <row r="38" spans="1:34" customFormat="1" ht="30">
      <c r="A38" s="120">
        <v>37</v>
      </c>
      <c r="B38" s="120" t="b">
        <f t="shared" ca="1" si="0"/>
        <v>0</v>
      </c>
      <c r="C38" s="135">
        <v>45331</v>
      </c>
      <c r="D38" s="123">
        <v>0.94038194444444445</v>
      </c>
      <c r="E38" s="91">
        <v>1061</v>
      </c>
      <c r="F38" s="91">
        <v>1212</v>
      </c>
      <c r="G38" s="91" t="s">
        <v>71</v>
      </c>
      <c r="H38" s="91">
        <v>1020</v>
      </c>
      <c r="I38" s="115">
        <v>35214500045494</v>
      </c>
      <c r="J38" s="91" t="s">
        <v>72</v>
      </c>
      <c r="K38" s="91">
        <v>153.68600000000001</v>
      </c>
      <c r="L38" s="133" t="str">
        <f>VLOOKUP(K38,Liste!$L$2:$O$34,4,1)</f>
        <v>GSMR_26/27</v>
      </c>
      <c r="M38" s="133" t="s">
        <v>36</v>
      </c>
      <c r="N38" s="181" t="s">
        <v>58</v>
      </c>
      <c r="O38" s="125" t="s">
        <v>173</v>
      </c>
      <c r="P38" s="126"/>
      <c r="Q38" s="124" t="s">
        <v>39</v>
      </c>
      <c r="R38" s="134" t="s">
        <v>174</v>
      </c>
      <c r="S38" s="91" t="s">
        <v>175</v>
      </c>
      <c r="T38" s="91" t="s">
        <v>69</v>
      </c>
      <c r="U38" s="91" t="s">
        <v>102</v>
      </c>
      <c r="V38" s="91" t="s">
        <v>51</v>
      </c>
      <c r="W38" s="134" t="s">
        <v>51</v>
      </c>
      <c r="X38" s="94"/>
      <c r="Y38" s="91" t="s">
        <v>45</v>
      </c>
      <c r="Z38" s="91"/>
      <c r="AA38" s="91"/>
      <c r="AB38" s="91"/>
      <c r="AC38" s="91"/>
      <c r="AD38" s="91"/>
      <c r="AE38" s="91"/>
      <c r="AF38" s="91"/>
      <c r="AG38" s="91"/>
      <c r="AH38" s="91"/>
    </row>
    <row r="39" spans="1:34" customFormat="1" ht="30">
      <c r="A39" s="120">
        <v>38</v>
      </c>
      <c r="B39" s="120" t="b">
        <f t="shared" ca="1" si="0"/>
        <v>0</v>
      </c>
      <c r="C39" s="135">
        <v>45332</v>
      </c>
      <c r="D39" s="123">
        <v>0.76781250000000001</v>
      </c>
      <c r="E39" s="91"/>
      <c r="F39" s="91">
        <v>1203</v>
      </c>
      <c r="G39" s="91" t="s">
        <v>71</v>
      </c>
      <c r="H39" s="91">
        <v>1027</v>
      </c>
      <c r="I39" s="115"/>
      <c r="J39" s="91" t="s">
        <v>72</v>
      </c>
      <c r="K39" s="91">
        <v>186.87</v>
      </c>
      <c r="L39" s="133" t="str">
        <f>VLOOKUP(K39,Liste!$L$2:$O$34,4,1)</f>
        <v>GSMR_32/33</v>
      </c>
      <c r="M39" s="133" t="s">
        <v>36</v>
      </c>
      <c r="N39" s="180" t="s">
        <v>37</v>
      </c>
      <c r="O39" s="125" t="s">
        <v>176</v>
      </c>
      <c r="P39" s="126"/>
      <c r="Q39" s="124" t="s">
        <v>150</v>
      </c>
      <c r="R39" s="134" t="s">
        <v>177</v>
      </c>
      <c r="S39" s="91" t="s">
        <v>178</v>
      </c>
      <c r="T39" s="91" t="s">
        <v>78</v>
      </c>
      <c r="U39" s="91" t="s">
        <v>79</v>
      </c>
      <c r="V39" s="91"/>
      <c r="W39" s="134" t="s">
        <v>43</v>
      </c>
      <c r="X39" s="94"/>
      <c r="Y39" s="91" t="s">
        <v>45</v>
      </c>
      <c r="Z39" s="91"/>
      <c r="AA39" s="91"/>
      <c r="AB39" s="91"/>
      <c r="AC39" s="91"/>
      <c r="AD39" s="91"/>
      <c r="AE39" s="91"/>
      <c r="AF39" s="91"/>
      <c r="AG39" s="91"/>
      <c r="AH39" s="91"/>
    </row>
    <row r="40" spans="1:34" customFormat="1" ht="30">
      <c r="A40" s="120">
        <v>39</v>
      </c>
      <c r="B40" s="120" t="b">
        <f t="shared" ca="1" si="0"/>
        <v>0</v>
      </c>
      <c r="C40" s="135">
        <v>45332</v>
      </c>
      <c r="D40" s="123">
        <v>0.36259259259259258</v>
      </c>
      <c r="E40" s="91">
        <v>1005</v>
      </c>
      <c r="F40" s="91">
        <v>1208</v>
      </c>
      <c r="G40" s="91" t="s">
        <v>71</v>
      </c>
      <c r="H40" s="91">
        <v>1045</v>
      </c>
      <c r="I40" s="115">
        <v>35214500045098</v>
      </c>
      <c r="J40" s="91" t="s">
        <v>72</v>
      </c>
      <c r="K40" s="91">
        <v>111.97499999999999</v>
      </c>
      <c r="L40" s="133" t="str">
        <f>VLOOKUP(K40,Liste!$L$2:$O$34,4,1)</f>
        <v>GSMR_20/21</v>
      </c>
      <c r="M40" s="133" t="s">
        <v>36</v>
      </c>
      <c r="N40" s="180" t="s">
        <v>37</v>
      </c>
      <c r="O40" s="125" t="s">
        <v>158</v>
      </c>
      <c r="P40" s="126"/>
      <c r="Q40" s="124" t="s">
        <v>39</v>
      </c>
      <c r="R40" s="134" t="s">
        <v>179</v>
      </c>
      <c r="S40" s="91" t="s">
        <v>160</v>
      </c>
      <c r="T40" s="91" t="s">
        <v>69</v>
      </c>
      <c r="U40" s="91" t="s">
        <v>120</v>
      </c>
      <c r="V40" s="91" t="s">
        <v>51</v>
      </c>
      <c r="W40" s="134" t="s">
        <v>51</v>
      </c>
      <c r="X40" s="94"/>
      <c r="Y40" s="91" t="s">
        <v>45</v>
      </c>
      <c r="Z40" s="91"/>
      <c r="AA40" s="91"/>
      <c r="AB40" s="91"/>
      <c r="AC40" s="91"/>
      <c r="AD40" s="91"/>
      <c r="AE40" s="91"/>
      <c r="AF40" s="91"/>
      <c r="AG40" s="91"/>
      <c r="AH40" s="91"/>
    </row>
    <row r="41" spans="1:34" customFormat="1" ht="30">
      <c r="A41" s="120">
        <v>40</v>
      </c>
      <c r="B41" s="120" t="b">
        <f t="shared" ca="1" si="0"/>
        <v>0</v>
      </c>
      <c r="C41" s="131">
        <v>45332</v>
      </c>
      <c r="D41" s="123">
        <v>0.56837962962962962</v>
      </c>
      <c r="E41" s="91">
        <v>1025</v>
      </c>
      <c r="F41" s="94">
        <v>1205</v>
      </c>
      <c r="G41" s="91" t="s">
        <v>71</v>
      </c>
      <c r="H41" s="91">
        <v>1051</v>
      </c>
      <c r="I41" s="115">
        <v>35214500045495</v>
      </c>
      <c r="J41" s="91" t="s">
        <v>72</v>
      </c>
      <c r="K41" s="91">
        <v>130.48400000000001</v>
      </c>
      <c r="L41" s="133" t="str">
        <f>VLOOKUP(K41,Liste!$L$2:$O$34,4,1)</f>
        <v>GSMR_23/24</v>
      </c>
      <c r="M41" s="133" t="s">
        <v>36</v>
      </c>
      <c r="N41" s="180" t="s">
        <v>37</v>
      </c>
      <c r="O41" s="125" t="s">
        <v>180</v>
      </c>
      <c r="P41" s="126"/>
      <c r="Q41" s="124" t="s">
        <v>39</v>
      </c>
      <c r="R41" s="91"/>
      <c r="S41" s="91" t="s">
        <v>181</v>
      </c>
      <c r="T41" s="91" t="s">
        <v>69</v>
      </c>
      <c r="U41" s="91" t="s">
        <v>120</v>
      </c>
      <c r="V41" s="91" t="s">
        <v>51</v>
      </c>
      <c r="W41" s="134" t="s">
        <v>51</v>
      </c>
      <c r="X41" s="94"/>
      <c r="Y41" s="91" t="s">
        <v>45</v>
      </c>
      <c r="Z41" s="91"/>
      <c r="AA41" s="91"/>
      <c r="AB41" s="91"/>
      <c r="AC41" s="91"/>
      <c r="AD41" s="91"/>
      <c r="AE41" s="91"/>
      <c r="AF41" s="91"/>
      <c r="AG41" s="91"/>
      <c r="AH41" s="91"/>
    </row>
    <row r="42" spans="1:34" customFormat="1" ht="30">
      <c r="A42" s="120">
        <v>41</v>
      </c>
      <c r="B42" s="120" t="b">
        <f t="shared" ca="1" si="0"/>
        <v>0</v>
      </c>
      <c r="C42" s="135">
        <v>45333</v>
      </c>
      <c r="D42" s="123">
        <v>0.45028935185185187</v>
      </c>
      <c r="E42" s="91">
        <v>1013</v>
      </c>
      <c r="F42" s="91">
        <v>1204</v>
      </c>
      <c r="G42" s="91" t="s">
        <v>71</v>
      </c>
      <c r="H42" s="91">
        <v>1031</v>
      </c>
      <c r="I42" s="115"/>
      <c r="J42" s="91" t="s">
        <v>72</v>
      </c>
      <c r="K42" s="91">
        <v>79.281999999999996</v>
      </c>
      <c r="L42" s="133" t="str">
        <f>VLOOKUP(K42,Liste!$L$2:$O$34,4,1)</f>
        <v>GSMR_14/15</v>
      </c>
      <c r="M42" s="133" t="s">
        <v>36</v>
      </c>
      <c r="N42" s="180" t="s">
        <v>37</v>
      </c>
      <c r="O42" s="125" t="s">
        <v>123</v>
      </c>
      <c r="P42" s="126"/>
      <c r="Q42" s="124" t="s">
        <v>127</v>
      </c>
      <c r="R42" s="91"/>
      <c r="S42" s="91" t="s">
        <v>182</v>
      </c>
      <c r="T42" s="91" t="s">
        <v>69</v>
      </c>
      <c r="U42" s="91" t="s">
        <v>183</v>
      </c>
      <c r="V42" s="91"/>
      <c r="W42" s="134" t="s">
        <v>51</v>
      </c>
      <c r="X42" s="94" t="s">
        <v>98</v>
      </c>
      <c r="Y42" s="91" t="s">
        <v>45</v>
      </c>
      <c r="Z42" s="91"/>
      <c r="AA42" s="91"/>
      <c r="AB42" s="91"/>
      <c r="AC42" s="91"/>
      <c r="AD42" s="91"/>
      <c r="AE42" s="91"/>
      <c r="AF42" s="91"/>
      <c r="AG42" s="91"/>
      <c r="AH42" s="91"/>
    </row>
    <row r="43" spans="1:34" customFormat="1" ht="30">
      <c r="A43" s="120">
        <v>42</v>
      </c>
      <c r="B43" s="120" t="b">
        <f t="shared" ca="1" si="0"/>
        <v>0</v>
      </c>
      <c r="C43" s="135">
        <v>45334</v>
      </c>
      <c r="D43" s="123">
        <v>0.95027777777777778</v>
      </c>
      <c r="E43" s="91">
        <v>1061</v>
      </c>
      <c r="F43" s="91">
        <v>1207</v>
      </c>
      <c r="G43" s="91" t="s">
        <v>71</v>
      </c>
      <c r="H43" s="91">
        <v>1008</v>
      </c>
      <c r="I43" s="115">
        <v>35214500045654</v>
      </c>
      <c r="J43" s="91" t="s">
        <v>72</v>
      </c>
      <c r="K43" s="91">
        <v>81.777000000000001</v>
      </c>
      <c r="L43" s="133" t="str">
        <f>VLOOKUP(K43,Liste!$L$2:$O$34,4,1)</f>
        <v>GSMR_15/16</v>
      </c>
      <c r="M43" s="133" t="s">
        <v>36</v>
      </c>
      <c r="N43" s="180" t="s">
        <v>37</v>
      </c>
      <c r="O43" s="125" t="s">
        <v>184</v>
      </c>
      <c r="P43" s="126"/>
      <c r="Q43" s="124" t="s">
        <v>127</v>
      </c>
      <c r="R43" s="91"/>
      <c r="S43" s="91" t="s">
        <v>185</v>
      </c>
      <c r="T43" s="91" t="s">
        <v>41</v>
      </c>
      <c r="U43" s="91" t="s">
        <v>97</v>
      </c>
      <c r="V43" s="91" t="s">
        <v>51</v>
      </c>
      <c r="W43" s="134" t="s">
        <v>51</v>
      </c>
      <c r="X43" s="94"/>
      <c r="Y43" s="91" t="s">
        <v>45</v>
      </c>
      <c r="Z43" s="91"/>
      <c r="AA43" s="91"/>
      <c r="AB43" s="91"/>
      <c r="AC43" s="91"/>
      <c r="AD43" s="91"/>
      <c r="AE43" s="91"/>
      <c r="AF43" s="91"/>
      <c r="AG43" s="91"/>
      <c r="AH43" s="91"/>
    </row>
    <row r="44" spans="1:34" customFormat="1" ht="30">
      <c r="A44" s="120">
        <v>43</v>
      </c>
      <c r="B44" s="120" t="b">
        <f t="shared" ca="1" si="0"/>
        <v>0</v>
      </c>
      <c r="C44" s="135">
        <v>45334</v>
      </c>
      <c r="D44" s="123">
        <v>0.34074074074074073</v>
      </c>
      <c r="E44" s="91">
        <v>2009</v>
      </c>
      <c r="F44" s="91">
        <v>1208</v>
      </c>
      <c r="G44" s="91" t="s">
        <v>34</v>
      </c>
      <c r="H44" s="91">
        <v>1036</v>
      </c>
      <c r="I44" s="115">
        <v>35214500045461</v>
      </c>
      <c r="J44" s="91" t="s">
        <v>35</v>
      </c>
      <c r="K44" s="91">
        <v>21.55</v>
      </c>
      <c r="L44" s="133" t="str">
        <f>VLOOKUP(K44,Liste!$L$2:$O$34,4,1)</f>
        <v>GSMR_04/05</v>
      </c>
      <c r="M44" s="133" t="s">
        <v>36</v>
      </c>
      <c r="N44" s="180" t="s">
        <v>37</v>
      </c>
      <c r="O44" s="125" t="s">
        <v>186</v>
      </c>
      <c r="P44" s="126"/>
      <c r="Q44" s="124" t="s">
        <v>127</v>
      </c>
      <c r="R44" s="124" t="s">
        <v>187</v>
      </c>
      <c r="S44" s="91" t="s">
        <v>188</v>
      </c>
      <c r="T44" s="91" t="s">
        <v>69</v>
      </c>
      <c r="U44" s="91" t="s">
        <v>120</v>
      </c>
      <c r="V44" s="91" t="s">
        <v>51</v>
      </c>
      <c r="W44" s="134" t="s">
        <v>51</v>
      </c>
      <c r="X44" s="94"/>
      <c r="Y44" s="91" t="s">
        <v>45</v>
      </c>
      <c r="Z44" s="91"/>
      <c r="AA44" s="91"/>
      <c r="AB44" s="91"/>
      <c r="AC44" s="91"/>
      <c r="AD44" s="91"/>
      <c r="AE44" s="91"/>
      <c r="AF44" s="91"/>
      <c r="AG44" s="91"/>
      <c r="AH44" s="91"/>
    </row>
    <row r="45" spans="1:34" customFormat="1" ht="45">
      <c r="A45" s="120">
        <v>44</v>
      </c>
      <c r="B45" s="120" t="b">
        <f t="shared" ca="1" si="0"/>
        <v>0</v>
      </c>
      <c r="C45" s="135">
        <v>45335</v>
      </c>
      <c r="D45" s="123">
        <v>0.41046296296296297</v>
      </c>
      <c r="E45" s="91"/>
      <c r="F45" s="91">
        <v>1202</v>
      </c>
      <c r="G45" s="91" t="s">
        <v>71</v>
      </c>
      <c r="H45" s="91">
        <v>1023</v>
      </c>
      <c r="I45" s="115">
        <v>35214500045408</v>
      </c>
      <c r="J45" s="91" t="s">
        <v>72</v>
      </c>
      <c r="K45" s="91">
        <v>87.186999999999998</v>
      </c>
      <c r="L45" s="133" t="str">
        <f>VLOOKUP(K45,Liste!$L$2:$O$34,4,1)</f>
        <v>GSMR_16/17</v>
      </c>
      <c r="M45" s="133" t="s">
        <v>36</v>
      </c>
      <c r="N45" s="181" t="s">
        <v>58</v>
      </c>
      <c r="O45" s="125" t="s">
        <v>189</v>
      </c>
      <c r="P45" s="126"/>
      <c r="Q45" s="124" t="s">
        <v>39</v>
      </c>
      <c r="R45" s="91"/>
      <c r="S45" s="91" t="s">
        <v>190</v>
      </c>
      <c r="T45" s="91" t="s">
        <v>78</v>
      </c>
      <c r="U45" s="91" t="s">
        <v>120</v>
      </c>
      <c r="V45" s="91" t="s">
        <v>51</v>
      </c>
      <c r="W45" s="134" t="s">
        <v>51</v>
      </c>
      <c r="X45" s="94"/>
      <c r="Y45" s="91" t="s">
        <v>45</v>
      </c>
      <c r="Z45" s="91"/>
      <c r="AA45" s="91"/>
      <c r="AB45" s="91"/>
      <c r="AC45" s="91"/>
      <c r="AD45" s="91"/>
      <c r="AE45" s="91"/>
      <c r="AF45" s="91"/>
      <c r="AG45" s="91"/>
      <c r="AH45" s="91"/>
    </row>
    <row r="46" spans="1:34" customFormat="1" ht="30">
      <c r="A46" s="120">
        <v>45</v>
      </c>
      <c r="B46" s="120" t="b">
        <f t="shared" ca="1" si="0"/>
        <v>0</v>
      </c>
      <c r="C46" s="135">
        <v>45335</v>
      </c>
      <c r="D46" s="123">
        <v>0.47192129629629631</v>
      </c>
      <c r="E46" s="91">
        <v>2021</v>
      </c>
      <c r="F46" s="91">
        <v>1202</v>
      </c>
      <c r="G46" s="91" t="s">
        <v>34</v>
      </c>
      <c r="H46" s="91">
        <v>1043</v>
      </c>
      <c r="I46" s="115">
        <v>35214500045200</v>
      </c>
      <c r="J46" s="91" t="s">
        <v>35</v>
      </c>
      <c r="K46" s="91">
        <v>64.387</v>
      </c>
      <c r="L46" s="133" t="str">
        <f>VLOOKUP(K46,Liste!$L$2:$O$34,4,1)</f>
        <v>GSMR_11/12</v>
      </c>
      <c r="M46" s="133" t="s">
        <v>36</v>
      </c>
      <c r="N46" s="180" t="s">
        <v>37</v>
      </c>
      <c r="O46" s="125" t="s">
        <v>191</v>
      </c>
      <c r="P46" s="126"/>
      <c r="Q46" s="94" t="s">
        <v>54</v>
      </c>
      <c r="R46" s="91"/>
      <c r="S46" s="91" t="s">
        <v>192</v>
      </c>
      <c r="T46" s="91" t="s">
        <v>78</v>
      </c>
      <c r="U46" s="91" t="s">
        <v>97</v>
      </c>
      <c r="V46" s="91" t="s">
        <v>51</v>
      </c>
      <c r="W46" s="134" t="s">
        <v>51</v>
      </c>
      <c r="X46" s="94"/>
      <c r="Y46" s="91" t="s">
        <v>45</v>
      </c>
      <c r="Z46" s="91"/>
      <c r="AA46" s="91"/>
      <c r="AB46" s="91"/>
      <c r="AC46" s="91"/>
      <c r="AD46" s="91"/>
      <c r="AE46" s="91"/>
      <c r="AF46" s="91"/>
      <c r="AG46" s="91"/>
      <c r="AH46" s="91"/>
    </row>
    <row r="47" spans="1:34" customFormat="1" ht="30">
      <c r="A47" s="120">
        <v>46</v>
      </c>
      <c r="B47" s="120" t="b">
        <f t="shared" ca="1" si="0"/>
        <v>0</v>
      </c>
      <c r="C47" s="131">
        <v>45336</v>
      </c>
      <c r="D47" s="123">
        <v>0.39270833333333333</v>
      </c>
      <c r="E47" s="91">
        <v>1010</v>
      </c>
      <c r="F47" s="94">
        <v>1205</v>
      </c>
      <c r="G47" s="91" t="s">
        <v>71</v>
      </c>
      <c r="H47" s="91">
        <v>1050</v>
      </c>
      <c r="I47" s="115">
        <v>35214500045357</v>
      </c>
      <c r="J47" s="91" t="s">
        <v>72</v>
      </c>
      <c r="K47" s="91">
        <v>188.245</v>
      </c>
      <c r="L47" s="133" t="str">
        <f>VLOOKUP(K47,Liste!$L$2:$O$34,4,1)</f>
        <v>GSMR_33/RAC</v>
      </c>
      <c r="M47" s="133" t="s">
        <v>36</v>
      </c>
      <c r="N47" s="180" t="s">
        <v>37</v>
      </c>
      <c r="O47" s="125" t="s">
        <v>193</v>
      </c>
      <c r="P47" s="126"/>
      <c r="Q47" s="124" t="s">
        <v>39</v>
      </c>
      <c r="R47" s="124" t="s">
        <v>194</v>
      </c>
      <c r="S47" s="91" t="s">
        <v>178</v>
      </c>
      <c r="T47" s="91" t="s">
        <v>78</v>
      </c>
      <c r="U47" s="91" t="s">
        <v>120</v>
      </c>
      <c r="V47" s="91" t="s">
        <v>51</v>
      </c>
      <c r="W47" s="134" t="s">
        <v>51</v>
      </c>
      <c r="X47" s="94"/>
      <c r="Y47" s="91" t="s">
        <v>45</v>
      </c>
      <c r="Z47" s="91"/>
      <c r="AA47" s="91"/>
      <c r="AB47" s="91"/>
      <c r="AC47" s="91"/>
      <c r="AD47" s="91"/>
      <c r="AE47" s="91"/>
      <c r="AF47" s="91"/>
      <c r="AG47" s="91"/>
      <c r="AH47" s="91"/>
    </row>
    <row r="48" spans="1:34" customFormat="1" ht="30">
      <c r="A48" s="120">
        <v>47</v>
      </c>
      <c r="B48" s="120" t="b">
        <f t="shared" ca="1" si="0"/>
        <v>0</v>
      </c>
      <c r="C48" s="131">
        <v>45336</v>
      </c>
      <c r="D48" s="123">
        <v>0.40177083333333335</v>
      </c>
      <c r="E48" s="91">
        <v>1010</v>
      </c>
      <c r="F48" s="94">
        <v>1205</v>
      </c>
      <c r="G48" s="91" t="s">
        <v>71</v>
      </c>
      <c r="H48" s="91">
        <v>1051</v>
      </c>
      <c r="I48" s="115">
        <v>35214500045495</v>
      </c>
      <c r="J48" s="91" t="s">
        <v>72</v>
      </c>
      <c r="K48" s="91">
        <v>186.87</v>
      </c>
      <c r="L48" s="133" t="str">
        <f>VLOOKUP(K48,Liste!$L$2:$O$34,4,1)</f>
        <v>GSMR_32/33</v>
      </c>
      <c r="M48" s="133" t="s">
        <v>36</v>
      </c>
      <c r="N48" s="181" t="s">
        <v>58</v>
      </c>
      <c r="O48" s="125" t="s">
        <v>195</v>
      </c>
      <c r="P48" s="126"/>
      <c r="Q48" s="124" t="s">
        <v>39</v>
      </c>
      <c r="R48" s="124" t="s">
        <v>194</v>
      </c>
      <c r="S48" s="91" t="s">
        <v>196</v>
      </c>
      <c r="T48" s="91" t="s">
        <v>69</v>
      </c>
      <c r="U48" s="91" t="s">
        <v>197</v>
      </c>
      <c r="V48" s="91" t="s">
        <v>51</v>
      </c>
      <c r="W48" s="134" t="s">
        <v>51</v>
      </c>
      <c r="X48" s="94"/>
      <c r="Y48" s="91"/>
      <c r="Z48" s="91"/>
      <c r="AA48" s="91"/>
      <c r="AB48" s="91"/>
      <c r="AC48" s="91"/>
      <c r="AD48" s="91"/>
      <c r="AE48" s="91"/>
      <c r="AF48" s="91"/>
      <c r="AG48" s="91"/>
      <c r="AH48" s="91"/>
    </row>
    <row r="49" spans="1:34" customFormat="1" ht="30">
      <c r="A49" s="120">
        <v>48</v>
      </c>
      <c r="B49" s="120" t="b">
        <f t="shared" ca="1" si="0"/>
        <v>0</v>
      </c>
      <c r="C49" s="131">
        <v>45336</v>
      </c>
      <c r="D49" s="123">
        <v>0.43475694444444446</v>
      </c>
      <c r="E49" s="91">
        <v>1010</v>
      </c>
      <c r="F49" s="94">
        <v>1205</v>
      </c>
      <c r="G49" s="91" t="s">
        <v>71</v>
      </c>
      <c r="H49" s="91">
        <v>1051</v>
      </c>
      <c r="I49" s="115">
        <v>35214500045495</v>
      </c>
      <c r="J49" s="91" t="s">
        <v>72</v>
      </c>
      <c r="K49" s="152">
        <v>7.3209999999999997</v>
      </c>
      <c r="L49" s="133" t="str">
        <f>VLOOKUP(K49,Liste!$L$2:$O$34,4,1)</f>
        <v>GSMR_02/03</v>
      </c>
      <c r="M49" s="133" t="s">
        <v>36</v>
      </c>
      <c r="N49" s="180" t="s">
        <v>37</v>
      </c>
      <c r="O49" s="125" t="s">
        <v>198</v>
      </c>
      <c r="P49" s="126"/>
      <c r="Q49" s="124" t="s">
        <v>39</v>
      </c>
      <c r="R49" s="124" t="s">
        <v>194</v>
      </c>
      <c r="S49" s="91" t="s">
        <v>74</v>
      </c>
      <c r="T49" s="91"/>
      <c r="U49" s="91"/>
      <c r="V49" s="91" t="s">
        <v>51</v>
      </c>
      <c r="W49" s="134" t="s">
        <v>51</v>
      </c>
      <c r="X49" s="94"/>
      <c r="Y49" s="91" t="s">
        <v>146</v>
      </c>
      <c r="Z49" s="91"/>
      <c r="AA49" s="91"/>
      <c r="AB49" s="91"/>
      <c r="AC49" s="91"/>
      <c r="AD49" s="91"/>
      <c r="AE49" s="91"/>
      <c r="AF49" s="91"/>
      <c r="AG49" s="91"/>
      <c r="AH49" s="91"/>
    </row>
    <row r="50" spans="1:34" customFormat="1" ht="30">
      <c r="A50" s="120">
        <v>49</v>
      </c>
      <c r="B50" s="120" t="b">
        <f t="shared" ca="1" si="0"/>
        <v>0</v>
      </c>
      <c r="C50" s="135">
        <v>45336</v>
      </c>
      <c r="D50" s="123">
        <v>0.46432870370370372</v>
      </c>
      <c r="E50" s="91">
        <v>2021</v>
      </c>
      <c r="F50" s="91">
        <v>1204</v>
      </c>
      <c r="G50" s="91" t="s">
        <v>34</v>
      </c>
      <c r="H50" s="91">
        <v>4497</v>
      </c>
      <c r="I50" s="115"/>
      <c r="J50" s="91" t="s">
        <v>35</v>
      </c>
      <c r="K50" s="91">
        <v>14.99</v>
      </c>
      <c r="L50" s="133" t="str">
        <f>VLOOKUP(K50,Liste!$L$2:$O$34,4,1)</f>
        <v>GSMR_03/04</v>
      </c>
      <c r="M50" s="133" t="s">
        <v>36</v>
      </c>
      <c r="N50" s="180" t="s">
        <v>37</v>
      </c>
      <c r="O50" s="125" t="s">
        <v>199</v>
      </c>
      <c r="P50" s="126"/>
      <c r="Q50" s="124" t="s">
        <v>127</v>
      </c>
      <c r="R50" s="91"/>
      <c r="S50" s="91" t="s">
        <v>200</v>
      </c>
      <c r="T50" s="91" t="s">
        <v>69</v>
      </c>
      <c r="U50" s="91" t="s">
        <v>120</v>
      </c>
      <c r="V50" s="91" t="s">
        <v>51</v>
      </c>
      <c r="W50" s="134" t="s">
        <v>51</v>
      </c>
      <c r="X50" s="94" t="s">
        <v>201</v>
      </c>
      <c r="Y50" s="91" t="s">
        <v>45</v>
      </c>
      <c r="Z50" s="91"/>
      <c r="AA50" s="91"/>
      <c r="AB50" s="91"/>
      <c r="AC50" s="91"/>
      <c r="AD50" s="91"/>
      <c r="AE50" s="91"/>
      <c r="AF50" s="91"/>
      <c r="AG50" s="91"/>
      <c r="AH50" s="91"/>
    </row>
    <row r="51" spans="1:34" customFormat="1" ht="30">
      <c r="A51" s="120">
        <v>50</v>
      </c>
      <c r="B51" s="120" t="b">
        <f t="shared" ca="1" si="0"/>
        <v>0</v>
      </c>
      <c r="C51" s="131">
        <v>45336</v>
      </c>
      <c r="D51" s="123">
        <v>0.76252314814814814</v>
      </c>
      <c r="E51" s="91"/>
      <c r="F51" s="94">
        <v>1207</v>
      </c>
      <c r="G51" s="94" t="s">
        <v>34</v>
      </c>
      <c r="H51" s="91"/>
      <c r="I51" s="115"/>
      <c r="J51" s="91" t="s">
        <v>35</v>
      </c>
      <c r="K51" s="91">
        <v>58.71</v>
      </c>
      <c r="L51" s="133" t="str">
        <f>VLOOKUP(K51,Liste!$L$2:$O$34,4,1)</f>
        <v>GSMR_10/11</v>
      </c>
      <c r="M51" s="133" t="s">
        <v>36</v>
      </c>
      <c r="N51" s="180" t="s">
        <v>37</v>
      </c>
      <c r="O51" s="125" t="s">
        <v>202</v>
      </c>
      <c r="P51" s="126"/>
      <c r="Q51" s="124" t="s">
        <v>39</v>
      </c>
      <c r="R51" s="124" t="s">
        <v>203</v>
      </c>
      <c r="S51" s="91" t="s">
        <v>204</v>
      </c>
      <c r="T51" s="91" t="s">
        <v>69</v>
      </c>
      <c r="U51" s="91" t="s">
        <v>205</v>
      </c>
      <c r="V51" s="91" t="s">
        <v>51</v>
      </c>
      <c r="W51" s="134" t="s">
        <v>51</v>
      </c>
      <c r="X51" s="94"/>
      <c r="Y51" s="91" t="s">
        <v>45</v>
      </c>
      <c r="Z51" s="91"/>
      <c r="AA51" s="91"/>
      <c r="AB51" s="91"/>
      <c r="AC51" s="91"/>
      <c r="AD51" s="91"/>
      <c r="AE51" s="91"/>
      <c r="AF51" s="91"/>
      <c r="AG51" s="91"/>
      <c r="AH51" s="91"/>
    </row>
    <row r="52" spans="1:34" customFormat="1" ht="30">
      <c r="A52" s="120">
        <v>51</v>
      </c>
      <c r="B52" s="120" t="b">
        <f t="shared" ca="1" si="0"/>
        <v>0</v>
      </c>
      <c r="C52" s="131">
        <v>45337</v>
      </c>
      <c r="D52" s="123">
        <v>0.40255787037037039</v>
      </c>
      <c r="E52" s="91">
        <v>1009</v>
      </c>
      <c r="F52" s="91">
        <v>1209</v>
      </c>
      <c r="G52" s="91" t="s">
        <v>71</v>
      </c>
      <c r="H52" s="91"/>
      <c r="I52" s="115"/>
      <c r="J52" s="91" t="s">
        <v>72</v>
      </c>
      <c r="K52" s="91">
        <v>125.206</v>
      </c>
      <c r="L52" s="133" t="str">
        <f>VLOOKUP(K52,Liste!$L$2:$O$34,4,1)</f>
        <v>GSMR_22/23</v>
      </c>
      <c r="M52" s="133" t="s">
        <v>36</v>
      </c>
      <c r="N52" s="181" t="s">
        <v>58</v>
      </c>
      <c r="O52" s="125" t="s">
        <v>161</v>
      </c>
      <c r="P52" s="126"/>
      <c r="Q52" s="124" t="s">
        <v>105</v>
      </c>
      <c r="R52" s="124" t="s">
        <v>206</v>
      </c>
      <c r="S52" s="91" t="s">
        <v>163</v>
      </c>
      <c r="T52" s="91" t="s">
        <v>69</v>
      </c>
      <c r="U52" s="91" t="s">
        <v>120</v>
      </c>
      <c r="V52" s="91" t="s">
        <v>51</v>
      </c>
      <c r="W52" s="134" t="s">
        <v>51</v>
      </c>
      <c r="X52" s="94"/>
      <c r="Y52" s="91" t="s">
        <v>45</v>
      </c>
      <c r="Z52" s="91"/>
      <c r="AA52" s="91"/>
      <c r="AB52" s="91"/>
      <c r="AC52" s="91"/>
      <c r="AD52" s="91"/>
      <c r="AE52" s="91"/>
      <c r="AF52" s="91"/>
      <c r="AG52" s="91"/>
      <c r="AH52" s="91"/>
    </row>
    <row r="53" spans="1:34" customFormat="1" ht="30">
      <c r="A53" s="120">
        <v>52</v>
      </c>
      <c r="B53" s="120" t="b">
        <f t="shared" ca="1" si="0"/>
        <v>0</v>
      </c>
      <c r="C53" s="135">
        <v>45337</v>
      </c>
      <c r="D53" s="123">
        <v>0.48909722222222224</v>
      </c>
      <c r="E53" s="91">
        <v>1017</v>
      </c>
      <c r="F53" s="91">
        <v>1211</v>
      </c>
      <c r="G53" s="91" t="s">
        <v>71</v>
      </c>
      <c r="H53" s="91"/>
      <c r="I53" s="115"/>
      <c r="J53" s="91" t="s">
        <v>72</v>
      </c>
      <c r="K53" s="91">
        <v>101.587</v>
      </c>
      <c r="L53" s="133" t="str">
        <f>VLOOKUP(K53,Liste!$L$2:$O$34,4,1)</f>
        <v>GSMR_18/19</v>
      </c>
      <c r="M53" s="133" t="s">
        <v>36</v>
      </c>
      <c r="N53" s="180" t="s">
        <v>37</v>
      </c>
      <c r="O53" s="125" t="s">
        <v>207</v>
      </c>
      <c r="P53" s="126"/>
      <c r="Q53" s="124" t="s">
        <v>127</v>
      </c>
      <c r="R53" s="91"/>
      <c r="S53" s="91" t="s">
        <v>208</v>
      </c>
      <c r="T53" s="91" t="s">
        <v>209</v>
      </c>
      <c r="U53" s="91" t="s">
        <v>75</v>
      </c>
      <c r="V53" s="91" t="s">
        <v>51</v>
      </c>
      <c r="W53" s="134" t="s">
        <v>51</v>
      </c>
      <c r="X53" s="94"/>
      <c r="Y53" s="91" t="s">
        <v>146</v>
      </c>
      <c r="Z53" s="91"/>
      <c r="AA53" s="91"/>
      <c r="AB53" s="91"/>
      <c r="AC53" s="91"/>
      <c r="AD53" s="91"/>
      <c r="AE53" s="91"/>
      <c r="AF53" s="91"/>
      <c r="AG53" s="91"/>
      <c r="AH53" s="91"/>
    </row>
    <row r="54" spans="1:34" customFormat="1" ht="30">
      <c r="A54" s="120">
        <v>53</v>
      </c>
      <c r="B54" s="120" t="b">
        <f t="shared" ca="1" si="0"/>
        <v>0</v>
      </c>
      <c r="C54" s="131">
        <v>45339</v>
      </c>
      <c r="D54" s="123">
        <v>0.94361111111111107</v>
      </c>
      <c r="E54" s="91">
        <v>1061</v>
      </c>
      <c r="F54" s="91">
        <v>1207</v>
      </c>
      <c r="G54" s="91" t="s">
        <v>71</v>
      </c>
      <c r="H54" s="91">
        <v>1007</v>
      </c>
      <c r="I54" s="115"/>
      <c r="J54" s="91" t="s">
        <v>72</v>
      </c>
      <c r="K54" s="91">
        <v>127.815</v>
      </c>
      <c r="L54" s="133" t="str">
        <f>VLOOKUP(K54,Liste!$L$2:$O$34,4,1)</f>
        <v>GSMR_22/23</v>
      </c>
      <c r="M54" s="133" t="s">
        <v>36</v>
      </c>
      <c r="N54" s="180" t="s">
        <v>37</v>
      </c>
      <c r="O54" s="125" t="s">
        <v>210</v>
      </c>
      <c r="P54" s="126"/>
      <c r="Q54" s="94" t="s">
        <v>54</v>
      </c>
      <c r="R54" s="91"/>
      <c r="S54" s="91" t="s">
        <v>211</v>
      </c>
      <c r="T54" s="91" t="s">
        <v>93</v>
      </c>
      <c r="U54" s="91" t="s">
        <v>112</v>
      </c>
      <c r="V54" s="91" t="s">
        <v>51</v>
      </c>
      <c r="W54" s="134" t="s">
        <v>51</v>
      </c>
      <c r="X54" s="91" t="s">
        <v>52</v>
      </c>
      <c r="Y54" s="91" t="s">
        <v>146</v>
      </c>
      <c r="Z54" s="91"/>
      <c r="AA54" s="91"/>
      <c r="AB54" s="91"/>
      <c r="AC54" s="91"/>
      <c r="AD54" s="91"/>
      <c r="AE54" s="91"/>
      <c r="AF54" s="91"/>
      <c r="AG54" s="91"/>
      <c r="AH54" s="91"/>
    </row>
    <row r="55" spans="1:34" customFormat="1" ht="30">
      <c r="A55" s="120">
        <v>54</v>
      </c>
      <c r="B55" s="120" t="b">
        <f t="shared" ca="1" si="0"/>
        <v>0</v>
      </c>
      <c r="C55" s="131">
        <v>45339</v>
      </c>
      <c r="D55" s="123">
        <v>0.40693287037037035</v>
      </c>
      <c r="E55" s="91">
        <v>1009</v>
      </c>
      <c r="F55" s="91">
        <v>1207</v>
      </c>
      <c r="G55" s="91" t="s">
        <v>71</v>
      </c>
      <c r="H55" s="91">
        <v>1008</v>
      </c>
      <c r="I55" s="115">
        <v>35214500045654</v>
      </c>
      <c r="J55" s="91" t="s">
        <v>72</v>
      </c>
      <c r="K55" s="91">
        <v>94.953999999999994</v>
      </c>
      <c r="L55" s="133" t="str">
        <f>VLOOKUP(K55,Liste!$L$2:$O$34,4,1)</f>
        <v>GSMR_17/18</v>
      </c>
      <c r="M55" s="133" t="s">
        <v>36</v>
      </c>
      <c r="N55" s="180" t="s">
        <v>37</v>
      </c>
      <c r="O55" s="125" t="s">
        <v>212</v>
      </c>
      <c r="P55" s="126"/>
      <c r="Q55" s="94" t="s">
        <v>54</v>
      </c>
      <c r="R55" s="91"/>
      <c r="S55" s="91" t="s">
        <v>213</v>
      </c>
      <c r="T55" s="91" t="s">
        <v>56</v>
      </c>
      <c r="U55" s="91" t="s">
        <v>214</v>
      </c>
      <c r="V55" s="91" t="s">
        <v>51</v>
      </c>
      <c r="W55" s="134" t="s">
        <v>51</v>
      </c>
      <c r="X55" s="91" t="s">
        <v>52</v>
      </c>
      <c r="Y55" s="91" t="s">
        <v>45</v>
      </c>
      <c r="Z55" s="91"/>
      <c r="AA55" s="91"/>
      <c r="AB55" s="91"/>
      <c r="AC55" s="91"/>
      <c r="AD55" s="91"/>
      <c r="AE55" s="91"/>
      <c r="AF55" s="91"/>
      <c r="AG55" s="91"/>
      <c r="AH55" s="91"/>
    </row>
    <row r="56" spans="1:34" customFormat="1" ht="30">
      <c r="A56" s="120">
        <v>55</v>
      </c>
      <c r="B56" s="120" t="b">
        <f t="shared" ca="1" si="0"/>
        <v>0</v>
      </c>
      <c r="C56" s="131">
        <v>45339</v>
      </c>
      <c r="D56" s="123">
        <v>0.83248842592592598</v>
      </c>
      <c r="E56" s="91">
        <v>1049</v>
      </c>
      <c r="F56" s="91">
        <v>1205</v>
      </c>
      <c r="G56" s="91" t="s">
        <v>71</v>
      </c>
      <c r="H56" s="91">
        <v>1050</v>
      </c>
      <c r="I56" s="115">
        <v>35214500045357</v>
      </c>
      <c r="J56" s="91" t="s">
        <v>72</v>
      </c>
      <c r="K56" s="91">
        <v>32.625999999999998</v>
      </c>
      <c r="L56" s="133" t="str">
        <f>VLOOKUP(K56,Liste!$L$2:$O$34,4,1)</f>
        <v>GSMR_06/07</v>
      </c>
      <c r="M56" s="133" t="s">
        <v>36</v>
      </c>
      <c r="N56" s="180" t="s">
        <v>37</v>
      </c>
      <c r="O56" s="125" t="s">
        <v>215</v>
      </c>
      <c r="P56" s="126"/>
      <c r="Q56" s="124" t="s">
        <v>39</v>
      </c>
      <c r="R56" s="91"/>
      <c r="S56" s="91" t="s">
        <v>216</v>
      </c>
      <c r="T56" s="91" t="s">
        <v>69</v>
      </c>
      <c r="U56" s="91" t="s">
        <v>166</v>
      </c>
      <c r="V56" s="91" t="s">
        <v>43</v>
      </c>
      <c r="W56" s="134" t="s">
        <v>51</v>
      </c>
      <c r="X56" s="94"/>
      <c r="Y56" s="91" t="s">
        <v>45</v>
      </c>
      <c r="Z56" s="91"/>
      <c r="AA56" s="91"/>
      <c r="AB56" s="91"/>
      <c r="AC56" s="91"/>
      <c r="AD56" s="91"/>
      <c r="AE56" s="91"/>
      <c r="AF56" s="91"/>
      <c r="AG56" s="91"/>
      <c r="AH56" s="91"/>
    </row>
    <row r="57" spans="1:34" customFormat="1" ht="30">
      <c r="A57" s="120">
        <v>56</v>
      </c>
      <c r="B57" s="120" t="b">
        <f t="shared" ca="1" si="0"/>
        <v>0</v>
      </c>
      <c r="C57" s="131">
        <v>45339</v>
      </c>
      <c r="D57" s="123">
        <v>0.77465277777777775</v>
      </c>
      <c r="E57" s="91">
        <v>2049</v>
      </c>
      <c r="F57" s="91">
        <v>1201</v>
      </c>
      <c r="G57" s="91" t="s">
        <v>34</v>
      </c>
      <c r="H57" s="91">
        <v>7198</v>
      </c>
      <c r="I57" s="115"/>
      <c r="J57" s="91" t="s">
        <v>35</v>
      </c>
      <c r="K57" s="91">
        <v>141.898</v>
      </c>
      <c r="L57" s="133" t="str">
        <f>VLOOKUP(K57,Liste!$L$2:$O$34,4,1)</f>
        <v>GSMR_24/25</v>
      </c>
      <c r="M57" s="133" t="s">
        <v>36</v>
      </c>
      <c r="N57" s="180" t="s">
        <v>37</v>
      </c>
      <c r="O57" s="125" t="s">
        <v>217</v>
      </c>
      <c r="P57" s="126"/>
      <c r="Q57" s="124" t="s">
        <v>39</v>
      </c>
      <c r="R57" s="91"/>
      <c r="S57" s="91" t="s">
        <v>100</v>
      </c>
      <c r="T57" s="91" t="s">
        <v>69</v>
      </c>
      <c r="U57" s="91" t="s">
        <v>140</v>
      </c>
      <c r="V57" s="91" t="s">
        <v>51</v>
      </c>
      <c r="W57" s="134" t="s">
        <v>51</v>
      </c>
      <c r="X57" s="94"/>
      <c r="Y57" s="91" t="s">
        <v>45</v>
      </c>
      <c r="Z57" s="91"/>
      <c r="AA57" s="91"/>
      <c r="AB57" s="91"/>
      <c r="AC57" s="91"/>
      <c r="AD57" s="91"/>
      <c r="AE57" s="91"/>
      <c r="AF57" s="91"/>
      <c r="AG57" s="91"/>
      <c r="AH57" s="91"/>
    </row>
    <row r="58" spans="1:34" customFormat="1" ht="30">
      <c r="A58" s="120">
        <v>57</v>
      </c>
      <c r="B58" s="120" t="b">
        <f t="shared" ca="1" si="0"/>
        <v>0</v>
      </c>
      <c r="C58" s="131">
        <v>45340</v>
      </c>
      <c r="D58" s="123">
        <v>0.89142361111111112</v>
      </c>
      <c r="E58" s="91">
        <v>2061</v>
      </c>
      <c r="F58" s="91">
        <v>1212</v>
      </c>
      <c r="G58" s="91" t="s">
        <v>34</v>
      </c>
      <c r="H58" s="91">
        <v>1056</v>
      </c>
      <c r="I58" s="115">
        <v>35214500045217</v>
      </c>
      <c r="J58" s="91" t="s">
        <v>35</v>
      </c>
      <c r="K58" s="91">
        <v>87.655000000000001</v>
      </c>
      <c r="L58" s="133" t="str">
        <f>VLOOKUP(K58,Liste!$L$2:$O$34,4,1)</f>
        <v>GSMR_16/17</v>
      </c>
      <c r="M58" s="133" t="s">
        <v>36</v>
      </c>
      <c r="N58" s="180" t="s">
        <v>37</v>
      </c>
      <c r="O58" s="125" t="s">
        <v>218</v>
      </c>
      <c r="P58" s="126"/>
      <c r="Q58" s="124" t="s">
        <v>39</v>
      </c>
      <c r="R58" s="91"/>
      <c r="S58" s="91" t="s">
        <v>152</v>
      </c>
      <c r="T58" s="91" t="s">
        <v>209</v>
      </c>
      <c r="U58" s="91" t="s">
        <v>205</v>
      </c>
      <c r="V58" s="91" t="s">
        <v>51</v>
      </c>
      <c r="W58" s="134" t="s">
        <v>51</v>
      </c>
      <c r="X58" s="94"/>
      <c r="Y58" s="91" t="s">
        <v>45</v>
      </c>
      <c r="Z58" s="91"/>
      <c r="AA58" s="91"/>
      <c r="AB58" s="91"/>
      <c r="AC58" s="91"/>
      <c r="AD58" s="91"/>
      <c r="AE58" s="91"/>
      <c r="AF58" s="91"/>
      <c r="AG58" s="91"/>
      <c r="AH58" s="91"/>
    </row>
    <row r="59" spans="1:34" customFormat="1" ht="30">
      <c r="A59" s="120">
        <v>58</v>
      </c>
      <c r="B59" s="120" t="b">
        <f t="shared" ca="1" si="0"/>
        <v>0</v>
      </c>
      <c r="C59" s="131">
        <v>45341</v>
      </c>
      <c r="D59" s="123">
        <v>0.47547453703703701</v>
      </c>
      <c r="E59" s="91">
        <v>2021</v>
      </c>
      <c r="F59" s="91">
        <v>1202</v>
      </c>
      <c r="G59" s="91" t="s">
        <v>34</v>
      </c>
      <c r="H59" s="91">
        <v>1043</v>
      </c>
      <c r="I59" s="115">
        <v>35214500045200</v>
      </c>
      <c r="J59" s="91" t="s">
        <v>35</v>
      </c>
      <c r="K59" s="91">
        <v>91.364999999999995</v>
      </c>
      <c r="L59" s="133" t="str">
        <f>VLOOKUP(K59,Liste!$L$2:$O$34,4,1)</f>
        <v>GSMR_16/17</v>
      </c>
      <c r="M59" s="133" t="s">
        <v>36</v>
      </c>
      <c r="N59" s="180" t="s">
        <v>37</v>
      </c>
      <c r="O59" s="125" t="s">
        <v>219</v>
      </c>
      <c r="P59" s="126"/>
      <c r="Q59" s="124" t="s">
        <v>127</v>
      </c>
      <c r="R59" s="91"/>
      <c r="S59" s="91" t="s">
        <v>220</v>
      </c>
      <c r="T59" s="91" t="s">
        <v>69</v>
      </c>
      <c r="U59" s="91" t="s">
        <v>120</v>
      </c>
      <c r="V59" s="91" t="s">
        <v>51</v>
      </c>
      <c r="W59" s="134" t="s">
        <v>51</v>
      </c>
      <c r="X59" s="94"/>
      <c r="Y59" s="91" t="s">
        <v>45</v>
      </c>
      <c r="Z59" s="91"/>
      <c r="AA59" s="91"/>
      <c r="AB59" s="91"/>
      <c r="AC59" s="91"/>
      <c r="AD59" s="91"/>
      <c r="AE59" s="91"/>
      <c r="AF59" s="91"/>
      <c r="AG59" s="91"/>
      <c r="AH59" s="91"/>
    </row>
    <row r="60" spans="1:34" customFormat="1" ht="30">
      <c r="A60" s="120">
        <v>59</v>
      </c>
      <c r="B60" s="120" t="b">
        <f t="shared" ca="1" si="0"/>
        <v>0</v>
      </c>
      <c r="C60" s="131">
        <v>45341</v>
      </c>
      <c r="D60" s="123">
        <v>0.67305555555555552</v>
      </c>
      <c r="E60" s="91">
        <v>2041</v>
      </c>
      <c r="F60" s="91">
        <v>1204</v>
      </c>
      <c r="G60" s="91" t="s">
        <v>34</v>
      </c>
      <c r="H60" s="91">
        <v>1052</v>
      </c>
      <c r="I60" s="132">
        <v>35214500043740</v>
      </c>
      <c r="J60" s="91" t="s">
        <v>35</v>
      </c>
      <c r="K60" s="91">
        <v>14.99</v>
      </c>
      <c r="L60" s="133" t="str">
        <f>VLOOKUP(K60,Liste!$L$2:$O$34,4,1)</f>
        <v>GSMR_03/04</v>
      </c>
      <c r="M60" s="133" t="s">
        <v>36</v>
      </c>
      <c r="N60" s="180" t="s">
        <v>37</v>
      </c>
      <c r="O60" s="125" t="s">
        <v>221</v>
      </c>
      <c r="P60" s="126"/>
      <c r="Q60" s="124" t="s">
        <v>39</v>
      </c>
      <c r="R60" s="91"/>
      <c r="S60" s="91" t="s">
        <v>222</v>
      </c>
      <c r="T60" s="91" t="s">
        <v>209</v>
      </c>
      <c r="U60" s="91" t="s">
        <v>223</v>
      </c>
      <c r="V60" s="91" t="s">
        <v>51</v>
      </c>
      <c r="W60" s="134" t="s">
        <v>51</v>
      </c>
      <c r="X60" s="91" t="s">
        <v>52</v>
      </c>
      <c r="Y60" s="91" t="s">
        <v>45</v>
      </c>
      <c r="Z60" s="91"/>
      <c r="AA60" s="91"/>
      <c r="AB60" s="91"/>
      <c r="AC60" s="91"/>
      <c r="AD60" s="91"/>
      <c r="AE60" s="91"/>
      <c r="AF60" s="91"/>
      <c r="AG60" s="91"/>
      <c r="AH60" s="91"/>
    </row>
    <row r="61" spans="1:34" customFormat="1" ht="30">
      <c r="A61" s="120">
        <v>60</v>
      </c>
      <c r="B61" s="120" t="b">
        <f t="shared" ca="1" si="0"/>
        <v>0</v>
      </c>
      <c r="C61" s="131">
        <v>45343</v>
      </c>
      <c r="D61" s="123">
        <v>0.41173611111111114</v>
      </c>
      <c r="E61" s="91">
        <v>1010</v>
      </c>
      <c r="F61" s="91">
        <v>1209</v>
      </c>
      <c r="G61" s="91" t="s">
        <v>71</v>
      </c>
      <c r="H61" s="91">
        <v>1032</v>
      </c>
      <c r="I61" s="132">
        <v>35214500040638</v>
      </c>
      <c r="J61" s="91" t="s">
        <v>72</v>
      </c>
      <c r="K61" s="91">
        <v>94.953999999999994</v>
      </c>
      <c r="L61" s="133" t="str">
        <f>VLOOKUP(K61,Liste!$L$2:$O$34,4,1)</f>
        <v>GSMR_17/18</v>
      </c>
      <c r="M61" s="133" t="s">
        <v>36</v>
      </c>
      <c r="N61" s="180" t="s">
        <v>37</v>
      </c>
      <c r="O61" s="125" t="s">
        <v>224</v>
      </c>
      <c r="P61" s="126"/>
      <c r="Q61" s="124" t="s">
        <v>39</v>
      </c>
      <c r="R61" s="124" t="s">
        <v>170</v>
      </c>
      <c r="S61" s="91" t="s">
        <v>213</v>
      </c>
      <c r="T61" s="91" t="s">
        <v>56</v>
      </c>
      <c r="U61" s="91" t="s">
        <v>50</v>
      </c>
      <c r="V61" s="91" t="s">
        <v>51</v>
      </c>
      <c r="W61" s="134" t="s">
        <v>51</v>
      </c>
      <c r="X61" s="94"/>
      <c r="Y61" s="91" t="s">
        <v>146</v>
      </c>
      <c r="Z61" s="91"/>
      <c r="AA61" s="91"/>
      <c r="AB61" s="91"/>
      <c r="AC61" s="91"/>
      <c r="AD61" s="91"/>
      <c r="AE61" s="91"/>
      <c r="AF61" s="91"/>
      <c r="AG61" s="91"/>
      <c r="AH61" s="91"/>
    </row>
    <row r="62" spans="1:34" customFormat="1" ht="30">
      <c r="A62" s="120">
        <v>61</v>
      </c>
      <c r="B62" s="120" t="b">
        <f t="shared" ca="1" si="0"/>
        <v>0</v>
      </c>
      <c r="C62" s="131">
        <v>45343</v>
      </c>
      <c r="D62" s="123">
        <v>0.44825231481481481</v>
      </c>
      <c r="E62" s="91"/>
      <c r="F62" s="91">
        <v>1205</v>
      </c>
      <c r="G62" s="91" t="s">
        <v>71</v>
      </c>
      <c r="H62" s="91">
        <v>1035</v>
      </c>
      <c r="I62" s="132">
        <v>35214500046011</v>
      </c>
      <c r="J62" s="91" t="s">
        <v>72</v>
      </c>
      <c r="K62" s="91">
        <v>94.953999999999994</v>
      </c>
      <c r="L62" s="133" t="str">
        <f>VLOOKUP(K62,Liste!$L$2:$O$34,4,1)</f>
        <v>GSMR_17/18</v>
      </c>
      <c r="M62" s="133" t="s">
        <v>36</v>
      </c>
      <c r="N62" s="180" t="s">
        <v>37</v>
      </c>
      <c r="O62" s="125" t="s">
        <v>224</v>
      </c>
      <c r="P62" s="126"/>
      <c r="Q62" s="124" t="s">
        <v>39</v>
      </c>
      <c r="R62" s="134" t="s">
        <v>225</v>
      </c>
      <c r="S62" s="91" t="s">
        <v>213</v>
      </c>
      <c r="T62" s="91" t="s">
        <v>56</v>
      </c>
      <c r="U62" s="91" t="s">
        <v>226</v>
      </c>
      <c r="V62" s="91" t="s">
        <v>51</v>
      </c>
      <c r="W62" s="134" t="s">
        <v>51</v>
      </c>
      <c r="X62" s="94"/>
      <c r="Y62" s="91" t="s">
        <v>227</v>
      </c>
      <c r="Z62" s="91"/>
      <c r="AA62" s="91"/>
      <c r="AB62" s="91"/>
      <c r="AC62" s="91"/>
      <c r="AD62" s="91"/>
      <c r="AE62" s="91"/>
      <c r="AF62" s="91"/>
      <c r="AG62" s="91"/>
      <c r="AH62" s="91"/>
    </row>
    <row r="63" spans="1:34" customFormat="1" ht="30">
      <c r="A63" s="120">
        <v>62</v>
      </c>
      <c r="B63" s="120" t="b">
        <f t="shared" ca="1" si="0"/>
        <v>0</v>
      </c>
      <c r="C63" s="131">
        <v>45343</v>
      </c>
      <c r="D63" s="123">
        <v>0.77459490740740744</v>
      </c>
      <c r="E63" s="91">
        <v>1045</v>
      </c>
      <c r="F63" s="91">
        <v>1211</v>
      </c>
      <c r="G63" s="91" t="s">
        <v>71</v>
      </c>
      <c r="H63" s="91">
        <v>3063</v>
      </c>
      <c r="I63" s="132">
        <v>35214500046055</v>
      </c>
      <c r="J63" s="91" t="s">
        <v>72</v>
      </c>
      <c r="K63" s="91">
        <v>153.68600000000001</v>
      </c>
      <c r="L63" s="133" t="str">
        <f>VLOOKUP(K63,Liste!$L$2:$O$34,4,1)</f>
        <v>GSMR_26/27</v>
      </c>
      <c r="M63" s="133" t="s">
        <v>36</v>
      </c>
      <c r="N63" s="180" t="s">
        <v>37</v>
      </c>
      <c r="O63" s="125" t="s">
        <v>228</v>
      </c>
      <c r="P63" s="126"/>
      <c r="Q63" s="124" t="s">
        <v>39</v>
      </c>
      <c r="R63" s="91"/>
      <c r="S63" s="91" t="s">
        <v>229</v>
      </c>
      <c r="T63" s="91" t="s">
        <v>78</v>
      </c>
      <c r="U63" s="91" t="s">
        <v>230</v>
      </c>
      <c r="V63" s="91" t="s">
        <v>51</v>
      </c>
      <c r="W63" s="134" t="s">
        <v>51</v>
      </c>
      <c r="X63" s="91" t="s">
        <v>52</v>
      </c>
      <c r="Y63" s="91" t="s">
        <v>45</v>
      </c>
      <c r="Z63" s="91"/>
      <c r="AA63" s="91"/>
      <c r="AB63" s="91"/>
      <c r="AC63" s="91"/>
      <c r="AD63" s="91"/>
      <c r="AE63" s="91"/>
      <c r="AF63" s="91"/>
      <c r="AG63" s="91"/>
      <c r="AH63" s="91"/>
    </row>
    <row r="64" spans="1:34" customFormat="1" ht="30">
      <c r="A64" s="120">
        <v>63</v>
      </c>
      <c r="B64" s="120" t="b">
        <f t="shared" ca="1" si="0"/>
        <v>0</v>
      </c>
      <c r="C64" s="131">
        <v>45343</v>
      </c>
      <c r="D64" s="123">
        <v>0.80027777777777775</v>
      </c>
      <c r="E64" s="91">
        <v>2053</v>
      </c>
      <c r="F64" s="94">
        <v>1205</v>
      </c>
      <c r="G64" s="94" t="s">
        <v>34</v>
      </c>
      <c r="H64" s="91">
        <v>7218</v>
      </c>
      <c r="I64" s="132">
        <v>35214500045735</v>
      </c>
      <c r="J64" s="91" t="s">
        <v>35</v>
      </c>
      <c r="K64" s="91">
        <v>28.457000000000001</v>
      </c>
      <c r="L64" s="133" t="str">
        <f>VLOOKUP(K64,Liste!$L$2:$O$34,4,1)</f>
        <v>GSMR_05/06</v>
      </c>
      <c r="M64" s="133" t="s">
        <v>36</v>
      </c>
      <c r="N64" s="181" t="s">
        <v>58</v>
      </c>
      <c r="O64" s="125" t="s">
        <v>231</v>
      </c>
      <c r="P64" s="126"/>
      <c r="Q64" s="124" t="s">
        <v>39</v>
      </c>
      <c r="R64" s="91"/>
      <c r="S64" s="91" t="s">
        <v>165</v>
      </c>
      <c r="T64" s="91" t="s">
        <v>69</v>
      </c>
      <c r="U64" s="91" t="s">
        <v>172</v>
      </c>
      <c r="V64" s="91" t="s">
        <v>51</v>
      </c>
      <c r="W64" s="134" t="s">
        <v>51</v>
      </c>
      <c r="X64" s="94"/>
      <c r="Y64" s="91" t="s">
        <v>45</v>
      </c>
      <c r="Z64" s="91"/>
      <c r="AA64" s="91"/>
      <c r="AB64" s="91"/>
      <c r="AC64" s="91"/>
      <c r="AD64" s="91"/>
      <c r="AE64" s="91"/>
      <c r="AF64" s="91"/>
      <c r="AG64" s="91"/>
      <c r="AH64" s="91"/>
    </row>
    <row r="65" spans="1:34" customFormat="1" ht="30">
      <c r="A65" s="120">
        <v>64</v>
      </c>
      <c r="B65" s="120" t="b">
        <f t="shared" ca="1" si="0"/>
        <v>0</v>
      </c>
      <c r="C65" s="131">
        <v>45343</v>
      </c>
      <c r="D65" s="123">
        <v>0.82535879629629627</v>
      </c>
      <c r="E65" s="91"/>
      <c r="F65" s="94">
        <v>1205</v>
      </c>
      <c r="G65" s="94" t="s">
        <v>34</v>
      </c>
      <c r="H65" s="91">
        <v>7218</v>
      </c>
      <c r="I65" s="132">
        <v>35214500045735</v>
      </c>
      <c r="J65" s="91" t="s">
        <v>35</v>
      </c>
      <c r="K65" s="91">
        <v>126.51</v>
      </c>
      <c r="L65" s="133" t="str">
        <f>VLOOKUP(K65,Liste!$L$2:$O$34,4,1)</f>
        <v>GSMR_22/23</v>
      </c>
      <c r="M65" s="133" t="s">
        <v>36</v>
      </c>
      <c r="N65" s="181" t="s">
        <v>58</v>
      </c>
      <c r="O65" s="125" t="s">
        <v>232</v>
      </c>
      <c r="P65" s="126"/>
      <c r="Q65" s="124" t="s">
        <v>39</v>
      </c>
      <c r="R65" s="91"/>
      <c r="S65" s="91" t="s">
        <v>233</v>
      </c>
      <c r="T65" s="91" t="s">
        <v>56</v>
      </c>
      <c r="U65" s="91" t="s">
        <v>234</v>
      </c>
      <c r="V65" s="91" t="s">
        <v>51</v>
      </c>
      <c r="W65" s="134" t="s">
        <v>51</v>
      </c>
      <c r="X65" s="94"/>
      <c r="Y65" s="91" t="s">
        <v>45</v>
      </c>
      <c r="Z65" s="91"/>
      <c r="AA65" s="91"/>
      <c r="AB65" s="91"/>
      <c r="AC65" s="91"/>
      <c r="AD65" s="91"/>
      <c r="AE65" s="91"/>
      <c r="AF65" s="91"/>
      <c r="AG65" s="91"/>
      <c r="AH65" s="91"/>
    </row>
    <row r="66" spans="1:34" customFormat="1" ht="30">
      <c r="A66" s="120">
        <v>65</v>
      </c>
      <c r="B66" s="120" t="b">
        <f t="shared" ref="B66:B129" ca="1" si="1">AND(C66&gt;=TODAY()-7, C66&lt;=TODAY()-1)</f>
        <v>0</v>
      </c>
      <c r="C66" s="135">
        <v>45345</v>
      </c>
      <c r="D66" s="123">
        <v>0.73015046296296293</v>
      </c>
      <c r="E66" s="91"/>
      <c r="F66" s="91">
        <v>1204</v>
      </c>
      <c r="G66" s="91" t="s">
        <v>71</v>
      </c>
      <c r="H66" s="94">
        <v>1031</v>
      </c>
      <c r="I66" s="136">
        <v>35214500045491</v>
      </c>
      <c r="J66" s="94" t="s">
        <v>72</v>
      </c>
      <c r="K66" s="91">
        <v>169.06</v>
      </c>
      <c r="L66" s="122" t="str">
        <f>VLOOKUP(K66,Liste!$L$2:$O$34,4,1)</f>
        <v>GSMR_29/30</v>
      </c>
      <c r="M66" s="133" t="s">
        <v>36</v>
      </c>
      <c r="N66" s="180" t="s">
        <v>37</v>
      </c>
      <c r="O66" s="126" t="s">
        <v>235</v>
      </c>
      <c r="P66" s="126"/>
      <c r="Q66" s="124" t="s">
        <v>39</v>
      </c>
      <c r="R66" s="91" t="s">
        <v>236</v>
      </c>
      <c r="S66" s="91" t="s">
        <v>237</v>
      </c>
      <c r="T66" s="91" t="s">
        <v>116</v>
      </c>
      <c r="U66" s="91" t="s">
        <v>172</v>
      </c>
      <c r="V66" s="91" t="s">
        <v>51</v>
      </c>
      <c r="W66" s="134" t="s">
        <v>51</v>
      </c>
      <c r="X66" s="94"/>
      <c r="Y66" s="91" t="s">
        <v>45</v>
      </c>
      <c r="Z66" s="91"/>
      <c r="AA66" s="91"/>
      <c r="AB66" s="91"/>
      <c r="AC66" s="91"/>
      <c r="AD66" s="91"/>
      <c r="AE66" s="91"/>
      <c r="AF66" s="91"/>
      <c r="AG66" s="91"/>
      <c r="AH66" s="91"/>
    </row>
    <row r="67" spans="1:34" customFormat="1" ht="30">
      <c r="A67" s="120">
        <v>66</v>
      </c>
      <c r="B67" s="120" t="b">
        <f t="shared" ca="1" si="1"/>
        <v>0</v>
      </c>
      <c r="C67" s="131">
        <v>45345</v>
      </c>
      <c r="D67" s="137">
        <v>0.78601851851851856</v>
      </c>
      <c r="E67" s="94">
        <v>1045</v>
      </c>
      <c r="F67" s="94">
        <v>1206</v>
      </c>
      <c r="G67" s="91" t="s">
        <v>71</v>
      </c>
      <c r="H67" s="94">
        <v>1041</v>
      </c>
      <c r="I67" s="136">
        <v>35214500045477</v>
      </c>
      <c r="J67" s="94" t="s">
        <v>72</v>
      </c>
      <c r="K67" s="91">
        <v>68.656000000000006</v>
      </c>
      <c r="L67" s="122" t="str">
        <f>VLOOKUP(K67,Liste!$L$2:$O$34,4,1)</f>
        <v>GSMR_12/13</v>
      </c>
      <c r="M67" s="133" t="s">
        <v>36</v>
      </c>
      <c r="N67" s="180" t="s">
        <v>37</v>
      </c>
      <c r="O67" s="126" t="s">
        <v>238</v>
      </c>
      <c r="P67" s="126"/>
      <c r="Q67" s="124" t="s">
        <v>39</v>
      </c>
      <c r="R67" s="124" t="s">
        <v>239</v>
      </c>
      <c r="S67" s="94" t="s">
        <v>240</v>
      </c>
      <c r="T67" s="94" t="s">
        <v>56</v>
      </c>
      <c r="U67" s="94" t="s">
        <v>234</v>
      </c>
      <c r="V67" s="94" t="s">
        <v>51</v>
      </c>
      <c r="W67" s="124" t="s">
        <v>51</v>
      </c>
      <c r="X67" s="94"/>
      <c r="Y67" s="94" t="s">
        <v>45</v>
      </c>
      <c r="Z67" s="94"/>
      <c r="AA67" s="94"/>
      <c r="AB67" s="94"/>
      <c r="AC67" s="94"/>
      <c r="AD67" s="94"/>
      <c r="AE67" s="94"/>
      <c r="AF67" s="94"/>
      <c r="AG67" s="94"/>
      <c r="AH67" s="94"/>
    </row>
    <row r="68" spans="1:34" customFormat="1" ht="30">
      <c r="A68" s="120">
        <v>67</v>
      </c>
      <c r="B68" s="120" t="b">
        <f t="shared" ca="1" si="1"/>
        <v>0</v>
      </c>
      <c r="C68" s="131">
        <v>45346</v>
      </c>
      <c r="D68" s="137">
        <v>0.29043981481481479</v>
      </c>
      <c r="E68" s="94">
        <v>10075</v>
      </c>
      <c r="F68" s="94">
        <v>1209</v>
      </c>
      <c r="G68" s="91" t="s">
        <v>71</v>
      </c>
      <c r="H68" s="94">
        <v>1032</v>
      </c>
      <c r="I68" s="136">
        <v>35214500040638</v>
      </c>
      <c r="J68" s="94" t="s">
        <v>72</v>
      </c>
      <c r="K68" s="91">
        <v>167.761</v>
      </c>
      <c r="L68" s="122" t="str">
        <f>VLOOKUP(K68,Liste!$L$2:$O$34,4,1)</f>
        <v>GSMR_28/29</v>
      </c>
      <c r="M68" s="133" t="s">
        <v>36</v>
      </c>
      <c r="N68" s="180" t="s">
        <v>37</v>
      </c>
      <c r="O68" s="126" t="s">
        <v>235</v>
      </c>
      <c r="P68" s="126"/>
      <c r="Q68" s="124" t="s">
        <v>39</v>
      </c>
      <c r="R68" s="124" t="s">
        <v>239</v>
      </c>
      <c r="S68" s="94" t="s">
        <v>237</v>
      </c>
      <c r="T68" s="94" t="s">
        <v>69</v>
      </c>
      <c r="U68" s="94" t="s">
        <v>75</v>
      </c>
      <c r="V68" s="94" t="s">
        <v>51</v>
      </c>
      <c r="W68" s="124" t="s">
        <v>51</v>
      </c>
      <c r="X68" s="94"/>
      <c r="Y68" s="94" t="s">
        <v>45</v>
      </c>
      <c r="Z68" s="94"/>
      <c r="AA68" s="94"/>
      <c r="AB68" s="94"/>
      <c r="AC68" s="94"/>
      <c r="AD68" s="94"/>
      <c r="AE68" s="94"/>
      <c r="AF68" s="94"/>
      <c r="AG68" s="94"/>
      <c r="AH68" s="94"/>
    </row>
    <row r="69" spans="1:34" customFormat="1" ht="30">
      <c r="A69" s="120">
        <v>68</v>
      </c>
      <c r="B69" s="120" t="b">
        <f t="shared" ca="1" si="1"/>
        <v>0</v>
      </c>
      <c r="C69" s="131">
        <v>45346</v>
      </c>
      <c r="D69" s="137">
        <v>0.53811342592592593</v>
      </c>
      <c r="E69" s="94">
        <v>1021</v>
      </c>
      <c r="F69" s="94">
        <v>1201</v>
      </c>
      <c r="G69" s="91" t="s">
        <v>71</v>
      </c>
      <c r="H69" s="94">
        <v>1061</v>
      </c>
      <c r="I69" s="136">
        <v>35214500042751</v>
      </c>
      <c r="J69" s="94" t="s">
        <v>72</v>
      </c>
      <c r="K69" s="91">
        <v>54.222999999999999</v>
      </c>
      <c r="L69" s="122" t="str">
        <f>VLOOKUP(K69,Liste!$L$2:$O$34,4,1)</f>
        <v>GSMR_09/10</v>
      </c>
      <c r="M69" s="133" t="s">
        <v>36</v>
      </c>
      <c r="N69" s="181" t="s">
        <v>58</v>
      </c>
      <c r="O69" s="126" t="s">
        <v>241</v>
      </c>
      <c r="P69" s="126"/>
      <c r="Q69" s="124" t="s">
        <v>39</v>
      </c>
      <c r="R69" s="91" t="s">
        <v>236</v>
      </c>
      <c r="S69" s="94" t="s">
        <v>242</v>
      </c>
      <c r="T69" s="94" t="s">
        <v>101</v>
      </c>
      <c r="U69" s="94" t="s">
        <v>85</v>
      </c>
      <c r="V69" s="94" t="s">
        <v>51</v>
      </c>
      <c r="W69" s="124" t="s">
        <v>51</v>
      </c>
      <c r="X69" s="94"/>
      <c r="Y69" s="94" t="s">
        <v>45</v>
      </c>
      <c r="Z69" s="94"/>
      <c r="AA69" s="94"/>
      <c r="AB69" s="94"/>
      <c r="AC69" s="94"/>
      <c r="AD69" s="94"/>
      <c r="AE69" s="94"/>
      <c r="AF69" s="94"/>
      <c r="AG69" s="94"/>
      <c r="AH69" s="94"/>
    </row>
    <row r="70" spans="1:34" customFormat="1" ht="30">
      <c r="A70" s="120">
        <v>69</v>
      </c>
      <c r="B70" s="120" t="b">
        <f t="shared" ca="1" si="1"/>
        <v>0</v>
      </c>
      <c r="C70" s="131">
        <v>45347</v>
      </c>
      <c r="D70" s="137">
        <v>0.58510416666666665</v>
      </c>
      <c r="E70" s="94"/>
      <c r="F70" s="94">
        <v>1212</v>
      </c>
      <c r="G70" s="91" t="s">
        <v>71</v>
      </c>
      <c r="H70" s="94">
        <v>1072</v>
      </c>
      <c r="I70" s="136">
        <v>35214500045424</v>
      </c>
      <c r="J70" s="94" t="s">
        <v>72</v>
      </c>
      <c r="K70" s="91">
        <v>14.93</v>
      </c>
      <c r="L70" s="122" t="str">
        <f>VLOOKUP(K70,Liste!$L$2:$O$34,4,1)</f>
        <v>GSMR_03/04</v>
      </c>
      <c r="M70" s="133" t="s">
        <v>36</v>
      </c>
      <c r="N70" s="180" t="s">
        <v>37</v>
      </c>
      <c r="O70" s="126" t="s">
        <v>243</v>
      </c>
      <c r="P70" s="126"/>
      <c r="Q70" s="124" t="s">
        <v>39</v>
      </c>
      <c r="R70" s="124" t="s">
        <v>239</v>
      </c>
      <c r="S70" s="94" t="s">
        <v>244</v>
      </c>
      <c r="T70" s="94" t="s">
        <v>209</v>
      </c>
      <c r="U70" s="94" t="s">
        <v>166</v>
      </c>
      <c r="V70" s="94" t="s">
        <v>51</v>
      </c>
      <c r="W70" s="124" t="s">
        <v>51</v>
      </c>
      <c r="X70" s="94"/>
      <c r="Y70" s="94" t="s">
        <v>45</v>
      </c>
      <c r="Z70" s="94"/>
      <c r="AA70" s="94"/>
      <c r="AB70" s="94"/>
      <c r="AC70" s="94"/>
      <c r="AD70" s="94"/>
      <c r="AE70" s="94"/>
      <c r="AF70" s="94"/>
      <c r="AG70" s="94"/>
      <c r="AH70" s="94"/>
    </row>
    <row r="71" spans="1:34" customFormat="1" ht="30">
      <c r="A71" s="120">
        <v>70</v>
      </c>
      <c r="B71" s="120" t="b">
        <f t="shared" ca="1" si="1"/>
        <v>0</v>
      </c>
      <c r="C71" s="131">
        <v>45348</v>
      </c>
      <c r="D71" s="137">
        <v>0.36039351851851853</v>
      </c>
      <c r="E71" s="94">
        <v>2009</v>
      </c>
      <c r="F71" s="94">
        <v>1209</v>
      </c>
      <c r="G71" s="94" t="s">
        <v>34</v>
      </c>
      <c r="H71" s="94">
        <v>7208</v>
      </c>
      <c r="I71" s="136">
        <v>35214500004427</v>
      </c>
      <c r="J71" s="94" t="s">
        <v>35</v>
      </c>
      <c r="K71" s="91">
        <v>161.72200000000001</v>
      </c>
      <c r="L71" s="122" t="str">
        <f>VLOOKUP(K71,Liste!$L$2:$O$34,4,1)</f>
        <v>GSMR_27/28</v>
      </c>
      <c r="M71" s="133" t="s">
        <v>36</v>
      </c>
      <c r="N71" s="180" t="s">
        <v>37</v>
      </c>
      <c r="O71" s="126" t="s">
        <v>245</v>
      </c>
      <c r="P71" s="126"/>
      <c r="Q71" s="124" t="s">
        <v>39</v>
      </c>
      <c r="R71" s="124" t="s">
        <v>239</v>
      </c>
      <c r="S71" s="94" t="s">
        <v>246</v>
      </c>
      <c r="T71" s="94" t="s">
        <v>78</v>
      </c>
      <c r="U71" s="94" t="s">
        <v>120</v>
      </c>
      <c r="V71" s="94" t="s">
        <v>51</v>
      </c>
      <c r="W71" s="124" t="s">
        <v>51</v>
      </c>
      <c r="X71" s="94"/>
      <c r="Y71" s="94" t="s">
        <v>45</v>
      </c>
      <c r="Z71" s="94"/>
      <c r="AA71" s="94"/>
      <c r="AB71" s="94"/>
      <c r="AC71" s="94"/>
      <c r="AD71" s="94"/>
      <c r="AE71" s="94"/>
      <c r="AF71" s="94"/>
      <c r="AG71" s="94"/>
      <c r="AH71" s="94"/>
    </row>
    <row r="72" spans="1:34" customFormat="1" ht="30">
      <c r="A72" s="120">
        <v>71</v>
      </c>
      <c r="B72" s="120" t="b">
        <f t="shared" ca="1" si="1"/>
        <v>0</v>
      </c>
      <c r="C72" s="131">
        <v>45349</v>
      </c>
      <c r="D72" s="137">
        <v>0.36681712962962965</v>
      </c>
      <c r="E72" s="94">
        <v>1005</v>
      </c>
      <c r="F72" s="94">
        <v>1206</v>
      </c>
      <c r="G72" s="91" t="s">
        <v>71</v>
      </c>
      <c r="H72" s="94">
        <v>1041</v>
      </c>
      <c r="I72" s="136">
        <v>35214500045477</v>
      </c>
      <c r="J72" s="94" t="s">
        <v>72</v>
      </c>
      <c r="K72" s="91">
        <v>84.391999999999996</v>
      </c>
      <c r="L72" s="122" t="str">
        <f>VLOOKUP(K72,Liste!$L$2:$O$34,4,1)</f>
        <v>GSMR_15/16</v>
      </c>
      <c r="M72" s="133" t="s">
        <v>36</v>
      </c>
      <c r="N72" s="180" t="s">
        <v>37</v>
      </c>
      <c r="O72" s="126" t="s">
        <v>247</v>
      </c>
      <c r="P72" s="126"/>
      <c r="Q72" s="124" t="s">
        <v>39</v>
      </c>
      <c r="R72" s="124" t="s">
        <v>239</v>
      </c>
      <c r="S72" s="94" t="s">
        <v>248</v>
      </c>
      <c r="T72" s="94" t="s">
        <v>78</v>
      </c>
      <c r="U72" s="94" t="s">
        <v>166</v>
      </c>
      <c r="V72" s="94" t="s">
        <v>51</v>
      </c>
      <c r="W72" s="124" t="s">
        <v>51</v>
      </c>
      <c r="X72" s="94"/>
      <c r="Y72" s="94" t="s">
        <v>45</v>
      </c>
      <c r="Z72" s="94"/>
      <c r="AA72" s="94"/>
      <c r="AB72" s="94"/>
      <c r="AC72" s="94"/>
      <c r="AD72" s="94"/>
      <c r="AE72" s="94"/>
      <c r="AF72" s="94"/>
      <c r="AG72" s="94"/>
      <c r="AH72" s="94"/>
    </row>
    <row r="73" spans="1:34" customFormat="1" ht="30">
      <c r="A73" s="120">
        <v>72</v>
      </c>
      <c r="B73" s="120" t="b">
        <f t="shared" ca="1" si="1"/>
        <v>0</v>
      </c>
      <c r="C73" s="131">
        <v>45349</v>
      </c>
      <c r="D73" s="137">
        <v>0.42255787037037035</v>
      </c>
      <c r="E73" s="94">
        <v>2017</v>
      </c>
      <c r="F73" s="94">
        <v>1206</v>
      </c>
      <c r="G73" s="94" t="s">
        <v>34</v>
      </c>
      <c r="H73" s="94">
        <v>1055</v>
      </c>
      <c r="I73" s="136">
        <v>35214500036582</v>
      </c>
      <c r="J73" s="94" t="s">
        <v>35</v>
      </c>
      <c r="K73" s="91">
        <v>13.712999999999999</v>
      </c>
      <c r="L73" s="122" t="str">
        <f>VLOOKUP(K73,Liste!$L$2:$O$34,4,1)</f>
        <v>GSMR_03/04</v>
      </c>
      <c r="M73" s="133" t="s">
        <v>36</v>
      </c>
      <c r="N73" s="180" t="s">
        <v>37</v>
      </c>
      <c r="O73" s="126" t="s">
        <v>249</v>
      </c>
      <c r="P73" s="126"/>
      <c r="Q73" s="124" t="s">
        <v>39</v>
      </c>
      <c r="R73" s="124" t="s">
        <v>239</v>
      </c>
      <c r="S73" s="94" t="s">
        <v>200</v>
      </c>
      <c r="T73" s="94" t="s">
        <v>69</v>
      </c>
      <c r="U73" s="94" t="s">
        <v>250</v>
      </c>
      <c r="V73" s="94" t="s">
        <v>51</v>
      </c>
      <c r="W73" s="124" t="s">
        <v>51</v>
      </c>
      <c r="X73" s="94"/>
      <c r="Y73" s="94" t="s">
        <v>45</v>
      </c>
      <c r="Z73" s="94"/>
      <c r="AA73" s="94"/>
      <c r="AB73" s="94"/>
      <c r="AC73" s="94"/>
      <c r="AD73" s="94"/>
      <c r="AE73" s="94"/>
      <c r="AF73" s="94"/>
      <c r="AG73" s="94"/>
      <c r="AH73" s="94"/>
    </row>
    <row r="74" spans="1:34" customFormat="1" ht="30">
      <c r="A74" s="120">
        <v>73</v>
      </c>
      <c r="B74" s="120" t="b">
        <f t="shared" ca="1" si="1"/>
        <v>0</v>
      </c>
      <c r="C74" s="131">
        <v>45349</v>
      </c>
      <c r="D74" s="137">
        <v>0.80376157407407411</v>
      </c>
      <c r="E74" s="94">
        <v>2053</v>
      </c>
      <c r="F74" s="94">
        <v>1206</v>
      </c>
      <c r="G74" s="94" t="s">
        <v>34</v>
      </c>
      <c r="H74" s="94">
        <v>1055</v>
      </c>
      <c r="I74" s="136">
        <v>35214500036582</v>
      </c>
      <c r="J74" s="94" t="s">
        <v>35</v>
      </c>
      <c r="K74" s="91">
        <v>57.661999999999999</v>
      </c>
      <c r="L74" s="122" t="str">
        <f>VLOOKUP(K74,Liste!$L$2:$O$34,4,1)</f>
        <v>GSMR_10/11</v>
      </c>
      <c r="M74" s="133" t="s">
        <v>36</v>
      </c>
      <c r="N74" s="180" t="s">
        <v>37</v>
      </c>
      <c r="O74" s="126" t="s">
        <v>251</v>
      </c>
      <c r="P74" s="126"/>
      <c r="Q74" s="124" t="s">
        <v>39</v>
      </c>
      <c r="R74" s="124" t="s">
        <v>239</v>
      </c>
      <c r="S74" s="94" t="s">
        <v>252</v>
      </c>
      <c r="T74" s="94" t="s">
        <v>69</v>
      </c>
      <c r="U74" s="94" t="s">
        <v>166</v>
      </c>
      <c r="V74" s="94" t="s">
        <v>51</v>
      </c>
      <c r="W74" s="124" t="s">
        <v>51</v>
      </c>
      <c r="X74" s="94"/>
      <c r="Y74" s="94" t="s">
        <v>45</v>
      </c>
      <c r="Z74" s="94"/>
      <c r="AA74" s="94"/>
      <c r="AB74" s="94"/>
      <c r="AC74" s="94"/>
      <c r="AD74" s="94"/>
      <c r="AE74" s="94"/>
      <c r="AF74" s="94"/>
      <c r="AG74" s="94"/>
      <c r="AH74" s="94"/>
    </row>
    <row r="75" spans="1:34" customFormat="1" ht="30">
      <c r="A75" s="120">
        <v>74</v>
      </c>
      <c r="B75" s="120" t="b">
        <f t="shared" ca="1" si="1"/>
        <v>0</v>
      </c>
      <c r="C75" s="131">
        <v>45350</v>
      </c>
      <c r="D75" s="137">
        <v>0.49436342592592591</v>
      </c>
      <c r="E75" s="94">
        <v>1018</v>
      </c>
      <c r="F75" s="94">
        <v>1209</v>
      </c>
      <c r="G75" s="91" t="s">
        <v>71</v>
      </c>
      <c r="H75" s="94">
        <v>1032</v>
      </c>
      <c r="I75" s="136">
        <v>35214500040638</v>
      </c>
      <c r="J75" s="94" t="s">
        <v>72</v>
      </c>
      <c r="K75" s="91">
        <v>73.525999999999996</v>
      </c>
      <c r="L75" s="122" t="str">
        <f>VLOOKUP(K75,Liste!$L$2:$O$34,4,1)</f>
        <v>GSMR_13/14</v>
      </c>
      <c r="M75" s="133" t="s">
        <v>36</v>
      </c>
      <c r="N75" s="180" t="s">
        <v>37</v>
      </c>
      <c r="O75" s="126" t="s">
        <v>253</v>
      </c>
      <c r="P75" s="126"/>
      <c r="Q75" s="124" t="s">
        <v>39</v>
      </c>
      <c r="R75" s="124" t="s">
        <v>239</v>
      </c>
      <c r="S75" s="94" t="s">
        <v>254</v>
      </c>
      <c r="T75" s="94" t="s">
        <v>69</v>
      </c>
      <c r="U75" s="94" t="s">
        <v>120</v>
      </c>
      <c r="V75" s="94" t="s">
        <v>51</v>
      </c>
      <c r="W75" s="124" t="s">
        <v>51</v>
      </c>
      <c r="X75" s="94"/>
      <c r="Y75" s="94" t="s">
        <v>45</v>
      </c>
      <c r="Z75" s="94"/>
      <c r="AA75" s="94"/>
      <c r="AB75" s="94"/>
      <c r="AC75" s="94"/>
      <c r="AD75" s="94"/>
      <c r="AE75" s="94"/>
      <c r="AF75" s="94"/>
      <c r="AG75" s="94"/>
      <c r="AH75" s="94"/>
    </row>
    <row r="76" spans="1:34" customFormat="1" ht="30">
      <c r="A76" s="120">
        <v>75</v>
      </c>
      <c r="B76" s="120" t="b">
        <f t="shared" ca="1" si="1"/>
        <v>0</v>
      </c>
      <c r="C76" s="131">
        <v>45352</v>
      </c>
      <c r="D76" s="123">
        <v>0.18737268518518518</v>
      </c>
      <c r="E76" s="91">
        <v>2081</v>
      </c>
      <c r="F76" s="94">
        <v>1206</v>
      </c>
      <c r="G76" s="91" t="s">
        <v>34</v>
      </c>
      <c r="H76" s="91">
        <v>1055</v>
      </c>
      <c r="I76" s="132">
        <v>35214500036582</v>
      </c>
      <c r="J76" s="91" t="s">
        <v>35</v>
      </c>
      <c r="K76" s="91">
        <v>65.513999999999996</v>
      </c>
      <c r="L76" s="133" t="str">
        <f>VLOOKUP(K76,Liste!$L$2:$O$34,4,1)</f>
        <v>GSMR_11/12</v>
      </c>
      <c r="M76" s="133" t="s">
        <v>36</v>
      </c>
      <c r="N76" s="180" t="s">
        <v>37</v>
      </c>
      <c r="O76" s="125" t="s">
        <v>255</v>
      </c>
      <c r="P76" s="126"/>
      <c r="Q76" s="124" t="s">
        <v>39</v>
      </c>
      <c r="R76" s="91"/>
      <c r="S76" s="91" t="s">
        <v>171</v>
      </c>
      <c r="T76" s="91" t="s">
        <v>69</v>
      </c>
      <c r="U76" s="91" t="s">
        <v>82</v>
      </c>
      <c r="V76" s="91" t="s">
        <v>51</v>
      </c>
      <c r="W76" s="134" t="s">
        <v>51</v>
      </c>
      <c r="X76" s="94"/>
      <c r="Y76" s="91" t="s">
        <v>45</v>
      </c>
      <c r="Z76" s="91"/>
      <c r="AA76" s="91"/>
      <c r="AB76" s="91"/>
      <c r="AC76" s="91"/>
      <c r="AD76" s="91"/>
      <c r="AE76" s="91"/>
      <c r="AF76" s="91"/>
      <c r="AG76" s="91"/>
      <c r="AH76" s="91"/>
    </row>
    <row r="77" spans="1:34" customFormat="1" ht="30">
      <c r="A77" s="120">
        <v>76</v>
      </c>
      <c r="B77" s="120" t="b">
        <f t="shared" ca="1" si="1"/>
        <v>0</v>
      </c>
      <c r="C77" s="131">
        <v>45352</v>
      </c>
      <c r="D77" s="123">
        <v>0.26563657407407409</v>
      </c>
      <c r="E77" s="91">
        <v>2001</v>
      </c>
      <c r="F77" s="91">
        <v>1208</v>
      </c>
      <c r="G77" s="91" t="s">
        <v>34</v>
      </c>
      <c r="H77" s="91">
        <v>1037</v>
      </c>
      <c r="I77" s="132">
        <v>35214500045488</v>
      </c>
      <c r="J77" s="91" t="s">
        <v>35</v>
      </c>
      <c r="K77" s="133">
        <v>80.47</v>
      </c>
      <c r="L77" s="133" t="str">
        <f>VLOOKUP(K77,Liste!$L$2:$O$34,4,1)</f>
        <v>GSMR_14/15</v>
      </c>
      <c r="M77" s="133" t="s">
        <v>36</v>
      </c>
      <c r="N77" s="180" t="s">
        <v>37</v>
      </c>
      <c r="O77" s="125" t="s">
        <v>256</v>
      </c>
      <c r="P77" s="126"/>
      <c r="Q77" s="124" t="s">
        <v>39</v>
      </c>
      <c r="R77" s="91" t="s">
        <v>257</v>
      </c>
      <c r="S77" s="91" t="s">
        <v>258</v>
      </c>
      <c r="T77" s="91" t="s">
        <v>69</v>
      </c>
      <c r="U77" s="91" t="s">
        <v>108</v>
      </c>
      <c r="V77" s="91" t="s">
        <v>51</v>
      </c>
      <c r="W77" s="134" t="s">
        <v>51</v>
      </c>
      <c r="X77" s="94"/>
      <c r="Y77" s="91" t="s">
        <v>45</v>
      </c>
      <c r="Z77" s="91"/>
      <c r="AA77" s="91"/>
      <c r="AB77" s="91"/>
      <c r="AC77" s="91"/>
      <c r="AD77" s="91"/>
      <c r="AE77" s="91"/>
      <c r="AF77" s="91"/>
      <c r="AG77" s="91"/>
      <c r="AH77" s="91"/>
    </row>
    <row r="78" spans="1:34" customFormat="1" ht="30">
      <c r="A78" s="120">
        <v>77</v>
      </c>
      <c r="B78" s="120" t="b">
        <f t="shared" ca="1" si="1"/>
        <v>0</v>
      </c>
      <c r="C78" s="131">
        <v>45352</v>
      </c>
      <c r="D78" s="123">
        <v>0.46265046296296297</v>
      </c>
      <c r="E78" s="91">
        <v>1013</v>
      </c>
      <c r="F78" s="91">
        <v>1208</v>
      </c>
      <c r="G78" s="91" t="s">
        <v>71</v>
      </c>
      <c r="H78" s="91">
        <v>1045</v>
      </c>
      <c r="I78" s="132">
        <v>35214500045098</v>
      </c>
      <c r="J78" s="91" t="s">
        <v>72</v>
      </c>
      <c r="K78" s="153">
        <v>7.3209999999999997</v>
      </c>
      <c r="L78" s="133" t="str">
        <f>VLOOKUP(K78,Liste!$L$2:$O$34,4,1)</f>
        <v>GSMR_02/03</v>
      </c>
      <c r="M78" s="133" t="s">
        <v>36</v>
      </c>
      <c r="N78" s="180" t="s">
        <v>37</v>
      </c>
      <c r="O78" s="125" t="s">
        <v>259</v>
      </c>
      <c r="P78" s="126"/>
      <c r="Q78" s="124" t="s">
        <v>39</v>
      </c>
      <c r="R78" s="91" t="s">
        <v>257</v>
      </c>
      <c r="S78" s="91" t="s">
        <v>74</v>
      </c>
      <c r="T78" s="91" t="s">
        <v>69</v>
      </c>
      <c r="U78" s="91" t="s">
        <v>183</v>
      </c>
      <c r="V78" s="91" t="s">
        <v>51</v>
      </c>
      <c r="W78" s="134" t="s">
        <v>51</v>
      </c>
      <c r="X78" s="94"/>
      <c r="Y78" s="91" t="s">
        <v>45</v>
      </c>
      <c r="Z78" s="91"/>
      <c r="AA78" s="91"/>
      <c r="AB78" s="91"/>
      <c r="AC78" s="91"/>
      <c r="AD78" s="91"/>
      <c r="AE78" s="91"/>
      <c r="AF78" s="91"/>
      <c r="AG78" s="91"/>
      <c r="AH78" s="91"/>
    </row>
    <row r="79" spans="1:34" customFormat="1" ht="30">
      <c r="A79" s="120">
        <v>78</v>
      </c>
      <c r="B79" s="120" t="b">
        <f t="shared" ca="1" si="1"/>
        <v>0</v>
      </c>
      <c r="C79" s="131">
        <v>45352</v>
      </c>
      <c r="D79" s="123">
        <v>0.54503472222222227</v>
      </c>
      <c r="E79" s="91">
        <v>1021</v>
      </c>
      <c r="F79" s="94">
        <v>1206</v>
      </c>
      <c r="G79" s="91" t="s">
        <v>71</v>
      </c>
      <c r="H79" s="91">
        <v>1040</v>
      </c>
      <c r="I79" s="132">
        <v>35214500045480</v>
      </c>
      <c r="J79" s="91" t="s">
        <v>72</v>
      </c>
      <c r="K79" s="153">
        <v>7.3209999999999997</v>
      </c>
      <c r="L79" s="133" t="str">
        <f>VLOOKUP(K79,Liste!$L$2:$O$34,4,1)</f>
        <v>GSMR_02/03</v>
      </c>
      <c r="M79" s="133" t="s">
        <v>36</v>
      </c>
      <c r="N79" s="180" t="s">
        <v>37</v>
      </c>
      <c r="O79" s="125" t="s">
        <v>260</v>
      </c>
      <c r="P79" s="126"/>
      <c r="Q79" s="124" t="s">
        <v>39</v>
      </c>
      <c r="R79" s="91"/>
      <c r="S79" s="91" t="s">
        <v>261</v>
      </c>
      <c r="T79" s="91" t="s">
        <v>116</v>
      </c>
      <c r="U79" s="91" t="s">
        <v>97</v>
      </c>
      <c r="V79" s="91" t="s">
        <v>51</v>
      </c>
      <c r="W79" s="134" t="s">
        <v>51</v>
      </c>
      <c r="X79" s="94"/>
      <c r="Y79" s="91" t="s">
        <v>45</v>
      </c>
      <c r="Z79" s="91"/>
      <c r="AA79" s="91"/>
      <c r="AB79" s="91"/>
      <c r="AC79" s="91"/>
      <c r="AD79" s="91"/>
      <c r="AE79" s="91"/>
      <c r="AF79" s="91"/>
      <c r="AG79" s="91"/>
      <c r="AH79" s="91"/>
    </row>
    <row r="80" spans="1:34" customFormat="1" ht="30">
      <c r="A80" s="120">
        <v>79</v>
      </c>
      <c r="B80" s="120" t="b">
        <f t="shared" ca="1" si="1"/>
        <v>0</v>
      </c>
      <c r="C80" s="131">
        <v>45352</v>
      </c>
      <c r="D80" s="123">
        <v>0.64706018518518515</v>
      </c>
      <c r="E80" s="91">
        <v>2037</v>
      </c>
      <c r="F80" s="94">
        <v>1209</v>
      </c>
      <c r="G80" s="91" t="s">
        <v>34</v>
      </c>
      <c r="H80" s="91">
        <v>7208</v>
      </c>
      <c r="I80" s="132">
        <v>35214500004427</v>
      </c>
      <c r="J80" s="91" t="s">
        <v>35</v>
      </c>
      <c r="K80" s="133">
        <v>127.875</v>
      </c>
      <c r="L80" s="133" t="str">
        <f>VLOOKUP(K80,Liste!$L$2:$O$34,4,1)</f>
        <v>GSMR_22/23</v>
      </c>
      <c r="M80" s="133" t="s">
        <v>36</v>
      </c>
      <c r="N80" s="180" t="s">
        <v>37</v>
      </c>
      <c r="O80" s="125" t="s">
        <v>262</v>
      </c>
      <c r="P80" s="126"/>
      <c r="Q80" s="124" t="s">
        <v>39</v>
      </c>
      <c r="R80" s="91"/>
      <c r="S80" s="91" t="s">
        <v>263</v>
      </c>
      <c r="T80" s="91" t="s">
        <v>41</v>
      </c>
      <c r="U80" s="91" t="s">
        <v>120</v>
      </c>
      <c r="V80" s="91" t="s">
        <v>51</v>
      </c>
      <c r="W80" s="134" t="s">
        <v>51</v>
      </c>
      <c r="X80" s="94"/>
      <c r="Y80" s="91" t="s">
        <v>45</v>
      </c>
      <c r="Z80" s="91"/>
      <c r="AA80" s="91"/>
      <c r="AB80" s="91"/>
      <c r="AC80" s="91"/>
      <c r="AD80" s="91"/>
      <c r="AE80" s="91"/>
      <c r="AF80" s="91"/>
      <c r="AG80" s="91"/>
      <c r="AH80" s="91"/>
    </row>
    <row r="81" spans="1:34" customFormat="1" ht="30">
      <c r="A81" s="120">
        <v>80</v>
      </c>
      <c r="B81" s="120" t="b">
        <f t="shared" ca="1" si="1"/>
        <v>0</v>
      </c>
      <c r="C81" s="131">
        <v>45352</v>
      </c>
      <c r="D81" s="123">
        <v>0.7537962962962963</v>
      </c>
      <c r="E81" s="91">
        <v>2049</v>
      </c>
      <c r="F81" s="91">
        <v>1208</v>
      </c>
      <c r="G81" s="91" t="s">
        <v>34</v>
      </c>
      <c r="H81" s="91">
        <v>1036</v>
      </c>
      <c r="I81" s="132">
        <v>35214500045461</v>
      </c>
      <c r="J81" s="91" t="s">
        <v>35</v>
      </c>
      <c r="K81" s="153">
        <v>7.3810000000000002</v>
      </c>
      <c r="L81" s="133" t="str">
        <f>VLOOKUP(K81,Liste!$L$2:$O$34,4,1)</f>
        <v>GSMR_02/03</v>
      </c>
      <c r="M81" s="133" t="s">
        <v>36</v>
      </c>
      <c r="N81" s="181" t="s">
        <v>58</v>
      </c>
      <c r="O81" s="125" t="s">
        <v>264</v>
      </c>
      <c r="P81" s="126"/>
      <c r="Q81" s="124" t="s">
        <v>39</v>
      </c>
      <c r="R81" s="91" t="s">
        <v>257</v>
      </c>
      <c r="S81" s="91" t="s">
        <v>265</v>
      </c>
      <c r="T81" s="91" t="s">
        <v>41</v>
      </c>
      <c r="U81" s="91" t="s">
        <v>205</v>
      </c>
      <c r="V81" s="91" t="s">
        <v>51</v>
      </c>
      <c r="W81" s="134" t="s">
        <v>51</v>
      </c>
      <c r="X81" s="91"/>
      <c r="Y81" s="91" t="s">
        <v>45</v>
      </c>
      <c r="Z81" s="91"/>
      <c r="AA81" s="91"/>
      <c r="AB81" s="91"/>
      <c r="AC81" s="91"/>
      <c r="AD81" s="91"/>
      <c r="AE81" s="91"/>
      <c r="AF81" s="91"/>
      <c r="AG81" s="91"/>
      <c r="AH81" s="91"/>
    </row>
    <row r="82" spans="1:34" customFormat="1" ht="30">
      <c r="A82" s="120">
        <v>81</v>
      </c>
      <c r="B82" s="120" t="b">
        <f t="shared" ca="1" si="1"/>
        <v>0</v>
      </c>
      <c r="C82" s="131">
        <v>45352</v>
      </c>
      <c r="D82" s="123">
        <v>0.81325231481481486</v>
      </c>
      <c r="E82" s="91">
        <v>1049</v>
      </c>
      <c r="F82" s="94">
        <v>1209</v>
      </c>
      <c r="G82" s="91" t="s">
        <v>71</v>
      </c>
      <c r="H82" s="91">
        <v>1033</v>
      </c>
      <c r="I82" s="132">
        <v>35214500040707</v>
      </c>
      <c r="J82" s="91" t="s">
        <v>72</v>
      </c>
      <c r="K82" s="133">
        <v>167.761</v>
      </c>
      <c r="L82" s="133" t="str">
        <f>VLOOKUP(K82,Liste!$L$2:$O$34,4,1)</f>
        <v>GSMR_28/29</v>
      </c>
      <c r="M82" s="133" t="s">
        <v>36</v>
      </c>
      <c r="N82" s="180" t="s">
        <v>37</v>
      </c>
      <c r="O82" s="125" t="s">
        <v>266</v>
      </c>
      <c r="P82" s="126"/>
      <c r="Q82" s="124" t="s">
        <v>39</v>
      </c>
      <c r="R82" s="91"/>
      <c r="S82" s="91" t="s">
        <v>237</v>
      </c>
      <c r="T82" s="91" t="s">
        <v>209</v>
      </c>
      <c r="U82" s="91" t="s">
        <v>75</v>
      </c>
      <c r="V82" s="91" t="s">
        <v>51</v>
      </c>
      <c r="W82" s="134" t="s">
        <v>51</v>
      </c>
      <c r="X82" s="94"/>
      <c r="Y82" s="91" t="s">
        <v>45</v>
      </c>
      <c r="Z82" s="91"/>
      <c r="AA82" s="91"/>
      <c r="AB82" s="91"/>
      <c r="AC82" s="91"/>
      <c r="AD82" s="91"/>
      <c r="AE82" s="91"/>
      <c r="AF82" s="91"/>
      <c r="AG82" s="91"/>
      <c r="AH82" s="91"/>
    </row>
    <row r="83" spans="1:34" customFormat="1" ht="30">
      <c r="A83" s="120">
        <v>82</v>
      </c>
      <c r="B83" s="120" t="b">
        <f t="shared" ca="1" si="1"/>
        <v>0</v>
      </c>
      <c r="C83" s="131">
        <v>45352</v>
      </c>
      <c r="D83" s="123">
        <v>0.86128472222222219</v>
      </c>
      <c r="E83" s="91">
        <v>1053</v>
      </c>
      <c r="F83" s="91">
        <v>1212</v>
      </c>
      <c r="G83" s="91" t="s">
        <v>71</v>
      </c>
      <c r="H83" s="91">
        <v>1072</v>
      </c>
      <c r="I83" s="132">
        <v>35214500045424</v>
      </c>
      <c r="J83" s="91" t="s">
        <v>72</v>
      </c>
      <c r="K83" s="133">
        <v>122.536</v>
      </c>
      <c r="L83" s="133" t="str">
        <f>VLOOKUP(K83,Liste!$L$2:$O$34,4,1)</f>
        <v>GSMR_21/22</v>
      </c>
      <c r="M83" s="133" t="s">
        <v>36</v>
      </c>
      <c r="N83" s="180" t="s">
        <v>37</v>
      </c>
      <c r="O83" s="125" t="s">
        <v>267</v>
      </c>
      <c r="P83" s="126"/>
      <c r="Q83" s="124" t="s">
        <v>39</v>
      </c>
      <c r="R83" s="91" t="s">
        <v>257</v>
      </c>
      <c r="S83" s="91" t="s">
        <v>268</v>
      </c>
      <c r="T83" s="91" t="s">
        <v>78</v>
      </c>
      <c r="U83" s="91" t="s">
        <v>269</v>
      </c>
      <c r="V83" s="91" t="s">
        <v>51</v>
      </c>
      <c r="W83" s="134" t="s">
        <v>51</v>
      </c>
      <c r="X83" s="94"/>
      <c r="Y83" s="91" t="s">
        <v>45</v>
      </c>
      <c r="Z83" s="91"/>
      <c r="AA83" s="91"/>
      <c r="AB83" s="91"/>
      <c r="AC83" s="91"/>
      <c r="AD83" s="91"/>
      <c r="AE83" s="91"/>
      <c r="AF83" s="91"/>
      <c r="AG83" s="91"/>
      <c r="AH83" s="91"/>
    </row>
    <row r="84" spans="1:34" customFormat="1" ht="30">
      <c r="A84" s="120">
        <v>83</v>
      </c>
      <c r="B84" s="120" t="b">
        <f t="shared" ca="1" si="1"/>
        <v>0</v>
      </c>
      <c r="C84" s="131">
        <v>45353</v>
      </c>
      <c r="D84" s="123">
        <v>0.73056712962962966</v>
      </c>
      <c r="E84" s="91">
        <v>2045</v>
      </c>
      <c r="F84" s="91">
        <v>1208</v>
      </c>
      <c r="G84" s="91" t="s">
        <v>34</v>
      </c>
      <c r="H84" s="91">
        <v>1037</v>
      </c>
      <c r="I84" s="115">
        <v>35214500045488</v>
      </c>
      <c r="J84" s="91" t="s">
        <v>35</v>
      </c>
      <c r="K84" s="133">
        <v>126.51</v>
      </c>
      <c r="L84" s="133" t="str">
        <f>VLOOKUP(K84,Liste!$L$2:$O$34,4,1)</f>
        <v>GSMR_22/23</v>
      </c>
      <c r="M84" s="133" t="s">
        <v>36</v>
      </c>
      <c r="N84" s="180" t="s">
        <v>37</v>
      </c>
      <c r="O84" s="125" t="s">
        <v>270</v>
      </c>
      <c r="P84" s="126"/>
      <c r="Q84" s="124" t="s">
        <v>39</v>
      </c>
      <c r="R84" s="91" t="s">
        <v>257</v>
      </c>
      <c r="S84" s="91" t="s">
        <v>271</v>
      </c>
      <c r="T84" s="91" t="s">
        <v>101</v>
      </c>
      <c r="U84" s="91" t="s">
        <v>50</v>
      </c>
      <c r="V84" s="91" t="s">
        <v>51</v>
      </c>
      <c r="W84" s="134" t="s">
        <v>43</v>
      </c>
      <c r="X84" s="94"/>
      <c r="Y84" s="91" t="s">
        <v>45</v>
      </c>
      <c r="Z84" s="91"/>
      <c r="AA84" s="91"/>
      <c r="AB84" s="91"/>
      <c r="AC84" s="91"/>
      <c r="AD84" s="91"/>
      <c r="AE84" s="91"/>
      <c r="AF84" s="91"/>
      <c r="AG84" s="91"/>
      <c r="AH84" s="91"/>
    </row>
    <row r="85" spans="1:34" customFormat="1" ht="30">
      <c r="A85" s="120">
        <v>84</v>
      </c>
      <c r="B85" s="120" t="b">
        <f t="shared" ca="1" si="1"/>
        <v>0</v>
      </c>
      <c r="C85" s="131">
        <v>45354</v>
      </c>
      <c r="D85" s="123">
        <v>0.3737152777777778</v>
      </c>
      <c r="E85" s="91">
        <v>1005</v>
      </c>
      <c r="F85" s="91">
        <v>1208</v>
      </c>
      <c r="G85" s="91" t="s">
        <v>71</v>
      </c>
      <c r="H85" s="115">
        <v>1044</v>
      </c>
      <c r="I85" s="115">
        <v>35214500045131</v>
      </c>
      <c r="J85" s="91" t="s">
        <v>72</v>
      </c>
      <c r="K85" s="133">
        <v>32.625999999999998</v>
      </c>
      <c r="L85" s="133" t="str">
        <f>VLOOKUP(K85,Liste!$L$2:$O$34,4,1)</f>
        <v>GSMR_06/07</v>
      </c>
      <c r="M85" s="133" t="s">
        <v>36</v>
      </c>
      <c r="N85" s="180" t="s">
        <v>37</v>
      </c>
      <c r="O85" s="125" t="s">
        <v>272</v>
      </c>
      <c r="P85" s="126"/>
      <c r="Q85" s="124" t="s">
        <v>39</v>
      </c>
      <c r="R85" s="91" t="s">
        <v>257</v>
      </c>
      <c r="S85" s="91" t="s">
        <v>273</v>
      </c>
      <c r="T85" s="91" t="s">
        <v>69</v>
      </c>
      <c r="U85" s="91" t="s">
        <v>75</v>
      </c>
      <c r="V85" s="91" t="s">
        <v>51</v>
      </c>
      <c r="W85" s="134" t="s">
        <v>51</v>
      </c>
      <c r="X85" s="94"/>
      <c r="Y85" s="91" t="s">
        <v>45</v>
      </c>
      <c r="Z85" s="91"/>
      <c r="AA85" s="91"/>
      <c r="AB85" s="91"/>
      <c r="AC85" s="91"/>
      <c r="AD85" s="91"/>
      <c r="AE85" s="91"/>
      <c r="AF85" s="91"/>
      <c r="AG85" s="91"/>
      <c r="AH85" s="91"/>
    </row>
    <row r="86" spans="1:34" customFormat="1" ht="30">
      <c r="A86" s="120">
        <v>85</v>
      </c>
      <c r="B86" s="120" t="b">
        <f t="shared" ca="1" si="1"/>
        <v>0</v>
      </c>
      <c r="C86" s="131">
        <v>45355</v>
      </c>
      <c r="D86" s="123">
        <v>0.26394675925925926</v>
      </c>
      <c r="E86" s="91">
        <v>2001</v>
      </c>
      <c r="F86" s="94">
        <v>1212</v>
      </c>
      <c r="G86" s="91" t="s">
        <v>34</v>
      </c>
      <c r="H86" s="91">
        <v>1057</v>
      </c>
      <c r="I86" s="115">
        <v>35214500045187</v>
      </c>
      <c r="J86" s="91" t="s">
        <v>35</v>
      </c>
      <c r="K86" s="133">
        <v>68.956000000000003</v>
      </c>
      <c r="L86" s="133" t="str">
        <f>VLOOKUP(K86,Liste!$L$2:$O$34,4,1)</f>
        <v>GSMR_12/13</v>
      </c>
      <c r="M86" s="133" t="s">
        <v>36</v>
      </c>
      <c r="N86" s="180" t="s">
        <v>37</v>
      </c>
      <c r="O86" s="125" t="s">
        <v>274</v>
      </c>
      <c r="P86" s="126"/>
      <c r="Q86" s="124" t="s">
        <v>39</v>
      </c>
      <c r="R86" s="91" t="s">
        <v>275</v>
      </c>
      <c r="S86" s="91" t="s">
        <v>40</v>
      </c>
      <c r="T86" s="91" t="s">
        <v>101</v>
      </c>
      <c r="U86" s="91" t="s">
        <v>42</v>
      </c>
      <c r="V86" s="91" t="s">
        <v>43</v>
      </c>
      <c r="W86" s="134" t="s">
        <v>51</v>
      </c>
      <c r="X86" s="94"/>
      <c r="Y86" s="91" t="s">
        <v>45</v>
      </c>
      <c r="Z86" s="91"/>
      <c r="AA86" s="91"/>
      <c r="AB86" s="91"/>
      <c r="AC86" s="91"/>
      <c r="AD86" s="91"/>
      <c r="AE86" s="91"/>
      <c r="AF86" s="91"/>
      <c r="AG86" s="91"/>
      <c r="AH86" s="91"/>
    </row>
    <row r="87" spans="1:34" customFormat="1" ht="30">
      <c r="A87" s="120">
        <v>86</v>
      </c>
      <c r="B87" s="120" t="b">
        <f t="shared" ca="1" si="1"/>
        <v>0</v>
      </c>
      <c r="C87" s="135">
        <v>45356</v>
      </c>
      <c r="D87" s="123">
        <v>0.49703703703703705</v>
      </c>
      <c r="E87" s="91">
        <v>1017</v>
      </c>
      <c r="F87" s="91">
        <v>1207</v>
      </c>
      <c r="G87" s="91" t="s">
        <v>71</v>
      </c>
      <c r="H87" s="91">
        <v>1008</v>
      </c>
      <c r="I87" s="115">
        <v>35214500045654</v>
      </c>
      <c r="J87" s="91" t="s">
        <v>72</v>
      </c>
      <c r="K87" s="133">
        <v>44.47</v>
      </c>
      <c r="L87" s="133" t="str">
        <f>VLOOKUP(K87,Liste!$L$2:$O$34,4,1)</f>
        <v>GSMR_08/09</v>
      </c>
      <c r="M87" s="133" t="s">
        <v>36</v>
      </c>
      <c r="N87" s="180" t="s">
        <v>37</v>
      </c>
      <c r="O87" s="125" t="s">
        <v>276</v>
      </c>
      <c r="P87" s="126"/>
      <c r="Q87" s="124" t="s">
        <v>39</v>
      </c>
      <c r="R87" s="91"/>
      <c r="S87" s="91" t="s">
        <v>277</v>
      </c>
      <c r="T87" s="91" t="s">
        <v>69</v>
      </c>
      <c r="U87" s="91" t="s">
        <v>172</v>
      </c>
      <c r="V87" s="91" t="s">
        <v>51</v>
      </c>
      <c r="W87" s="134" t="s">
        <v>51</v>
      </c>
      <c r="X87" s="91" t="s">
        <v>52</v>
      </c>
      <c r="Y87" s="91" t="s">
        <v>45</v>
      </c>
      <c r="Z87" s="91"/>
      <c r="AA87" s="91"/>
      <c r="AB87" s="91"/>
      <c r="AC87" s="91"/>
      <c r="AD87" s="91"/>
      <c r="AE87" s="91"/>
      <c r="AF87" s="91"/>
      <c r="AG87" s="91"/>
      <c r="AH87" s="91"/>
    </row>
    <row r="88" spans="1:34" customFormat="1" ht="30">
      <c r="A88" s="120">
        <v>87</v>
      </c>
      <c r="B88" s="120" t="b">
        <f t="shared" ca="1" si="1"/>
        <v>0</v>
      </c>
      <c r="C88" s="135">
        <v>45356</v>
      </c>
      <c r="D88" s="123">
        <v>0.54293981481481479</v>
      </c>
      <c r="E88" s="91">
        <v>1021</v>
      </c>
      <c r="F88" s="91">
        <v>1205</v>
      </c>
      <c r="G88" s="91" t="s">
        <v>71</v>
      </c>
      <c r="H88" s="91">
        <v>1035</v>
      </c>
      <c r="I88" s="115">
        <v>35214500046011</v>
      </c>
      <c r="J88" s="91" t="s">
        <v>72</v>
      </c>
      <c r="K88" s="133">
        <v>17.59</v>
      </c>
      <c r="L88" s="133" t="str">
        <f>VLOOKUP(K88,Liste!$L$2:$O$34,4,1)</f>
        <v>GSMR_04/05</v>
      </c>
      <c r="M88" s="133" t="s">
        <v>36</v>
      </c>
      <c r="N88" s="180" t="s">
        <v>37</v>
      </c>
      <c r="O88" s="125" t="s">
        <v>278</v>
      </c>
      <c r="P88" s="126"/>
      <c r="Q88" s="124" t="s">
        <v>127</v>
      </c>
      <c r="R88" s="91"/>
      <c r="S88" s="91" t="s">
        <v>244</v>
      </c>
      <c r="T88" s="91" t="s">
        <v>69</v>
      </c>
      <c r="U88" s="91" t="s">
        <v>120</v>
      </c>
      <c r="V88" s="91" t="s">
        <v>51</v>
      </c>
      <c r="W88" s="134"/>
      <c r="X88" s="94"/>
      <c r="Y88" s="91" t="s">
        <v>45</v>
      </c>
      <c r="Z88" s="91"/>
      <c r="AA88" s="91"/>
      <c r="AB88" s="91"/>
      <c r="AC88" s="91"/>
      <c r="AD88" s="91"/>
      <c r="AE88" s="91"/>
      <c r="AF88" s="91"/>
      <c r="AG88" s="91"/>
      <c r="AH88" s="91"/>
    </row>
    <row r="89" spans="1:34" customFormat="1">
      <c r="A89" s="120">
        <v>88</v>
      </c>
      <c r="B89" s="120" t="b">
        <f t="shared" ca="1" si="1"/>
        <v>0</v>
      </c>
      <c r="C89" s="135">
        <v>45356</v>
      </c>
      <c r="D89" s="123">
        <v>0.5438425925925926</v>
      </c>
      <c r="E89" s="91">
        <v>1021</v>
      </c>
      <c r="F89" s="91">
        <v>1205</v>
      </c>
      <c r="G89" s="91" t="s">
        <v>71</v>
      </c>
      <c r="H89" s="91">
        <v>1034</v>
      </c>
      <c r="I89" s="132"/>
      <c r="J89" s="91" t="s">
        <v>72</v>
      </c>
      <c r="K89" s="133">
        <v>13.712999999999999</v>
      </c>
      <c r="L89" s="133" t="str">
        <f>VLOOKUP(K89,Liste!$L$2:$O$34,4,1)</f>
        <v>GSMR_03/04</v>
      </c>
      <c r="M89" s="133" t="s">
        <v>36</v>
      </c>
      <c r="N89" s="180" t="s">
        <v>37</v>
      </c>
      <c r="O89" s="125" t="s">
        <v>279</v>
      </c>
      <c r="P89" s="126"/>
      <c r="Q89" s="124" t="s">
        <v>47</v>
      </c>
      <c r="R89" s="91"/>
      <c r="S89" s="94"/>
      <c r="T89" s="94"/>
      <c r="U89" s="94"/>
      <c r="V89" s="94"/>
      <c r="W89" s="124"/>
      <c r="X89" s="94"/>
      <c r="Y89" s="94"/>
      <c r="Z89" s="91"/>
      <c r="AA89" s="91"/>
      <c r="AB89" s="91"/>
      <c r="AC89" s="91"/>
      <c r="AD89" s="91"/>
      <c r="AE89" s="91"/>
      <c r="AF89" s="91"/>
      <c r="AG89" s="91"/>
      <c r="AH89" s="91"/>
    </row>
    <row r="90" spans="1:34" customFormat="1" ht="30">
      <c r="A90" s="120">
        <v>89</v>
      </c>
      <c r="B90" s="120" t="b">
        <f t="shared" ca="1" si="1"/>
        <v>0</v>
      </c>
      <c r="C90" s="131">
        <v>45356</v>
      </c>
      <c r="D90" s="123">
        <v>0.58687500000000004</v>
      </c>
      <c r="E90" s="91">
        <v>1025</v>
      </c>
      <c r="F90" s="94">
        <v>1209</v>
      </c>
      <c r="G90" s="91" t="s">
        <v>71</v>
      </c>
      <c r="H90" s="91">
        <v>1032</v>
      </c>
      <c r="I90" s="136">
        <v>35214500040638</v>
      </c>
      <c r="J90" s="91" t="s">
        <v>72</v>
      </c>
      <c r="K90" s="153">
        <v>7.3209999999999997</v>
      </c>
      <c r="L90" s="133" t="str">
        <f>VLOOKUP(K90,Liste!$L$2:$O$34,4,1)</f>
        <v>GSMR_02/03</v>
      </c>
      <c r="M90" s="133" t="s">
        <v>36</v>
      </c>
      <c r="N90" s="181" t="s">
        <v>58</v>
      </c>
      <c r="O90" s="125" t="s">
        <v>280</v>
      </c>
      <c r="P90" s="126"/>
      <c r="Q90" s="124" t="s">
        <v>39</v>
      </c>
      <c r="R90" s="91"/>
      <c r="S90" s="91" t="s">
        <v>261</v>
      </c>
      <c r="T90" s="91" t="s">
        <v>41</v>
      </c>
      <c r="U90" s="91" t="s">
        <v>205</v>
      </c>
      <c r="V90" s="91" t="s">
        <v>43</v>
      </c>
      <c r="W90" s="134" t="s">
        <v>51</v>
      </c>
      <c r="X90" s="94"/>
      <c r="Y90" s="91" t="s">
        <v>45</v>
      </c>
      <c r="Z90" s="91"/>
      <c r="AA90" s="91"/>
      <c r="AB90" s="91"/>
      <c r="AC90" s="91"/>
      <c r="AD90" s="91"/>
      <c r="AE90" s="91"/>
      <c r="AF90" s="91"/>
      <c r="AG90" s="91"/>
      <c r="AH90" s="91"/>
    </row>
    <row r="91" spans="1:34" customFormat="1" ht="30">
      <c r="A91" s="120">
        <v>90</v>
      </c>
      <c r="B91" s="120" t="b">
        <f t="shared" ca="1" si="1"/>
        <v>0</v>
      </c>
      <c r="C91" s="131">
        <v>45356</v>
      </c>
      <c r="D91" s="123">
        <v>0.76640046296296294</v>
      </c>
      <c r="E91" s="91"/>
      <c r="F91" s="94">
        <v>1212</v>
      </c>
      <c r="G91" s="91" t="s">
        <v>34</v>
      </c>
      <c r="H91" s="91">
        <v>1057</v>
      </c>
      <c r="I91" s="136"/>
      <c r="J91" s="91" t="s">
        <v>35</v>
      </c>
      <c r="K91" s="133">
        <v>87.715000000000003</v>
      </c>
      <c r="L91" s="133" t="str">
        <f>VLOOKUP(K91,Liste!$L$2:$O$34,4,1)</f>
        <v>GSMR_16/17</v>
      </c>
      <c r="M91" s="133" t="s">
        <v>36</v>
      </c>
      <c r="N91" s="180" t="s">
        <v>37</v>
      </c>
      <c r="O91" s="125" t="s">
        <v>281</v>
      </c>
      <c r="P91" s="126"/>
      <c r="Q91" s="124" t="s">
        <v>39</v>
      </c>
      <c r="R91" s="91" t="s">
        <v>275</v>
      </c>
      <c r="S91" s="91" t="s">
        <v>282</v>
      </c>
      <c r="T91" s="91" t="s">
        <v>209</v>
      </c>
      <c r="U91" s="91" t="s">
        <v>102</v>
      </c>
      <c r="V91" s="91" t="s">
        <v>51</v>
      </c>
      <c r="W91" s="134" t="s">
        <v>43</v>
      </c>
      <c r="X91" s="94"/>
      <c r="Y91" s="91" t="s">
        <v>45</v>
      </c>
      <c r="Z91" s="91"/>
      <c r="AA91" s="91"/>
      <c r="AB91" s="91"/>
      <c r="AC91" s="91"/>
      <c r="AD91" s="91"/>
      <c r="AE91" s="91"/>
      <c r="AF91" s="91"/>
      <c r="AG91" s="91"/>
      <c r="AH91" s="91"/>
    </row>
    <row r="92" spans="1:34" customFormat="1" ht="30">
      <c r="A92" s="120">
        <v>91</v>
      </c>
      <c r="B92" s="120" t="b">
        <f t="shared" ca="1" si="1"/>
        <v>0</v>
      </c>
      <c r="C92" s="135">
        <v>45356</v>
      </c>
      <c r="D92" s="123">
        <v>0.89675925925925926</v>
      </c>
      <c r="E92" s="91">
        <v>2061</v>
      </c>
      <c r="F92" s="91">
        <v>1207</v>
      </c>
      <c r="G92" s="91" t="s">
        <v>34</v>
      </c>
      <c r="H92" s="91">
        <v>1046</v>
      </c>
      <c r="I92" s="136">
        <v>35229605039726</v>
      </c>
      <c r="J92" s="91" t="s">
        <v>35</v>
      </c>
      <c r="K92" s="133">
        <v>127.875</v>
      </c>
      <c r="L92" s="133" t="str">
        <f>VLOOKUP(K92,Liste!$L$2:$O$34,4,1)</f>
        <v>GSMR_22/23</v>
      </c>
      <c r="M92" s="133" t="s">
        <v>36</v>
      </c>
      <c r="N92" s="180" t="s">
        <v>37</v>
      </c>
      <c r="O92" s="125" t="s">
        <v>283</v>
      </c>
      <c r="P92" s="126"/>
      <c r="Q92" s="124" t="s">
        <v>39</v>
      </c>
      <c r="R92" s="91"/>
      <c r="S92" s="91" t="s">
        <v>284</v>
      </c>
      <c r="T92" s="91" t="s">
        <v>101</v>
      </c>
      <c r="U92" s="91" t="s">
        <v>172</v>
      </c>
      <c r="V92" s="91" t="s">
        <v>51</v>
      </c>
      <c r="W92" s="134" t="s">
        <v>51</v>
      </c>
      <c r="X92" s="94"/>
      <c r="Y92" s="91" t="s">
        <v>45</v>
      </c>
      <c r="Z92" s="91"/>
      <c r="AA92" s="91"/>
      <c r="AB92" s="91"/>
      <c r="AC92" s="91"/>
      <c r="AD92" s="91"/>
      <c r="AE92" s="91"/>
      <c r="AF92" s="91"/>
      <c r="AG92" s="91"/>
      <c r="AH92" s="91"/>
    </row>
    <row r="93" spans="1:34" customFormat="1" ht="30">
      <c r="A93" s="120">
        <v>92</v>
      </c>
      <c r="B93" s="120" t="b">
        <f t="shared" ca="1" si="1"/>
        <v>0</v>
      </c>
      <c r="C93" s="135">
        <v>45357</v>
      </c>
      <c r="D93" s="123">
        <v>0.2666898148148148</v>
      </c>
      <c r="E93" s="91">
        <v>1081</v>
      </c>
      <c r="F93" s="91">
        <v>1203</v>
      </c>
      <c r="G93" s="91" t="s">
        <v>71</v>
      </c>
      <c r="H93" s="91">
        <v>1027</v>
      </c>
      <c r="I93" s="136">
        <v>35214500045083</v>
      </c>
      <c r="J93" s="91" t="s">
        <v>72</v>
      </c>
      <c r="K93" s="133">
        <v>115.893</v>
      </c>
      <c r="L93" s="133" t="str">
        <f>VLOOKUP(K93,Liste!$L$2:$O$34,4,1)</f>
        <v>GSMR_20/21</v>
      </c>
      <c r="M93" s="133" t="s">
        <v>36</v>
      </c>
      <c r="N93" s="180" t="s">
        <v>37</v>
      </c>
      <c r="O93" s="125" t="s">
        <v>285</v>
      </c>
      <c r="P93" s="126"/>
      <c r="Q93" s="124" t="s">
        <v>39</v>
      </c>
      <c r="R93" s="91"/>
      <c r="S93" s="91" t="s">
        <v>286</v>
      </c>
      <c r="T93" s="91" t="s">
        <v>69</v>
      </c>
      <c r="U93" s="91" t="s">
        <v>82</v>
      </c>
      <c r="V93" s="91" t="s">
        <v>51</v>
      </c>
      <c r="W93" s="134" t="s">
        <v>51</v>
      </c>
      <c r="X93" s="94"/>
      <c r="Y93" s="91" t="s">
        <v>45</v>
      </c>
      <c r="Z93" s="91"/>
      <c r="AA93" s="91"/>
      <c r="AB93" s="91"/>
      <c r="AC93" s="91"/>
      <c r="AD93" s="91"/>
      <c r="AE93" s="91"/>
      <c r="AF93" s="91"/>
      <c r="AG93" s="91"/>
      <c r="AH93" s="91"/>
    </row>
    <row r="94" spans="1:34" customFormat="1" ht="30">
      <c r="A94" s="120">
        <v>93</v>
      </c>
      <c r="B94" s="120" t="b">
        <f t="shared" ca="1" si="1"/>
        <v>0</v>
      </c>
      <c r="C94" s="135">
        <v>45358</v>
      </c>
      <c r="D94" s="123">
        <v>0.31111111111111112</v>
      </c>
      <c r="E94" s="91">
        <v>1001</v>
      </c>
      <c r="F94" s="91">
        <v>1207</v>
      </c>
      <c r="G94" s="91" t="s">
        <v>71</v>
      </c>
      <c r="H94" s="91">
        <v>1008</v>
      </c>
      <c r="I94" s="136">
        <v>35214500045654</v>
      </c>
      <c r="J94" s="91" t="s">
        <v>72</v>
      </c>
      <c r="K94" s="133">
        <v>180.38800000000001</v>
      </c>
      <c r="L94" s="133" t="str">
        <f>VLOOKUP(K94,Liste!$L$2:$O$34,4,1)</f>
        <v>GSMR_30/31</v>
      </c>
      <c r="M94" s="133" t="s">
        <v>36</v>
      </c>
      <c r="N94" s="180" t="s">
        <v>37</v>
      </c>
      <c r="O94" s="125" t="s">
        <v>287</v>
      </c>
      <c r="P94" s="126"/>
      <c r="Q94" s="124" t="s">
        <v>39</v>
      </c>
      <c r="R94" s="91"/>
      <c r="S94" s="91" t="s">
        <v>288</v>
      </c>
      <c r="T94" s="91" t="s">
        <v>69</v>
      </c>
      <c r="U94" s="91" t="s">
        <v>289</v>
      </c>
      <c r="V94" s="91" t="s">
        <v>51</v>
      </c>
      <c r="W94" s="134" t="s">
        <v>51</v>
      </c>
      <c r="X94" s="94"/>
      <c r="Y94" s="91" t="s">
        <v>45</v>
      </c>
      <c r="Z94" s="91"/>
      <c r="AA94" s="91"/>
      <c r="AB94" s="91"/>
      <c r="AC94" s="91"/>
      <c r="AD94" s="91"/>
      <c r="AE94" s="91"/>
      <c r="AF94" s="91"/>
      <c r="AG94" s="91"/>
      <c r="AH94" s="91"/>
    </row>
    <row r="95" spans="1:34" customFormat="1" ht="30">
      <c r="A95" s="120">
        <v>94</v>
      </c>
      <c r="B95" s="120" t="b">
        <f t="shared" ca="1" si="1"/>
        <v>0</v>
      </c>
      <c r="C95" s="135">
        <v>45358</v>
      </c>
      <c r="D95" s="123">
        <v>0.54476851851851849</v>
      </c>
      <c r="E95" s="91">
        <v>1021</v>
      </c>
      <c r="F95" s="91">
        <v>1204</v>
      </c>
      <c r="G95" s="91" t="s">
        <v>71</v>
      </c>
      <c r="H95" s="91">
        <v>1027</v>
      </c>
      <c r="I95" s="136">
        <v>35214500045491</v>
      </c>
      <c r="J95" s="91" t="s">
        <v>72</v>
      </c>
      <c r="K95" s="153">
        <v>9.0299999999999994</v>
      </c>
      <c r="L95" s="133" t="str">
        <f>VLOOKUP(K95,Liste!$L$2:$O$34,4,1)</f>
        <v>GSMR_02/03</v>
      </c>
      <c r="M95" s="133" t="s">
        <v>36</v>
      </c>
      <c r="N95" s="180" t="s">
        <v>37</v>
      </c>
      <c r="O95" s="125" t="s">
        <v>290</v>
      </c>
      <c r="P95" s="126"/>
      <c r="Q95" s="124" t="s">
        <v>39</v>
      </c>
      <c r="R95" s="91"/>
      <c r="S95" s="91" t="s">
        <v>291</v>
      </c>
      <c r="T95" s="91" t="s">
        <v>116</v>
      </c>
      <c r="U95" s="91" t="s">
        <v>172</v>
      </c>
      <c r="V95" s="91" t="s">
        <v>51</v>
      </c>
      <c r="W95" s="134" t="s">
        <v>51</v>
      </c>
      <c r="X95" s="91"/>
      <c r="Y95" s="91" t="s">
        <v>45</v>
      </c>
      <c r="Z95" s="91"/>
      <c r="AA95" s="91"/>
      <c r="AB95" s="91"/>
      <c r="AC95" s="91"/>
      <c r="AD95" s="91"/>
      <c r="AE95" s="91"/>
      <c r="AF95" s="91"/>
      <c r="AG95" s="91"/>
      <c r="AH95" s="91"/>
    </row>
    <row r="96" spans="1:34" customFormat="1" ht="30">
      <c r="A96" s="120">
        <v>95</v>
      </c>
      <c r="B96" s="120" t="b">
        <f t="shared" ca="1" si="1"/>
        <v>0</v>
      </c>
      <c r="C96" s="135">
        <v>45360</v>
      </c>
      <c r="D96" s="123">
        <v>0.60797453703703708</v>
      </c>
      <c r="E96" s="91">
        <v>2033</v>
      </c>
      <c r="F96" s="91">
        <v>1202</v>
      </c>
      <c r="G96" s="91" t="s">
        <v>34</v>
      </c>
      <c r="H96" s="91">
        <v>1042</v>
      </c>
      <c r="I96" s="136">
        <v>5214500045498</v>
      </c>
      <c r="J96" s="91" t="s">
        <v>35</v>
      </c>
      <c r="K96" s="133">
        <v>75.84</v>
      </c>
      <c r="L96" s="133" t="str">
        <f>VLOOKUP(K96,Liste!$L$2:$O$34,4,1)</f>
        <v>GSMR_13/14</v>
      </c>
      <c r="M96" s="133" t="s">
        <v>36</v>
      </c>
      <c r="N96" s="181" t="s">
        <v>58</v>
      </c>
      <c r="O96" s="125" t="s">
        <v>292</v>
      </c>
      <c r="P96" s="126"/>
      <c r="Q96" s="124" t="s">
        <v>39</v>
      </c>
      <c r="R96" s="91" t="s">
        <v>293</v>
      </c>
      <c r="S96" s="91" t="s">
        <v>294</v>
      </c>
      <c r="T96" s="91" t="s">
        <v>209</v>
      </c>
      <c r="U96" s="91" t="s">
        <v>120</v>
      </c>
      <c r="V96" s="91" t="s">
        <v>51</v>
      </c>
      <c r="W96" s="134" t="s">
        <v>51</v>
      </c>
      <c r="X96" s="94" t="s">
        <v>52</v>
      </c>
      <c r="Y96" s="91" t="s">
        <v>45</v>
      </c>
      <c r="Z96" s="91"/>
      <c r="AA96" s="91"/>
      <c r="AB96" s="91"/>
      <c r="AC96" s="91"/>
      <c r="AD96" s="91"/>
      <c r="AE96" s="91"/>
      <c r="AF96" s="91"/>
      <c r="AG96" s="91"/>
      <c r="AH96" s="91"/>
    </row>
    <row r="97" spans="1:34" customFormat="1" ht="30">
      <c r="A97" s="120">
        <v>96</v>
      </c>
      <c r="B97" s="120" t="b">
        <f t="shared" ca="1" si="1"/>
        <v>0</v>
      </c>
      <c r="C97" s="135">
        <v>45360</v>
      </c>
      <c r="D97" s="123">
        <v>0.73231481481481486</v>
      </c>
      <c r="E97" s="91">
        <v>1041</v>
      </c>
      <c r="F97" s="91">
        <v>1205</v>
      </c>
      <c r="G97" s="91" t="s">
        <v>71</v>
      </c>
      <c r="H97" s="91">
        <v>1034</v>
      </c>
      <c r="I97" s="136">
        <v>35214500043605</v>
      </c>
      <c r="J97" s="91" t="s">
        <v>72</v>
      </c>
      <c r="K97" s="133">
        <v>149.01400000000001</v>
      </c>
      <c r="L97" s="133" t="str">
        <f>VLOOKUP(K97,Liste!$L$2:$O$34,4,1)</f>
        <v>GSMR_25/26</v>
      </c>
      <c r="M97" s="133" t="s">
        <v>36</v>
      </c>
      <c r="N97" s="180" t="s">
        <v>37</v>
      </c>
      <c r="O97" s="125" t="s">
        <v>295</v>
      </c>
      <c r="P97" s="126"/>
      <c r="Q97" s="124" t="s">
        <v>47</v>
      </c>
      <c r="R97" s="91" t="s">
        <v>296</v>
      </c>
      <c r="S97" s="91" t="s">
        <v>297</v>
      </c>
      <c r="T97" s="91" t="s">
        <v>78</v>
      </c>
      <c r="U97" s="91" t="s">
        <v>102</v>
      </c>
      <c r="V97" s="91" t="s">
        <v>51</v>
      </c>
      <c r="W97" s="134" t="s">
        <v>51</v>
      </c>
      <c r="X97" s="94"/>
      <c r="Y97" s="91" t="s">
        <v>45</v>
      </c>
      <c r="Z97" s="91"/>
      <c r="AA97" s="91"/>
      <c r="AB97" s="91"/>
      <c r="AC97" s="91"/>
      <c r="AD97" s="91"/>
      <c r="AE97" s="91"/>
      <c r="AF97" s="91"/>
      <c r="AG97" s="91"/>
      <c r="AH97" s="91"/>
    </row>
    <row r="98" spans="1:34" customFormat="1" ht="30">
      <c r="A98" s="120">
        <v>97</v>
      </c>
      <c r="B98" s="120" t="b">
        <f t="shared" ca="1" si="1"/>
        <v>0</v>
      </c>
      <c r="C98" s="135">
        <v>45361</v>
      </c>
      <c r="D98" s="123">
        <v>0.43760416666666668</v>
      </c>
      <c r="E98" s="91">
        <v>1013</v>
      </c>
      <c r="F98" s="91">
        <v>1207</v>
      </c>
      <c r="G98" s="91" t="s">
        <v>71</v>
      </c>
      <c r="H98" s="91">
        <v>1008</v>
      </c>
      <c r="I98" s="136">
        <v>35214500045654</v>
      </c>
      <c r="J98" s="91" t="s">
        <v>72</v>
      </c>
      <c r="K98" s="133">
        <v>182.86500000000001</v>
      </c>
      <c r="L98" s="133" t="str">
        <f>VLOOKUP(K98,Liste!$L$2:$O$34,4,1)</f>
        <v>GSMR_31/32</v>
      </c>
      <c r="M98" s="133" t="s">
        <v>36</v>
      </c>
      <c r="N98" s="180" t="s">
        <v>37</v>
      </c>
      <c r="O98" s="125" t="s">
        <v>298</v>
      </c>
      <c r="P98" s="126"/>
      <c r="Q98" s="124" t="s">
        <v>39</v>
      </c>
      <c r="R98" s="91" t="s">
        <v>299</v>
      </c>
      <c r="S98" s="91" t="s">
        <v>300</v>
      </c>
      <c r="T98" s="91" t="s">
        <v>69</v>
      </c>
      <c r="U98" s="91" t="s">
        <v>172</v>
      </c>
      <c r="V98" s="91" t="s">
        <v>51</v>
      </c>
      <c r="W98" s="134" t="s">
        <v>51</v>
      </c>
      <c r="X98" s="94"/>
      <c r="Y98" s="91" t="s">
        <v>45</v>
      </c>
      <c r="Z98" s="91"/>
      <c r="AA98" s="91"/>
      <c r="AB98" s="91"/>
      <c r="AC98" s="91"/>
      <c r="AD98" s="91"/>
      <c r="AE98" s="91"/>
      <c r="AF98" s="91"/>
      <c r="AG98" s="91"/>
      <c r="AH98" s="91"/>
    </row>
    <row r="99" spans="1:34" customFormat="1" ht="30">
      <c r="A99" s="120">
        <v>98</v>
      </c>
      <c r="B99" s="120" t="b">
        <f t="shared" ca="1" si="1"/>
        <v>0</v>
      </c>
      <c r="C99" s="135">
        <v>45361</v>
      </c>
      <c r="D99" s="123">
        <v>0.77128472222222222</v>
      </c>
      <c r="E99" s="91">
        <v>1045</v>
      </c>
      <c r="F99" s="91">
        <v>1206</v>
      </c>
      <c r="G99" s="91" t="s">
        <v>71</v>
      </c>
      <c r="H99" s="91">
        <v>1041</v>
      </c>
      <c r="I99" s="136">
        <v>35214500045477</v>
      </c>
      <c r="J99" s="91" t="s">
        <v>72</v>
      </c>
      <c r="K99" s="133">
        <v>171.53700000000001</v>
      </c>
      <c r="L99" s="133" t="str">
        <f>VLOOKUP(K99,Liste!$L$2:$O$34,4,1)</f>
        <v>GSMR_29/30</v>
      </c>
      <c r="M99" s="133" t="s">
        <v>36</v>
      </c>
      <c r="N99" s="180" t="s">
        <v>37</v>
      </c>
      <c r="O99" s="125" t="s">
        <v>301</v>
      </c>
      <c r="P99" s="126"/>
      <c r="Q99" s="124" t="s">
        <v>39</v>
      </c>
      <c r="R99" s="118" t="s">
        <v>302</v>
      </c>
      <c r="S99" s="91" t="s">
        <v>303</v>
      </c>
      <c r="T99" s="91" t="s">
        <v>116</v>
      </c>
      <c r="U99" s="91" t="s">
        <v>120</v>
      </c>
      <c r="V99" s="91" t="s">
        <v>51</v>
      </c>
      <c r="W99" s="134" t="s">
        <v>51</v>
      </c>
      <c r="X99" s="94"/>
      <c r="Y99" s="91" t="s">
        <v>45</v>
      </c>
      <c r="Z99" s="91"/>
      <c r="AA99" s="91"/>
      <c r="AB99" s="91"/>
      <c r="AC99" s="91"/>
      <c r="AD99" s="91"/>
      <c r="AE99" s="91"/>
      <c r="AF99" s="91"/>
      <c r="AG99" s="91"/>
      <c r="AH99" s="91"/>
    </row>
    <row r="100" spans="1:34" customFormat="1" ht="30">
      <c r="A100" s="120">
        <v>99</v>
      </c>
      <c r="B100" s="120" t="b">
        <f t="shared" ca="1" si="1"/>
        <v>0</v>
      </c>
      <c r="C100" s="135">
        <v>45362</v>
      </c>
      <c r="D100" s="123">
        <v>0.19719907407407408</v>
      </c>
      <c r="E100" s="91">
        <v>2081</v>
      </c>
      <c r="F100" s="91">
        <v>1205</v>
      </c>
      <c r="G100" s="91" t="s">
        <v>34</v>
      </c>
      <c r="H100" s="91">
        <v>7218</v>
      </c>
      <c r="I100" s="136">
        <v>35214500045735</v>
      </c>
      <c r="J100" s="91" t="s">
        <v>35</v>
      </c>
      <c r="K100" s="133">
        <v>101.587</v>
      </c>
      <c r="L100" s="133" t="str">
        <f>VLOOKUP(K100,Liste!$L$2:$O$34,4,1)</f>
        <v>GSMR_18/19</v>
      </c>
      <c r="M100" s="133" t="s">
        <v>36</v>
      </c>
      <c r="N100" s="180" t="s">
        <v>37</v>
      </c>
      <c r="O100" s="125" t="s">
        <v>304</v>
      </c>
      <c r="P100" s="126"/>
      <c r="Q100" s="124" t="s">
        <v>39</v>
      </c>
      <c r="R100" s="91" t="s">
        <v>305</v>
      </c>
      <c r="S100" s="91" t="s">
        <v>306</v>
      </c>
      <c r="T100" s="91" t="s">
        <v>69</v>
      </c>
      <c r="U100" s="91" t="s">
        <v>307</v>
      </c>
      <c r="V100" s="91" t="s">
        <v>51</v>
      </c>
      <c r="W100" s="134" t="s">
        <v>51</v>
      </c>
      <c r="X100" s="94"/>
      <c r="Y100" s="91" t="s">
        <v>45</v>
      </c>
      <c r="Z100" s="91"/>
      <c r="AA100" s="91"/>
      <c r="AB100" s="91"/>
      <c r="AC100" s="91"/>
      <c r="AD100" s="91"/>
      <c r="AE100" s="91"/>
      <c r="AF100" s="91"/>
      <c r="AG100" s="91"/>
      <c r="AH100" s="91"/>
    </row>
    <row r="101" spans="1:34" customFormat="1" ht="30">
      <c r="A101" s="120">
        <v>100</v>
      </c>
      <c r="B101" s="120" t="b">
        <f t="shared" ca="1" si="1"/>
        <v>0</v>
      </c>
      <c r="C101" s="135">
        <v>45362</v>
      </c>
      <c r="D101" s="123">
        <v>0.61478009259259259</v>
      </c>
      <c r="E101" s="91">
        <v>2033</v>
      </c>
      <c r="F101" s="91">
        <v>1205</v>
      </c>
      <c r="G101" s="91" t="s">
        <v>34</v>
      </c>
      <c r="H101" s="91">
        <v>7217</v>
      </c>
      <c r="I101" s="136">
        <v>35214500044557</v>
      </c>
      <c r="J101" s="91" t="s">
        <v>35</v>
      </c>
      <c r="K101" s="133">
        <v>188.077</v>
      </c>
      <c r="L101" s="133" t="str">
        <f>VLOOKUP(K101,Liste!$L$2:$O$34,4,1)</f>
        <v>GSMR_33/RAC</v>
      </c>
      <c r="M101" s="133" t="s">
        <v>36</v>
      </c>
      <c r="N101" s="180" t="s">
        <v>37</v>
      </c>
      <c r="O101" s="125" t="s">
        <v>308</v>
      </c>
      <c r="P101" s="126"/>
      <c r="Q101" s="124" t="s">
        <v>47</v>
      </c>
      <c r="R101" s="91" t="s">
        <v>309</v>
      </c>
      <c r="S101" s="91" t="s">
        <v>310</v>
      </c>
      <c r="T101" s="91" t="s">
        <v>69</v>
      </c>
      <c r="U101" s="91" t="s">
        <v>57</v>
      </c>
      <c r="V101" s="91" t="s">
        <v>43</v>
      </c>
      <c r="W101" s="134" t="s">
        <v>51</v>
      </c>
      <c r="X101" s="94"/>
      <c r="Y101" s="91" t="s">
        <v>45</v>
      </c>
      <c r="Z101" s="91"/>
      <c r="AA101" s="91"/>
      <c r="AB101" s="91"/>
      <c r="AC101" s="91"/>
      <c r="AD101" s="91"/>
      <c r="AE101" s="91"/>
      <c r="AF101" s="91"/>
      <c r="AG101" s="91"/>
      <c r="AH101" s="91"/>
    </row>
    <row r="102" spans="1:34" customFormat="1" ht="30">
      <c r="A102" s="120">
        <v>101</v>
      </c>
      <c r="B102" s="120" t="b">
        <f t="shared" ca="1" si="1"/>
        <v>0</v>
      </c>
      <c r="C102" s="135">
        <v>45363</v>
      </c>
      <c r="D102" s="123">
        <v>0.21667824074074074</v>
      </c>
      <c r="E102" s="91">
        <v>10071</v>
      </c>
      <c r="F102" s="91">
        <v>1205</v>
      </c>
      <c r="G102" s="91" t="s">
        <v>34</v>
      </c>
      <c r="H102" s="91">
        <v>7217</v>
      </c>
      <c r="I102" s="136">
        <v>35214500044557</v>
      </c>
      <c r="J102" s="91" t="s">
        <v>35</v>
      </c>
      <c r="K102" s="133">
        <v>35.259</v>
      </c>
      <c r="L102" s="133" t="str">
        <f>VLOOKUP(K102,Liste!$L$2:$O$34,4,1)</f>
        <v>GSMR_06/07</v>
      </c>
      <c r="M102" s="133" t="s">
        <v>36</v>
      </c>
      <c r="N102" s="180" t="s">
        <v>37</v>
      </c>
      <c r="O102" s="125" t="s">
        <v>311</v>
      </c>
      <c r="P102" s="126"/>
      <c r="Q102" s="124" t="s">
        <v>39</v>
      </c>
      <c r="R102" s="91" t="s">
        <v>305</v>
      </c>
      <c r="S102" s="91" t="s">
        <v>312</v>
      </c>
      <c r="T102" s="91" t="s">
        <v>69</v>
      </c>
      <c r="U102" s="91" t="s">
        <v>57</v>
      </c>
      <c r="V102" s="91" t="s">
        <v>51</v>
      </c>
      <c r="W102" s="134" t="s">
        <v>51</v>
      </c>
      <c r="X102" s="94"/>
      <c r="Y102" s="91" t="s">
        <v>45</v>
      </c>
      <c r="Z102" s="91"/>
      <c r="AA102" s="91"/>
      <c r="AB102" s="91"/>
      <c r="AC102" s="91"/>
      <c r="AD102" s="91"/>
      <c r="AE102" s="91"/>
      <c r="AF102" s="91"/>
      <c r="AG102" s="91"/>
      <c r="AH102" s="91"/>
    </row>
    <row r="103" spans="1:34" customFormat="1" ht="30">
      <c r="A103" s="120">
        <v>102</v>
      </c>
      <c r="B103" s="120" t="b">
        <f t="shared" ca="1" si="1"/>
        <v>0</v>
      </c>
      <c r="C103" s="135">
        <v>45363</v>
      </c>
      <c r="D103" s="123">
        <v>0.31565972222222222</v>
      </c>
      <c r="E103" s="91">
        <v>2005</v>
      </c>
      <c r="F103" s="91">
        <v>1206</v>
      </c>
      <c r="G103" s="91" t="s">
        <v>34</v>
      </c>
      <c r="H103" s="91">
        <v>1055</v>
      </c>
      <c r="I103" s="136">
        <v>35214500036582</v>
      </c>
      <c r="J103" s="91" t="s">
        <v>35</v>
      </c>
      <c r="K103" s="133">
        <v>139.48099999999999</v>
      </c>
      <c r="L103" s="133" t="str">
        <f>VLOOKUP(K103,Liste!$L$2:$O$34,4,1)</f>
        <v>GSMR_24/25</v>
      </c>
      <c r="M103" s="133" t="s">
        <v>36</v>
      </c>
      <c r="N103" s="180" t="s">
        <v>37</v>
      </c>
      <c r="O103" s="125" t="s">
        <v>313</v>
      </c>
      <c r="P103" s="126"/>
      <c r="Q103" s="124" t="s">
        <v>39</v>
      </c>
      <c r="R103" s="91" t="s">
        <v>314</v>
      </c>
      <c r="S103" s="91" t="s">
        <v>315</v>
      </c>
      <c r="T103" s="91" t="s">
        <v>69</v>
      </c>
      <c r="U103" s="91" t="s">
        <v>70</v>
      </c>
      <c r="V103" s="91" t="s">
        <v>51</v>
      </c>
      <c r="W103" s="134" t="s">
        <v>51</v>
      </c>
      <c r="X103" s="94"/>
      <c r="Y103" s="91" t="s">
        <v>45</v>
      </c>
      <c r="Z103" s="91"/>
      <c r="AA103" s="91"/>
      <c r="AB103" s="91"/>
      <c r="AC103" s="91"/>
      <c r="AD103" s="91"/>
      <c r="AE103" s="91"/>
      <c r="AF103" s="91"/>
      <c r="AG103" s="91"/>
      <c r="AH103" s="91"/>
    </row>
    <row r="104" spans="1:34" customFormat="1" ht="30">
      <c r="A104" s="120">
        <v>103</v>
      </c>
      <c r="B104" s="120" t="b">
        <f t="shared" ca="1" si="1"/>
        <v>0</v>
      </c>
      <c r="C104" s="135">
        <v>45363</v>
      </c>
      <c r="D104" s="123">
        <v>0.73806712962962961</v>
      </c>
      <c r="E104" s="91">
        <v>1041</v>
      </c>
      <c r="F104" s="91">
        <v>1203</v>
      </c>
      <c r="G104" s="91" t="s">
        <v>71</v>
      </c>
      <c r="H104" s="91"/>
      <c r="I104" s="136">
        <v>35214500045083</v>
      </c>
      <c r="J104" s="91" t="s">
        <v>72</v>
      </c>
      <c r="K104" s="133">
        <v>114.607</v>
      </c>
      <c r="L104" s="133" t="str">
        <f>VLOOKUP(K104,Liste!$L$2:$O$34,4,1)</f>
        <v>GSMR_20/21</v>
      </c>
      <c r="M104" s="133" t="s">
        <v>36</v>
      </c>
      <c r="N104" s="180" t="s">
        <v>37</v>
      </c>
      <c r="O104" s="125" t="s">
        <v>316</v>
      </c>
      <c r="P104" s="126"/>
      <c r="Q104" s="124" t="s">
        <v>39</v>
      </c>
      <c r="R104" s="91" t="s">
        <v>317</v>
      </c>
      <c r="S104" s="91" t="s">
        <v>286</v>
      </c>
      <c r="T104" s="91" t="s">
        <v>69</v>
      </c>
      <c r="U104" s="91" t="s">
        <v>318</v>
      </c>
      <c r="V104" s="91" t="s">
        <v>51</v>
      </c>
      <c r="W104" s="134" t="s">
        <v>51</v>
      </c>
      <c r="X104" s="94" t="s">
        <v>52</v>
      </c>
      <c r="Y104" s="91" t="s">
        <v>45</v>
      </c>
      <c r="Z104" s="91"/>
      <c r="AA104" s="91"/>
      <c r="AB104" s="91"/>
      <c r="AC104" s="91"/>
      <c r="AD104" s="91"/>
      <c r="AE104" s="91"/>
      <c r="AF104" s="91"/>
      <c r="AG104" s="91"/>
      <c r="AH104" s="91"/>
    </row>
    <row r="105" spans="1:34" customFormat="1" ht="30">
      <c r="A105" s="120">
        <v>104</v>
      </c>
      <c r="B105" s="120" t="b">
        <f t="shared" ca="1" si="1"/>
        <v>0</v>
      </c>
      <c r="C105" s="135">
        <v>45365</v>
      </c>
      <c r="D105" s="123">
        <v>0.60496527777777775</v>
      </c>
      <c r="E105" s="91">
        <v>2033</v>
      </c>
      <c r="F105" s="91">
        <v>1209</v>
      </c>
      <c r="G105" s="91" t="s">
        <v>34</v>
      </c>
      <c r="H105" s="91">
        <v>7208</v>
      </c>
      <c r="I105" s="136">
        <v>35214500004427</v>
      </c>
      <c r="J105" s="91" t="s">
        <v>35</v>
      </c>
      <c r="K105" s="133">
        <v>123.901</v>
      </c>
      <c r="L105" s="133" t="str">
        <f>VLOOKUP(K105,Liste!$L$2:$O$34,4,1)</f>
        <v>GSMR_21/22</v>
      </c>
      <c r="M105" s="133" t="s">
        <v>36</v>
      </c>
      <c r="N105" s="180" t="s">
        <v>37</v>
      </c>
      <c r="O105" s="125" t="s">
        <v>319</v>
      </c>
      <c r="P105" s="126"/>
      <c r="Q105" s="124" t="s">
        <v>39</v>
      </c>
      <c r="R105" s="91" t="s">
        <v>299</v>
      </c>
      <c r="S105" s="91" t="s">
        <v>320</v>
      </c>
      <c r="T105" s="91" t="s">
        <v>69</v>
      </c>
      <c r="U105" s="91" t="s">
        <v>82</v>
      </c>
      <c r="V105" s="91" t="s">
        <v>51</v>
      </c>
      <c r="W105" s="134" t="s">
        <v>51</v>
      </c>
      <c r="X105" s="94"/>
      <c r="Y105" s="91" t="s">
        <v>45</v>
      </c>
      <c r="Z105" s="91"/>
      <c r="AA105" s="91"/>
      <c r="AB105" s="91"/>
      <c r="AC105" s="91"/>
      <c r="AD105" s="91"/>
      <c r="AE105" s="91"/>
      <c r="AF105" s="91"/>
      <c r="AG105" s="91"/>
      <c r="AH105" s="91"/>
    </row>
    <row r="106" spans="1:34" customFormat="1" ht="30">
      <c r="A106" s="120">
        <v>105</v>
      </c>
      <c r="B106" s="120" t="b">
        <f t="shared" ca="1" si="1"/>
        <v>0</v>
      </c>
      <c r="C106" s="135">
        <v>45366</v>
      </c>
      <c r="D106" s="123">
        <v>0.39510416666666665</v>
      </c>
      <c r="E106" s="91">
        <v>1009</v>
      </c>
      <c r="F106" s="91">
        <v>1211</v>
      </c>
      <c r="G106" s="91" t="s">
        <v>71</v>
      </c>
      <c r="H106" s="91">
        <v>3062</v>
      </c>
      <c r="I106" s="136">
        <v>35214500017596</v>
      </c>
      <c r="J106" s="91" t="s">
        <v>72</v>
      </c>
      <c r="K106" s="133">
        <v>174.07400000000001</v>
      </c>
      <c r="L106" s="133" t="str">
        <f>VLOOKUP(K106,Liste!$L$2:$O$34,4,1)</f>
        <v>GSMR_29/30</v>
      </c>
      <c r="M106" s="133" t="s">
        <v>36</v>
      </c>
      <c r="N106" s="180" t="s">
        <v>37</v>
      </c>
      <c r="O106" s="125" t="s">
        <v>321</v>
      </c>
      <c r="P106" s="126"/>
      <c r="Q106" s="124" t="s">
        <v>47</v>
      </c>
      <c r="R106" s="91" t="s">
        <v>322</v>
      </c>
      <c r="S106" s="91" t="s">
        <v>288</v>
      </c>
      <c r="T106" s="91" t="s">
        <v>116</v>
      </c>
      <c r="U106" s="91" t="s">
        <v>323</v>
      </c>
      <c r="V106" s="91" t="s">
        <v>51</v>
      </c>
      <c r="W106" s="134" t="s">
        <v>51</v>
      </c>
      <c r="X106" s="94" t="s">
        <v>98</v>
      </c>
      <c r="Y106" s="91" t="s">
        <v>45</v>
      </c>
      <c r="Z106" s="91"/>
      <c r="AA106" s="91"/>
      <c r="AB106" s="91"/>
      <c r="AC106" s="91"/>
      <c r="AD106" s="91"/>
      <c r="AE106" s="91"/>
      <c r="AF106" s="91"/>
      <c r="AG106" s="91"/>
      <c r="AH106" s="91"/>
    </row>
    <row r="107" spans="1:34" customFormat="1" ht="30">
      <c r="A107" s="120">
        <v>106</v>
      </c>
      <c r="B107" s="120" t="b">
        <f t="shared" ca="1" si="1"/>
        <v>0</v>
      </c>
      <c r="C107" s="135">
        <v>45369</v>
      </c>
      <c r="D107" s="123">
        <v>0.69371527777777775</v>
      </c>
      <c r="E107" s="91">
        <v>1037</v>
      </c>
      <c r="F107" s="91">
        <v>1206</v>
      </c>
      <c r="G107" s="91" t="s">
        <v>71</v>
      </c>
      <c r="H107" s="91">
        <v>1041</v>
      </c>
      <c r="I107" s="136">
        <v>35214500045477</v>
      </c>
      <c r="J107" s="91" t="s">
        <v>72</v>
      </c>
      <c r="K107" s="91">
        <v>127.815</v>
      </c>
      <c r="L107" s="133" t="str">
        <f>VLOOKUP(K107,Liste!$L$2:$O$34,4,1)</f>
        <v>GSMR_22/23</v>
      </c>
      <c r="M107" s="133" t="s">
        <v>36</v>
      </c>
      <c r="N107" s="180" t="s">
        <v>37</v>
      </c>
      <c r="O107" s="125" t="s">
        <v>324</v>
      </c>
      <c r="P107" s="126"/>
      <c r="Q107" s="124" t="s">
        <v>39</v>
      </c>
      <c r="R107" s="91" t="s">
        <v>317</v>
      </c>
      <c r="S107" s="91" t="s">
        <v>325</v>
      </c>
      <c r="T107" s="91" t="s">
        <v>56</v>
      </c>
      <c r="U107" s="91" t="s">
        <v>326</v>
      </c>
      <c r="V107" s="91" t="s">
        <v>51</v>
      </c>
      <c r="W107" s="134" t="s">
        <v>51</v>
      </c>
      <c r="X107" s="94"/>
      <c r="Y107" s="91" t="s">
        <v>45</v>
      </c>
      <c r="Z107" s="91"/>
      <c r="AA107" s="91"/>
      <c r="AB107" s="91"/>
      <c r="AC107" s="91"/>
      <c r="AD107" s="91"/>
      <c r="AE107" s="91"/>
      <c r="AF107" s="91"/>
      <c r="AG107" s="91"/>
      <c r="AH107" s="91"/>
    </row>
    <row r="108" spans="1:34" customFormat="1" ht="30">
      <c r="A108" s="120">
        <v>107</v>
      </c>
      <c r="B108" s="120" t="b">
        <f t="shared" ca="1" si="1"/>
        <v>0</v>
      </c>
      <c r="C108" s="138">
        <v>45369</v>
      </c>
      <c r="D108" s="123">
        <v>0.71159722222222221</v>
      </c>
      <c r="E108" s="91"/>
      <c r="F108" s="91">
        <v>1206</v>
      </c>
      <c r="G108" s="91" t="s">
        <v>71</v>
      </c>
      <c r="H108" s="91">
        <v>1040</v>
      </c>
      <c r="I108" s="136">
        <v>35214500045480</v>
      </c>
      <c r="J108" s="91" t="s">
        <v>72</v>
      </c>
      <c r="K108" s="153">
        <v>7.3209999999999997</v>
      </c>
      <c r="L108" s="133" t="str">
        <f>VLOOKUP(K108,Liste!$L$2:$O$34,4,1)</f>
        <v>GSMR_02/03</v>
      </c>
      <c r="M108" s="133" t="s">
        <v>36</v>
      </c>
      <c r="N108" s="181" t="s">
        <v>58</v>
      </c>
      <c r="O108" s="125" t="s">
        <v>327</v>
      </c>
      <c r="P108" s="126"/>
      <c r="Q108" s="124" t="s">
        <v>39</v>
      </c>
      <c r="R108" s="91" t="s">
        <v>317</v>
      </c>
      <c r="S108" s="91" t="s">
        <v>328</v>
      </c>
      <c r="T108" s="91" t="s">
        <v>56</v>
      </c>
      <c r="U108" s="91" t="s">
        <v>82</v>
      </c>
      <c r="V108" s="91" t="s">
        <v>51</v>
      </c>
      <c r="W108" s="134" t="s">
        <v>51</v>
      </c>
      <c r="X108" s="94"/>
      <c r="Y108" s="91" t="s">
        <v>45</v>
      </c>
      <c r="Z108" s="91"/>
      <c r="AA108" s="91"/>
      <c r="AB108" s="91"/>
      <c r="AC108" s="91"/>
      <c r="AD108" s="91"/>
      <c r="AE108" s="91"/>
      <c r="AF108" s="91"/>
      <c r="AG108" s="91"/>
      <c r="AH108" s="91"/>
    </row>
    <row r="109" spans="1:34" customFormat="1" ht="30">
      <c r="A109" s="120">
        <v>108</v>
      </c>
      <c r="B109" s="120" t="b">
        <f t="shared" ca="1" si="1"/>
        <v>0</v>
      </c>
      <c r="C109" s="135">
        <v>45370</v>
      </c>
      <c r="D109" s="118" t="s">
        <v>329</v>
      </c>
      <c r="E109" s="91">
        <v>2037</v>
      </c>
      <c r="F109" s="91">
        <v>1208</v>
      </c>
      <c r="G109" s="91" t="s">
        <v>34</v>
      </c>
      <c r="H109" s="91">
        <v>1037</v>
      </c>
      <c r="I109" s="115">
        <v>35214500045488</v>
      </c>
      <c r="J109" s="91" t="s">
        <v>35</v>
      </c>
      <c r="K109" s="133">
        <v>75.585999999999999</v>
      </c>
      <c r="L109" s="133" t="str">
        <f>VLOOKUP(K109,Liste!$L$2:$O$34,4,1)</f>
        <v>GSMR_13/14</v>
      </c>
      <c r="M109" s="133" t="s">
        <v>36</v>
      </c>
      <c r="N109" s="180" t="s">
        <v>37</v>
      </c>
      <c r="O109" s="125" t="s">
        <v>330</v>
      </c>
      <c r="P109" s="126"/>
      <c r="Q109" s="124" t="s">
        <v>47</v>
      </c>
      <c r="R109" s="91" t="s">
        <v>322</v>
      </c>
      <c r="S109" s="91" t="s">
        <v>331</v>
      </c>
      <c r="T109" s="91" t="s">
        <v>56</v>
      </c>
      <c r="U109" s="91" t="s">
        <v>70</v>
      </c>
      <c r="V109" s="91" t="s">
        <v>51</v>
      </c>
      <c r="W109" s="134" t="s">
        <v>51</v>
      </c>
      <c r="X109" s="94" t="s">
        <v>332</v>
      </c>
      <c r="Y109" s="91" t="s">
        <v>45</v>
      </c>
      <c r="Z109" s="91"/>
      <c r="AA109" s="91"/>
      <c r="AB109" s="91"/>
      <c r="AC109" s="91"/>
      <c r="AD109" s="91"/>
      <c r="AE109" s="91"/>
      <c r="AF109" s="91"/>
      <c r="AG109" s="91"/>
      <c r="AH109" s="91"/>
    </row>
    <row r="110" spans="1:34" customFormat="1" ht="30">
      <c r="A110" s="120">
        <v>109</v>
      </c>
      <c r="B110" s="120" t="b">
        <f t="shared" ca="1" si="1"/>
        <v>0</v>
      </c>
      <c r="C110" s="135">
        <v>45372</v>
      </c>
      <c r="D110" s="123">
        <v>0.2094212962962963</v>
      </c>
      <c r="E110" s="91">
        <v>10071</v>
      </c>
      <c r="F110" s="91">
        <v>1205</v>
      </c>
      <c r="G110" s="91" t="s">
        <v>34</v>
      </c>
      <c r="H110" s="91">
        <v>7218</v>
      </c>
      <c r="I110" s="115">
        <v>35214500045735</v>
      </c>
      <c r="J110" s="91" t="s">
        <v>35</v>
      </c>
      <c r="K110" s="153">
        <v>7.3810000000000002</v>
      </c>
      <c r="L110" s="133" t="str">
        <f>VLOOKUP(K110,Liste!$L$2:$O$34,4,1)</f>
        <v>GSMR_02/03</v>
      </c>
      <c r="M110" s="133" t="s">
        <v>36</v>
      </c>
      <c r="N110" s="180" t="s">
        <v>37</v>
      </c>
      <c r="O110" s="125" t="s">
        <v>333</v>
      </c>
      <c r="P110" s="126"/>
      <c r="Q110" s="124" t="s">
        <v>47</v>
      </c>
      <c r="R110" s="91" t="s">
        <v>334</v>
      </c>
      <c r="S110" s="91" t="s">
        <v>61</v>
      </c>
      <c r="T110" s="91" t="s">
        <v>69</v>
      </c>
      <c r="U110" s="91" t="s">
        <v>269</v>
      </c>
      <c r="V110" s="91" t="s">
        <v>51</v>
      </c>
      <c r="W110" s="134" t="s">
        <v>51</v>
      </c>
      <c r="X110" s="94"/>
      <c r="Y110" s="91" t="s">
        <v>45</v>
      </c>
      <c r="Z110" s="91"/>
      <c r="AA110" s="91"/>
      <c r="AB110" s="91"/>
      <c r="AC110" s="91"/>
      <c r="AD110" s="91"/>
      <c r="AE110" s="91"/>
      <c r="AF110" s="91"/>
      <c r="AG110" s="91"/>
      <c r="AH110" s="91"/>
    </row>
    <row r="111" spans="1:34" customFormat="1" ht="30">
      <c r="A111" s="120">
        <v>110</v>
      </c>
      <c r="B111" s="120" t="b">
        <f t="shared" ca="1" si="1"/>
        <v>0</v>
      </c>
      <c r="C111" s="135">
        <v>45374</v>
      </c>
      <c r="D111" s="123">
        <v>0.58660879629629625</v>
      </c>
      <c r="E111" s="91">
        <v>1025</v>
      </c>
      <c r="F111" s="91">
        <v>1205</v>
      </c>
      <c r="G111" s="91" t="s">
        <v>71</v>
      </c>
      <c r="H111" s="91">
        <v>1034</v>
      </c>
      <c r="I111" s="115">
        <v>35214500043605</v>
      </c>
      <c r="J111" s="91" t="s">
        <v>72</v>
      </c>
      <c r="K111" s="153">
        <v>8.9700000000000006</v>
      </c>
      <c r="L111" s="133" t="str">
        <f>VLOOKUP(K111,Liste!$L$2:$O$34,4,1)</f>
        <v>GSMR_02/03</v>
      </c>
      <c r="M111" s="133" t="s">
        <v>36</v>
      </c>
      <c r="N111" s="180" t="s">
        <v>37</v>
      </c>
      <c r="O111" s="125" t="s">
        <v>335</v>
      </c>
      <c r="P111" s="126"/>
      <c r="Q111" s="124" t="s">
        <v>39</v>
      </c>
      <c r="R111" s="91" t="s">
        <v>334</v>
      </c>
      <c r="S111" s="91" t="s">
        <v>336</v>
      </c>
      <c r="T111" s="91" t="s">
        <v>78</v>
      </c>
      <c r="U111" s="91" t="s">
        <v>205</v>
      </c>
      <c r="V111" s="91" t="s">
        <v>51</v>
      </c>
      <c r="W111" s="134" t="s">
        <v>51</v>
      </c>
      <c r="X111" s="94" t="s">
        <v>52</v>
      </c>
      <c r="Y111" s="91" t="s">
        <v>45</v>
      </c>
      <c r="Z111" s="91"/>
      <c r="AA111" s="91"/>
      <c r="AB111" s="91"/>
      <c r="AC111" s="91"/>
      <c r="AD111" s="91"/>
      <c r="AE111" s="91"/>
      <c r="AF111" s="91"/>
      <c r="AG111" s="91"/>
      <c r="AH111" s="91"/>
    </row>
    <row r="112" spans="1:34" customFormat="1" ht="30">
      <c r="A112" s="120">
        <v>111</v>
      </c>
      <c r="B112" s="120" t="b">
        <f t="shared" ca="1" si="1"/>
        <v>0</v>
      </c>
      <c r="C112" s="135">
        <v>45376</v>
      </c>
      <c r="D112" s="123">
        <v>0.98932870370370374</v>
      </c>
      <c r="E112" s="91">
        <v>10091</v>
      </c>
      <c r="F112" s="91">
        <v>1202</v>
      </c>
      <c r="G112" s="91" t="s">
        <v>71</v>
      </c>
      <c r="H112" s="91">
        <v>1023</v>
      </c>
      <c r="I112" s="115">
        <v>35214500045408</v>
      </c>
      <c r="J112" s="91" t="s">
        <v>72</v>
      </c>
      <c r="K112" s="133">
        <v>98.921999999999997</v>
      </c>
      <c r="L112" s="133" t="str">
        <f>VLOOKUP(K112,Liste!$L$2:$O$34,4,1)</f>
        <v>GSMR_17/18</v>
      </c>
      <c r="M112" s="133" t="s">
        <v>36</v>
      </c>
      <c r="N112" s="180" t="s">
        <v>37</v>
      </c>
      <c r="O112" s="125" t="s">
        <v>337</v>
      </c>
      <c r="P112" s="126"/>
      <c r="Q112" s="124" t="s">
        <v>39</v>
      </c>
      <c r="R112" s="91" t="s">
        <v>334</v>
      </c>
      <c r="S112" s="91" t="s">
        <v>338</v>
      </c>
      <c r="T112" s="91" t="s">
        <v>69</v>
      </c>
      <c r="U112" s="91" t="s">
        <v>339</v>
      </c>
      <c r="V112" s="91" t="s">
        <v>51</v>
      </c>
      <c r="W112" s="134" t="s">
        <v>43</v>
      </c>
      <c r="X112" s="94" t="s">
        <v>52</v>
      </c>
      <c r="Y112" s="91" t="s">
        <v>45</v>
      </c>
      <c r="Z112" s="91"/>
      <c r="AA112" s="91"/>
      <c r="AB112" s="91"/>
      <c r="AC112" s="91"/>
      <c r="AD112" s="91"/>
      <c r="AE112" s="91"/>
      <c r="AF112" s="91"/>
      <c r="AG112" s="91"/>
      <c r="AH112" s="91"/>
    </row>
    <row r="113" spans="1:34" customFormat="1" ht="30">
      <c r="A113" s="120">
        <v>112</v>
      </c>
      <c r="B113" s="120" t="b">
        <f t="shared" ca="1" si="1"/>
        <v>0</v>
      </c>
      <c r="C113" s="135">
        <v>45376</v>
      </c>
      <c r="D113" s="123">
        <v>3.5416666666666665E-3</v>
      </c>
      <c r="E113" s="91"/>
      <c r="F113" s="91">
        <v>1202</v>
      </c>
      <c r="G113" s="91" t="s">
        <v>71</v>
      </c>
      <c r="H113" s="91">
        <v>1022</v>
      </c>
      <c r="I113" s="115">
        <v>35214500045326</v>
      </c>
      <c r="J113" s="91" t="s">
        <v>72</v>
      </c>
      <c r="K113" s="153">
        <v>7.3209999999999997</v>
      </c>
      <c r="L113" s="133" t="str">
        <f>VLOOKUP(K113,Liste!$L$2:$O$34,4,1)</f>
        <v>GSMR_02/03</v>
      </c>
      <c r="M113" s="133" t="s">
        <v>36</v>
      </c>
      <c r="N113" s="180" t="s">
        <v>37</v>
      </c>
      <c r="O113" s="125" t="s">
        <v>340</v>
      </c>
      <c r="P113" s="126"/>
      <c r="Q113" s="124" t="s">
        <v>39</v>
      </c>
      <c r="R113" s="91" t="s">
        <v>334</v>
      </c>
      <c r="S113" s="91" t="s">
        <v>341</v>
      </c>
      <c r="T113" s="91" t="s">
        <v>69</v>
      </c>
      <c r="U113" s="91" t="s">
        <v>230</v>
      </c>
      <c r="V113" s="91" t="s">
        <v>51</v>
      </c>
      <c r="W113" s="134" t="s">
        <v>51</v>
      </c>
      <c r="X113" s="94" t="s">
        <v>52</v>
      </c>
      <c r="Y113" s="91" t="s">
        <v>45</v>
      </c>
      <c r="Z113" s="91"/>
      <c r="AA113" s="91"/>
      <c r="AB113" s="91"/>
      <c r="AC113" s="91"/>
      <c r="AD113" s="91"/>
      <c r="AE113" s="91"/>
      <c r="AF113" s="91"/>
      <c r="AG113" s="91"/>
      <c r="AH113" s="91"/>
    </row>
    <row r="114" spans="1:34" customFormat="1" ht="30">
      <c r="A114" s="120">
        <v>113</v>
      </c>
      <c r="B114" s="120" t="b">
        <f t="shared" ca="1" si="1"/>
        <v>0</v>
      </c>
      <c r="C114" s="135">
        <v>45380</v>
      </c>
      <c r="D114" s="123">
        <v>0.35737268518518517</v>
      </c>
      <c r="E114" s="91">
        <v>2009</v>
      </c>
      <c r="F114" s="91">
        <v>1209</v>
      </c>
      <c r="G114" s="91" t="s">
        <v>34</v>
      </c>
      <c r="H114" s="91">
        <v>1058</v>
      </c>
      <c r="I114" s="115">
        <v>35214500044293</v>
      </c>
      <c r="J114" s="91" t="s">
        <v>35</v>
      </c>
      <c r="K114" s="133">
        <v>140.65899999999999</v>
      </c>
      <c r="L114" s="133" t="str">
        <f>VLOOKUP(K114,Liste!$L$2:$O$34,4,1)</f>
        <v>GSMR_24/25</v>
      </c>
      <c r="M114" s="133" t="s">
        <v>36</v>
      </c>
      <c r="N114" s="180" t="s">
        <v>37</v>
      </c>
      <c r="O114" s="125" t="s">
        <v>342</v>
      </c>
      <c r="P114" s="126"/>
      <c r="Q114" s="124" t="s">
        <v>39</v>
      </c>
      <c r="R114" s="91" t="s">
        <v>343</v>
      </c>
      <c r="S114" s="91" t="s">
        <v>344</v>
      </c>
      <c r="T114" s="91" t="s">
        <v>69</v>
      </c>
      <c r="U114" s="91" t="s">
        <v>339</v>
      </c>
      <c r="V114" s="91" t="s">
        <v>51</v>
      </c>
      <c r="W114" s="134" t="s">
        <v>51</v>
      </c>
      <c r="X114" s="94" t="s">
        <v>52</v>
      </c>
      <c r="Y114" s="91" t="s">
        <v>45</v>
      </c>
      <c r="Z114" s="91"/>
      <c r="AA114" s="91"/>
      <c r="AB114" s="91"/>
      <c r="AC114" s="91"/>
      <c r="AD114" s="91"/>
      <c r="AE114" s="91"/>
      <c r="AF114" s="91"/>
      <c r="AG114" s="91"/>
      <c r="AH114" s="91"/>
    </row>
    <row r="115" spans="1:34" customFormat="1" ht="30">
      <c r="A115" s="120">
        <v>114</v>
      </c>
      <c r="B115" s="120" t="b">
        <f t="shared" ca="1" si="1"/>
        <v>0</v>
      </c>
      <c r="C115" s="135">
        <v>45380</v>
      </c>
      <c r="D115" s="123">
        <v>0.79804398148148148</v>
      </c>
      <c r="E115" s="91">
        <v>1046</v>
      </c>
      <c r="F115" s="91">
        <v>1207</v>
      </c>
      <c r="G115" s="91" t="s">
        <v>71</v>
      </c>
      <c r="H115" s="91">
        <v>1007</v>
      </c>
      <c r="I115" s="115">
        <v>35214500045722</v>
      </c>
      <c r="J115" s="91" t="s">
        <v>72</v>
      </c>
      <c r="K115" s="153">
        <v>7.3209999999999997</v>
      </c>
      <c r="L115" s="133" t="str">
        <f>VLOOKUP(K115,Liste!$L$2:$O$34,4,1)</f>
        <v>GSMR_02/03</v>
      </c>
      <c r="M115" s="133" t="s">
        <v>36</v>
      </c>
      <c r="N115" s="181" t="s">
        <v>58</v>
      </c>
      <c r="O115" s="125" t="s">
        <v>345</v>
      </c>
      <c r="P115" s="126"/>
      <c r="Q115" s="124" t="s">
        <v>39</v>
      </c>
      <c r="R115" s="91" t="s">
        <v>346</v>
      </c>
      <c r="S115" s="91" t="s">
        <v>341</v>
      </c>
      <c r="T115" s="91" t="s">
        <v>56</v>
      </c>
      <c r="U115" s="91" t="s">
        <v>230</v>
      </c>
      <c r="V115" s="91" t="s">
        <v>51</v>
      </c>
      <c r="W115" s="134" t="s">
        <v>51</v>
      </c>
      <c r="X115" s="91" t="s">
        <v>52</v>
      </c>
      <c r="Y115" s="91" t="s">
        <v>45</v>
      </c>
      <c r="Z115" s="91"/>
      <c r="AA115" s="91"/>
      <c r="AB115" s="91"/>
      <c r="AC115" s="91"/>
      <c r="AD115" s="91"/>
      <c r="AE115" s="91"/>
      <c r="AF115" s="91"/>
      <c r="AG115" s="91"/>
      <c r="AH115" s="91"/>
    </row>
    <row r="116" spans="1:34" customFormat="1" ht="30">
      <c r="A116" s="120">
        <v>115</v>
      </c>
      <c r="B116" s="120" t="b">
        <f t="shared" ca="1" si="1"/>
        <v>0</v>
      </c>
      <c r="C116" s="135">
        <v>45380</v>
      </c>
      <c r="D116" s="123">
        <v>0.94701388888888893</v>
      </c>
      <c r="E116" s="91">
        <v>10081</v>
      </c>
      <c r="F116" s="91">
        <v>1207</v>
      </c>
      <c r="G116" s="91" t="s">
        <v>34</v>
      </c>
      <c r="H116" s="91">
        <v>1047</v>
      </c>
      <c r="I116" s="115">
        <v>35229605039441</v>
      </c>
      <c r="J116" s="91" t="s">
        <v>35</v>
      </c>
      <c r="K116" s="133">
        <v>179.149</v>
      </c>
      <c r="L116" s="133" t="str">
        <f>VLOOKUP(K116,Liste!$L$2:$O$34,4,1)</f>
        <v>GSMR_30/31</v>
      </c>
      <c r="M116" s="133" t="s">
        <v>36</v>
      </c>
      <c r="N116" s="180" t="s">
        <v>37</v>
      </c>
      <c r="O116" s="125" t="s">
        <v>347</v>
      </c>
      <c r="P116" s="126"/>
      <c r="Q116" s="124" t="s">
        <v>127</v>
      </c>
      <c r="R116" s="91" t="s">
        <v>348</v>
      </c>
      <c r="S116" s="91" t="s">
        <v>349</v>
      </c>
      <c r="T116" s="91" t="s">
        <v>69</v>
      </c>
      <c r="U116" s="91" t="s">
        <v>97</v>
      </c>
      <c r="V116" s="91" t="s">
        <v>51</v>
      </c>
      <c r="W116" s="134" t="s">
        <v>51</v>
      </c>
      <c r="X116" s="94" t="s">
        <v>98</v>
      </c>
      <c r="Y116" s="91" t="s">
        <v>45</v>
      </c>
      <c r="Z116" s="91"/>
      <c r="AA116" s="91"/>
      <c r="AB116" s="91"/>
      <c r="AC116" s="91"/>
      <c r="AD116" s="91"/>
      <c r="AE116" s="91"/>
      <c r="AF116" s="91"/>
      <c r="AG116" s="91"/>
      <c r="AH116" s="91"/>
    </row>
    <row r="117" spans="1:34" customFormat="1" ht="30">
      <c r="A117" s="120">
        <v>116</v>
      </c>
      <c r="B117" s="120" t="b">
        <f t="shared" ca="1" si="1"/>
        <v>0</v>
      </c>
      <c r="C117" s="131">
        <v>45381</v>
      </c>
      <c r="D117" s="137">
        <v>0.37819444444444444</v>
      </c>
      <c r="E117" s="94">
        <v>2013</v>
      </c>
      <c r="F117" s="94">
        <v>1209</v>
      </c>
      <c r="G117" s="94" t="s">
        <v>34</v>
      </c>
      <c r="H117" s="94">
        <v>7208</v>
      </c>
      <c r="I117" s="139">
        <v>35214500004427</v>
      </c>
      <c r="J117" s="94" t="s">
        <v>35</v>
      </c>
      <c r="K117" s="153">
        <v>4.7069999999999999</v>
      </c>
      <c r="L117" s="122" t="str">
        <f>VLOOKUP(K117,Liste!$L$2:$O$34,4,1)</f>
        <v>GSMR_02/03</v>
      </c>
      <c r="M117" s="133" t="s">
        <v>36</v>
      </c>
      <c r="N117" s="181" t="s">
        <v>58</v>
      </c>
      <c r="O117" s="126" t="s">
        <v>350</v>
      </c>
      <c r="P117" s="126"/>
      <c r="Q117" s="124" t="s">
        <v>47</v>
      </c>
      <c r="R117" s="94" t="s">
        <v>351</v>
      </c>
      <c r="S117" s="94" t="s">
        <v>352</v>
      </c>
      <c r="T117" s="94" t="s">
        <v>93</v>
      </c>
      <c r="U117" s="94" t="s">
        <v>120</v>
      </c>
      <c r="V117" s="94" t="s">
        <v>51</v>
      </c>
      <c r="W117" s="124" t="s">
        <v>51</v>
      </c>
      <c r="X117" s="94" t="s">
        <v>52</v>
      </c>
      <c r="Y117" s="94" t="s">
        <v>45</v>
      </c>
      <c r="Z117" s="94"/>
      <c r="AA117" s="94"/>
      <c r="AB117" s="94"/>
      <c r="AC117" s="94"/>
      <c r="AD117" s="94"/>
      <c r="AE117" s="94"/>
      <c r="AF117" s="94"/>
      <c r="AG117" s="94"/>
      <c r="AH117" s="94"/>
    </row>
    <row r="118" spans="1:34" customFormat="1" ht="30">
      <c r="A118" s="120">
        <v>117</v>
      </c>
      <c r="B118" s="120" t="b">
        <f t="shared" ca="1" si="1"/>
        <v>0</v>
      </c>
      <c r="C118" s="135">
        <v>45382</v>
      </c>
      <c r="D118" s="123">
        <v>0.64848379629629627</v>
      </c>
      <c r="E118" s="91">
        <v>2037</v>
      </c>
      <c r="F118" s="91">
        <v>1203</v>
      </c>
      <c r="G118" s="91" t="s">
        <v>34</v>
      </c>
      <c r="H118" s="91">
        <v>1024</v>
      </c>
      <c r="I118" s="115">
        <v>35214500045122</v>
      </c>
      <c r="J118" s="91" t="s">
        <v>35</v>
      </c>
      <c r="K118" s="133">
        <v>134.30000000000001</v>
      </c>
      <c r="L118" s="133" t="str">
        <f>VLOOKUP(K118,Liste!$L$2:$O$34,4,1)</f>
        <v>GSMR_23/24</v>
      </c>
      <c r="M118" s="133" t="s">
        <v>36</v>
      </c>
      <c r="N118" s="181" t="s">
        <v>58</v>
      </c>
      <c r="O118" s="125" t="s">
        <v>353</v>
      </c>
      <c r="P118" s="126"/>
      <c r="Q118" s="124" t="s">
        <v>39</v>
      </c>
      <c r="R118" s="91" t="s">
        <v>354</v>
      </c>
      <c r="S118" s="91" t="s">
        <v>355</v>
      </c>
      <c r="T118" s="91" t="s">
        <v>69</v>
      </c>
      <c r="U118" s="91" t="s">
        <v>90</v>
      </c>
      <c r="V118" s="91" t="s">
        <v>51</v>
      </c>
      <c r="W118" s="134" t="s">
        <v>51</v>
      </c>
      <c r="X118" s="94" t="s">
        <v>52</v>
      </c>
      <c r="Y118" s="91" t="s">
        <v>45</v>
      </c>
      <c r="Z118" s="91"/>
      <c r="AA118" s="91"/>
      <c r="AB118" s="91"/>
      <c r="AC118" s="91"/>
      <c r="AD118" s="91"/>
      <c r="AE118" s="91"/>
      <c r="AF118" s="91"/>
      <c r="AG118" s="91"/>
      <c r="AH118" s="91"/>
    </row>
    <row r="119" spans="1:34" customFormat="1" ht="30">
      <c r="A119" s="120">
        <v>118</v>
      </c>
      <c r="B119" s="120" t="b">
        <f t="shared" ca="1" si="1"/>
        <v>0</v>
      </c>
      <c r="C119" s="135">
        <v>45385</v>
      </c>
      <c r="D119" s="123">
        <v>0.70928240740740744</v>
      </c>
      <c r="E119" s="91">
        <v>1038</v>
      </c>
      <c r="F119" s="91">
        <v>1202</v>
      </c>
      <c r="G119" s="91" t="s">
        <v>71</v>
      </c>
      <c r="H119" s="91">
        <v>1023</v>
      </c>
      <c r="I119" s="115">
        <v>35214500045408</v>
      </c>
      <c r="J119" s="91" t="s">
        <v>72</v>
      </c>
      <c r="K119" s="133">
        <v>26.739000000000001</v>
      </c>
      <c r="L119" s="133" t="str">
        <f>VLOOKUP(K119,Liste!$L$2:$O$34,4,1)</f>
        <v>GSMR_05/06</v>
      </c>
      <c r="M119" s="133" t="s">
        <v>36</v>
      </c>
      <c r="N119" s="180" t="s">
        <v>37</v>
      </c>
      <c r="O119" s="125" t="s">
        <v>356</v>
      </c>
      <c r="P119" s="126"/>
      <c r="Q119" s="124" t="s">
        <v>39</v>
      </c>
      <c r="R119" s="91" t="s">
        <v>357</v>
      </c>
      <c r="S119" s="91" t="s">
        <v>358</v>
      </c>
      <c r="T119" s="91" t="s">
        <v>41</v>
      </c>
      <c r="U119" s="91" t="s">
        <v>359</v>
      </c>
      <c r="V119" s="91" t="s">
        <v>51</v>
      </c>
      <c r="W119" s="134" t="s">
        <v>51</v>
      </c>
      <c r="X119" s="94" t="s">
        <v>52</v>
      </c>
      <c r="Y119" s="91" t="s">
        <v>45</v>
      </c>
      <c r="Z119" s="91"/>
      <c r="AA119" s="91"/>
      <c r="AB119" s="91"/>
      <c r="AC119" s="91"/>
      <c r="AD119" s="91"/>
      <c r="AE119" s="91"/>
      <c r="AF119" s="91"/>
      <c r="AG119" s="91"/>
      <c r="AH119" s="91"/>
    </row>
    <row r="120" spans="1:34" customFormat="1" ht="30">
      <c r="A120" s="120">
        <v>119</v>
      </c>
      <c r="B120" s="120" t="b">
        <f t="shared" ca="1" si="1"/>
        <v>0</v>
      </c>
      <c r="C120" s="135">
        <v>45386</v>
      </c>
      <c r="D120" s="123">
        <v>0.37859953703703703</v>
      </c>
      <c r="E120" s="91">
        <v>1005</v>
      </c>
      <c r="F120" s="91">
        <v>1204</v>
      </c>
      <c r="G120" s="91" t="s">
        <v>71</v>
      </c>
      <c r="H120" s="91">
        <v>1031</v>
      </c>
      <c r="I120" s="115">
        <v>35214500045491</v>
      </c>
      <c r="J120" s="91" t="s">
        <v>72</v>
      </c>
      <c r="K120" s="153">
        <v>8.9700000000000006</v>
      </c>
      <c r="L120" s="133" t="str">
        <f>VLOOKUP(K120,Liste!$L$2:$O$34,4,1)</f>
        <v>GSMR_02/03</v>
      </c>
      <c r="M120" s="133" t="s">
        <v>36</v>
      </c>
      <c r="N120" s="180" t="s">
        <v>37</v>
      </c>
      <c r="O120" s="125" t="s">
        <v>360</v>
      </c>
      <c r="P120" s="126"/>
      <c r="Q120" s="124" t="s">
        <v>47</v>
      </c>
      <c r="R120" s="91" t="s">
        <v>361</v>
      </c>
      <c r="S120" s="91" t="s">
        <v>362</v>
      </c>
      <c r="T120" s="91" t="s">
        <v>101</v>
      </c>
      <c r="U120" s="91" t="s">
        <v>339</v>
      </c>
      <c r="V120" s="91" t="s">
        <v>51</v>
      </c>
      <c r="W120" s="134" t="s">
        <v>51</v>
      </c>
      <c r="X120" s="91" t="s">
        <v>98</v>
      </c>
      <c r="Y120" s="91" t="s">
        <v>45</v>
      </c>
      <c r="Z120" s="91"/>
      <c r="AA120" s="91"/>
      <c r="AB120" s="91"/>
      <c r="AC120" s="91"/>
      <c r="AD120" s="91"/>
      <c r="AE120" s="91"/>
      <c r="AF120" s="91"/>
      <c r="AG120" s="91"/>
      <c r="AH120" s="91"/>
    </row>
    <row r="121" spans="1:34" customFormat="1" ht="30">
      <c r="A121" s="120">
        <v>120</v>
      </c>
      <c r="B121" s="120" t="b">
        <f t="shared" ca="1" si="1"/>
        <v>0</v>
      </c>
      <c r="C121" s="135">
        <v>45386</v>
      </c>
      <c r="D121" s="123">
        <v>0.77726851851851853</v>
      </c>
      <c r="E121" s="91">
        <v>1045</v>
      </c>
      <c r="F121" s="91">
        <v>1201</v>
      </c>
      <c r="G121" s="91" t="s">
        <v>71</v>
      </c>
      <c r="H121" s="91">
        <v>1060</v>
      </c>
      <c r="I121" s="115">
        <v>35214500005339</v>
      </c>
      <c r="J121" s="91" t="s">
        <v>72</v>
      </c>
      <c r="K121" s="133">
        <v>127.815</v>
      </c>
      <c r="L121" s="133" t="str">
        <f>VLOOKUP(K121,Liste!$L$2:$O$34,4,1)</f>
        <v>GSMR_22/23</v>
      </c>
      <c r="M121" s="133" t="s">
        <v>36</v>
      </c>
      <c r="N121" s="180" t="s">
        <v>37</v>
      </c>
      <c r="O121" s="125" t="s">
        <v>363</v>
      </c>
      <c r="P121" s="126"/>
      <c r="Q121" s="124" t="s">
        <v>39</v>
      </c>
      <c r="R121" s="91" t="s">
        <v>364</v>
      </c>
      <c r="S121" s="91" t="s">
        <v>365</v>
      </c>
      <c r="T121" s="91" t="s">
        <v>56</v>
      </c>
      <c r="U121" s="91" t="s">
        <v>366</v>
      </c>
      <c r="V121" s="91" t="s">
        <v>51</v>
      </c>
      <c r="W121" s="134" t="s">
        <v>51</v>
      </c>
      <c r="X121" s="94" t="s">
        <v>52</v>
      </c>
      <c r="Y121" s="91" t="s">
        <v>45</v>
      </c>
      <c r="Z121" s="91"/>
      <c r="AA121" s="91"/>
      <c r="AB121" s="91"/>
      <c r="AC121" s="91"/>
      <c r="AD121" s="91"/>
      <c r="AE121" s="91"/>
      <c r="AF121" s="91"/>
      <c r="AG121" s="91"/>
      <c r="AH121" s="91"/>
    </row>
    <row r="122" spans="1:34" customFormat="1" ht="30">
      <c r="A122" s="120">
        <v>121</v>
      </c>
      <c r="B122" s="120" t="b">
        <f t="shared" ca="1" si="1"/>
        <v>0</v>
      </c>
      <c r="C122" s="135">
        <v>45386</v>
      </c>
      <c r="D122" s="123">
        <v>0.93177083333333333</v>
      </c>
      <c r="E122" s="91">
        <v>10081</v>
      </c>
      <c r="F122" s="91">
        <v>1201</v>
      </c>
      <c r="G122" s="91" t="s">
        <v>34</v>
      </c>
      <c r="H122" s="91">
        <v>7198</v>
      </c>
      <c r="I122" s="115">
        <v>35214500040520</v>
      </c>
      <c r="J122" s="91" t="s">
        <v>35</v>
      </c>
      <c r="K122" s="133">
        <v>73.585999999999999</v>
      </c>
      <c r="L122" s="133" t="str">
        <f>VLOOKUP(K122,Liste!$L$2:$O$34,4,1)</f>
        <v>GSMR_13/14</v>
      </c>
      <c r="M122" s="133" t="s">
        <v>36</v>
      </c>
      <c r="N122" s="180" t="s">
        <v>37</v>
      </c>
      <c r="O122" s="125" t="s">
        <v>367</v>
      </c>
      <c r="P122" s="126"/>
      <c r="Q122" s="124" t="s">
        <v>39</v>
      </c>
      <c r="R122" s="91" t="s">
        <v>364</v>
      </c>
      <c r="S122" s="91" t="s">
        <v>368</v>
      </c>
      <c r="T122" s="91" t="s">
        <v>56</v>
      </c>
      <c r="U122" s="91" t="s">
        <v>369</v>
      </c>
      <c r="V122" s="91" t="s">
        <v>51</v>
      </c>
      <c r="W122" s="134" t="s">
        <v>51</v>
      </c>
      <c r="X122" s="94" t="s">
        <v>52</v>
      </c>
      <c r="Y122" s="91" t="s">
        <v>45</v>
      </c>
      <c r="Z122" s="91"/>
      <c r="AA122" s="91"/>
      <c r="AB122" s="91"/>
      <c r="AC122" s="91"/>
      <c r="AD122" s="91"/>
      <c r="AE122" s="91"/>
      <c r="AF122" s="91"/>
      <c r="AG122" s="91"/>
      <c r="AH122" s="91"/>
    </row>
    <row r="123" spans="1:34" customFormat="1" ht="30">
      <c r="A123" s="120">
        <v>122</v>
      </c>
      <c r="B123" s="120" t="b">
        <f t="shared" ca="1" si="1"/>
        <v>0</v>
      </c>
      <c r="C123" s="131">
        <v>45387</v>
      </c>
      <c r="D123" s="137">
        <v>0.73182870370370368</v>
      </c>
      <c r="E123" s="94">
        <v>1041</v>
      </c>
      <c r="F123" s="94">
        <v>1209</v>
      </c>
      <c r="G123" s="91" t="s">
        <v>71</v>
      </c>
      <c r="H123" s="94">
        <v>1033</v>
      </c>
      <c r="I123" s="139">
        <v>35214500040707</v>
      </c>
      <c r="J123" s="94" t="s">
        <v>72</v>
      </c>
      <c r="K123" s="133">
        <v>177.85</v>
      </c>
      <c r="L123" s="122" t="str">
        <f>VLOOKUP(K123,Liste!$L$2:$O$34,4,1)</f>
        <v>GSMR_30/31</v>
      </c>
      <c r="M123" s="133" t="s">
        <v>36</v>
      </c>
      <c r="N123" s="180" t="s">
        <v>37</v>
      </c>
      <c r="O123" s="126" t="s">
        <v>370</v>
      </c>
      <c r="P123" s="126"/>
      <c r="Q123" s="124" t="s">
        <v>39</v>
      </c>
      <c r="R123" s="94"/>
      <c r="S123" s="94" t="s">
        <v>371</v>
      </c>
      <c r="T123" s="94" t="s">
        <v>56</v>
      </c>
      <c r="U123" s="94" t="s">
        <v>197</v>
      </c>
      <c r="V123" s="94" t="s">
        <v>51</v>
      </c>
      <c r="W123" s="124" t="s">
        <v>51</v>
      </c>
      <c r="X123" s="94" t="s">
        <v>52</v>
      </c>
      <c r="Y123" s="94" t="s">
        <v>45</v>
      </c>
      <c r="Z123" s="94"/>
      <c r="AA123" s="94"/>
      <c r="AB123" s="94"/>
      <c r="AC123" s="94"/>
      <c r="AD123" s="94"/>
      <c r="AE123" s="94"/>
      <c r="AF123" s="94"/>
      <c r="AG123" s="94"/>
      <c r="AH123" s="94"/>
    </row>
    <row r="124" spans="1:34" customFormat="1" ht="30">
      <c r="A124" s="120">
        <v>123</v>
      </c>
      <c r="B124" s="120" t="b">
        <f t="shared" ca="1" si="1"/>
        <v>0</v>
      </c>
      <c r="C124" s="135">
        <v>45388</v>
      </c>
      <c r="D124" s="123">
        <v>0.48476851851851854</v>
      </c>
      <c r="E124" s="91">
        <v>2021</v>
      </c>
      <c r="F124" s="91">
        <v>1212</v>
      </c>
      <c r="G124" s="91" t="s">
        <v>34</v>
      </c>
      <c r="H124" s="91">
        <v>1057</v>
      </c>
      <c r="I124" s="115">
        <v>35214500045187</v>
      </c>
      <c r="J124" s="91" t="s">
        <v>35</v>
      </c>
      <c r="K124" s="133">
        <v>158.298</v>
      </c>
      <c r="L124" s="133" t="str">
        <f>VLOOKUP(K124,Liste!$L$2:$O$34,4,1)</f>
        <v>GSMR_27/28</v>
      </c>
      <c r="M124" s="133" t="s">
        <v>36</v>
      </c>
      <c r="N124" s="180" t="s">
        <v>37</v>
      </c>
      <c r="O124" s="125" t="s">
        <v>372</v>
      </c>
      <c r="P124" s="126"/>
      <c r="Q124" s="124" t="s">
        <v>39</v>
      </c>
      <c r="R124" s="91" t="s">
        <v>373</v>
      </c>
      <c r="S124" s="91" t="s">
        <v>374</v>
      </c>
      <c r="T124" s="91" t="s">
        <v>69</v>
      </c>
      <c r="U124" s="91" t="s">
        <v>172</v>
      </c>
      <c r="V124" s="91" t="s">
        <v>51</v>
      </c>
      <c r="W124" s="134" t="s">
        <v>51</v>
      </c>
      <c r="X124" s="94" t="s">
        <v>52</v>
      </c>
      <c r="Y124" s="91" t="s">
        <v>45</v>
      </c>
      <c r="Z124" s="91"/>
      <c r="AA124" s="91"/>
      <c r="AB124" s="91"/>
      <c r="AC124" s="91"/>
      <c r="AD124" s="91"/>
      <c r="AE124" s="91"/>
      <c r="AF124" s="91"/>
      <c r="AG124" s="91"/>
      <c r="AH124" s="91"/>
    </row>
    <row r="125" spans="1:34" customFormat="1" ht="30">
      <c r="A125" s="120">
        <v>124</v>
      </c>
      <c r="B125" s="120" t="b">
        <f t="shared" ca="1" si="1"/>
        <v>0</v>
      </c>
      <c r="C125" s="135">
        <v>45388</v>
      </c>
      <c r="D125" s="123">
        <v>0.69084490740740745</v>
      </c>
      <c r="E125" s="91">
        <v>2041</v>
      </c>
      <c r="F125" s="91">
        <v>1207</v>
      </c>
      <c r="G125" s="91" t="s">
        <v>34</v>
      </c>
      <c r="H125" s="91">
        <v>1046</v>
      </c>
      <c r="I125" s="115">
        <v>35214500038730</v>
      </c>
      <c r="J125" s="91" t="s">
        <v>35</v>
      </c>
      <c r="K125" s="133">
        <v>134.30000000000001</v>
      </c>
      <c r="L125" s="133" t="str">
        <f>VLOOKUP(K125,Liste!$L$2:$O$34,4,1)</f>
        <v>GSMR_23/24</v>
      </c>
      <c r="M125" s="133" t="s">
        <v>36</v>
      </c>
      <c r="N125" s="180" t="s">
        <v>37</v>
      </c>
      <c r="O125" s="125" t="s">
        <v>375</v>
      </c>
      <c r="P125" s="126"/>
      <c r="Q125" s="124" t="s">
        <v>39</v>
      </c>
      <c r="R125" s="91"/>
      <c r="S125" s="91" t="s">
        <v>376</v>
      </c>
      <c r="T125" s="91" t="s">
        <v>209</v>
      </c>
      <c r="U125" s="91" t="s">
        <v>250</v>
      </c>
      <c r="V125" s="91" t="s">
        <v>51</v>
      </c>
      <c r="W125" s="134" t="s">
        <v>51</v>
      </c>
      <c r="X125" s="94" t="s">
        <v>52</v>
      </c>
      <c r="Y125" s="91" t="s">
        <v>45</v>
      </c>
      <c r="Z125" s="91"/>
      <c r="AA125" s="91"/>
      <c r="AB125" s="91"/>
      <c r="AC125" s="91"/>
      <c r="AD125" s="91"/>
      <c r="AE125" s="91"/>
      <c r="AF125" s="91"/>
      <c r="AG125" s="91"/>
      <c r="AH125" s="91"/>
    </row>
    <row r="126" spans="1:34" customFormat="1" ht="30">
      <c r="A126" s="120">
        <v>125</v>
      </c>
      <c r="B126" s="120" t="b">
        <f t="shared" ca="1" si="1"/>
        <v>0</v>
      </c>
      <c r="C126" s="135">
        <v>45388</v>
      </c>
      <c r="D126" s="123">
        <v>0.74633101851851846</v>
      </c>
      <c r="E126" s="91">
        <v>1041</v>
      </c>
      <c r="F126" s="91">
        <v>1202</v>
      </c>
      <c r="G126" s="91" t="s">
        <v>71</v>
      </c>
      <c r="H126" s="91">
        <v>1023</v>
      </c>
      <c r="I126" s="115">
        <v>35214500045408</v>
      </c>
      <c r="J126" s="91" t="s">
        <v>72</v>
      </c>
      <c r="K126" s="133">
        <v>60.945</v>
      </c>
      <c r="L126" s="133" t="str">
        <f>VLOOKUP(K126,Liste!$L$2:$O$34,4,1)</f>
        <v>GSMR_11/12</v>
      </c>
      <c r="M126" s="133" t="s">
        <v>36</v>
      </c>
      <c r="N126" s="180" t="s">
        <v>37</v>
      </c>
      <c r="O126" s="125" t="s">
        <v>377</v>
      </c>
      <c r="P126" s="126"/>
      <c r="Q126" s="124" t="s">
        <v>39</v>
      </c>
      <c r="R126" s="91" t="s">
        <v>378</v>
      </c>
      <c r="S126" s="91" t="s">
        <v>379</v>
      </c>
      <c r="T126" s="91" t="s">
        <v>69</v>
      </c>
      <c r="U126" s="91" t="s">
        <v>172</v>
      </c>
      <c r="V126" s="91" t="s">
        <v>51</v>
      </c>
      <c r="W126" s="134" t="s">
        <v>51</v>
      </c>
      <c r="X126" s="94" t="s">
        <v>52</v>
      </c>
      <c r="Y126" s="91" t="s">
        <v>45</v>
      </c>
      <c r="Z126" s="91"/>
      <c r="AA126" s="91"/>
      <c r="AB126" s="91"/>
      <c r="AC126" s="91"/>
      <c r="AD126" s="91"/>
      <c r="AE126" s="91"/>
      <c r="AF126" s="91"/>
      <c r="AG126" s="91"/>
      <c r="AH126" s="91"/>
    </row>
    <row r="127" spans="1:34" customFormat="1" ht="30">
      <c r="A127" s="120">
        <v>126</v>
      </c>
      <c r="B127" s="120" t="b">
        <f t="shared" ca="1" si="1"/>
        <v>0</v>
      </c>
      <c r="C127" s="135">
        <v>45389</v>
      </c>
      <c r="D127" s="123">
        <v>0.36625000000000002</v>
      </c>
      <c r="E127" s="91">
        <v>15121</v>
      </c>
      <c r="F127" s="91">
        <v>1208</v>
      </c>
      <c r="G127" s="91" t="s">
        <v>71</v>
      </c>
      <c r="H127" s="91">
        <v>1044</v>
      </c>
      <c r="I127" s="115">
        <v>35214500045131</v>
      </c>
      <c r="J127" s="91" t="s">
        <v>72</v>
      </c>
      <c r="K127" s="133">
        <v>182.86500000000001</v>
      </c>
      <c r="L127" s="133" t="str">
        <f>VLOOKUP(K127,Liste!$L$2:$O$34,4,1)</f>
        <v>GSMR_31/32</v>
      </c>
      <c r="M127" s="133" t="s">
        <v>36</v>
      </c>
      <c r="N127" s="180" t="s">
        <v>37</v>
      </c>
      <c r="O127" s="125" t="s">
        <v>380</v>
      </c>
      <c r="P127" s="126"/>
      <c r="Q127" s="124" t="s">
        <v>39</v>
      </c>
      <c r="R127" s="91" t="s">
        <v>378</v>
      </c>
      <c r="S127" s="91" t="s">
        <v>300</v>
      </c>
      <c r="T127" s="91" t="s">
        <v>116</v>
      </c>
      <c r="U127" s="91" t="s">
        <v>381</v>
      </c>
      <c r="V127" s="91" t="s">
        <v>51</v>
      </c>
      <c r="W127" s="134" t="s">
        <v>51</v>
      </c>
      <c r="X127" s="94" t="s">
        <v>52</v>
      </c>
      <c r="Y127" s="91" t="s">
        <v>45</v>
      </c>
      <c r="Z127" s="91"/>
      <c r="AA127" s="91"/>
      <c r="AB127" s="91"/>
      <c r="AC127" s="91"/>
      <c r="AD127" s="91"/>
      <c r="AE127" s="91"/>
      <c r="AF127" s="91"/>
      <c r="AG127" s="91"/>
      <c r="AH127" s="91"/>
    </row>
    <row r="128" spans="1:34" customFormat="1" ht="30">
      <c r="A128" s="120">
        <v>127</v>
      </c>
      <c r="B128" s="120" t="b">
        <f t="shared" ca="1" si="1"/>
        <v>0</v>
      </c>
      <c r="C128" s="135">
        <v>45389</v>
      </c>
      <c r="D128" s="123">
        <v>0.64143518518518516</v>
      </c>
      <c r="E128" s="91">
        <v>2037</v>
      </c>
      <c r="F128" s="91">
        <v>1211</v>
      </c>
      <c r="G128" s="91" t="s">
        <v>34</v>
      </c>
      <c r="H128" s="91">
        <v>1028</v>
      </c>
      <c r="I128" s="115">
        <v>35214500045268</v>
      </c>
      <c r="J128" s="91" t="s">
        <v>35</v>
      </c>
      <c r="K128" s="133">
        <v>86.238</v>
      </c>
      <c r="L128" s="133" t="str">
        <f>VLOOKUP(K128,Liste!$L$2:$O$34,4,1)</f>
        <v>GSMR_16/17</v>
      </c>
      <c r="M128" s="133" t="s">
        <v>36</v>
      </c>
      <c r="N128" s="180" t="s">
        <v>37</v>
      </c>
      <c r="O128" s="125" t="s">
        <v>382</v>
      </c>
      <c r="P128" s="126"/>
      <c r="Q128" s="124" t="s">
        <v>39</v>
      </c>
      <c r="R128" s="91" t="s">
        <v>378</v>
      </c>
      <c r="S128" s="91" t="s">
        <v>294</v>
      </c>
      <c r="T128" s="91" t="s">
        <v>209</v>
      </c>
      <c r="U128" s="91" t="s">
        <v>250</v>
      </c>
      <c r="V128" s="91" t="s">
        <v>51</v>
      </c>
      <c r="W128" s="134" t="s">
        <v>51</v>
      </c>
      <c r="X128" s="94" t="s">
        <v>52</v>
      </c>
      <c r="Y128" s="91" t="s">
        <v>45</v>
      </c>
      <c r="Z128" s="91"/>
      <c r="AA128" s="91"/>
      <c r="AB128" s="91"/>
      <c r="AC128" s="91"/>
      <c r="AD128" s="91"/>
      <c r="AE128" s="91"/>
      <c r="AF128" s="91"/>
      <c r="AG128" s="91"/>
      <c r="AH128" s="91"/>
    </row>
    <row r="129" spans="1:34" customFormat="1" ht="30">
      <c r="A129" s="120">
        <v>128</v>
      </c>
      <c r="B129" s="120" t="b">
        <f t="shared" ca="1" si="1"/>
        <v>0</v>
      </c>
      <c r="C129" s="135">
        <v>45389</v>
      </c>
      <c r="D129" s="123">
        <v>0.64518518518518519</v>
      </c>
      <c r="E129" s="91">
        <v>2037</v>
      </c>
      <c r="F129" s="91">
        <v>1211</v>
      </c>
      <c r="G129" s="91" t="s">
        <v>34</v>
      </c>
      <c r="H129" s="91">
        <v>1028</v>
      </c>
      <c r="I129" s="115">
        <v>35214500045268</v>
      </c>
      <c r="J129" s="91" t="s">
        <v>35</v>
      </c>
      <c r="K129" s="133">
        <v>92.561000000000007</v>
      </c>
      <c r="L129" s="133" t="str">
        <f>VLOOKUP(K129,Liste!$L$2:$O$34,4,1)</f>
        <v>GSMR_16/17</v>
      </c>
      <c r="M129" s="133" t="s">
        <v>36</v>
      </c>
      <c r="N129" s="181" t="s">
        <v>58</v>
      </c>
      <c r="O129" s="125" t="s">
        <v>383</v>
      </c>
      <c r="P129" s="126"/>
      <c r="Q129" s="124" t="s">
        <v>39</v>
      </c>
      <c r="R129" s="91"/>
      <c r="S129" s="91" t="s">
        <v>282</v>
      </c>
      <c r="T129" s="91" t="s">
        <v>69</v>
      </c>
      <c r="U129" s="91" t="s">
        <v>166</v>
      </c>
      <c r="V129" s="91" t="s">
        <v>51</v>
      </c>
      <c r="W129" s="134" t="s">
        <v>51</v>
      </c>
      <c r="X129" s="94" t="s">
        <v>52</v>
      </c>
      <c r="Y129" s="91" t="s">
        <v>45</v>
      </c>
      <c r="Z129" s="91"/>
      <c r="AA129" s="91"/>
      <c r="AB129" s="91"/>
      <c r="AC129" s="91"/>
      <c r="AD129" s="91"/>
      <c r="AE129" s="91"/>
      <c r="AF129" s="91"/>
      <c r="AG129" s="91"/>
      <c r="AH129" s="91"/>
    </row>
    <row r="130" spans="1:34" customFormat="1" ht="30">
      <c r="A130" s="120">
        <v>129</v>
      </c>
      <c r="B130" s="120" t="b">
        <f t="shared" ref="B130:B193" ca="1" si="2">AND(C130&gt;=TODAY()-7, C130&lt;=TODAY()-1)</f>
        <v>0</v>
      </c>
      <c r="C130" s="135">
        <v>45390</v>
      </c>
      <c r="D130" s="123">
        <v>0.58732638888888888</v>
      </c>
      <c r="E130" s="91">
        <v>1025</v>
      </c>
      <c r="F130" s="91">
        <v>1209</v>
      </c>
      <c r="G130" s="91" t="s">
        <v>71</v>
      </c>
      <c r="H130" s="91">
        <v>1033</v>
      </c>
      <c r="I130" s="115">
        <v>35214500040707</v>
      </c>
      <c r="J130" s="91" t="s">
        <v>72</v>
      </c>
      <c r="K130" s="153">
        <v>7.3209999999999997</v>
      </c>
      <c r="L130" s="133" t="str">
        <f>VLOOKUP(K130,Liste!$L$2:$O$34,4,1)</f>
        <v>GSMR_02/03</v>
      </c>
      <c r="M130" s="133" t="s">
        <v>36</v>
      </c>
      <c r="N130" s="181" t="s">
        <v>58</v>
      </c>
      <c r="O130" s="125" t="s">
        <v>384</v>
      </c>
      <c r="P130" s="126"/>
      <c r="Q130" s="124" t="s">
        <v>47</v>
      </c>
      <c r="R130" s="91" t="s">
        <v>385</v>
      </c>
      <c r="S130" s="91" t="s">
        <v>386</v>
      </c>
      <c r="T130" s="91" t="s">
        <v>93</v>
      </c>
      <c r="U130" s="91" t="s">
        <v>387</v>
      </c>
      <c r="V130" s="91" t="s">
        <v>51</v>
      </c>
      <c r="W130" s="134" t="s">
        <v>51</v>
      </c>
      <c r="X130" s="94" t="s">
        <v>52</v>
      </c>
      <c r="Y130" s="91" t="s">
        <v>146</v>
      </c>
      <c r="Z130" s="91"/>
      <c r="AA130" s="91"/>
      <c r="AB130" s="91"/>
      <c r="AC130" s="91"/>
      <c r="AD130" s="91"/>
      <c r="AE130" s="91"/>
      <c r="AF130" s="91"/>
      <c r="AG130" s="91"/>
      <c r="AH130" s="91"/>
    </row>
    <row r="131" spans="1:34" customFormat="1" ht="30">
      <c r="A131" s="120">
        <v>130</v>
      </c>
      <c r="B131" s="120" t="b">
        <f t="shared" ca="1" si="2"/>
        <v>0</v>
      </c>
      <c r="C131" s="135">
        <v>45390</v>
      </c>
      <c r="D131" s="123">
        <v>0.65758101851851847</v>
      </c>
      <c r="E131" s="91">
        <v>1033</v>
      </c>
      <c r="F131" s="91">
        <v>1208</v>
      </c>
      <c r="G131" s="91" t="s">
        <v>71</v>
      </c>
      <c r="H131" s="91">
        <v>1045</v>
      </c>
      <c r="I131" s="115">
        <v>35214500045098</v>
      </c>
      <c r="J131" s="91" t="s">
        <v>72</v>
      </c>
      <c r="K131" s="133">
        <v>94.953999999999994</v>
      </c>
      <c r="L131" s="133" t="str">
        <f>VLOOKUP(K131,Liste!$L$2:$O$34,4,1)</f>
        <v>GSMR_17/18</v>
      </c>
      <c r="M131" s="133" t="s">
        <v>36</v>
      </c>
      <c r="N131" s="180" t="s">
        <v>37</v>
      </c>
      <c r="O131" s="125" t="s">
        <v>388</v>
      </c>
      <c r="P131" s="126"/>
      <c r="Q131" s="124" t="s">
        <v>39</v>
      </c>
      <c r="R131" s="91"/>
      <c r="S131" s="91" t="s">
        <v>389</v>
      </c>
      <c r="T131" s="91" t="s">
        <v>56</v>
      </c>
      <c r="U131" s="91" t="s">
        <v>70</v>
      </c>
      <c r="V131" s="91" t="s">
        <v>51</v>
      </c>
      <c r="W131" s="134" t="s">
        <v>51</v>
      </c>
      <c r="X131" s="94" t="s">
        <v>52</v>
      </c>
      <c r="Y131" s="91" t="s">
        <v>146</v>
      </c>
      <c r="Z131" s="91"/>
      <c r="AA131" s="91"/>
      <c r="AB131" s="91"/>
      <c r="AC131" s="91"/>
      <c r="AD131" s="91"/>
      <c r="AE131" s="91"/>
      <c r="AF131" s="91"/>
      <c r="AG131" s="91"/>
      <c r="AH131" s="91"/>
    </row>
    <row r="132" spans="1:34" customFormat="1" ht="30">
      <c r="A132" s="120">
        <v>131</v>
      </c>
      <c r="B132" s="120" t="b">
        <f t="shared" ca="1" si="2"/>
        <v>0</v>
      </c>
      <c r="C132" s="135">
        <v>45390</v>
      </c>
      <c r="D132" s="123">
        <v>0.95186342592592588</v>
      </c>
      <c r="E132" s="91">
        <v>1061</v>
      </c>
      <c r="F132" s="91">
        <v>1203</v>
      </c>
      <c r="G132" s="91" t="s">
        <v>71</v>
      </c>
      <c r="H132" s="91">
        <v>1027</v>
      </c>
      <c r="I132" s="115">
        <v>35214500045083</v>
      </c>
      <c r="J132" s="91" t="s">
        <v>72</v>
      </c>
      <c r="K132" s="133">
        <v>76.968000000000004</v>
      </c>
      <c r="L132" s="133" t="str">
        <f>VLOOKUP(K132,Liste!$L$2:$O$34,4,1)</f>
        <v>GSMR_14/15</v>
      </c>
      <c r="M132" s="133" t="s">
        <v>36</v>
      </c>
      <c r="N132" s="180" t="s">
        <v>37</v>
      </c>
      <c r="O132" s="125" t="s">
        <v>390</v>
      </c>
      <c r="P132" s="126"/>
      <c r="Q132" s="124" t="s">
        <v>39</v>
      </c>
      <c r="R132" s="91"/>
      <c r="S132" s="91" t="s">
        <v>391</v>
      </c>
      <c r="T132" s="91" t="s">
        <v>69</v>
      </c>
      <c r="U132" s="91" t="s">
        <v>205</v>
      </c>
      <c r="V132" s="91" t="s">
        <v>51</v>
      </c>
      <c r="W132" s="134" t="s">
        <v>51</v>
      </c>
      <c r="X132" s="94" t="s">
        <v>52</v>
      </c>
      <c r="Y132" s="91" t="s">
        <v>45</v>
      </c>
      <c r="Z132" s="91"/>
      <c r="AA132" s="91"/>
      <c r="AB132" s="91"/>
      <c r="AC132" s="91"/>
      <c r="AD132" s="91"/>
      <c r="AE132" s="91"/>
      <c r="AF132" s="91"/>
      <c r="AG132" s="91"/>
      <c r="AH132" s="91"/>
    </row>
    <row r="133" spans="1:34" customFormat="1" ht="30">
      <c r="A133" s="120">
        <v>132</v>
      </c>
      <c r="B133" s="120" t="b">
        <f t="shared" ca="1" si="2"/>
        <v>0</v>
      </c>
      <c r="C133" s="135">
        <v>45393</v>
      </c>
      <c r="D133" s="123">
        <v>0.34274305555555556</v>
      </c>
      <c r="E133" s="91">
        <v>10075</v>
      </c>
      <c r="F133" s="91">
        <v>1207</v>
      </c>
      <c r="G133" s="91" t="s">
        <v>71</v>
      </c>
      <c r="H133" s="91">
        <v>1008</v>
      </c>
      <c r="I133" s="115">
        <v>35214500045654</v>
      </c>
      <c r="J133" s="91" t="s">
        <v>72</v>
      </c>
      <c r="K133" s="133">
        <v>127.815</v>
      </c>
      <c r="L133" s="133" t="str">
        <f>VLOOKUP(K133,Liste!$L$2:$O$34,4,1)</f>
        <v>GSMR_22/23</v>
      </c>
      <c r="M133" s="133" t="s">
        <v>36</v>
      </c>
      <c r="N133" s="180" t="s">
        <v>37</v>
      </c>
      <c r="O133" s="125" t="s">
        <v>392</v>
      </c>
      <c r="P133" s="126"/>
      <c r="Q133" s="124" t="s">
        <v>39</v>
      </c>
      <c r="R133" s="91" t="s">
        <v>393</v>
      </c>
      <c r="S133" s="91" t="s">
        <v>394</v>
      </c>
      <c r="T133" s="91" t="s">
        <v>101</v>
      </c>
      <c r="U133" s="91" t="s">
        <v>112</v>
      </c>
      <c r="V133" s="91" t="s">
        <v>51</v>
      </c>
      <c r="W133" s="134" t="s">
        <v>51</v>
      </c>
      <c r="X133" s="94" t="s">
        <v>52</v>
      </c>
      <c r="Y133" s="91" t="s">
        <v>45</v>
      </c>
      <c r="Z133" s="91"/>
      <c r="AA133" s="91"/>
      <c r="AB133" s="91"/>
      <c r="AC133" s="91"/>
      <c r="AD133" s="91"/>
      <c r="AE133" s="91"/>
      <c r="AF133" s="91"/>
      <c r="AG133" s="91"/>
      <c r="AH133" s="91"/>
    </row>
    <row r="134" spans="1:34" customFormat="1" ht="30">
      <c r="A134" s="120">
        <v>133</v>
      </c>
      <c r="B134" s="120" t="b">
        <f t="shared" ca="1" si="2"/>
        <v>0</v>
      </c>
      <c r="C134" s="135">
        <v>45393</v>
      </c>
      <c r="D134" s="123">
        <v>0.51173611111111106</v>
      </c>
      <c r="E134" s="91">
        <v>2025</v>
      </c>
      <c r="F134" s="91">
        <v>1206</v>
      </c>
      <c r="G134" s="91" t="s">
        <v>34</v>
      </c>
      <c r="H134" s="91">
        <v>1055</v>
      </c>
      <c r="I134" s="115">
        <v>35214500036582</v>
      </c>
      <c r="J134" s="91" t="s">
        <v>35</v>
      </c>
      <c r="K134" s="133">
        <v>52.289000000000001</v>
      </c>
      <c r="L134" s="133" t="str">
        <f>VLOOKUP(K134,Liste!$L$2:$O$34,4,1)</f>
        <v>GSMR_09/10</v>
      </c>
      <c r="M134" s="133" t="s">
        <v>36</v>
      </c>
      <c r="N134" s="180" t="s">
        <v>37</v>
      </c>
      <c r="O134" s="125" t="s">
        <v>395</v>
      </c>
      <c r="P134" s="126"/>
      <c r="Q134" s="124" t="s">
        <v>39</v>
      </c>
      <c r="R134" s="91" t="s">
        <v>378</v>
      </c>
      <c r="S134" s="91" t="s">
        <v>396</v>
      </c>
      <c r="T134" s="91" t="s">
        <v>69</v>
      </c>
      <c r="U134" s="91" t="s">
        <v>85</v>
      </c>
      <c r="V134" s="91" t="s">
        <v>51</v>
      </c>
      <c r="W134" s="134" t="s">
        <v>51</v>
      </c>
      <c r="X134" s="94" t="s">
        <v>52</v>
      </c>
      <c r="Y134" s="91" t="s">
        <v>146</v>
      </c>
      <c r="Z134" s="91"/>
      <c r="AA134" s="91"/>
      <c r="AB134" s="91"/>
      <c r="AC134" s="91"/>
      <c r="AD134" s="91"/>
      <c r="AE134" s="91"/>
      <c r="AF134" s="91"/>
      <c r="AG134" s="91"/>
      <c r="AH134" s="91"/>
    </row>
    <row r="135" spans="1:34" customFormat="1" ht="30">
      <c r="A135" s="120">
        <v>134</v>
      </c>
      <c r="B135" s="120" t="b">
        <f t="shared" ca="1" si="2"/>
        <v>0</v>
      </c>
      <c r="C135" s="135">
        <v>45393</v>
      </c>
      <c r="D135" s="123">
        <v>0.73259259259259257</v>
      </c>
      <c r="E135" s="91">
        <v>2045</v>
      </c>
      <c r="F135" s="91">
        <v>1204</v>
      </c>
      <c r="G135" s="91" t="s">
        <v>34</v>
      </c>
      <c r="H135" s="91">
        <v>1052</v>
      </c>
      <c r="I135" s="115">
        <v>35214500043740</v>
      </c>
      <c r="J135" s="91" t="s">
        <v>35</v>
      </c>
      <c r="K135" s="133">
        <v>133.07400000000001</v>
      </c>
      <c r="L135" s="133" t="str">
        <f>VLOOKUP(K135,Liste!$L$2:$O$34,4,1)</f>
        <v>GSMR_23/24</v>
      </c>
      <c r="M135" s="133" t="s">
        <v>36</v>
      </c>
      <c r="N135" s="180" t="s">
        <v>37</v>
      </c>
      <c r="O135" s="125" t="s">
        <v>397</v>
      </c>
      <c r="P135" s="126"/>
      <c r="Q135" s="124" t="s">
        <v>39</v>
      </c>
      <c r="R135" s="91"/>
      <c r="S135" s="91" t="s">
        <v>398</v>
      </c>
      <c r="T135" s="91" t="s">
        <v>93</v>
      </c>
      <c r="U135" s="91" t="s">
        <v>42</v>
      </c>
      <c r="V135" s="91" t="s">
        <v>51</v>
      </c>
      <c r="W135" s="134" t="s">
        <v>51</v>
      </c>
      <c r="X135" s="94" t="s">
        <v>52</v>
      </c>
      <c r="Y135" s="91" t="s">
        <v>45</v>
      </c>
      <c r="Z135" s="91"/>
      <c r="AA135" s="91"/>
      <c r="AB135" s="91"/>
      <c r="AC135" s="91"/>
      <c r="AD135" s="91"/>
      <c r="AE135" s="91"/>
      <c r="AF135" s="91"/>
      <c r="AG135" s="91"/>
      <c r="AH135" s="91"/>
    </row>
    <row r="136" spans="1:34" customFormat="1" ht="30">
      <c r="A136" s="120">
        <v>135</v>
      </c>
      <c r="B136" s="120" t="b">
        <f t="shared" ca="1" si="2"/>
        <v>0</v>
      </c>
      <c r="C136" s="135">
        <v>45393</v>
      </c>
      <c r="D136" s="123">
        <v>0.77846064814814819</v>
      </c>
      <c r="E136" s="91">
        <v>2049</v>
      </c>
      <c r="F136" s="91">
        <v>1206</v>
      </c>
      <c r="G136" s="91" t="s">
        <v>34</v>
      </c>
      <c r="H136" s="91">
        <v>1055</v>
      </c>
      <c r="I136" s="115">
        <v>35214500036582</v>
      </c>
      <c r="J136" s="91" t="s">
        <v>35</v>
      </c>
      <c r="K136" s="133">
        <v>175.37299999999999</v>
      </c>
      <c r="L136" s="133" t="str">
        <f>VLOOKUP(K136,Liste!$L$2:$O$34,4,1)</f>
        <v>GSMR_30/31</v>
      </c>
      <c r="M136" s="133" t="s">
        <v>36</v>
      </c>
      <c r="N136" s="180" t="s">
        <v>37</v>
      </c>
      <c r="O136" s="125" t="s">
        <v>399</v>
      </c>
      <c r="P136" s="126"/>
      <c r="Q136" s="124" t="s">
        <v>39</v>
      </c>
      <c r="R136" s="91" t="s">
        <v>378</v>
      </c>
      <c r="S136" s="91" t="s">
        <v>394</v>
      </c>
      <c r="T136" s="91" t="s">
        <v>69</v>
      </c>
      <c r="U136" s="91" t="s">
        <v>166</v>
      </c>
      <c r="V136" s="91" t="s">
        <v>51</v>
      </c>
      <c r="W136" s="134" t="s">
        <v>43</v>
      </c>
      <c r="X136" s="94" t="s">
        <v>400</v>
      </c>
      <c r="Y136" s="91" t="s">
        <v>45</v>
      </c>
      <c r="Z136" s="91"/>
      <c r="AA136" s="91"/>
      <c r="AB136" s="91"/>
      <c r="AC136" s="91"/>
      <c r="AD136" s="91"/>
      <c r="AE136" s="91"/>
      <c r="AF136" s="91"/>
      <c r="AG136" s="91"/>
      <c r="AH136" s="91"/>
    </row>
    <row r="137" spans="1:34" customFormat="1" ht="30">
      <c r="A137" s="120">
        <v>136</v>
      </c>
      <c r="B137" s="120" t="b">
        <f t="shared" ca="1" si="2"/>
        <v>0</v>
      </c>
      <c r="C137" s="131">
        <v>45393</v>
      </c>
      <c r="D137" s="137">
        <v>0.85744212962962962</v>
      </c>
      <c r="E137" s="94">
        <v>1053</v>
      </c>
      <c r="F137" s="94">
        <v>1205</v>
      </c>
      <c r="G137" s="91" t="s">
        <v>71</v>
      </c>
      <c r="H137" s="94">
        <v>1034</v>
      </c>
      <c r="I137" s="139">
        <v>35214500036582</v>
      </c>
      <c r="J137" s="94" t="s">
        <v>72</v>
      </c>
      <c r="K137" s="133">
        <v>154.82400000000001</v>
      </c>
      <c r="L137" s="122" t="str">
        <f>VLOOKUP(K137,Liste!$L$2:$O$34,4,1)</f>
        <v>GSMR_26/27</v>
      </c>
      <c r="M137" s="133" t="s">
        <v>36</v>
      </c>
      <c r="N137" s="180" t="s">
        <v>37</v>
      </c>
      <c r="O137" s="126" t="s">
        <v>401</v>
      </c>
      <c r="P137" s="126"/>
      <c r="Q137" s="124" t="s">
        <v>39</v>
      </c>
      <c r="R137" s="94"/>
      <c r="S137" s="94" t="s">
        <v>402</v>
      </c>
      <c r="T137" s="94" t="s">
        <v>69</v>
      </c>
      <c r="U137" s="94" t="s">
        <v>166</v>
      </c>
      <c r="V137" s="94" t="s">
        <v>51</v>
      </c>
      <c r="W137" s="124" t="s">
        <v>51</v>
      </c>
      <c r="X137" s="94" t="s">
        <v>52</v>
      </c>
      <c r="Y137" s="94" t="s">
        <v>45</v>
      </c>
      <c r="Z137" s="94"/>
      <c r="AA137" s="94"/>
      <c r="AB137" s="94"/>
      <c r="AC137" s="94"/>
      <c r="AD137" s="94"/>
      <c r="AE137" s="94"/>
      <c r="AF137" s="94"/>
      <c r="AG137" s="94"/>
      <c r="AH137" s="94"/>
    </row>
    <row r="138" spans="1:34" customFormat="1" ht="30">
      <c r="A138" s="120">
        <v>137</v>
      </c>
      <c r="B138" s="120" t="b">
        <f t="shared" ca="1" si="2"/>
        <v>0</v>
      </c>
      <c r="C138" s="135">
        <v>45394</v>
      </c>
      <c r="D138" s="123">
        <v>0.63695601851851846</v>
      </c>
      <c r="E138" s="91">
        <v>2037</v>
      </c>
      <c r="F138" s="91">
        <v>1208</v>
      </c>
      <c r="G138" s="91" t="s">
        <v>34</v>
      </c>
      <c r="H138" s="91">
        <v>1037</v>
      </c>
      <c r="I138" s="115">
        <v>35214500045488</v>
      </c>
      <c r="J138" s="91" t="s">
        <v>35</v>
      </c>
      <c r="K138" s="133">
        <v>53.600999999999999</v>
      </c>
      <c r="L138" s="133" t="str">
        <f>VLOOKUP(K138,Liste!$L$2:$O$34,4,1)</f>
        <v>GSMR_09/10</v>
      </c>
      <c r="M138" s="133" t="s">
        <v>36</v>
      </c>
      <c r="N138" s="180" t="s">
        <v>37</v>
      </c>
      <c r="O138" s="125" t="s">
        <v>403</v>
      </c>
      <c r="P138" s="126"/>
      <c r="Q138" s="124" t="s">
        <v>39</v>
      </c>
      <c r="R138" s="91" t="s">
        <v>404</v>
      </c>
      <c r="S138" s="91" t="s">
        <v>405</v>
      </c>
      <c r="T138" s="91" t="s">
        <v>101</v>
      </c>
      <c r="U138" s="91" t="s">
        <v>90</v>
      </c>
      <c r="V138" s="91" t="s">
        <v>51</v>
      </c>
      <c r="W138" s="134" t="s">
        <v>51</v>
      </c>
      <c r="X138" s="94" t="s">
        <v>52</v>
      </c>
      <c r="Y138" s="91" t="s">
        <v>45</v>
      </c>
      <c r="Z138" s="91"/>
      <c r="AA138" s="91"/>
      <c r="AB138" s="91"/>
      <c r="AC138" s="91"/>
      <c r="AD138" s="91"/>
      <c r="AE138" s="91"/>
      <c r="AF138" s="91"/>
      <c r="AG138" s="91"/>
      <c r="AH138" s="91"/>
    </row>
    <row r="139" spans="1:34" customFormat="1" ht="30">
      <c r="A139" s="120">
        <v>138</v>
      </c>
      <c r="B139" s="120" t="b">
        <f t="shared" ca="1" si="2"/>
        <v>0</v>
      </c>
      <c r="C139" s="135">
        <v>45395</v>
      </c>
      <c r="D139" s="123">
        <v>0.69833333333333336</v>
      </c>
      <c r="E139" s="91"/>
      <c r="F139" s="91">
        <v>1203</v>
      </c>
      <c r="G139" s="91" t="s">
        <v>34</v>
      </c>
      <c r="H139" s="91">
        <v>1025</v>
      </c>
      <c r="I139" s="115">
        <v>35214500045073</v>
      </c>
      <c r="J139" s="91" t="s">
        <v>35</v>
      </c>
      <c r="K139" s="133">
        <v>186.315</v>
      </c>
      <c r="L139" s="133" t="str">
        <f>VLOOKUP(K139,Liste!$L$2:$O$34,4,1)</f>
        <v>GSMR_32/33</v>
      </c>
      <c r="M139" s="133" t="s">
        <v>36</v>
      </c>
      <c r="N139" s="180" t="s">
        <v>37</v>
      </c>
      <c r="O139" s="125" t="s">
        <v>406</v>
      </c>
      <c r="P139" s="126"/>
      <c r="Q139" s="124" t="s">
        <v>39</v>
      </c>
      <c r="R139" s="91" t="s">
        <v>404</v>
      </c>
      <c r="S139" s="91" t="s">
        <v>407</v>
      </c>
      <c r="T139" s="91" t="s">
        <v>69</v>
      </c>
      <c r="U139" s="91" t="s">
        <v>408</v>
      </c>
      <c r="V139" s="91" t="s">
        <v>51</v>
      </c>
      <c r="W139" s="134" t="s">
        <v>51</v>
      </c>
      <c r="X139" s="94" t="s">
        <v>52</v>
      </c>
      <c r="Y139" s="91" t="s">
        <v>45</v>
      </c>
      <c r="Z139" s="91"/>
      <c r="AA139" s="91"/>
      <c r="AB139" s="91"/>
      <c r="AC139" s="91"/>
      <c r="AD139" s="91"/>
      <c r="AE139" s="91"/>
      <c r="AF139" s="91"/>
      <c r="AG139" s="91"/>
      <c r="AH139" s="91"/>
    </row>
    <row r="140" spans="1:34" customFormat="1" ht="30">
      <c r="A140" s="120">
        <v>139</v>
      </c>
      <c r="B140" s="120" t="b">
        <f t="shared" ca="1" si="2"/>
        <v>0</v>
      </c>
      <c r="C140" s="135">
        <v>45396</v>
      </c>
      <c r="D140" s="123">
        <v>0.3034027777777778</v>
      </c>
      <c r="E140" s="118">
        <v>10075</v>
      </c>
      <c r="F140" s="91">
        <v>1201</v>
      </c>
      <c r="G140" s="91" t="s">
        <v>71</v>
      </c>
      <c r="H140" s="91">
        <v>1025</v>
      </c>
      <c r="I140" s="115">
        <v>35214500045073</v>
      </c>
      <c r="J140" s="91" t="s">
        <v>72</v>
      </c>
      <c r="K140" s="133">
        <v>125.206</v>
      </c>
      <c r="L140" s="133" t="str">
        <f>VLOOKUP(K140,Liste!$L$2:$O$34,4,1)</f>
        <v>GSMR_22/23</v>
      </c>
      <c r="M140" s="133" t="s">
        <v>36</v>
      </c>
      <c r="N140" s="181" t="s">
        <v>58</v>
      </c>
      <c r="O140" s="125" t="s">
        <v>409</v>
      </c>
      <c r="P140" s="126"/>
      <c r="Q140" s="124" t="s">
        <v>150</v>
      </c>
      <c r="R140" s="91" t="s">
        <v>410</v>
      </c>
      <c r="S140" s="91" t="s">
        <v>411</v>
      </c>
      <c r="T140" s="91" t="s">
        <v>69</v>
      </c>
      <c r="U140" s="91" t="s">
        <v>50</v>
      </c>
      <c r="V140" s="91" t="s">
        <v>51</v>
      </c>
      <c r="W140" s="134" t="s">
        <v>51</v>
      </c>
      <c r="X140" s="94" t="s">
        <v>52</v>
      </c>
      <c r="Y140" s="91" t="s">
        <v>45</v>
      </c>
      <c r="Z140" s="91"/>
      <c r="AA140" s="91"/>
      <c r="AB140" s="91"/>
      <c r="AC140" s="91"/>
      <c r="AD140" s="91"/>
      <c r="AE140" s="91"/>
      <c r="AF140" s="91"/>
      <c r="AG140" s="91"/>
      <c r="AH140" s="91"/>
    </row>
    <row r="141" spans="1:34" customFormat="1" ht="30">
      <c r="A141" s="120">
        <v>140</v>
      </c>
      <c r="B141" s="120" t="b">
        <f t="shared" ca="1" si="2"/>
        <v>0</v>
      </c>
      <c r="C141" s="135">
        <v>45397</v>
      </c>
      <c r="D141" s="123">
        <v>0.19707175925925927</v>
      </c>
      <c r="E141" s="118">
        <v>2081</v>
      </c>
      <c r="F141" s="91">
        <v>1207</v>
      </c>
      <c r="G141" s="91" t="s">
        <v>34</v>
      </c>
      <c r="H141" s="91">
        <v>1047</v>
      </c>
      <c r="I141" s="115">
        <v>35214500038727</v>
      </c>
      <c r="J141" s="91" t="s">
        <v>35</v>
      </c>
      <c r="K141" s="133">
        <v>98.981999999999999</v>
      </c>
      <c r="L141" s="133" t="str">
        <f>VLOOKUP(K141,Liste!$L$2:$O$34,4,1)</f>
        <v>GSMR_17/18</v>
      </c>
      <c r="M141" s="133" t="s">
        <v>36</v>
      </c>
      <c r="N141" s="180" t="s">
        <v>37</v>
      </c>
      <c r="O141" s="125" t="s">
        <v>412</v>
      </c>
      <c r="P141" s="126"/>
      <c r="Q141" s="124" t="s">
        <v>39</v>
      </c>
      <c r="R141" s="91" t="s">
        <v>194</v>
      </c>
      <c r="S141" s="91" t="s">
        <v>306</v>
      </c>
      <c r="T141" s="91" t="s">
        <v>69</v>
      </c>
      <c r="U141" s="91" t="s">
        <v>70</v>
      </c>
      <c r="V141" s="91" t="s">
        <v>51</v>
      </c>
      <c r="W141" s="134" t="s">
        <v>51</v>
      </c>
      <c r="X141" s="94" t="s">
        <v>52</v>
      </c>
      <c r="Y141" s="91" t="s">
        <v>45</v>
      </c>
      <c r="Z141" s="91"/>
      <c r="AA141" s="91"/>
      <c r="AB141" s="91"/>
      <c r="AC141" s="91"/>
      <c r="AD141" s="91"/>
      <c r="AE141" s="91"/>
      <c r="AF141" s="91"/>
      <c r="AG141" s="91"/>
      <c r="AH141" s="91"/>
    </row>
    <row r="142" spans="1:34" customFormat="1" ht="30">
      <c r="A142" s="120">
        <v>141</v>
      </c>
      <c r="B142" s="120" t="b">
        <f t="shared" ca="1" si="2"/>
        <v>0</v>
      </c>
      <c r="C142" s="135">
        <v>45397</v>
      </c>
      <c r="D142" s="123">
        <v>0.29805555555555557</v>
      </c>
      <c r="E142" s="118">
        <v>2005</v>
      </c>
      <c r="F142" s="91">
        <v>1207</v>
      </c>
      <c r="G142" s="91" t="s">
        <v>34</v>
      </c>
      <c r="H142" s="91">
        <v>1047</v>
      </c>
      <c r="I142" s="115">
        <v>35214500038727</v>
      </c>
      <c r="J142" s="91" t="s">
        <v>35</v>
      </c>
      <c r="K142" s="133">
        <v>14.99</v>
      </c>
      <c r="L142" s="133" t="s">
        <v>413</v>
      </c>
      <c r="M142" s="133" t="s">
        <v>36</v>
      </c>
      <c r="N142" s="180" t="s">
        <v>37</v>
      </c>
      <c r="O142" s="125" t="s">
        <v>414</v>
      </c>
      <c r="P142" s="126"/>
      <c r="Q142" s="124" t="s">
        <v>39</v>
      </c>
      <c r="R142" s="91" t="s">
        <v>194</v>
      </c>
      <c r="S142" s="91" t="s">
        <v>415</v>
      </c>
      <c r="T142" s="91" t="s">
        <v>69</v>
      </c>
      <c r="U142" s="91" t="s">
        <v>366</v>
      </c>
      <c r="V142" s="91" t="s">
        <v>51</v>
      </c>
      <c r="W142" s="134" t="s">
        <v>51</v>
      </c>
      <c r="X142" s="94"/>
      <c r="Y142" s="91" t="s">
        <v>45</v>
      </c>
      <c r="Z142" s="91"/>
      <c r="AA142" s="91"/>
      <c r="AB142" s="91"/>
      <c r="AC142" s="91"/>
      <c r="AD142" s="91"/>
      <c r="AE142" s="91"/>
      <c r="AF142" s="91"/>
      <c r="AG142" s="91"/>
      <c r="AH142" s="91"/>
    </row>
    <row r="143" spans="1:34" customFormat="1" ht="30">
      <c r="A143" s="120">
        <v>142</v>
      </c>
      <c r="B143" s="120" t="b">
        <f t="shared" ca="1" si="2"/>
        <v>0</v>
      </c>
      <c r="C143" s="135">
        <v>45398</v>
      </c>
      <c r="D143" s="123">
        <v>0.57112268518518516</v>
      </c>
      <c r="E143" s="118">
        <v>1025</v>
      </c>
      <c r="F143" s="91">
        <v>1211</v>
      </c>
      <c r="G143" s="91" t="s">
        <v>71</v>
      </c>
      <c r="H143" s="91">
        <v>3063</v>
      </c>
      <c r="I143" s="115">
        <v>35214500046055</v>
      </c>
      <c r="J143" s="91" t="s">
        <v>72</v>
      </c>
      <c r="K143" s="133">
        <v>118.562</v>
      </c>
      <c r="L143" s="133" t="s">
        <v>416</v>
      </c>
      <c r="M143" s="133" t="s">
        <v>36</v>
      </c>
      <c r="N143" s="180" t="s">
        <v>37</v>
      </c>
      <c r="O143" s="125" t="s">
        <v>417</v>
      </c>
      <c r="P143" s="126"/>
      <c r="Q143" s="124" t="s">
        <v>39</v>
      </c>
      <c r="R143" s="91" t="s">
        <v>334</v>
      </c>
      <c r="S143" s="91" t="s">
        <v>418</v>
      </c>
      <c r="T143" s="91" t="s">
        <v>69</v>
      </c>
      <c r="U143" s="91" t="s">
        <v>125</v>
      </c>
      <c r="V143" s="91" t="s">
        <v>51</v>
      </c>
      <c r="W143" s="134" t="s">
        <v>51</v>
      </c>
      <c r="X143" s="94"/>
      <c r="Y143" s="91" t="s">
        <v>45</v>
      </c>
      <c r="Z143" s="91"/>
      <c r="AA143" s="91"/>
      <c r="AB143" s="91"/>
      <c r="AC143" s="91"/>
      <c r="AD143" s="91"/>
      <c r="AE143" s="91"/>
      <c r="AF143" s="91"/>
      <c r="AG143" s="91"/>
      <c r="AH143" s="91"/>
    </row>
    <row r="144" spans="1:34" customFormat="1" ht="30">
      <c r="A144" s="120">
        <v>143</v>
      </c>
      <c r="B144" s="120" t="b">
        <f t="shared" ca="1" si="2"/>
        <v>0</v>
      </c>
      <c r="C144" s="135">
        <v>45399</v>
      </c>
      <c r="D144" s="123">
        <v>0.765162037037037</v>
      </c>
      <c r="E144" s="118">
        <v>2049</v>
      </c>
      <c r="F144" s="91">
        <v>1203</v>
      </c>
      <c r="G144" s="91" t="s">
        <v>34</v>
      </c>
      <c r="H144" s="91">
        <v>1025</v>
      </c>
      <c r="I144" s="115">
        <v>35214500045073</v>
      </c>
      <c r="J144" s="91" t="s">
        <v>35</v>
      </c>
      <c r="K144" s="133">
        <v>73.585999999999999</v>
      </c>
      <c r="L144" s="133" t="s">
        <v>419</v>
      </c>
      <c r="M144" s="133" t="s">
        <v>36</v>
      </c>
      <c r="N144" s="180" t="s">
        <v>37</v>
      </c>
      <c r="O144" s="125" t="s">
        <v>420</v>
      </c>
      <c r="P144" s="126"/>
      <c r="Q144" s="94" t="s">
        <v>54</v>
      </c>
      <c r="R144" s="91" t="s">
        <v>404</v>
      </c>
      <c r="S144" s="91" t="s">
        <v>421</v>
      </c>
      <c r="T144" s="91" t="s">
        <v>56</v>
      </c>
      <c r="U144" s="91" t="s">
        <v>112</v>
      </c>
      <c r="V144" s="91" t="s">
        <v>51</v>
      </c>
      <c r="W144" s="134" t="s">
        <v>51</v>
      </c>
      <c r="X144" s="94"/>
      <c r="Y144" s="91" t="s">
        <v>45</v>
      </c>
      <c r="Z144" s="91"/>
      <c r="AA144" s="91"/>
      <c r="AB144" s="91"/>
      <c r="AC144" s="91"/>
      <c r="AD144" s="91"/>
      <c r="AE144" s="91"/>
      <c r="AF144" s="91"/>
      <c r="AG144" s="91"/>
      <c r="AH144" s="91"/>
    </row>
    <row r="145" spans="1:34" customFormat="1" ht="30">
      <c r="A145" s="120">
        <v>144</v>
      </c>
      <c r="B145" s="120" t="b">
        <f t="shared" ca="1" si="2"/>
        <v>0</v>
      </c>
      <c r="C145" s="135">
        <v>45400</v>
      </c>
      <c r="D145" s="123">
        <v>0.53511574074074075</v>
      </c>
      <c r="E145" s="118">
        <v>1021</v>
      </c>
      <c r="F145" s="91">
        <v>1202</v>
      </c>
      <c r="G145" s="91" t="s">
        <v>71</v>
      </c>
      <c r="H145" s="91">
        <v>1022</v>
      </c>
      <c r="I145" s="115">
        <v>35214500045326</v>
      </c>
      <c r="J145" s="91" t="s">
        <v>72</v>
      </c>
      <c r="K145" s="133">
        <v>73.525999999999996</v>
      </c>
      <c r="L145" s="133" t="s">
        <v>419</v>
      </c>
      <c r="M145" s="133" t="s">
        <v>36</v>
      </c>
      <c r="N145" s="180" t="s">
        <v>37</v>
      </c>
      <c r="O145" s="125" t="s">
        <v>422</v>
      </c>
      <c r="P145" s="126"/>
      <c r="Q145" s="124" t="s">
        <v>47</v>
      </c>
      <c r="R145" s="91" t="s">
        <v>423</v>
      </c>
      <c r="S145" s="91" t="s">
        <v>424</v>
      </c>
      <c r="T145" s="91" t="s">
        <v>116</v>
      </c>
      <c r="U145" s="91" t="s">
        <v>425</v>
      </c>
      <c r="V145" s="91" t="s">
        <v>51</v>
      </c>
      <c r="W145" s="134" t="s">
        <v>51</v>
      </c>
      <c r="X145" s="94"/>
      <c r="Y145" s="91" t="s">
        <v>45</v>
      </c>
      <c r="Z145" s="91"/>
      <c r="AA145" s="91"/>
      <c r="AB145" s="91"/>
      <c r="AC145" s="91"/>
      <c r="AD145" s="91"/>
      <c r="AE145" s="91"/>
      <c r="AF145" s="91"/>
      <c r="AG145" s="91"/>
      <c r="AH145" s="91"/>
    </row>
    <row r="146" spans="1:34" customFormat="1" ht="30">
      <c r="A146" s="120">
        <v>145</v>
      </c>
      <c r="B146" s="120" t="b">
        <f t="shared" ca="1" si="2"/>
        <v>0</v>
      </c>
      <c r="C146" s="135">
        <v>45401</v>
      </c>
      <c r="D146" s="123">
        <v>0.83631944444444439</v>
      </c>
      <c r="E146" s="118">
        <v>1049</v>
      </c>
      <c r="F146" s="91">
        <v>1206</v>
      </c>
      <c r="G146" s="91" t="s">
        <v>71</v>
      </c>
      <c r="H146" s="91">
        <v>1040</v>
      </c>
      <c r="I146" s="115" t="s">
        <v>426</v>
      </c>
      <c r="J146" s="91" t="s">
        <v>72</v>
      </c>
      <c r="K146" s="153">
        <v>7.3209999999999997</v>
      </c>
      <c r="L146" s="133" t="str">
        <f>VLOOKUP(K146,Liste!$L$2:$O$34,4,1)</f>
        <v>GSMR_02/03</v>
      </c>
      <c r="M146" s="133" t="s">
        <v>36</v>
      </c>
      <c r="N146" s="180" t="s">
        <v>37</v>
      </c>
      <c r="O146" s="125" t="s">
        <v>427</v>
      </c>
      <c r="P146" s="126"/>
      <c r="Q146" s="94" t="s">
        <v>54</v>
      </c>
      <c r="R146" s="91" t="s">
        <v>428</v>
      </c>
      <c r="S146" s="94" t="s">
        <v>429</v>
      </c>
      <c r="T146" s="94" t="s">
        <v>56</v>
      </c>
      <c r="U146" s="94" t="s">
        <v>97</v>
      </c>
      <c r="V146" s="94" t="s">
        <v>51</v>
      </c>
      <c r="W146" s="124" t="s">
        <v>51</v>
      </c>
      <c r="X146" s="94" t="s">
        <v>52</v>
      </c>
      <c r="Y146" s="94" t="s">
        <v>45</v>
      </c>
      <c r="Z146" s="94"/>
      <c r="AA146" s="94"/>
      <c r="AB146" s="94"/>
      <c r="AC146" s="94"/>
      <c r="AD146" s="94"/>
      <c r="AE146" s="94"/>
      <c r="AF146" s="94"/>
      <c r="AG146" s="94"/>
      <c r="AH146" s="94"/>
    </row>
    <row r="147" spans="1:34" customFormat="1" ht="30">
      <c r="A147" s="120">
        <v>146</v>
      </c>
      <c r="B147" s="120" t="b">
        <f t="shared" ca="1" si="2"/>
        <v>0</v>
      </c>
      <c r="C147" s="135">
        <v>45402</v>
      </c>
      <c r="D147" s="123">
        <v>0.44</v>
      </c>
      <c r="E147" s="118">
        <v>2018</v>
      </c>
      <c r="F147" s="91">
        <v>1209</v>
      </c>
      <c r="G147" s="91" t="s">
        <v>34</v>
      </c>
      <c r="H147" s="91">
        <v>1058</v>
      </c>
      <c r="I147" s="115" t="s">
        <v>426</v>
      </c>
      <c r="J147" s="91" t="s">
        <v>35</v>
      </c>
      <c r="K147" s="133">
        <v>135.58500000000001</v>
      </c>
      <c r="L147" s="133" t="str">
        <f>VLOOKUP(K147,Liste!$L$2:$O$34,4,1)</f>
        <v>GSMR_23/24</v>
      </c>
      <c r="M147" s="133" t="s">
        <v>36</v>
      </c>
      <c r="N147" s="180" t="s">
        <v>37</v>
      </c>
      <c r="O147" s="125" t="s">
        <v>430</v>
      </c>
      <c r="P147" s="126"/>
      <c r="Q147" s="124" t="s">
        <v>39</v>
      </c>
      <c r="R147" s="91" t="s">
        <v>194</v>
      </c>
      <c r="S147" s="91" t="s">
        <v>355</v>
      </c>
      <c r="T147" s="91" t="s">
        <v>69</v>
      </c>
      <c r="U147" s="91" t="s">
        <v>90</v>
      </c>
      <c r="V147" s="91" t="s">
        <v>51</v>
      </c>
      <c r="W147" s="134" t="s">
        <v>51</v>
      </c>
      <c r="X147" s="94" t="s">
        <v>52</v>
      </c>
      <c r="Y147" s="91" t="s">
        <v>45</v>
      </c>
      <c r="Z147" s="91"/>
      <c r="AA147" s="91"/>
      <c r="AB147" s="91"/>
      <c r="AC147" s="91"/>
      <c r="AD147" s="91"/>
      <c r="AE147" s="91"/>
      <c r="AF147" s="91"/>
      <c r="AG147" s="91"/>
      <c r="AH147" s="91"/>
    </row>
    <row r="148" spans="1:34" customFormat="1" ht="30">
      <c r="A148" s="120">
        <v>147</v>
      </c>
      <c r="B148" s="120" t="b">
        <f t="shared" ca="1" si="2"/>
        <v>0</v>
      </c>
      <c r="C148" s="135">
        <v>45403</v>
      </c>
      <c r="D148" s="123">
        <v>0.35760416666666667</v>
      </c>
      <c r="E148" s="118">
        <v>2009</v>
      </c>
      <c r="F148" s="91">
        <v>1206</v>
      </c>
      <c r="G148" s="91" t="s">
        <v>34</v>
      </c>
      <c r="H148" s="91">
        <v>1055</v>
      </c>
      <c r="I148" s="115" t="s">
        <v>426</v>
      </c>
      <c r="J148" s="91" t="s">
        <v>35</v>
      </c>
      <c r="K148" s="133">
        <v>146.738</v>
      </c>
      <c r="L148" s="133" t="str">
        <f>VLOOKUP(K148,Liste!$L$2:$O$34,4,1)</f>
        <v>GSMR_25/26</v>
      </c>
      <c r="M148" s="133" t="s">
        <v>36</v>
      </c>
      <c r="N148" s="180" t="s">
        <v>37</v>
      </c>
      <c r="O148" s="125" t="s">
        <v>431</v>
      </c>
      <c r="P148" s="126"/>
      <c r="Q148" s="124" t="s">
        <v>39</v>
      </c>
      <c r="R148" s="91" t="s">
        <v>194</v>
      </c>
      <c r="S148" s="91" t="s">
        <v>432</v>
      </c>
      <c r="T148" s="91" t="s">
        <v>116</v>
      </c>
      <c r="U148" s="91" t="s">
        <v>339</v>
      </c>
      <c r="V148" s="91" t="s">
        <v>51</v>
      </c>
      <c r="W148" s="134" t="s">
        <v>51</v>
      </c>
      <c r="X148" s="94" t="s">
        <v>400</v>
      </c>
      <c r="Y148" s="91" t="s">
        <v>45</v>
      </c>
      <c r="Z148" s="91"/>
      <c r="AA148" s="91"/>
      <c r="AB148" s="91"/>
      <c r="AC148" s="91"/>
      <c r="AD148" s="91"/>
      <c r="AE148" s="91"/>
      <c r="AF148" s="91"/>
      <c r="AG148" s="91"/>
      <c r="AH148" s="91"/>
    </row>
    <row r="149" spans="1:34" customFormat="1" ht="30">
      <c r="A149" s="120">
        <v>148</v>
      </c>
      <c r="B149" s="120" t="b">
        <f t="shared" ca="1" si="2"/>
        <v>0</v>
      </c>
      <c r="C149" s="135">
        <v>45403</v>
      </c>
      <c r="D149" s="123">
        <v>0.63822916666666663</v>
      </c>
      <c r="E149" s="118">
        <v>2037</v>
      </c>
      <c r="F149" s="91">
        <v>1203</v>
      </c>
      <c r="G149" s="91" t="s">
        <v>34</v>
      </c>
      <c r="H149" s="91">
        <v>1025</v>
      </c>
      <c r="I149" s="115" t="s">
        <v>426</v>
      </c>
      <c r="J149" s="91" t="s">
        <v>35</v>
      </c>
      <c r="K149" s="133">
        <v>56.555</v>
      </c>
      <c r="L149" s="133" t="str">
        <f>VLOOKUP(K149,Liste!$L$2:$O$34,4,1)</f>
        <v>GSMR_10/11</v>
      </c>
      <c r="M149" s="133" t="s">
        <v>36</v>
      </c>
      <c r="N149" s="181" t="s">
        <v>58</v>
      </c>
      <c r="O149" s="125" t="s">
        <v>433</v>
      </c>
      <c r="P149" s="126"/>
      <c r="Q149" s="124" t="s">
        <v>39</v>
      </c>
      <c r="R149" s="91" t="s">
        <v>194</v>
      </c>
      <c r="S149" s="91" t="s">
        <v>434</v>
      </c>
      <c r="T149" s="91" t="s">
        <v>116</v>
      </c>
      <c r="U149" s="91" t="s">
        <v>408</v>
      </c>
      <c r="V149" s="91" t="s">
        <v>51</v>
      </c>
      <c r="W149" s="134" t="s">
        <v>51</v>
      </c>
      <c r="X149" s="94" t="s">
        <v>52</v>
      </c>
      <c r="Y149" s="91" t="s">
        <v>45</v>
      </c>
      <c r="Z149" s="91"/>
      <c r="AA149" s="91"/>
      <c r="AB149" s="91"/>
      <c r="AC149" s="91"/>
      <c r="AD149" s="91"/>
      <c r="AE149" s="91"/>
      <c r="AF149" s="91"/>
      <c r="AG149" s="91"/>
      <c r="AH149" s="91"/>
    </row>
    <row r="150" spans="1:34" customFormat="1" ht="30">
      <c r="A150" s="120">
        <v>149</v>
      </c>
      <c r="B150" s="120" t="b">
        <f t="shared" ca="1" si="2"/>
        <v>0</v>
      </c>
      <c r="C150" s="135">
        <v>45404</v>
      </c>
      <c r="D150" s="123">
        <v>0.58934027777777775</v>
      </c>
      <c r="E150" s="118">
        <v>2033</v>
      </c>
      <c r="F150" s="91">
        <v>1209</v>
      </c>
      <c r="G150" s="91" t="s">
        <v>34</v>
      </c>
      <c r="H150" s="91">
        <v>7208</v>
      </c>
      <c r="I150" s="115">
        <v>35214500004427</v>
      </c>
      <c r="J150" s="91" t="s">
        <v>35</v>
      </c>
      <c r="K150" s="133">
        <v>14.99</v>
      </c>
      <c r="L150" s="133" t="str">
        <f>VLOOKUP(K150,Liste!$L$2:$O$34,4,1)</f>
        <v>GSMR_03/04</v>
      </c>
      <c r="M150" s="133" t="s">
        <v>36</v>
      </c>
      <c r="N150" s="180" t="s">
        <v>37</v>
      </c>
      <c r="O150" s="125" t="s">
        <v>435</v>
      </c>
      <c r="P150" s="126"/>
      <c r="Q150" s="124" t="s">
        <v>39</v>
      </c>
      <c r="R150" s="91" t="s">
        <v>194</v>
      </c>
      <c r="S150" s="91" t="s">
        <v>436</v>
      </c>
      <c r="T150" s="91" t="s">
        <v>101</v>
      </c>
      <c r="U150" s="91" t="s">
        <v>172</v>
      </c>
      <c r="V150" s="91" t="s">
        <v>51</v>
      </c>
      <c r="W150" s="134" t="s">
        <v>51</v>
      </c>
      <c r="X150" s="94" t="s">
        <v>52</v>
      </c>
      <c r="Y150" s="91" t="s">
        <v>45</v>
      </c>
      <c r="Z150" s="91"/>
      <c r="AA150" s="91"/>
      <c r="AB150" s="91"/>
      <c r="AC150" s="91"/>
      <c r="AD150" s="91"/>
      <c r="AE150" s="91"/>
      <c r="AF150" s="91"/>
      <c r="AG150" s="91"/>
      <c r="AH150" s="91"/>
    </row>
    <row r="151" spans="1:34" customFormat="1" ht="30">
      <c r="A151" s="120">
        <v>150</v>
      </c>
      <c r="B151" s="120" t="b">
        <f t="shared" ca="1" si="2"/>
        <v>0</v>
      </c>
      <c r="C151" s="135">
        <v>45405</v>
      </c>
      <c r="D151" s="123">
        <v>0.5404282407407407</v>
      </c>
      <c r="E151" s="118">
        <v>1021</v>
      </c>
      <c r="F151" s="91">
        <v>1208</v>
      </c>
      <c r="G151" s="91" t="s">
        <v>71</v>
      </c>
      <c r="H151" s="91">
        <v>1045</v>
      </c>
      <c r="I151" s="115" t="s">
        <v>426</v>
      </c>
      <c r="J151" s="91" t="s">
        <v>72</v>
      </c>
      <c r="K151" s="133">
        <v>35.015999999999998</v>
      </c>
      <c r="L151" s="133" t="str">
        <f>VLOOKUP(K151,Liste!$L$2:$O$34,4,1)</f>
        <v>GSMR_06/07</v>
      </c>
      <c r="M151" s="133" t="s">
        <v>36</v>
      </c>
      <c r="N151" s="181" t="s">
        <v>58</v>
      </c>
      <c r="O151" s="125" t="s">
        <v>437</v>
      </c>
      <c r="P151" s="126"/>
      <c r="Q151" s="124" t="s">
        <v>39</v>
      </c>
      <c r="R151" s="91" t="s">
        <v>194</v>
      </c>
      <c r="S151" s="91" t="s">
        <v>438</v>
      </c>
      <c r="T151" s="91" t="s">
        <v>78</v>
      </c>
      <c r="U151" s="91" t="s">
        <v>205</v>
      </c>
      <c r="V151" s="91" t="s">
        <v>51</v>
      </c>
      <c r="W151" s="134" t="s">
        <v>51</v>
      </c>
      <c r="X151" s="94" t="s">
        <v>52</v>
      </c>
      <c r="Y151" s="91" t="s">
        <v>45</v>
      </c>
      <c r="Z151" s="91"/>
      <c r="AA151" s="91"/>
      <c r="AB151" s="91"/>
      <c r="AC151" s="91"/>
      <c r="AD151" s="91"/>
      <c r="AE151" s="91"/>
      <c r="AF151" s="91"/>
      <c r="AG151" s="91"/>
      <c r="AH151" s="91"/>
    </row>
    <row r="152" spans="1:34" customFormat="1" ht="30">
      <c r="A152" s="120">
        <v>151</v>
      </c>
      <c r="B152" s="120" t="b">
        <f t="shared" ca="1" si="2"/>
        <v>0</v>
      </c>
      <c r="C152" s="135">
        <v>45405</v>
      </c>
      <c r="D152" s="123">
        <v>0.59945601851851849</v>
      </c>
      <c r="E152" s="118">
        <v>2033</v>
      </c>
      <c r="F152" s="91">
        <v>1202</v>
      </c>
      <c r="G152" s="91" t="s">
        <v>34</v>
      </c>
      <c r="H152" s="91">
        <v>1043</v>
      </c>
      <c r="I152" s="115" t="s">
        <v>426</v>
      </c>
      <c r="J152" s="91" t="s">
        <v>35</v>
      </c>
      <c r="K152" s="133">
        <v>81.777000000000001</v>
      </c>
      <c r="L152" s="133" t="str">
        <f>VLOOKUP(K152,Liste!$L$2:$O$34,4,1)</f>
        <v>GSMR_15/16</v>
      </c>
      <c r="M152" s="133" t="s">
        <v>36</v>
      </c>
      <c r="N152" s="180" t="s">
        <v>37</v>
      </c>
      <c r="O152" s="125" t="s">
        <v>439</v>
      </c>
      <c r="P152" s="126"/>
      <c r="Q152" s="124" t="s">
        <v>39</v>
      </c>
      <c r="R152" s="91" t="s">
        <v>194</v>
      </c>
      <c r="S152" s="91" t="s">
        <v>440</v>
      </c>
      <c r="T152" s="91" t="s">
        <v>116</v>
      </c>
      <c r="U152" s="91" t="s">
        <v>79</v>
      </c>
      <c r="V152" s="91" t="s">
        <v>51</v>
      </c>
      <c r="W152" s="134" t="s">
        <v>51</v>
      </c>
      <c r="X152" s="94" t="s">
        <v>400</v>
      </c>
      <c r="Y152" s="91" t="s">
        <v>45</v>
      </c>
      <c r="Z152" s="91"/>
      <c r="AA152" s="91"/>
      <c r="AB152" s="91"/>
      <c r="AC152" s="91"/>
      <c r="AD152" s="91"/>
      <c r="AE152" s="91"/>
      <c r="AF152" s="91"/>
      <c r="AG152" s="91"/>
      <c r="AH152" s="91"/>
    </row>
    <row r="153" spans="1:34" customFormat="1" ht="30">
      <c r="A153" s="120">
        <v>152</v>
      </c>
      <c r="B153" s="120" t="b">
        <f t="shared" ca="1" si="2"/>
        <v>0</v>
      </c>
      <c r="C153" s="135">
        <v>45406</v>
      </c>
      <c r="D153" s="123">
        <v>0.4135300925925926</v>
      </c>
      <c r="E153" s="118">
        <v>1009</v>
      </c>
      <c r="F153" s="91">
        <v>1205</v>
      </c>
      <c r="G153" s="91" t="s">
        <v>71</v>
      </c>
      <c r="H153" s="91">
        <v>1035</v>
      </c>
      <c r="I153" s="115" t="s">
        <v>426</v>
      </c>
      <c r="J153" s="91" t="s">
        <v>72</v>
      </c>
      <c r="K153" s="133">
        <v>78.155000000000001</v>
      </c>
      <c r="L153" s="133" t="str">
        <f>VLOOKUP(K153,Liste!$L$2:$O$34,4,1)</f>
        <v>GSMR_14/15</v>
      </c>
      <c r="M153" s="133" t="s">
        <v>36</v>
      </c>
      <c r="N153" s="181" t="s">
        <v>58</v>
      </c>
      <c r="O153" s="125" t="s">
        <v>441</v>
      </c>
      <c r="P153" s="126"/>
      <c r="Q153" s="124" t="s">
        <v>39</v>
      </c>
      <c r="R153" s="91" t="s">
        <v>194</v>
      </c>
      <c r="S153" s="91" t="s">
        <v>391</v>
      </c>
      <c r="T153" s="91" t="s">
        <v>69</v>
      </c>
      <c r="U153" s="91" t="s">
        <v>230</v>
      </c>
      <c r="V153" s="91" t="s">
        <v>51</v>
      </c>
      <c r="W153" s="134" t="s">
        <v>51</v>
      </c>
      <c r="X153" s="94" t="s">
        <v>52</v>
      </c>
      <c r="Y153" s="91" t="s">
        <v>45</v>
      </c>
      <c r="Z153" s="91"/>
      <c r="AA153" s="91"/>
      <c r="AB153" s="91"/>
      <c r="AC153" s="91"/>
      <c r="AD153" s="91"/>
      <c r="AE153" s="91"/>
      <c r="AF153" s="91"/>
      <c r="AG153" s="91"/>
      <c r="AH153" s="91"/>
    </row>
    <row r="154" spans="1:34" customFormat="1" ht="30">
      <c r="A154" s="120">
        <v>153</v>
      </c>
      <c r="B154" s="120" t="b">
        <f t="shared" ca="1" si="2"/>
        <v>0</v>
      </c>
      <c r="C154" s="135">
        <v>45406</v>
      </c>
      <c r="D154" s="123">
        <v>0.77777777777777779</v>
      </c>
      <c r="E154" s="91">
        <v>1045</v>
      </c>
      <c r="F154" s="91">
        <v>1206</v>
      </c>
      <c r="G154" s="91" t="s">
        <v>71</v>
      </c>
      <c r="H154" s="91">
        <v>1040</v>
      </c>
      <c r="I154" s="115" t="s">
        <v>426</v>
      </c>
      <c r="J154" s="91" t="s">
        <v>72</v>
      </c>
      <c r="K154" s="91">
        <v>122.536</v>
      </c>
      <c r="L154" s="91" t="str">
        <f>VLOOKUP(K154,Liste!$L$2:$O$34,4,1)</f>
        <v>GSMR_21/22</v>
      </c>
      <c r="M154" s="133" t="s">
        <v>36</v>
      </c>
      <c r="N154" s="180" t="s">
        <v>37</v>
      </c>
      <c r="O154" s="125" t="s">
        <v>442</v>
      </c>
      <c r="P154" s="126"/>
      <c r="Q154" s="124" t="s">
        <v>39</v>
      </c>
      <c r="R154" s="91" t="s">
        <v>194</v>
      </c>
      <c r="S154" s="91" t="s">
        <v>443</v>
      </c>
      <c r="T154" s="91" t="s">
        <v>56</v>
      </c>
      <c r="U154" s="91" t="s">
        <v>234</v>
      </c>
      <c r="V154" s="91" t="s">
        <v>51</v>
      </c>
      <c r="W154" s="91" t="s">
        <v>51</v>
      </c>
      <c r="X154" s="94" t="s">
        <v>52</v>
      </c>
      <c r="Y154" s="91" t="s">
        <v>45</v>
      </c>
      <c r="Z154" s="91"/>
      <c r="AA154" s="91"/>
      <c r="AB154" s="91"/>
      <c r="AC154" s="91"/>
      <c r="AD154" s="91"/>
      <c r="AE154" s="91"/>
      <c r="AF154" s="91"/>
      <c r="AG154" s="91"/>
      <c r="AH154" s="91"/>
    </row>
    <row r="155" spans="1:34" customFormat="1" ht="30">
      <c r="A155" s="120">
        <v>154</v>
      </c>
      <c r="B155" s="120" t="b">
        <f t="shared" ca="1" si="2"/>
        <v>0</v>
      </c>
      <c r="C155" s="135">
        <v>45407</v>
      </c>
      <c r="D155" s="123">
        <v>0.43831018518518516</v>
      </c>
      <c r="E155" s="118">
        <v>1014</v>
      </c>
      <c r="F155" s="91">
        <v>1203</v>
      </c>
      <c r="G155" s="91" t="s">
        <v>71</v>
      </c>
      <c r="H155" s="91">
        <v>1027</v>
      </c>
      <c r="I155" s="115" t="s">
        <v>426</v>
      </c>
      <c r="J155" s="91" t="s">
        <v>72</v>
      </c>
      <c r="K155" s="133">
        <v>165.298</v>
      </c>
      <c r="L155" s="133" t="str">
        <f>VLOOKUP(K155,Liste!$L$2:$O$34,4,1)</f>
        <v>GSMR_28/29</v>
      </c>
      <c r="M155" s="133" t="s">
        <v>36</v>
      </c>
      <c r="N155" s="180" t="s">
        <v>37</v>
      </c>
      <c r="O155" s="125" t="s">
        <v>444</v>
      </c>
      <c r="P155" s="126"/>
      <c r="Q155" s="124" t="s">
        <v>39</v>
      </c>
      <c r="R155" s="91" t="s">
        <v>194</v>
      </c>
      <c r="S155" s="91" t="s">
        <v>445</v>
      </c>
      <c r="T155" s="91" t="s">
        <v>56</v>
      </c>
      <c r="U155" s="91" t="s">
        <v>75</v>
      </c>
      <c r="V155" s="91" t="s">
        <v>51</v>
      </c>
      <c r="W155" s="134" t="s">
        <v>43</v>
      </c>
      <c r="X155" s="94" t="s">
        <v>400</v>
      </c>
      <c r="Y155" s="91" t="s">
        <v>45</v>
      </c>
      <c r="Z155" s="91"/>
      <c r="AA155" s="91"/>
      <c r="AB155" s="91"/>
      <c r="AC155" s="91"/>
      <c r="AD155" s="91"/>
      <c r="AE155" s="91"/>
      <c r="AF155" s="91"/>
      <c r="AG155" s="91"/>
      <c r="AH155" s="91"/>
    </row>
    <row r="156" spans="1:34" customFormat="1" ht="30">
      <c r="A156" s="120">
        <v>155</v>
      </c>
      <c r="B156" s="120" t="b">
        <f t="shared" ca="1" si="2"/>
        <v>0</v>
      </c>
      <c r="C156" s="135">
        <v>45407</v>
      </c>
      <c r="D156" s="123">
        <v>0.44071759259259258</v>
      </c>
      <c r="E156" s="118">
        <v>1014</v>
      </c>
      <c r="F156" s="91">
        <v>1203</v>
      </c>
      <c r="G156" s="91" t="s">
        <v>71</v>
      </c>
      <c r="H156" s="91">
        <v>1027</v>
      </c>
      <c r="I156" s="115" t="s">
        <v>426</v>
      </c>
      <c r="J156" s="91" t="s">
        <v>72</v>
      </c>
      <c r="K156" s="133">
        <v>152.488</v>
      </c>
      <c r="L156" s="133" t="str">
        <f>VLOOKUP(K156,Liste!$L$2:$O$34,4,1)</f>
        <v>GSMR_26/27</v>
      </c>
      <c r="M156" s="133" t="s">
        <v>36</v>
      </c>
      <c r="N156" s="180" t="s">
        <v>37</v>
      </c>
      <c r="O156" s="125" t="s">
        <v>446</v>
      </c>
      <c r="P156" s="126"/>
      <c r="Q156" s="124" t="s">
        <v>39</v>
      </c>
      <c r="R156" s="91" t="s">
        <v>194</v>
      </c>
      <c r="S156" s="91" t="s">
        <v>447</v>
      </c>
      <c r="T156" s="91" t="s">
        <v>69</v>
      </c>
      <c r="U156" s="91" t="s">
        <v>57</v>
      </c>
      <c r="V156" s="91" t="s">
        <v>51</v>
      </c>
      <c r="W156" s="91" t="s">
        <v>51</v>
      </c>
      <c r="X156" s="94" t="s">
        <v>52</v>
      </c>
      <c r="Y156" s="94" t="s">
        <v>227</v>
      </c>
      <c r="Z156" s="91"/>
      <c r="AA156" s="91"/>
      <c r="AB156" s="91"/>
      <c r="AC156" s="91"/>
      <c r="AD156" s="91"/>
      <c r="AE156" s="91"/>
      <c r="AF156" s="91"/>
      <c r="AG156" s="91"/>
      <c r="AH156" s="91"/>
    </row>
    <row r="157" spans="1:34" customFormat="1" ht="30">
      <c r="A157" s="120">
        <v>156</v>
      </c>
      <c r="B157" s="120" t="b">
        <f t="shared" ca="1" si="2"/>
        <v>0</v>
      </c>
      <c r="C157" s="135">
        <v>45407</v>
      </c>
      <c r="D157" s="123">
        <v>0.58671296296296294</v>
      </c>
      <c r="E157" s="118">
        <v>1025</v>
      </c>
      <c r="F157" s="91">
        <v>1208</v>
      </c>
      <c r="G157" s="91" t="s">
        <v>71</v>
      </c>
      <c r="H157" s="91">
        <v>1044</v>
      </c>
      <c r="I157" s="115" t="s">
        <v>426</v>
      </c>
      <c r="J157" s="91" t="s">
        <v>72</v>
      </c>
      <c r="K157" s="153">
        <v>7.3209999999999997</v>
      </c>
      <c r="L157" s="133" t="str">
        <f>VLOOKUP(K157,Liste!$L$2:$O$34,4,1)</f>
        <v>GSMR_02/03</v>
      </c>
      <c r="M157" s="133" t="s">
        <v>36</v>
      </c>
      <c r="N157" s="181" t="s">
        <v>58</v>
      </c>
      <c r="O157" s="125" t="s">
        <v>448</v>
      </c>
      <c r="P157" s="126"/>
      <c r="Q157" s="94" t="s">
        <v>54</v>
      </c>
      <c r="R157" s="91" t="s">
        <v>428</v>
      </c>
      <c r="S157" s="91" t="s">
        <v>74</v>
      </c>
      <c r="T157" s="91" t="s">
        <v>56</v>
      </c>
      <c r="U157" s="91" t="s">
        <v>449</v>
      </c>
      <c r="V157" s="91" t="s">
        <v>51</v>
      </c>
      <c r="W157" s="134" t="s">
        <v>51</v>
      </c>
      <c r="X157" s="94" t="s">
        <v>52</v>
      </c>
      <c r="Y157" s="91" t="s">
        <v>45</v>
      </c>
      <c r="Z157" s="91"/>
      <c r="AA157" s="91"/>
      <c r="AB157" s="91"/>
      <c r="AC157" s="91"/>
      <c r="AD157" s="91"/>
      <c r="AE157" s="91"/>
      <c r="AF157" s="91"/>
      <c r="AG157" s="91"/>
      <c r="AH157" s="91"/>
    </row>
    <row r="158" spans="1:34" customFormat="1" ht="30">
      <c r="A158" s="120">
        <v>157</v>
      </c>
      <c r="B158" s="120" t="b">
        <f t="shared" ca="1" si="2"/>
        <v>0</v>
      </c>
      <c r="C158" s="135">
        <v>45407</v>
      </c>
      <c r="D158" s="123">
        <v>0.74291666666666667</v>
      </c>
      <c r="E158" s="118">
        <v>1041</v>
      </c>
      <c r="F158" s="91">
        <v>1202</v>
      </c>
      <c r="G158" s="91" t="s">
        <v>71</v>
      </c>
      <c r="H158" s="91">
        <v>1022</v>
      </c>
      <c r="I158" s="115" t="s">
        <v>426</v>
      </c>
      <c r="J158" s="91" t="s">
        <v>72</v>
      </c>
      <c r="K158" s="133">
        <v>73.525999999999996</v>
      </c>
      <c r="L158" s="133" t="str">
        <f>VLOOKUP(K158,Liste!$L$2:$O$34,4,1)</f>
        <v>GSMR_13/14</v>
      </c>
      <c r="M158" s="133" t="s">
        <v>36</v>
      </c>
      <c r="N158" s="180" t="s">
        <v>37</v>
      </c>
      <c r="O158" s="125" t="s">
        <v>450</v>
      </c>
      <c r="P158" s="126"/>
      <c r="Q158" s="124" t="s">
        <v>39</v>
      </c>
      <c r="R158" s="91" t="s">
        <v>194</v>
      </c>
      <c r="S158" s="91" t="s">
        <v>163</v>
      </c>
      <c r="T158" s="91" t="s">
        <v>209</v>
      </c>
      <c r="U158" s="91" t="s">
        <v>172</v>
      </c>
      <c r="V158" s="91" t="s">
        <v>51</v>
      </c>
      <c r="W158" s="134" t="s">
        <v>51</v>
      </c>
      <c r="X158" s="94" t="s">
        <v>52</v>
      </c>
      <c r="Y158" s="91" t="s">
        <v>45</v>
      </c>
      <c r="Z158" s="91"/>
      <c r="AA158" s="91"/>
      <c r="AB158" s="91"/>
      <c r="AC158" s="91"/>
      <c r="AD158" s="91"/>
      <c r="AE158" s="91"/>
      <c r="AF158" s="91"/>
      <c r="AG158" s="91"/>
      <c r="AH158" s="91"/>
    </row>
    <row r="159" spans="1:34" customFormat="1" ht="30">
      <c r="A159" s="120">
        <v>158</v>
      </c>
      <c r="B159" s="120" t="b">
        <f t="shared" ca="1" si="2"/>
        <v>0</v>
      </c>
      <c r="C159" s="135">
        <v>45407</v>
      </c>
      <c r="D159" s="123">
        <v>0.83627314814814813</v>
      </c>
      <c r="E159" s="118">
        <v>1049</v>
      </c>
      <c r="F159" s="91">
        <v>1209</v>
      </c>
      <c r="G159" s="91" t="s">
        <v>71</v>
      </c>
      <c r="H159" s="91">
        <v>1033</v>
      </c>
      <c r="I159" s="115" t="s">
        <v>426</v>
      </c>
      <c r="J159" s="91" t="s">
        <v>72</v>
      </c>
      <c r="K159" s="153">
        <v>7.3209999999999997</v>
      </c>
      <c r="L159" s="133" t="str">
        <f>VLOOKUP(K159,Liste!$L$2:$O$34,4,1)</f>
        <v>GSMR_02/03</v>
      </c>
      <c r="M159" s="133" t="s">
        <v>36</v>
      </c>
      <c r="N159" s="181" t="s">
        <v>58</v>
      </c>
      <c r="O159" s="125" t="s">
        <v>451</v>
      </c>
      <c r="P159" s="126"/>
      <c r="Q159" s="94" t="s">
        <v>54</v>
      </c>
      <c r="R159" s="91" t="s">
        <v>428</v>
      </c>
      <c r="S159" s="94" t="s">
        <v>452</v>
      </c>
      <c r="T159" s="94" t="s">
        <v>56</v>
      </c>
      <c r="U159" s="94" t="s">
        <v>339</v>
      </c>
      <c r="V159" s="94" t="s">
        <v>51</v>
      </c>
      <c r="W159" s="124" t="s">
        <v>51</v>
      </c>
      <c r="X159" s="94" t="s">
        <v>52</v>
      </c>
      <c r="Y159" s="94" t="s">
        <v>45</v>
      </c>
      <c r="Z159" s="140"/>
      <c r="AA159" s="140"/>
      <c r="AB159" s="140"/>
      <c r="AC159" s="140"/>
      <c r="AD159" s="140"/>
      <c r="AE159" s="140"/>
      <c r="AF159" s="140"/>
      <c r="AG159" s="140"/>
      <c r="AH159" s="140"/>
    </row>
    <row r="160" spans="1:34" customFormat="1" ht="30">
      <c r="A160" s="120">
        <v>159</v>
      </c>
      <c r="B160" s="120" t="b">
        <f t="shared" ca="1" si="2"/>
        <v>0</v>
      </c>
      <c r="C160" s="135">
        <v>45408</v>
      </c>
      <c r="D160" s="123">
        <v>0.75930555555555557</v>
      </c>
      <c r="E160" s="118">
        <v>2049</v>
      </c>
      <c r="F160" s="91">
        <v>1201</v>
      </c>
      <c r="G160" s="91" t="s">
        <v>34</v>
      </c>
      <c r="H160" s="91">
        <v>1033</v>
      </c>
      <c r="I160" s="115"/>
      <c r="J160" s="91" t="s">
        <v>35</v>
      </c>
      <c r="K160" s="133">
        <v>31.350999999999999</v>
      </c>
      <c r="L160" s="133" t="str">
        <f>VLOOKUP(K160,Liste!$L$2:$O$34,4,1)</f>
        <v>GSMR_06/07</v>
      </c>
      <c r="M160" s="133" t="s">
        <v>36</v>
      </c>
      <c r="N160" s="180" t="s">
        <v>37</v>
      </c>
      <c r="O160" s="125" t="s">
        <v>453</v>
      </c>
      <c r="P160" s="126"/>
      <c r="Q160" s="124" t="s">
        <v>39</v>
      </c>
      <c r="R160" s="91" t="s">
        <v>194</v>
      </c>
      <c r="S160" s="94" t="s">
        <v>454</v>
      </c>
      <c r="T160" s="94" t="s">
        <v>101</v>
      </c>
      <c r="U160" s="94" t="s">
        <v>425</v>
      </c>
      <c r="V160" s="94" t="s">
        <v>51</v>
      </c>
      <c r="W160" s="124" t="s">
        <v>51</v>
      </c>
      <c r="X160" s="94" t="s">
        <v>52</v>
      </c>
      <c r="Y160" s="94" t="s">
        <v>45</v>
      </c>
      <c r="Z160" s="91"/>
      <c r="AA160" s="91"/>
      <c r="AB160" s="91"/>
      <c r="AC160" s="91"/>
      <c r="AD160" s="91"/>
      <c r="AE160" s="91"/>
      <c r="AF160" s="91"/>
      <c r="AG160" s="91"/>
      <c r="AH160" s="91"/>
    </row>
    <row r="161" spans="1:34" customFormat="1" ht="30">
      <c r="A161" s="120">
        <v>160</v>
      </c>
      <c r="B161" s="120" t="b">
        <f t="shared" ca="1" si="2"/>
        <v>0</v>
      </c>
      <c r="C161" s="135">
        <v>45408</v>
      </c>
      <c r="D161" s="123">
        <v>0.90276620370370375</v>
      </c>
      <c r="E161" s="118">
        <v>1058</v>
      </c>
      <c r="F161" s="91">
        <v>1202</v>
      </c>
      <c r="G161" s="91" t="s">
        <v>71</v>
      </c>
      <c r="H161" s="91">
        <v>1023</v>
      </c>
      <c r="I161" s="115"/>
      <c r="J161" s="91" t="s">
        <v>72</v>
      </c>
      <c r="K161" s="133">
        <v>143.11199999999999</v>
      </c>
      <c r="L161" s="133" t="str">
        <f>VLOOKUP(K161,Liste!$L$2:$O$34,4,1)</f>
        <v>GSMR_24/25</v>
      </c>
      <c r="M161" s="133" t="s">
        <v>36</v>
      </c>
      <c r="N161" s="181" t="s">
        <v>58</v>
      </c>
      <c r="O161" s="125" t="s">
        <v>455</v>
      </c>
      <c r="P161" s="126"/>
      <c r="Q161" s="124" t="s">
        <v>39</v>
      </c>
      <c r="R161" s="91" t="s">
        <v>194</v>
      </c>
      <c r="S161" s="94" t="s">
        <v>456</v>
      </c>
      <c r="T161" s="94" t="s">
        <v>78</v>
      </c>
      <c r="U161" s="94" t="s">
        <v>90</v>
      </c>
      <c r="V161" s="94" t="s">
        <v>51</v>
      </c>
      <c r="W161" s="124" t="s">
        <v>51</v>
      </c>
      <c r="X161" s="94" t="s">
        <v>52</v>
      </c>
      <c r="Y161" s="94" t="s">
        <v>45</v>
      </c>
      <c r="Z161" s="91"/>
      <c r="AA161" s="91"/>
      <c r="AB161" s="91"/>
      <c r="AC161" s="91"/>
      <c r="AD161" s="91"/>
      <c r="AE161" s="91"/>
      <c r="AF161" s="91"/>
      <c r="AG161" s="91"/>
      <c r="AH161" s="91"/>
    </row>
    <row r="162" spans="1:34" customFormat="1" ht="30">
      <c r="A162" s="120">
        <v>161</v>
      </c>
      <c r="B162" s="120" t="b">
        <f t="shared" ca="1" si="2"/>
        <v>0</v>
      </c>
      <c r="C162" s="135">
        <v>45408</v>
      </c>
      <c r="D162" s="123">
        <v>0.86611111111111116</v>
      </c>
      <c r="E162" s="118">
        <v>1054</v>
      </c>
      <c r="F162" s="91">
        <v>1209</v>
      </c>
      <c r="G162" s="91" t="s">
        <v>71</v>
      </c>
      <c r="H162" s="91">
        <v>1033</v>
      </c>
      <c r="I162" s="115"/>
      <c r="J162" s="91" t="s">
        <v>72</v>
      </c>
      <c r="K162" s="133">
        <v>102.89</v>
      </c>
      <c r="L162" s="133" t="str">
        <f>VLOOKUP(K162,Liste!$L$2:$O$34,4,1)</f>
        <v>GSMR_18/19</v>
      </c>
      <c r="M162" s="133" t="s">
        <v>36</v>
      </c>
      <c r="N162" s="180" t="s">
        <v>37</v>
      </c>
      <c r="O162" s="125" t="s">
        <v>457</v>
      </c>
      <c r="P162" s="126"/>
      <c r="Q162" s="124" t="s">
        <v>105</v>
      </c>
      <c r="R162" s="91"/>
      <c r="S162" s="94" t="s">
        <v>208</v>
      </c>
      <c r="T162" s="94" t="s">
        <v>69</v>
      </c>
      <c r="U162" s="94" t="s">
        <v>156</v>
      </c>
      <c r="V162" s="94" t="s">
        <v>51</v>
      </c>
      <c r="W162" s="124" t="s">
        <v>51</v>
      </c>
      <c r="X162" s="94" t="s">
        <v>52</v>
      </c>
      <c r="Y162" s="94" t="s">
        <v>227</v>
      </c>
      <c r="Z162" s="91"/>
      <c r="AA162" s="91"/>
      <c r="AB162" s="91"/>
      <c r="AC162" s="91"/>
      <c r="AD162" s="91"/>
      <c r="AE162" s="91"/>
      <c r="AF162" s="91"/>
      <c r="AG162" s="91"/>
      <c r="AH162" s="91"/>
    </row>
    <row r="163" spans="1:34" customFormat="1" ht="30">
      <c r="A163" s="120">
        <v>162</v>
      </c>
      <c r="B163" s="120" t="b">
        <f t="shared" ca="1" si="2"/>
        <v>0</v>
      </c>
      <c r="C163" s="135">
        <v>45409</v>
      </c>
      <c r="D163" s="123">
        <v>0.73259259259259257</v>
      </c>
      <c r="E163" s="118">
        <v>1042</v>
      </c>
      <c r="F163" s="91">
        <v>1207</v>
      </c>
      <c r="G163" s="91" t="s">
        <v>71</v>
      </c>
      <c r="H163" s="91">
        <v>1008</v>
      </c>
      <c r="I163" s="115"/>
      <c r="J163" s="91" t="s">
        <v>72</v>
      </c>
      <c r="K163" s="133">
        <v>166.529</v>
      </c>
      <c r="L163" s="133" t="str">
        <f>VLOOKUP(K163,Liste!$L$2:$O$34,4,1)</f>
        <v>GSMR_28/29</v>
      </c>
      <c r="M163" s="133" t="s">
        <v>36</v>
      </c>
      <c r="N163" s="180" t="s">
        <v>37</v>
      </c>
      <c r="O163" s="125" t="s">
        <v>458</v>
      </c>
      <c r="P163" s="126"/>
      <c r="Q163" s="124" t="s">
        <v>39</v>
      </c>
      <c r="R163" s="91" t="s">
        <v>194</v>
      </c>
      <c r="S163" s="94" t="s">
        <v>459</v>
      </c>
      <c r="T163" s="94" t="s">
        <v>69</v>
      </c>
      <c r="U163" s="94" t="s">
        <v>387</v>
      </c>
      <c r="V163" s="94" t="s">
        <v>51</v>
      </c>
      <c r="W163" s="124" t="s">
        <v>51</v>
      </c>
      <c r="X163" s="94" t="s">
        <v>52</v>
      </c>
      <c r="Y163" s="94" t="s">
        <v>45</v>
      </c>
      <c r="Z163" s="91"/>
      <c r="AA163" s="91"/>
      <c r="AB163" s="91"/>
      <c r="AC163" s="91"/>
      <c r="AD163" s="91"/>
      <c r="AE163" s="91"/>
      <c r="AF163" s="91"/>
      <c r="AG163" s="91"/>
      <c r="AH163" s="91"/>
    </row>
    <row r="164" spans="1:34" customFormat="1" ht="30">
      <c r="A164" s="120">
        <v>163</v>
      </c>
      <c r="B164" s="120" t="b">
        <f t="shared" ca="1" si="2"/>
        <v>0</v>
      </c>
      <c r="C164" s="135">
        <v>45410</v>
      </c>
      <c r="D164" s="123">
        <v>0.39556712962962964</v>
      </c>
      <c r="E164" s="118">
        <v>1009</v>
      </c>
      <c r="F164" s="91">
        <v>1208</v>
      </c>
      <c r="G164" s="91" t="s">
        <v>71</v>
      </c>
      <c r="H164" s="91">
        <v>1045</v>
      </c>
      <c r="I164" s="115"/>
      <c r="J164" s="91" t="s">
        <v>72</v>
      </c>
      <c r="K164" s="133">
        <v>174.07400000000001</v>
      </c>
      <c r="L164" s="133" t="str">
        <f>VLOOKUP(K164,Liste!$L$2:$O$34,4,1)</f>
        <v>GSMR_29/30</v>
      </c>
      <c r="M164" s="133" t="s">
        <v>36</v>
      </c>
      <c r="N164" s="180" t="s">
        <v>37</v>
      </c>
      <c r="O164" s="125" t="s">
        <v>460</v>
      </c>
      <c r="P164" s="126"/>
      <c r="Q164" s="124" t="s">
        <v>39</v>
      </c>
      <c r="R164" s="91" t="s">
        <v>194</v>
      </c>
      <c r="S164" s="94" t="s">
        <v>237</v>
      </c>
      <c r="T164" s="94" t="s">
        <v>56</v>
      </c>
      <c r="U164" s="94" t="s">
        <v>234</v>
      </c>
      <c r="V164" s="94" t="s">
        <v>51</v>
      </c>
      <c r="W164" s="124" t="s">
        <v>51</v>
      </c>
      <c r="X164" s="94" t="s">
        <v>52</v>
      </c>
      <c r="Y164" s="94" t="s">
        <v>45</v>
      </c>
      <c r="Z164" s="91"/>
      <c r="AA164" s="91"/>
      <c r="AB164" s="91"/>
      <c r="AC164" s="91"/>
      <c r="AD164" s="91"/>
      <c r="AE164" s="91"/>
      <c r="AF164" s="91"/>
      <c r="AG164" s="91"/>
      <c r="AH164" s="91"/>
    </row>
    <row r="165" spans="1:34" customFormat="1" ht="30">
      <c r="A165" s="120">
        <v>164</v>
      </c>
      <c r="B165" s="120" t="b">
        <f t="shared" ca="1" si="2"/>
        <v>0</v>
      </c>
      <c r="C165" s="135">
        <v>45412</v>
      </c>
      <c r="D165" s="123">
        <v>0.33688657407407407</v>
      </c>
      <c r="E165" s="118">
        <v>2009</v>
      </c>
      <c r="F165" s="91">
        <v>1202</v>
      </c>
      <c r="G165" s="133" t="s">
        <v>34</v>
      </c>
      <c r="H165" s="91">
        <v>1042</v>
      </c>
      <c r="I165" s="115"/>
      <c r="J165" s="91" t="s">
        <v>35</v>
      </c>
      <c r="K165" s="153">
        <v>5.93</v>
      </c>
      <c r="L165" s="133" t="str">
        <f>VLOOKUP(K165,Liste!$L$2:$O$34,4,1)</f>
        <v>GSMR_02/03</v>
      </c>
      <c r="M165" s="133" t="s">
        <v>36</v>
      </c>
      <c r="N165" s="180" t="s">
        <v>37</v>
      </c>
      <c r="O165" s="125" t="s">
        <v>461</v>
      </c>
      <c r="P165" s="126"/>
      <c r="Q165" s="124" t="s">
        <v>47</v>
      </c>
      <c r="R165" s="91" t="s">
        <v>462</v>
      </c>
      <c r="S165" s="94" t="s">
        <v>463</v>
      </c>
      <c r="T165" s="94" t="s">
        <v>69</v>
      </c>
      <c r="U165" s="94" t="s">
        <v>425</v>
      </c>
      <c r="V165" s="94" t="s">
        <v>51</v>
      </c>
      <c r="W165" s="124" t="s">
        <v>51</v>
      </c>
      <c r="X165" s="94" t="s">
        <v>52</v>
      </c>
      <c r="Y165" s="94" t="s">
        <v>45</v>
      </c>
      <c r="Z165" s="91"/>
      <c r="AA165" s="91"/>
      <c r="AB165" s="91"/>
      <c r="AC165" s="91"/>
      <c r="AD165" s="91"/>
      <c r="AE165" s="91"/>
      <c r="AF165" s="91"/>
      <c r="AG165" s="91"/>
      <c r="AH165" s="91"/>
    </row>
    <row r="166" spans="1:34" customFormat="1" ht="30">
      <c r="A166" s="120">
        <v>165</v>
      </c>
      <c r="B166" s="120" t="b">
        <f t="shared" ca="1" si="2"/>
        <v>0</v>
      </c>
      <c r="C166" s="135">
        <v>45412</v>
      </c>
      <c r="D166" s="123">
        <v>0.72828703703703701</v>
      </c>
      <c r="E166" s="118">
        <v>2045</v>
      </c>
      <c r="F166" s="91">
        <v>1201</v>
      </c>
      <c r="G166" s="91" t="s">
        <v>34</v>
      </c>
      <c r="H166" s="91">
        <v>7198</v>
      </c>
      <c r="I166" s="115"/>
      <c r="J166" s="91" t="s">
        <v>35</v>
      </c>
      <c r="K166" s="133">
        <v>112.035</v>
      </c>
      <c r="L166" s="133" t="str">
        <f>VLOOKUP(K166,Liste!$L$2:$O$34,4,1)</f>
        <v>GSMR_20/21</v>
      </c>
      <c r="M166" s="133" t="s">
        <v>36</v>
      </c>
      <c r="N166" s="180" t="s">
        <v>37</v>
      </c>
      <c r="O166" s="125" t="s">
        <v>464</v>
      </c>
      <c r="P166" s="126"/>
      <c r="Q166" s="124" t="s">
        <v>39</v>
      </c>
      <c r="R166" s="91" t="s">
        <v>346</v>
      </c>
      <c r="S166" s="94" t="s">
        <v>465</v>
      </c>
      <c r="T166" s="94" t="s">
        <v>101</v>
      </c>
      <c r="U166" s="94" t="s">
        <v>172</v>
      </c>
      <c r="V166" s="94" t="s">
        <v>51</v>
      </c>
      <c r="W166" s="124" t="s">
        <v>51</v>
      </c>
      <c r="X166" s="94" t="s">
        <v>52</v>
      </c>
      <c r="Y166" s="94" t="s">
        <v>45</v>
      </c>
      <c r="Z166" s="91"/>
      <c r="AA166" s="91"/>
      <c r="AB166" s="91"/>
      <c r="AC166" s="91"/>
      <c r="AD166" s="91"/>
      <c r="AE166" s="91"/>
      <c r="AF166" s="91"/>
      <c r="AG166" s="91"/>
      <c r="AH166" s="91"/>
    </row>
    <row r="167" spans="1:34" customFormat="1" ht="30">
      <c r="A167" s="120">
        <v>166</v>
      </c>
      <c r="B167" s="120" t="b">
        <f t="shared" ca="1" si="2"/>
        <v>0</v>
      </c>
      <c r="C167" s="135">
        <v>45413</v>
      </c>
      <c r="D167" s="123">
        <v>0.69841435185185186</v>
      </c>
      <c r="E167" s="118">
        <v>2045</v>
      </c>
      <c r="F167" s="91">
        <v>1208</v>
      </c>
      <c r="G167" s="91" t="s">
        <v>71</v>
      </c>
      <c r="H167" s="91">
        <v>1045</v>
      </c>
      <c r="I167" s="115"/>
      <c r="J167" s="91" t="s">
        <v>72</v>
      </c>
      <c r="K167" s="133">
        <v>94.953999999999994</v>
      </c>
      <c r="L167" s="133" t="str">
        <f>VLOOKUP(K167,Liste!$L$2:$O$34,4,1)</f>
        <v>GSMR_17/18</v>
      </c>
      <c r="M167" s="133" t="s">
        <v>36</v>
      </c>
      <c r="N167" s="180" t="s">
        <v>37</v>
      </c>
      <c r="O167" s="125" t="s">
        <v>466</v>
      </c>
      <c r="P167" s="126"/>
      <c r="Q167" s="124" t="s">
        <v>39</v>
      </c>
      <c r="R167" s="91" t="s">
        <v>194</v>
      </c>
      <c r="S167" s="94" t="s">
        <v>467</v>
      </c>
      <c r="T167" s="94" t="s">
        <v>101</v>
      </c>
      <c r="U167" s="94" t="s">
        <v>172</v>
      </c>
      <c r="V167" s="94" t="s">
        <v>51</v>
      </c>
      <c r="W167" s="124" t="s">
        <v>51</v>
      </c>
      <c r="X167" s="94" t="s">
        <v>52</v>
      </c>
      <c r="Y167" s="94" t="s">
        <v>45</v>
      </c>
      <c r="Z167" s="91"/>
      <c r="AA167" s="91"/>
      <c r="AB167" s="91"/>
      <c r="AC167" s="91"/>
      <c r="AD167" s="91"/>
      <c r="AE167" s="91"/>
      <c r="AF167" s="91"/>
      <c r="AG167" s="91"/>
      <c r="AH167" s="91"/>
    </row>
    <row r="168" spans="1:34" customFormat="1" ht="30">
      <c r="A168" s="120">
        <v>167</v>
      </c>
      <c r="B168" s="120" t="b">
        <f t="shared" ca="1" si="2"/>
        <v>0</v>
      </c>
      <c r="C168" s="135">
        <v>45413</v>
      </c>
      <c r="D168" s="123">
        <v>0.71156249999999999</v>
      </c>
      <c r="E168" s="118">
        <v>2045</v>
      </c>
      <c r="F168" s="91">
        <v>1206</v>
      </c>
      <c r="G168" s="91" t="s">
        <v>34</v>
      </c>
      <c r="H168" s="91">
        <v>1054</v>
      </c>
      <c r="I168" s="115"/>
      <c r="J168" s="91" t="s">
        <v>35</v>
      </c>
      <c r="K168" s="153">
        <v>6.13</v>
      </c>
      <c r="L168" s="133" t="str">
        <f>VLOOKUP(K168,Liste!$L$2:$O$34,4,1)</f>
        <v>GSMR_02/03</v>
      </c>
      <c r="M168" s="133" t="s">
        <v>36</v>
      </c>
      <c r="N168" s="180" t="s">
        <v>37</v>
      </c>
      <c r="O168" s="125" t="s">
        <v>461</v>
      </c>
      <c r="P168" s="126"/>
      <c r="Q168" s="124" t="s">
        <v>39</v>
      </c>
      <c r="R168" s="91" t="s">
        <v>194</v>
      </c>
      <c r="S168" s="94" t="s">
        <v>468</v>
      </c>
      <c r="T168" s="94" t="s">
        <v>78</v>
      </c>
      <c r="U168" s="94" t="s">
        <v>387</v>
      </c>
      <c r="V168" s="94" t="s">
        <v>51</v>
      </c>
      <c r="W168" s="124" t="s">
        <v>51</v>
      </c>
      <c r="X168" s="94" t="s">
        <v>52</v>
      </c>
      <c r="Y168" s="94" t="s">
        <v>45</v>
      </c>
      <c r="Z168" s="91"/>
      <c r="AA168" s="91"/>
      <c r="AB168" s="91"/>
      <c r="AC168" s="91"/>
      <c r="AD168" s="91"/>
      <c r="AE168" s="91"/>
      <c r="AF168" s="91"/>
      <c r="AG168" s="91"/>
      <c r="AH168" s="91"/>
    </row>
    <row r="169" spans="1:34" customFormat="1" ht="30">
      <c r="A169" s="120">
        <v>168</v>
      </c>
      <c r="B169" s="120" t="b">
        <f t="shared" ca="1" si="2"/>
        <v>0</v>
      </c>
      <c r="C169" s="135">
        <v>45413</v>
      </c>
      <c r="D169" s="123">
        <v>0.87456018518518519</v>
      </c>
      <c r="E169" s="118">
        <v>1054</v>
      </c>
      <c r="F169" s="91">
        <v>1202</v>
      </c>
      <c r="G169" s="91" t="s">
        <v>71</v>
      </c>
      <c r="H169" s="91">
        <v>1022</v>
      </c>
      <c r="I169" s="115"/>
      <c r="J169" s="91" t="s">
        <v>72</v>
      </c>
      <c r="K169" s="133">
        <v>35.259</v>
      </c>
      <c r="L169" s="133" t="str">
        <f>VLOOKUP(K169,Liste!$L$2:$O$34,4,1)</f>
        <v>GSMR_06/07</v>
      </c>
      <c r="M169" s="133" t="s">
        <v>36</v>
      </c>
      <c r="N169" s="180" t="s">
        <v>37</v>
      </c>
      <c r="O169" s="125" t="s">
        <v>469</v>
      </c>
      <c r="P169" s="126"/>
      <c r="Q169" s="124" t="s">
        <v>39</v>
      </c>
      <c r="R169" s="91" t="s">
        <v>194</v>
      </c>
      <c r="S169" s="94" t="s">
        <v>470</v>
      </c>
      <c r="T169" s="94" t="s">
        <v>78</v>
      </c>
      <c r="U169" s="94" t="s">
        <v>230</v>
      </c>
      <c r="V169" s="94" t="s">
        <v>51</v>
      </c>
      <c r="W169" s="124" t="s">
        <v>43</v>
      </c>
      <c r="X169" s="94" t="s">
        <v>52</v>
      </c>
      <c r="Y169" s="94" t="s">
        <v>45</v>
      </c>
      <c r="Z169" s="91"/>
      <c r="AA169" s="91"/>
      <c r="AB169" s="91"/>
      <c r="AC169" s="91"/>
      <c r="AD169" s="91"/>
      <c r="AE169" s="91"/>
      <c r="AF169" s="91"/>
      <c r="AG169" s="91"/>
      <c r="AH169" s="91"/>
    </row>
    <row r="170" spans="1:34" customFormat="1" ht="30">
      <c r="A170" s="120">
        <v>169</v>
      </c>
      <c r="B170" s="120" t="b">
        <f t="shared" ca="1" si="2"/>
        <v>0</v>
      </c>
      <c r="C170" s="135">
        <v>45414</v>
      </c>
      <c r="D170" s="123">
        <v>0.31355324074074076</v>
      </c>
      <c r="E170" s="118">
        <v>2005</v>
      </c>
      <c r="F170" s="91">
        <v>1208</v>
      </c>
      <c r="G170" s="91" t="s">
        <v>34</v>
      </c>
      <c r="H170" s="91">
        <v>1037</v>
      </c>
      <c r="I170" s="115"/>
      <c r="J170" s="91" t="s">
        <v>35</v>
      </c>
      <c r="K170" s="133">
        <v>126.51</v>
      </c>
      <c r="L170" s="133" t="str">
        <f>VLOOKUP(K170,Liste!$L$2:$O$34,4,1)</f>
        <v>GSMR_22/23</v>
      </c>
      <c r="M170" s="133" t="s">
        <v>36</v>
      </c>
      <c r="N170" s="180" t="s">
        <v>37</v>
      </c>
      <c r="O170" s="125" t="s">
        <v>471</v>
      </c>
      <c r="P170" s="126"/>
      <c r="Q170" s="94" t="s">
        <v>54</v>
      </c>
      <c r="R170" s="91" t="s">
        <v>472</v>
      </c>
      <c r="S170" s="94" t="s">
        <v>473</v>
      </c>
      <c r="T170" s="94" t="s">
        <v>78</v>
      </c>
      <c r="U170" s="94" t="s">
        <v>339</v>
      </c>
      <c r="V170" s="94" t="s">
        <v>51</v>
      </c>
      <c r="W170" s="124" t="s">
        <v>51</v>
      </c>
      <c r="X170" s="94" t="s">
        <v>52</v>
      </c>
      <c r="Y170" s="94" t="s">
        <v>45</v>
      </c>
      <c r="Z170" s="91"/>
      <c r="AA170" s="91"/>
      <c r="AB170" s="91"/>
      <c r="AC170" s="91"/>
      <c r="AD170" s="91"/>
      <c r="AE170" s="91"/>
      <c r="AF170" s="91"/>
      <c r="AG170" s="91"/>
      <c r="AH170" s="91"/>
    </row>
    <row r="171" spans="1:34" customFormat="1" ht="30">
      <c r="A171" s="120">
        <v>170</v>
      </c>
      <c r="B171" s="120" t="b">
        <f t="shared" ca="1" si="2"/>
        <v>0</v>
      </c>
      <c r="C171" s="135">
        <v>45415</v>
      </c>
      <c r="D171" s="123">
        <v>0.19378472222222223</v>
      </c>
      <c r="E171" s="118">
        <v>2081</v>
      </c>
      <c r="F171" s="94">
        <v>1202</v>
      </c>
      <c r="G171" s="94" t="s">
        <v>34</v>
      </c>
      <c r="H171" s="91">
        <v>1043</v>
      </c>
      <c r="I171" s="115"/>
      <c r="J171" s="91" t="s">
        <v>35</v>
      </c>
      <c r="K171" s="133">
        <v>88.911000000000001</v>
      </c>
      <c r="L171" s="133" t="str">
        <f>VLOOKUP(K171,Liste!$L$2:$O$34,4,1)</f>
        <v>GSMR_16/17</v>
      </c>
      <c r="M171" s="133" t="s">
        <v>36</v>
      </c>
      <c r="N171" s="180" t="s">
        <v>37</v>
      </c>
      <c r="O171" s="125" t="s">
        <v>474</v>
      </c>
      <c r="P171" s="126"/>
      <c r="Q171" s="124" t="s">
        <v>39</v>
      </c>
      <c r="R171" s="91" t="s">
        <v>475</v>
      </c>
      <c r="S171" s="94" t="s">
        <v>476</v>
      </c>
      <c r="T171" s="94" t="s">
        <v>69</v>
      </c>
      <c r="U171" s="94" t="s">
        <v>339</v>
      </c>
      <c r="V171" s="94" t="s">
        <v>51</v>
      </c>
      <c r="W171" s="124" t="s">
        <v>51</v>
      </c>
      <c r="X171" s="94" t="s">
        <v>52</v>
      </c>
      <c r="Y171" s="94" t="s">
        <v>45</v>
      </c>
      <c r="Z171" s="91"/>
      <c r="AA171" s="91"/>
      <c r="AB171" s="91"/>
      <c r="AC171" s="91"/>
      <c r="AD171" s="91"/>
      <c r="AE171" s="91"/>
      <c r="AF171" s="91"/>
      <c r="AG171" s="91"/>
      <c r="AH171" s="91"/>
    </row>
    <row r="172" spans="1:34" customFormat="1" ht="30">
      <c r="A172" s="120">
        <v>171</v>
      </c>
      <c r="B172" s="120" t="b">
        <f t="shared" ca="1" si="2"/>
        <v>0</v>
      </c>
      <c r="C172" s="135">
        <v>45416</v>
      </c>
      <c r="D172" s="123">
        <v>0.72793981481481485</v>
      </c>
      <c r="E172" s="118">
        <v>2045</v>
      </c>
      <c r="F172" s="94">
        <v>1201</v>
      </c>
      <c r="G172" s="94" t="s">
        <v>34</v>
      </c>
      <c r="H172" s="91">
        <v>7198</v>
      </c>
      <c r="I172" s="115"/>
      <c r="J172" s="91" t="s">
        <v>35</v>
      </c>
      <c r="K172" s="133">
        <v>106.91800000000001</v>
      </c>
      <c r="L172" s="133" t="str">
        <f>VLOOKUP(K172,Liste!$L$2:$O$34,4,1)</f>
        <v>GSMR_19/20</v>
      </c>
      <c r="M172" s="133" t="s">
        <v>36</v>
      </c>
      <c r="N172" s="180" t="s">
        <v>37</v>
      </c>
      <c r="O172" s="125" t="s">
        <v>477</v>
      </c>
      <c r="P172" s="126"/>
      <c r="Q172" s="124" t="s">
        <v>39</v>
      </c>
      <c r="R172" s="91" t="s">
        <v>475</v>
      </c>
      <c r="S172" s="94" t="s">
        <v>478</v>
      </c>
      <c r="T172" s="94" t="s">
        <v>69</v>
      </c>
      <c r="U172" s="94" t="s">
        <v>108</v>
      </c>
      <c r="V172" s="94" t="s">
        <v>51</v>
      </c>
      <c r="W172" s="124" t="s">
        <v>51</v>
      </c>
      <c r="X172" s="94" t="s">
        <v>52</v>
      </c>
      <c r="Y172" s="94" t="s">
        <v>45</v>
      </c>
      <c r="Z172" s="91"/>
      <c r="AA172" s="91"/>
      <c r="AB172" s="91"/>
      <c r="AC172" s="91"/>
      <c r="AD172" s="91"/>
      <c r="AE172" s="91"/>
      <c r="AF172" s="91"/>
      <c r="AG172" s="91"/>
      <c r="AH172" s="91"/>
    </row>
    <row r="173" spans="1:34" customFormat="1" ht="30">
      <c r="A173" s="120">
        <v>172</v>
      </c>
      <c r="B173" s="120" t="b">
        <f t="shared" ca="1" si="2"/>
        <v>0</v>
      </c>
      <c r="C173" s="135">
        <v>45416</v>
      </c>
      <c r="D173" s="123">
        <v>0.7663078703703704</v>
      </c>
      <c r="E173" s="118">
        <v>1045</v>
      </c>
      <c r="F173" s="91">
        <v>1204</v>
      </c>
      <c r="G173" s="91" t="s">
        <v>71</v>
      </c>
      <c r="H173" s="91">
        <v>1030</v>
      </c>
      <c r="I173" s="115"/>
      <c r="J173" s="91" t="s">
        <v>72</v>
      </c>
      <c r="K173" s="133">
        <v>202.125</v>
      </c>
      <c r="L173" s="133" t="str">
        <f>VLOOKUP(K173,Liste!$L$2:$O$34,4,1)</f>
        <v>GSMR_33/RAC</v>
      </c>
      <c r="M173" s="133" t="s">
        <v>36</v>
      </c>
      <c r="N173" s="180" t="s">
        <v>37</v>
      </c>
      <c r="O173" s="125" t="s">
        <v>479</v>
      </c>
      <c r="P173" s="126"/>
      <c r="Q173" s="94" t="s">
        <v>54</v>
      </c>
      <c r="R173" s="91" t="s">
        <v>480</v>
      </c>
      <c r="S173" s="94" t="s">
        <v>178</v>
      </c>
      <c r="T173" s="94" t="s">
        <v>56</v>
      </c>
      <c r="U173" s="94" t="s">
        <v>79</v>
      </c>
      <c r="V173" s="94" t="s">
        <v>51</v>
      </c>
      <c r="W173" s="124" t="s">
        <v>51</v>
      </c>
      <c r="X173" s="94" t="s">
        <v>52</v>
      </c>
      <c r="Y173" s="94" t="s">
        <v>45</v>
      </c>
      <c r="Z173" s="91"/>
      <c r="AA173" s="91"/>
      <c r="AB173" s="91"/>
      <c r="AC173" s="91"/>
      <c r="AD173" s="91"/>
      <c r="AE173" s="91"/>
      <c r="AF173" s="91"/>
      <c r="AG173" s="91"/>
      <c r="AH173" s="91"/>
    </row>
    <row r="174" spans="1:34" customFormat="1" ht="30">
      <c r="A174" s="120">
        <v>173</v>
      </c>
      <c r="B174" s="120" t="b">
        <f t="shared" ca="1" si="2"/>
        <v>0</v>
      </c>
      <c r="C174" s="135">
        <v>45417</v>
      </c>
      <c r="D174" s="123">
        <v>0.4760300925925926</v>
      </c>
      <c r="E174" s="118">
        <v>1018</v>
      </c>
      <c r="F174" s="94">
        <v>1205</v>
      </c>
      <c r="G174" s="91" t="s">
        <v>71</v>
      </c>
      <c r="H174" s="91">
        <v>1035</v>
      </c>
      <c r="I174" s="115"/>
      <c r="J174" s="91" t="s">
        <v>72</v>
      </c>
      <c r="K174" s="133">
        <v>188.05500000000001</v>
      </c>
      <c r="L174" s="133" t="str">
        <f>VLOOKUP(K174,Liste!$L$2:$O$34,4,1)</f>
        <v>GSMR_33/RAC</v>
      </c>
      <c r="M174" s="133" t="s">
        <v>36</v>
      </c>
      <c r="N174" s="180" t="s">
        <v>37</v>
      </c>
      <c r="O174" s="125" t="s">
        <v>481</v>
      </c>
      <c r="P174" s="126"/>
      <c r="Q174" s="94" t="s">
        <v>54</v>
      </c>
      <c r="R174" s="91" t="s">
        <v>482</v>
      </c>
      <c r="S174" s="94" t="s">
        <v>483</v>
      </c>
      <c r="T174" s="94" t="s">
        <v>56</v>
      </c>
      <c r="U174" s="94" t="s">
        <v>94</v>
      </c>
      <c r="V174" s="94" t="s">
        <v>51</v>
      </c>
      <c r="W174" s="124" t="s">
        <v>51</v>
      </c>
      <c r="X174" s="94" t="s">
        <v>400</v>
      </c>
      <c r="Y174" s="94" t="s">
        <v>45</v>
      </c>
      <c r="Z174" s="91"/>
      <c r="AA174" s="91"/>
      <c r="AB174" s="91"/>
      <c r="AC174" s="91"/>
      <c r="AD174" s="91"/>
      <c r="AE174" s="91"/>
      <c r="AF174" s="91"/>
      <c r="AG174" s="91"/>
      <c r="AH174" s="91"/>
    </row>
    <row r="175" spans="1:34" customFormat="1" ht="30">
      <c r="A175" s="120">
        <v>174</v>
      </c>
      <c r="B175" s="120" t="b">
        <f t="shared" ca="1" si="2"/>
        <v>0</v>
      </c>
      <c r="C175" s="135">
        <v>45418</v>
      </c>
      <c r="D175" s="123">
        <v>0.35827546296296298</v>
      </c>
      <c r="E175" s="118">
        <v>1005</v>
      </c>
      <c r="F175" s="94">
        <v>1211</v>
      </c>
      <c r="G175" s="91" t="s">
        <v>71</v>
      </c>
      <c r="H175" s="91">
        <v>1035</v>
      </c>
      <c r="I175" s="115"/>
      <c r="J175" s="91" t="s">
        <v>72</v>
      </c>
      <c r="K175" s="133">
        <v>155.96199999999999</v>
      </c>
      <c r="L175" s="133" t="str">
        <f>VLOOKUP(K175,Liste!$L$2:$O$34,4,1)</f>
        <v>GSMR_26/27</v>
      </c>
      <c r="M175" s="133" t="s">
        <v>36</v>
      </c>
      <c r="N175" s="180" t="s">
        <v>37</v>
      </c>
      <c r="O175" s="125" t="s">
        <v>484</v>
      </c>
      <c r="P175" s="126"/>
      <c r="Q175" s="124" t="s">
        <v>39</v>
      </c>
      <c r="R175" s="91" t="s">
        <v>475</v>
      </c>
      <c r="S175" s="94" t="s">
        <v>485</v>
      </c>
      <c r="T175" s="94" t="s">
        <v>41</v>
      </c>
      <c r="U175" s="94" t="s">
        <v>97</v>
      </c>
      <c r="V175" s="94" t="s">
        <v>51</v>
      </c>
      <c r="W175" s="124" t="s">
        <v>51</v>
      </c>
      <c r="X175" s="94" t="s">
        <v>52</v>
      </c>
      <c r="Y175" s="94" t="s">
        <v>45</v>
      </c>
      <c r="Z175" s="91"/>
      <c r="AA175" s="91"/>
      <c r="AB175" s="91"/>
      <c r="AC175" s="91"/>
      <c r="AD175" s="91"/>
      <c r="AE175" s="91"/>
      <c r="AF175" s="91"/>
      <c r="AG175" s="91"/>
      <c r="AH175" s="91"/>
    </row>
    <row r="176" spans="1:34" customFormat="1" ht="30">
      <c r="A176" s="120">
        <v>175</v>
      </c>
      <c r="B176" s="120" t="b">
        <f t="shared" ca="1" si="2"/>
        <v>0</v>
      </c>
      <c r="C176" s="135">
        <v>45418</v>
      </c>
      <c r="D176" s="123">
        <v>0.72407407407407409</v>
      </c>
      <c r="E176" s="118">
        <v>2045</v>
      </c>
      <c r="F176" s="94">
        <v>1205</v>
      </c>
      <c r="G176" s="94" t="s">
        <v>34</v>
      </c>
      <c r="H176" s="91">
        <v>7217</v>
      </c>
      <c r="I176" s="115"/>
      <c r="J176" s="91" t="s">
        <v>35</v>
      </c>
      <c r="K176" s="133">
        <v>79.281999999999996</v>
      </c>
      <c r="L176" s="133" t="str">
        <f>VLOOKUP(K176,Liste!$L$2:$O$34,4,1)</f>
        <v>GSMR_14/15</v>
      </c>
      <c r="M176" s="133" t="s">
        <v>36</v>
      </c>
      <c r="N176" s="181" t="s">
        <v>58</v>
      </c>
      <c r="O176" s="125" t="s">
        <v>439</v>
      </c>
      <c r="P176" s="126"/>
      <c r="Q176" s="124" t="s">
        <v>39</v>
      </c>
      <c r="R176" s="91" t="s">
        <v>486</v>
      </c>
      <c r="S176" s="94" t="s">
        <v>258</v>
      </c>
      <c r="T176" s="94" t="s">
        <v>69</v>
      </c>
      <c r="U176" s="94" t="s">
        <v>108</v>
      </c>
      <c r="V176" s="94" t="s">
        <v>51</v>
      </c>
      <c r="W176" s="124" t="s">
        <v>43</v>
      </c>
      <c r="X176" s="94" t="s">
        <v>52</v>
      </c>
      <c r="Y176" s="94" t="s">
        <v>45</v>
      </c>
      <c r="Z176" s="91"/>
      <c r="AA176" s="91"/>
      <c r="AB176" s="91"/>
      <c r="AC176" s="91"/>
      <c r="AD176" s="91"/>
      <c r="AE176" s="91"/>
      <c r="AF176" s="91"/>
      <c r="AG176" s="91"/>
      <c r="AH176" s="91"/>
    </row>
    <row r="177" spans="1:34" customFormat="1" ht="30">
      <c r="A177" s="120">
        <v>176</v>
      </c>
      <c r="B177" s="120" t="b">
        <f t="shared" ca="1" si="2"/>
        <v>0</v>
      </c>
      <c r="C177" s="135">
        <v>45419</v>
      </c>
      <c r="D177" s="123">
        <v>0.25769675925925928</v>
      </c>
      <c r="E177" s="118">
        <v>1081</v>
      </c>
      <c r="F177" s="94">
        <v>1203</v>
      </c>
      <c r="G177" s="91" t="s">
        <v>71</v>
      </c>
      <c r="H177" s="91">
        <v>1027</v>
      </c>
      <c r="I177" s="115"/>
      <c r="J177" s="91" t="s">
        <v>72</v>
      </c>
      <c r="K177" s="133">
        <v>151.35</v>
      </c>
      <c r="L177" s="133" t="str">
        <f>VLOOKUP(K177,Liste!$L$2:$O$34,4,1)</f>
        <v>GSMR_26/27</v>
      </c>
      <c r="M177" s="133" t="s">
        <v>36</v>
      </c>
      <c r="N177" s="181" t="s">
        <v>58</v>
      </c>
      <c r="O177" s="125" t="s">
        <v>487</v>
      </c>
      <c r="P177" s="126"/>
      <c r="Q177" s="124" t="s">
        <v>39</v>
      </c>
      <c r="R177" s="91" t="s">
        <v>475</v>
      </c>
      <c r="S177" s="94" t="s">
        <v>229</v>
      </c>
      <c r="T177" s="94" t="s">
        <v>69</v>
      </c>
      <c r="U177" s="94" t="s">
        <v>120</v>
      </c>
      <c r="V177" s="94" t="s">
        <v>51</v>
      </c>
      <c r="W177" s="124" t="s">
        <v>51</v>
      </c>
      <c r="X177" s="94" t="s">
        <v>52</v>
      </c>
      <c r="Y177" s="94" t="s">
        <v>45</v>
      </c>
      <c r="Z177" s="91"/>
      <c r="AA177" s="91"/>
      <c r="AB177" s="91"/>
      <c r="AC177" s="91"/>
      <c r="AD177" s="91"/>
      <c r="AE177" s="91"/>
      <c r="AF177" s="91"/>
      <c r="AG177" s="91"/>
      <c r="AH177" s="91"/>
    </row>
    <row r="178" spans="1:34" customFormat="1" ht="30">
      <c r="A178" s="120">
        <v>177</v>
      </c>
      <c r="B178" s="120" t="b">
        <f t="shared" ca="1" si="2"/>
        <v>0</v>
      </c>
      <c r="C178" s="135">
        <v>45420</v>
      </c>
      <c r="D178" s="123">
        <v>0.39695601851851853</v>
      </c>
      <c r="E178" s="118">
        <v>1006</v>
      </c>
      <c r="F178" s="94">
        <v>1203</v>
      </c>
      <c r="G178" s="91" t="s">
        <v>71</v>
      </c>
      <c r="H178" s="91">
        <v>1027</v>
      </c>
      <c r="I178" s="115"/>
      <c r="J178" s="91" t="s">
        <v>72</v>
      </c>
      <c r="K178" s="133">
        <v>53.540999999999997</v>
      </c>
      <c r="L178" s="133" t="str">
        <f>VLOOKUP(K178,Liste!$L$2:$O$34,4,1)</f>
        <v>GSMR_09/10</v>
      </c>
      <c r="M178" s="133" t="s">
        <v>36</v>
      </c>
      <c r="N178" s="180" t="s">
        <v>37</v>
      </c>
      <c r="O178" s="125" t="s">
        <v>488</v>
      </c>
      <c r="P178" s="126"/>
      <c r="Q178" s="124" t="s">
        <v>39</v>
      </c>
      <c r="R178" s="91" t="s">
        <v>475</v>
      </c>
      <c r="S178" s="94" t="s">
        <v>489</v>
      </c>
      <c r="T178" s="94" t="s">
        <v>78</v>
      </c>
      <c r="U178" s="94" t="s">
        <v>490</v>
      </c>
      <c r="V178" s="94" t="s">
        <v>51</v>
      </c>
      <c r="W178" s="124" t="s">
        <v>51</v>
      </c>
      <c r="X178" s="94" t="s">
        <v>52</v>
      </c>
      <c r="Y178" s="94" t="s">
        <v>45</v>
      </c>
      <c r="Z178" s="91"/>
      <c r="AA178" s="91"/>
      <c r="AB178" s="91"/>
      <c r="AC178" s="91"/>
      <c r="AD178" s="91"/>
      <c r="AE178" s="91"/>
      <c r="AF178" s="91"/>
      <c r="AG178" s="91"/>
      <c r="AH178" s="91"/>
    </row>
    <row r="179" spans="1:34" customFormat="1" ht="30">
      <c r="A179" s="120">
        <v>178</v>
      </c>
      <c r="B179" s="120" t="b">
        <f t="shared" ca="1" si="2"/>
        <v>0</v>
      </c>
      <c r="C179" s="135">
        <v>45420</v>
      </c>
      <c r="D179" s="123">
        <v>0.57197916666666671</v>
      </c>
      <c r="E179" s="118">
        <v>1025</v>
      </c>
      <c r="F179" s="94">
        <v>1208</v>
      </c>
      <c r="G179" s="91" t="s">
        <v>71</v>
      </c>
      <c r="H179" s="91">
        <v>1044</v>
      </c>
      <c r="I179" s="115"/>
      <c r="J179" s="91" t="s">
        <v>72</v>
      </c>
      <c r="K179" s="133">
        <v>151.35</v>
      </c>
      <c r="L179" s="133" t="str">
        <f>VLOOKUP(K179,Liste!$L$2:$O$34,4,1)</f>
        <v>GSMR_26/27</v>
      </c>
      <c r="M179" s="133" t="s">
        <v>36</v>
      </c>
      <c r="N179" s="180" t="s">
        <v>37</v>
      </c>
      <c r="O179" s="125" t="s">
        <v>487</v>
      </c>
      <c r="P179" s="126"/>
      <c r="Q179" s="124" t="s">
        <v>39</v>
      </c>
      <c r="R179" s="91" t="s">
        <v>475</v>
      </c>
      <c r="S179" s="94" t="s">
        <v>229</v>
      </c>
      <c r="T179" s="94" t="s">
        <v>69</v>
      </c>
      <c r="U179" s="94" t="s">
        <v>120</v>
      </c>
      <c r="V179" s="94" t="s">
        <v>51</v>
      </c>
      <c r="W179" s="124" t="s">
        <v>51</v>
      </c>
      <c r="X179" s="94" t="s">
        <v>52</v>
      </c>
      <c r="Y179" s="94" t="s">
        <v>45</v>
      </c>
      <c r="Z179" s="91"/>
      <c r="AA179" s="91"/>
      <c r="AB179" s="91"/>
      <c r="AC179" s="91"/>
      <c r="AD179" s="91"/>
      <c r="AE179" s="91"/>
      <c r="AF179" s="91"/>
      <c r="AG179" s="91"/>
      <c r="AH179" s="91"/>
    </row>
    <row r="180" spans="1:34" customFormat="1" ht="30">
      <c r="A180" s="120">
        <v>179</v>
      </c>
      <c r="B180" s="120" t="b">
        <f t="shared" ca="1" si="2"/>
        <v>0</v>
      </c>
      <c r="C180" s="135">
        <v>45420</v>
      </c>
      <c r="D180" s="123">
        <v>0.84327546296296296</v>
      </c>
      <c r="E180" s="118">
        <v>1049</v>
      </c>
      <c r="F180" s="94">
        <v>1209</v>
      </c>
      <c r="G180" s="91" t="s">
        <v>71</v>
      </c>
      <c r="H180" s="91">
        <v>1033</v>
      </c>
      <c r="I180" s="115"/>
      <c r="J180" s="91" t="s">
        <v>72</v>
      </c>
      <c r="K180" s="153">
        <v>7.3209999999999997</v>
      </c>
      <c r="L180" s="133" t="str">
        <f>VLOOKUP(K180,Liste!$L$2:$O$34,4,1)</f>
        <v>GSMR_02/03</v>
      </c>
      <c r="M180" s="133" t="s">
        <v>36</v>
      </c>
      <c r="N180" s="181" t="s">
        <v>58</v>
      </c>
      <c r="O180" s="125" t="s">
        <v>491</v>
      </c>
      <c r="P180" s="126"/>
      <c r="Q180" s="94" t="s">
        <v>54</v>
      </c>
      <c r="R180" s="91" t="s">
        <v>475</v>
      </c>
      <c r="S180" s="94" t="s">
        <v>61</v>
      </c>
      <c r="T180" s="94" t="s">
        <v>93</v>
      </c>
      <c r="U180" s="94" t="s">
        <v>425</v>
      </c>
      <c r="V180" s="94" t="s">
        <v>51</v>
      </c>
      <c r="W180" s="124" t="s">
        <v>51</v>
      </c>
      <c r="X180" s="94" t="s">
        <v>52</v>
      </c>
      <c r="Y180" s="94" t="s">
        <v>45</v>
      </c>
      <c r="Z180" s="91"/>
      <c r="AA180" s="91"/>
      <c r="AB180" s="91"/>
      <c r="AC180" s="91"/>
      <c r="AD180" s="91"/>
      <c r="AE180" s="91"/>
      <c r="AF180" s="91"/>
      <c r="AG180" s="91"/>
      <c r="AH180" s="91"/>
    </row>
    <row r="181" spans="1:34" customFormat="1" ht="30">
      <c r="A181" s="120">
        <v>180</v>
      </c>
      <c r="B181" s="120" t="b">
        <f t="shared" ca="1" si="2"/>
        <v>0</v>
      </c>
      <c r="C181" s="135">
        <v>45420</v>
      </c>
      <c r="D181" s="137">
        <v>0.85671296296296295</v>
      </c>
      <c r="E181" s="118">
        <v>1053</v>
      </c>
      <c r="F181" s="94">
        <v>1208</v>
      </c>
      <c r="G181" s="91" t="s">
        <v>71</v>
      </c>
      <c r="H181" s="91">
        <v>1044</v>
      </c>
      <c r="I181" s="115"/>
      <c r="J181" s="91" t="s">
        <v>72</v>
      </c>
      <c r="K181" s="133">
        <v>177.85</v>
      </c>
      <c r="L181" s="133" t="str">
        <f>VLOOKUP(K181,Liste!$L$2:$O$34,4,1)</f>
        <v>GSMR_30/31</v>
      </c>
      <c r="M181" s="133" t="s">
        <v>36</v>
      </c>
      <c r="N181" s="180" t="s">
        <v>37</v>
      </c>
      <c r="O181" s="125" t="s">
        <v>492</v>
      </c>
      <c r="P181" s="126"/>
      <c r="Q181" s="94" t="s">
        <v>54</v>
      </c>
      <c r="R181" s="91" t="s">
        <v>475</v>
      </c>
      <c r="S181" s="94" t="s">
        <v>493</v>
      </c>
      <c r="T181" s="94" t="s">
        <v>56</v>
      </c>
      <c r="U181" s="94" t="s">
        <v>82</v>
      </c>
      <c r="V181" s="94" t="s">
        <v>51</v>
      </c>
      <c r="W181" s="124" t="s">
        <v>51</v>
      </c>
      <c r="X181" s="94" t="s">
        <v>52</v>
      </c>
      <c r="Y181" s="94" t="s">
        <v>45</v>
      </c>
      <c r="Z181" s="91"/>
      <c r="AA181" s="91"/>
      <c r="AB181" s="91"/>
      <c r="AC181" s="91"/>
      <c r="AD181" s="91"/>
      <c r="AE181" s="91"/>
      <c r="AF181" s="91"/>
      <c r="AG181" s="91"/>
      <c r="AH181" s="91"/>
    </row>
    <row r="182" spans="1:34" customFormat="1" ht="30">
      <c r="A182" s="120">
        <v>181</v>
      </c>
      <c r="B182" s="120" t="b">
        <f t="shared" ca="1" si="2"/>
        <v>0</v>
      </c>
      <c r="C182" s="135">
        <v>45420</v>
      </c>
      <c r="D182" s="123">
        <v>0.96346064814814814</v>
      </c>
      <c r="E182" s="118">
        <v>1053</v>
      </c>
      <c r="F182" s="94">
        <v>1201</v>
      </c>
      <c r="G182" s="91" t="s">
        <v>71</v>
      </c>
      <c r="H182" s="91">
        <v>1060</v>
      </c>
      <c r="I182" s="115"/>
      <c r="J182" s="91" t="s">
        <v>72</v>
      </c>
      <c r="K182" s="153">
        <v>7.3209999999999997</v>
      </c>
      <c r="L182" s="133" t="str">
        <f>VLOOKUP(K182,Liste!$L$2:$O$34,4,1)</f>
        <v>GSMR_02/03</v>
      </c>
      <c r="M182" s="133" t="s">
        <v>36</v>
      </c>
      <c r="N182" s="181" t="s">
        <v>58</v>
      </c>
      <c r="O182" s="125" t="s">
        <v>494</v>
      </c>
      <c r="P182" s="126"/>
      <c r="Q182" s="94" t="s">
        <v>54</v>
      </c>
      <c r="R182" s="91" t="s">
        <v>475</v>
      </c>
      <c r="S182" s="94" t="s">
        <v>495</v>
      </c>
      <c r="T182" s="94" t="s">
        <v>56</v>
      </c>
      <c r="U182" s="94" t="s">
        <v>408</v>
      </c>
      <c r="V182" s="94" t="s">
        <v>51</v>
      </c>
      <c r="W182" s="124" t="s">
        <v>51</v>
      </c>
      <c r="X182" s="94" t="s">
        <v>52</v>
      </c>
      <c r="Y182" s="94" t="s">
        <v>45</v>
      </c>
      <c r="Z182" s="91"/>
      <c r="AA182" s="91"/>
      <c r="AB182" s="91"/>
      <c r="AC182" s="91"/>
      <c r="AD182" s="91"/>
      <c r="AE182" s="91"/>
      <c r="AF182" s="91"/>
      <c r="AG182" s="91"/>
      <c r="AH182" s="91"/>
    </row>
    <row r="183" spans="1:34" customFormat="1" ht="30">
      <c r="A183" s="120">
        <v>182</v>
      </c>
      <c r="B183" s="120" t="b">
        <f t="shared" ca="1" si="2"/>
        <v>0</v>
      </c>
      <c r="C183" s="135">
        <v>45421</v>
      </c>
      <c r="D183" s="123">
        <v>0.57197916666666671</v>
      </c>
      <c r="E183" s="118">
        <v>1053</v>
      </c>
      <c r="F183" s="94">
        <v>1205</v>
      </c>
      <c r="G183" s="94" t="s">
        <v>34</v>
      </c>
      <c r="H183" s="91">
        <v>7218</v>
      </c>
      <c r="I183" s="115"/>
      <c r="J183" s="91" t="s">
        <v>35</v>
      </c>
      <c r="K183" s="153">
        <v>6.13</v>
      </c>
      <c r="L183" s="133" t="str">
        <f>VLOOKUP(K183,Liste!$L$2:$O$34,4,1)</f>
        <v>GSMR_02/03</v>
      </c>
      <c r="M183" s="133" t="s">
        <v>36</v>
      </c>
      <c r="N183" s="181" t="s">
        <v>58</v>
      </c>
      <c r="O183" s="125" t="s">
        <v>496</v>
      </c>
      <c r="P183" s="126"/>
      <c r="Q183" s="94" t="s">
        <v>54</v>
      </c>
      <c r="R183" s="91" t="s">
        <v>475</v>
      </c>
      <c r="S183" s="94" t="s">
        <v>497</v>
      </c>
      <c r="T183" s="94" t="s">
        <v>69</v>
      </c>
      <c r="U183" s="94" t="s">
        <v>140</v>
      </c>
      <c r="V183" s="94" t="s">
        <v>51</v>
      </c>
      <c r="W183" s="124" t="s">
        <v>51</v>
      </c>
      <c r="X183" s="94" t="s">
        <v>52</v>
      </c>
      <c r="Y183" s="94" t="s">
        <v>45</v>
      </c>
      <c r="Z183" s="91"/>
      <c r="AA183" s="91"/>
      <c r="AB183" s="91"/>
      <c r="AC183" s="91"/>
      <c r="AD183" s="91"/>
      <c r="AE183" s="91"/>
      <c r="AF183" s="91"/>
      <c r="AG183" s="91"/>
      <c r="AH183" s="91"/>
    </row>
    <row r="184" spans="1:34" customFormat="1" ht="30">
      <c r="A184" s="120">
        <v>183</v>
      </c>
      <c r="B184" s="120" t="b">
        <f t="shared" ca="1" si="2"/>
        <v>0</v>
      </c>
      <c r="C184" s="135">
        <v>45421</v>
      </c>
      <c r="D184" s="123">
        <v>0.5870023148148148</v>
      </c>
      <c r="E184" s="118">
        <v>2033</v>
      </c>
      <c r="F184" s="94">
        <v>1207</v>
      </c>
      <c r="G184" s="94" t="s">
        <v>34</v>
      </c>
      <c r="H184" s="91">
        <v>1046</v>
      </c>
      <c r="I184" s="115"/>
      <c r="J184" s="91" t="s">
        <v>35</v>
      </c>
      <c r="K184" s="153">
        <v>6.13</v>
      </c>
      <c r="L184" s="133" t="str">
        <f>VLOOKUP(K184,Liste!$L$2:$O$34,4,1)</f>
        <v>GSMR_02/03</v>
      </c>
      <c r="M184" s="133" t="s">
        <v>36</v>
      </c>
      <c r="N184" s="181" t="s">
        <v>58</v>
      </c>
      <c r="O184" s="125" t="s">
        <v>498</v>
      </c>
      <c r="P184" s="126"/>
      <c r="Q184" s="94" t="s">
        <v>54</v>
      </c>
      <c r="R184" s="91" t="s">
        <v>475</v>
      </c>
      <c r="S184" s="94" t="s">
        <v>499</v>
      </c>
      <c r="T184" s="94" t="s">
        <v>56</v>
      </c>
      <c r="U184" s="94" t="s">
        <v>183</v>
      </c>
      <c r="V184" s="94" t="s">
        <v>51</v>
      </c>
      <c r="W184" s="124" t="s">
        <v>51</v>
      </c>
      <c r="X184" s="94" t="s">
        <v>52</v>
      </c>
      <c r="Y184" s="94" t="s">
        <v>45</v>
      </c>
      <c r="Z184" s="91"/>
      <c r="AA184" s="91"/>
      <c r="AB184" s="91"/>
      <c r="AC184" s="91"/>
      <c r="AD184" s="91"/>
      <c r="AE184" s="91"/>
      <c r="AF184" s="91"/>
      <c r="AG184" s="91"/>
      <c r="AH184" s="91"/>
    </row>
    <row r="185" spans="1:34" customFormat="1" ht="30">
      <c r="A185" s="120">
        <v>184</v>
      </c>
      <c r="B185" s="120" t="b">
        <f t="shared" ca="1" si="2"/>
        <v>0</v>
      </c>
      <c r="C185" s="135">
        <v>45421</v>
      </c>
      <c r="D185" s="123">
        <v>0.87877314814814811</v>
      </c>
      <c r="E185" s="118">
        <v>2061</v>
      </c>
      <c r="F185" s="94">
        <v>1207</v>
      </c>
      <c r="G185" s="94" t="s">
        <v>34</v>
      </c>
      <c r="H185" s="91">
        <v>1046</v>
      </c>
      <c r="I185" s="115"/>
      <c r="J185" s="91" t="s">
        <v>35</v>
      </c>
      <c r="K185" s="153">
        <v>6.13</v>
      </c>
      <c r="L185" s="133" t="str">
        <f>VLOOKUP(K185,Liste!$L$2:$O$34,4,1)</f>
        <v>GSMR_02/03</v>
      </c>
      <c r="M185" s="133" t="s">
        <v>36</v>
      </c>
      <c r="N185" s="181" t="s">
        <v>58</v>
      </c>
      <c r="O185" s="125" t="s">
        <v>500</v>
      </c>
      <c r="P185" s="126"/>
      <c r="Q185" s="94" t="s">
        <v>54</v>
      </c>
      <c r="R185" s="91" t="s">
        <v>475</v>
      </c>
      <c r="S185" s="94" t="s">
        <v>499</v>
      </c>
      <c r="T185" s="94" t="s">
        <v>56</v>
      </c>
      <c r="U185" s="94" t="s">
        <v>183</v>
      </c>
      <c r="V185" s="94" t="s">
        <v>51</v>
      </c>
      <c r="W185" s="124" t="s">
        <v>51</v>
      </c>
      <c r="X185" s="94" t="s">
        <v>52</v>
      </c>
      <c r="Y185" s="94" t="s">
        <v>45</v>
      </c>
      <c r="Z185" s="91"/>
      <c r="AA185" s="91"/>
      <c r="AB185" s="91"/>
      <c r="AC185" s="91"/>
      <c r="AD185" s="91"/>
      <c r="AE185" s="91"/>
      <c r="AF185" s="91"/>
      <c r="AG185" s="91"/>
      <c r="AH185" s="91"/>
    </row>
    <row r="186" spans="1:34" customFormat="1" ht="30">
      <c r="A186" s="120">
        <v>185</v>
      </c>
      <c r="B186" s="120" t="b">
        <f t="shared" ca="1" si="2"/>
        <v>0</v>
      </c>
      <c r="C186" s="135">
        <v>45422</v>
      </c>
      <c r="D186" s="123">
        <v>0.5035532407407407</v>
      </c>
      <c r="E186" s="118">
        <v>2025</v>
      </c>
      <c r="F186" s="94">
        <v>1205</v>
      </c>
      <c r="G186" s="94" t="s">
        <v>34</v>
      </c>
      <c r="H186" s="91">
        <v>7217</v>
      </c>
      <c r="I186" s="115"/>
      <c r="J186" s="91" t="s">
        <v>35</v>
      </c>
      <c r="K186" s="153">
        <v>6.13</v>
      </c>
      <c r="L186" s="133" t="str">
        <f>VLOOKUP(K186,Liste!$L$2:$O$34,4,1)</f>
        <v>GSMR_02/03</v>
      </c>
      <c r="M186" s="133" t="s">
        <v>36</v>
      </c>
      <c r="N186" s="181" t="s">
        <v>58</v>
      </c>
      <c r="O186" s="125" t="s">
        <v>501</v>
      </c>
      <c r="P186" s="126"/>
      <c r="Q186" s="124" t="s">
        <v>39</v>
      </c>
      <c r="R186" s="91" t="s">
        <v>502</v>
      </c>
      <c r="S186" s="94" t="s">
        <v>503</v>
      </c>
      <c r="T186" s="94" t="s">
        <v>56</v>
      </c>
      <c r="U186" s="94" t="s">
        <v>387</v>
      </c>
      <c r="V186" s="94" t="s">
        <v>51</v>
      </c>
      <c r="W186" s="124" t="s">
        <v>51</v>
      </c>
      <c r="X186" s="94" t="s">
        <v>52</v>
      </c>
      <c r="Y186" s="94" t="s">
        <v>45</v>
      </c>
      <c r="Z186" s="91"/>
      <c r="AA186" s="91"/>
      <c r="AB186" s="91"/>
      <c r="AC186" s="91"/>
      <c r="AD186" s="91"/>
      <c r="AE186" s="91"/>
      <c r="AF186" s="91"/>
      <c r="AG186" s="91"/>
      <c r="AH186" s="91"/>
    </row>
    <row r="187" spans="1:34" customFormat="1" ht="30">
      <c r="A187" s="120">
        <v>186</v>
      </c>
      <c r="B187" s="120" t="b">
        <f t="shared" ca="1" si="2"/>
        <v>0</v>
      </c>
      <c r="C187" s="135">
        <v>45423</v>
      </c>
      <c r="D187" s="123">
        <v>0.31611111111111112</v>
      </c>
      <c r="E187" s="118">
        <v>2005</v>
      </c>
      <c r="F187" s="94">
        <v>1211</v>
      </c>
      <c r="G187" s="94" t="s">
        <v>34</v>
      </c>
      <c r="H187" s="91">
        <v>1029</v>
      </c>
      <c r="I187" s="115"/>
      <c r="J187" s="91" t="s">
        <v>35</v>
      </c>
      <c r="K187" s="133">
        <v>144.32599999999999</v>
      </c>
      <c r="L187" s="133" t="str">
        <f>VLOOKUP(K187,Liste!$L$2:$O$34,4,1)</f>
        <v>GSMR_25/26</v>
      </c>
      <c r="M187" s="133" t="s">
        <v>36</v>
      </c>
      <c r="N187" s="181" t="s">
        <v>58</v>
      </c>
      <c r="O187" s="125" t="s">
        <v>504</v>
      </c>
      <c r="P187" s="126"/>
      <c r="Q187" s="124" t="s">
        <v>39</v>
      </c>
      <c r="R187" s="91" t="s">
        <v>502</v>
      </c>
      <c r="S187" s="94" t="s">
        <v>100</v>
      </c>
      <c r="T187" s="94" t="s">
        <v>69</v>
      </c>
      <c r="U187" s="94" t="s">
        <v>97</v>
      </c>
      <c r="V187" s="94" t="s">
        <v>51</v>
      </c>
      <c r="W187" s="124" t="s">
        <v>51</v>
      </c>
      <c r="X187" s="94" t="s">
        <v>52</v>
      </c>
      <c r="Y187" s="94" t="s">
        <v>45</v>
      </c>
      <c r="Z187" s="91"/>
      <c r="AA187" s="91"/>
      <c r="AB187" s="91"/>
      <c r="AC187" s="91"/>
      <c r="AD187" s="91"/>
      <c r="AE187" s="91"/>
      <c r="AF187" s="91"/>
      <c r="AG187" s="91"/>
      <c r="AH187" s="91"/>
    </row>
    <row r="188" spans="1:34" customFormat="1" ht="30">
      <c r="A188" s="120">
        <v>187</v>
      </c>
      <c r="B188" s="120" t="b">
        <f t="shared" ca="1" si="2"/>
        <v>0</v>
      </c>
      <c r="C188" s="135">
        <v>45423</v>
      </c>
      <c r="D188" s="123">
        <v>0.5801736111111111</v>
      </c>
      <c r="E188" s="118">
        <v>1025</v>
      </c>
      <c r="F188" s="94">
        <v>1205</v>
      </c>
      <c r="G188" s="91" t="s">
        <v>71</v>
      </c>
      <c r="H188" s="91">
        <v>1034</v>
      </c>
      <c r="I188" s="115"/>
      <c r="J188" s="91" t="s">
        <v>72</v>
      </c>
      <c r="K188" s="133">
        <v>79.281999999999996</v>
      </c>
      <c r="L188" s="133" t="str">
        <f>VLOOKUP(K188,Liste!$L$2:$O$34,4,1)</f>
        <v>GSMR_14/15</v>
      </c>
      <c r="M188" s="133" t="s">
        <v>36</v>
      </c>
      <c r="N188" s="180" t="s">
        <v>37</v>
      </c>
      <c r="O188" s="125" t="s">
        <v>505</v>
      </c>
      <c r="P188" s="126"/>
      <c r="Q188" s="124" t="s">
        <v>39</v>
      </c>
      <c r="R188" s="91" t="s">
        <v>502</v>
      </c>
      <c r="S188" s="94" t="s">
        <v>182</v>
      </c>
      <c r="T188" s="94" t="s">
        <v>116</v>
      </c>
      <c r="U188" s="94" t="s">
        <v>57</v>
      </c>
      <c r="V188" s="94" t="s">
        <v>51</v>
      </c>
      <c r="W188" s="124" t="s">
        <v>51</v>
      </c>
      <c r="X188" s="94" t="s">
        <v>52</v>
      </c>
      <c r="Y188" s="94" t="s">
        <v>45</v>
      </c>
      <c r="Z188" s="91"/>
      <c r="AA188" s="91"/>
      <c r="AB188" s="91"/>
      <c r="AC188" s="91"/>
      <c r="AD188" s="91"/>
      <c r="AE188" s="91"/>
      <c r="AF188" s="91"/>
      <c r="AG188" s="91"/>
      <c r="AH188" s="91"/>
    </row>
    <row r="189" spans="1:34" customFormat="1" ht="30">
      <c r="A189" s="120">
        <v>188</v>
      </c>
      <c r="B189" s="120" t="b">
        <f t="shared" ca="1" si="2"/>
        <v>0</v>
      </c>
      <c r="C189" s="135">
        <v>45423</v>
      </c>
      <c r="D189" s="123">
        <v>0.58097222222222222</v>
      </c>
      <c r="E189" s="118">
        <v>1025</v>
      </c>
      <c r="F189" s="94">
        <v>1205</v>
      </c>
      <c r="G189" s="91" t="s">
        <v>71</v>
      </c>
      <c r="H189" s="91">
        <v>1034</v>
      </c>
      <c r="I189" s="115"/>
      <c r="J189" s="91" t="s">
        <v>72</v>
      </c>
      <c r="K189" s="133">
        <v>74.712999999999994</v>
      </c>
      <c r="L189" s="133" t="str">
        <f>VLOOKUP(K189,Liste!$L$2:$O$34,4,1)</f>
        <v>GSMR_13/14</v>
      </c>
      <c r="M189" s="133" t="s">
        <v>36</v>
      </c>
      <c r="N189" s="181" t="s">
        <v>58</v>
      </c>
      <c r="O189" s="125" t="s">
        <v>506</v>
      </c>
      <c r="P189" s="126"/>
      <c r="Q189" s="124" t="s">
        <v>39</v>
      </c>
      <c r="R189" s="91" t="s">
        <v>502</v>
      </c>
      <c r="S189" s="94" t="s">
        <v>507</v>
      </c>
      <c r="T189" s="94" t="s">
        <v>69</v>
      </c>
      <c r="U189" s="94" t="s">
        <v>250</v>
      </c>
      <c r="V189" s="94" t="s">
        <v>51</v>
      </c>
      <c r="W189" s="124" t="s">
        <v>51</v>
      </c>
      <c r="X189" s="94" t="s">
        <v>52</v>
      </c>
      <c r="Y189" s="94" t="s">
        <v>227</v>
      </c>
      <c r="Z189" s="91"/>
      <c r="AA189" s="91"/>
      <c r="AB189" s="91"/>
      <c r="AC189" s="91"/>
      <c r="AD189" s="91"/>
      <c r="AE189" s="91"/>
      <c r="AF189" s="91"/>
      <c r="AG189" s="91"/>
      <c r="AH189" s="91"/>
    </row>
    <row r="190" spans="1:34" customFormat="1" ht="30">
      <c r="A190" s="120">
        <v>189</v>
      </c>
      <c r="B190" s="120" t="b">
        <f t="shared" ca="1" si="2"/>
        <v>0</v>
      </c>
      <c r="C190" s="135">
        <v>45423</v>
      </c>
      <c r="D190" s="123">
        <v>0.69042824074074072</v>
      </c>
      <c r="E190" s="118">
        <v>1037</v>
      </c>
      <c r="F190" s="94">
        <v>1202</v>
      </c>
      <c r="G190" s="91" t="s">
        <v>71</v>
      </c>
      <c r="H190" s="91">
        <v>1022</v>
      </c>
      <c r="I190" s="115"/>
      <c r="J190" s="91" t="s">
        <v>72</v>
      </c>
      <c r="K190" s="133">
        <v>153.68600000000001</v>
      </c>
      <c r="L190" s="133" t="str">
        <f>VLOOKUP(K190,Liste!$L$2:$O$34,4,1)</f>
        <v>GSMR_26/27</v>
      </c>
      <c r="M190" s="133" t="s">
        <v>36</v>
      </c>
      <c r="N190" s="181" t="s">
        <v>58</v>
      </c>
      <c r="O190" s="125" t="s">
        <v>508</v>
      </c>
      <c r="P190" s="126"/>
      <c r="Q190" s="124" t="s">
        <v>39</v>
      </c>
      <c r="R190" s="91" t="s">
        <v>502</v>
      </c>
      <c r="S190" s="94" t="s">
        <v>175</v>
      </c>
      <c r="T190" s="94" t="s">
        <v>116</v>
      </c>
      <c r="U190" s="94" t="s">
        <v>85</v>
      </c>
      <c r="V190" s="94" t="s">
        <v>43</v>
      </c>
      <c r="W190" s="124" t="s">
        <v>51</v>
      </c>
      <c r="X190" s="94" t="s">
        <v>52</v>
      </c>
      <c r="Y190" s="94" t="s">
        <v>45</v>
      </c>
      <c r="Z190" s="91"/>
      <c r="AA190" s="91"/>
      <c r="AB190" s="91"/>
      <c r="AC190" s="91"/>
      <c r="AD190" s="91"/>
      <c r="AE190" s="91"/>
      <c r="AF190" s="91"/>
      <c r="AG190" s="91"/>
      <c r="AH190" s="91"/>
    </row>
    <row r="191" spans="1:34" customFormat="1" ht="30">
      <c r="A191" s="120">
        <v>190</v>
      </c>
      <c r="B191" s="120" t="b">
        <f t="shared" ca="1" si="2"/>
        <v>0</v>
      </c>
      <c r="C191" s="135">
        <v>45423</v>
      </c>
      <c r="D191" s="123">
        <v>0.71221064814814816</v>
      </c>
      <c r="E191" s="118">
        <v>2045</v>
      </c>
      <c r="F191" s="94">
        <v>1201</v>
      </c>
      <c r="G191" s="94" t="s">
        <v>34</v>
      </c>
      <c r="H191" s="91">
        <v>7206</v>
      </c>
      <c r="I191" s="115"/>
      <c r="J191" s="91" t="s">
        <v>35</v>
      </c>
      <c r="K191" s="153">
        <v>6.13</v>
      </c>
      <c r="L191" s="133" t="str">
        <f>VLOOKUP(K191,Liste!$L$2:$O$34,4,1)</f>
        <v>GSMR_02/03</v>
      </c>
      <c r="M191" s="133" t="s">
        <v>36</v>
      </c>
      <c r="N191" s="180" t="s">
        <v>37</v>
      </c>
      <c r="O191" s="125" t="s">
        <v>509</v>
      </c>
      <c r="P191" s="126"/>
      <c r="Q191" s="124" t="s">
        <v>39</v>
      </c>
      <c r="R191" s="91" t="s">
        <v>502</v>
      </c>
      <c r="S191" s="94" t="s">
        <v>510</v>
      </c>
      <c r="T191" s="94" t="s">
        <v>56</v>
      </c>
      <c r="U191" s="94" t="s">
        <v>183</v>
      </c>
      <c r="V191" s="94" t="s">
        <v>43</v>
      </c>
      <c r="W191" s="124" t="s">
        <v>51</v>
      </c>
      <c r="X191" s="94" t="s">
        <v>52</v>
      </c>
      <c r="Y191" s="94" t="s">
        <v>45</v>
      </c>
      <c r="Z191" s="91"/>
      <c r="AA191" s="91"/>
      <c r="AB191" s="91"/>
      <c r="AC191" s="91"/>
      <c r="AD191" s="91"/>
      <c r="AE191" s="91"/>
      <c r="AF191" s="91"/>
      <c r="AG191" s="91"/>
      <c r="AH191" s="91"/>
    </row>
    <row r="192" spans="1:34" customFormat="1" ht="30">
      <c r="A192" s="120">
        <v>191</v>
      </c>
      <c r="B192" s="120" t="b">
        <f t="shared" ca="1" si="2"/>
        <v>0</v>
      </c>
      <c r="C192" s="135">
        <v>45424</v>
      </c>
      <c r="D192" s="123">
        <v>0.40303240740740742</v>
      </c>
      <c r="E192" s="118">
        <v>2013</v>
      </c>
      <c r="F192" s="94">
        <v>1206</v>
      </c>
      <c r="G192" s="94" t="s">
        <v>34</v>
      </c>
      <c r="H192" s="91">
        <v>1055</v>
      </c>
      <c r="I192" s="115"/>
      <c r="J192" s="91" t="s">
        <v>35</v>
      </c>
      <c r="K192" s="133">
        <v>165.298</v>
      </c>
      <c r="L192" s="133" t="str">
        <f>VLOOKUP(K192,Liste!$L$2:$O$34,4,1)</f>
        <v>GSMR_28/29</v>
      </c>
      <c r="M192" s="133" t="s">
        <v>36</v>
      </c>
      <c r="N192" s="180" t="s">
        <v>37</v>
      </c>
      <c r="O192" s="125" t="s">
        <v>511</v>
      </c>
      <c r="P192" s="126"/>
      <c r="Q192" s="124" t="s">
        <v>39</v>
      </c>
      <c r="R192" s="91" t="s">
        <v>502</v>
      </c>
      <c r="S192" s="94" t="s">
        <v>512</v>
      </c>
      <c r="T192" s="94" t="s">
        <v>116</v>
      </c>
      <c r="U192" s="94" t="s">
        <v>226</v>
      </c>
      <c r="V192" s="94" t="s">
        <v>43</v>
      </c>
      <c r="W192" s="124" t="s">
        <v>51</v>
      </c>
      <c r="X192" s="94" t="s">
        <v>52</v>
      </c>
      <c r="Y192" s="94" t="s">
        <v>45</v>
      </c>
      <c r="Z192" s="91"/>
      <c r="AA192" s="91"/>
      <c r="AB192" s="91"/>
      <c r="AC192" s="91"/>
      <c r="AD192" s="91"/>
      <c r="AE192" s="91"/>
      <c r="AF192" s="91"/>
      <c r="AG192" s="91"/>
      <c r="AH192" s="91"/>
    </row>
    <row r="193" spans="1:34" customFormat="1" ht="30">
      <c r="A193" s="120">
        <v>192</v>
      </c>
      <c r="B193" s="120" t="b">
        <f t="shared" ca="1" si="2"/>
        <v>0</v>
      </c>
      <c r="C193" s="135">
        <v>45424</v>
      </c>
      <c r="D193" s="123">
        <v>0.44341435185185185</v>
      </c>
      <c r="E193" s="118">
        <v>2017</v>
      </c>
      <c r="F193" s="94">
        <v>1203</v>
      </c>
      <c r="G193" s="94" t="s">
        <v>34</v>
      </c>
      <c r="H193" s="91">
        <v>1024</v>
      </c>
      <c r="I193" s="115"/>
      <c r="J193" s="91" t="s">
        <v>35</v>
      </c>
      <c r="K193" s="133">
        <v>156.02199999999999</v>
      </c>
      <c r="L193" s="133" t="str">
        <f>VLOOKUP(K193,Liste!$L$2:$O$34,4,1)</f>
        <v>GSMR_26/27</v>
      </c>
      <c r="M193" s="133" t="s">
        <v>36</v>
      </c>
      <c r="N193" s="180" t="s">
        <v>37</v>
      </c>
      <c r="O193" s="125" t="s">
        <v>513</v>
      </c>
      <c r="P193" s="126"/>
      <c r="Q193" s="124" t="s">
        <v>39</v>
      </c>
      <c r="R193" s="91" t="s">
        <v>502</v>
      </c>
      <c r="S193" s="94" t="s">
        <v>514</v>
      </c>
      <c r="T193" s="94" t="s">
        <v>69</v>
      </c>
      <c r="U193" s="94" t="s">
        <v>120</v>
      </c>
      <c r="V193" s="94" t="s">
        <v>51</v>
      </c>
      <c r="W193" s="124" t="s">
        <v>51</v>
      </c>
      <c r="X193" s="94" t="s">
        <v>52</v>
      </c>
      <c r="Y193" s="94" t="s">
        <v>45</v>
      </c>
      <c r="Z193" s="91"/>
      <c r="AA193" s="91"/>
      <c r="AB193" s="91"/>
      <c r="AC193" s="91"/>
      <c r="AD193" s="91"/>
      <c r="AE193" s="91"/>
      <c r="AF193" s="91"/>
      <c r="AG193" s="91"/>
      <c r="AH193" s="91"/>
    </row>
    <row r="194" spans="1:34" customFormat="1" ht="30">
      <c r="A194" s="120">
        <v>193</v>
      </c>
      <c r="B194" s="120" t="b">
        <f t="shared" ref="B194:B257" ca="1" si="3">AND(C194&gt;=TODAY()-7, C194&lt;=TODAY()-1)</f>
        <v>0</v>
      </c>
      <c r="C194" s="135">
        <v>45424</v>
      </c>
      <c r="D194" s="123">
        <v>0.79530092592592594</v>
      </c>
      <c r="E194" s="118">
        <v>2053</v>
      </c>
      <c r="F194" s="94">
        <v>1207</v>
      </c>
      <c r="G194" s="94" t="s">
        <v>34</v>
      </c>
      <c r="H194" s="91">
        <v>1047</v>
      </c>
      <c r="I194" s="115"/>
      <c r="J194" s="91" t="s">
        <v>35</v>
      </c>
      <c r="K194" s="153">
        <v>6.13</v>
      </c>
      <c r="L194" s="133" t="str">
        <f>VLOOKUP(K194,Liste!$L$2:$O$34,4,1)</f>
        <v>GSMR_02/03</v>
      </c>
      <c r="M194" s="133" t="s">
        <v>36</v>
      </c>
      <c r="N194" s="181" t="s">
        <v>58</v>
      </c>
      <c r="O194" s="125" t="s">
        <v>515</v>
      </c>
      <c r="P194" s="126"/>
      <c r="Q194" s="124" t="s">
        <v>39</v>
      </c>
      <c r="R194" s="91" t="s">
        <v>502</v>
      </c>
      <c r="S194" s="94" t="s">
        <v>516</v>
      </c>
      <c r="T194" s="94" t="s">
        <v>56</v>
      </c>
      <c r="U194" s="94" t="s">
        <v>82</v>
      </c>
      <c r="V194" s="94" t="s">
        <v>51</v>
      </c>
      <c r="W194" s="124" t="s">
        <v>51</v>
      </c>
      <c r="X194" s="94" t="s">
        <v>52</v>
      </c>
      <c r="Y194" s="94" t="s">
        <v>45</v>
      </c>
      <c r="Z194" s="91"/>
      <c r="AA194" s="91"/>
      <c r="AB194" s="91"/>
      <c r="AC194" s="91"/>
      <c r="AD194" s="91"/>
      <c r="AE194" s="91"/>
      <c r="AF194" s="91"/>
      <c r="AG194" s="91"/>
      <c r="AH194" s="91"/>
    </row>
    <row r="195" spans="1:34" customFormat="1" ht="30">
      <c r="A195" s="120">
        <v>194</v>
      </c>
      <c r="B195" s="120" t="b">
        <f t="shared" ca="1" si="3"/>
        <v>0</v>
      </c>
      <c r="C195" s="135">
        <v>45424</v>
      </c>
      <c r="D195" s="123">
        <v>0.81748842592592597</v>
      </c>
      <c r="E195" s="118">
        <v>2053</v>
      </c>
      <c r="F195" s="94">
        <v>1207</v>
      </c>
      <c r="G195" s="94" t="s">
        <v>34</v>
      </c>
      <c r="H195" s="91">
        <v>1046</v>
      </c>
      <c r="I195" s="115"/>
      <c r="J195" s="91" t="s">
        <v>35</v>
      </c>
      <c r="K195" s="133">
        <v>140.65899999999999</v>
      </c>
      <c r="L195" s="133" t="str">
        <f>VLOOKUP(K195,Liste!$L$2:$O$34,4,1)</f>
        <v>GSMR_24/25</v>
      </c>
      <c r="M195" s="133" t="s">
        <v>36</v>
      </c>
      <c r="N195" s="180" t="s">
        <v>37</v>
      </c>
      <c r="O195" s="125" t="s">
        <v>517</v>
      </c>
      <c r="P195" s="126"/>
      <c r="Q195" s="124" t="s">
        <v>39</v>
      </c>
      <c r="R195" s="91" t="s">
        <v>502</v>
      </c>
      <c r="S195" s="94" t="s">
        <v>376</v>
      </c>
      <c r="T195" s="94" t="s">
        <v>69</v>
      </c>
      <c r="U195" s="94" t="s">
        <v>97</v>
      </c>
      <c r="V195" s="94" t="s">
        <v>51</v>
      </c>
      <c r="W195" s="124" t="s">
        <v>51</v>
      </c>
      <c r="X195" s="94" t="s">
        <v>52</v>
      </c>
      <c r="Y195" s="94" t="s">
        <v>45</v>
      </c>
      <c r="Z195" s="91"/>
      <c r="AA195" s="91"/>
      <c r="AB195" s="91"/>
      <c r="AC195" s="91"/>
      <c r="AD195" s="91"/>
      <c r="AE195" s="91"/>
      <c r="AF195" s="91"/>
      <c r="AG195" s="91"/>
      <c r="AH195" s="91"/>
    </row>
    <row r="196" spans="1:34" customFormat="1" ht="30">
      <c r="A196" s="120">
        <v>195</v>
      </c>
      <c r="B196" s="120" t="b">
        <f t="shared" ca="1" si="3"/>
        <v>0</v>
      </c>
      <c r="C196" s="135">
        <v>45424</v>
      </c>
      <c r="D196" s="123">
        <v>0.88109953703703703</v>
      </c>
      <c r="E196" s="118">
        <v>2061</v>
      </c>
      <c r="F196" s="94">
        <v>1204</v>
      </c>
      <c r="G196" s="94" t="s">
        <v>34</v>
      </c>
      <c r="H196" s="91">
        <v>1053</v>
      </c>
      <c r="I196" s="115"/>
      <c r="J196" s="91" t="s">
        <v>35</v>
      </c>
      <c r="K196" s="133">
        <v>11.28</v>
      </c>
      <c r="L196" s="133" t="str">
        <f>VLOOKUP(K196,Liste!$L$2:$O$34,4,1)</f>
        <v>GSMR_03/04</v>
      </c>
      <c r="M196" s="133" t="s">
        <v>36</v>
      </c>
      <c r="N196" s="180" t="s">
        <v>37</v>
      </c>
      <c r="O196" s="125" t="s">
        <v>518</v>
      </c>
      <c r="P196" s="126"/>
      <c r="Q196" s="124" t="s">
        <v>39</v>
      </c>
      <c r="R196" s="91" t="s">
        <v>502</v>
      </c>
      <c r="S196" s="94" t="s">
        <v>519</v>
      </c>
      <c r="T196" s="94" t="s">
        <v>69</v>
      </c>
      <c r="U196" s="94" t="s">
        <v>205</v>
      </c>
      <c r="V196" s="94" t="s">
        <v>51</v>
      </c>
      <c r="W196" s="124" t="s">
        <v>51</v>
      </c>
      <c r="X196" s="94" t="s">
        <v>52</v>
      </c>
      <c r="Y196" s="94" t="s">
        <v>45</v>
      </c>
      <c r="Z196" s="91"/>
      <c r="AA196" s="91"/>
      <c r="AB196" s="91"/>
      <c r="AC196" s="91"/>
      <c r="AD196" s="91"/>
      <c r="AE196" s="91"/>
      <c r="AF196" s="91"/>
      <c r="AG196" s="91"/>
      <c r="AH196" s="91"/>
    </row>
    <row r="197" spans="1:34" customFormat="1" ht="30">
      <c r="A197" s="120">
        <v>196</v>
      </c>
      <c r="B197" s="120" t="b">
        <f t="shared" ca="1" si="3"/>
        <v>0</v>
      </c>
      <c r="C197" s="135">
        <v>45425</v>
      </c>
      <c r="D197" s="123">
        <v>0.52829861111111109</v>
      </c>
      <c r="E197" s="118">
        <v>1022</v>
      </c>
      <c r="F197" s="94">
        <v>1209</v>
      </c>
      <c r="G197" s="91" t="s">
        <v>71</v>
      </c>
      <c r="H197" s="91">
        <v>1032</v>
      </c>
      <c r="I197" s="115"/>
      <c r="J197" s="91" t="s">
        <v>72</v>
      </c>
      <c r="K197" s="133">
        <v>118.562</v>
      </c>
      <c r="L197" s="133" t="str">
        <f>VLOOKUP(K197,Liste!$L$2:$O$34,4,1)</f>
        <v>GSMR_20/21</v>
      </c>
      <c r="M197" s="133" t="s">
        <v>36</v>
      </c>
      <c r="N197" s="180" t="s">
        <v>37</v>
      </c>
      <c r="O197" s="125" t="s">
        <v>520</v>
      </c>
      <c r="P197" s="126"/>
      <c r="Q197" s="124" t="s">
        <v>39</v>
      </c>
      <c r="R197" s="91" t="s">
        <v>502</v>
      </c>
      <c r="S197" s="94" t="s">
        <v>521</v>
      </c>
      <c r="T197" s="94" t="s">
        <v>69</v>
      </c>
      <c r="U197" s="94" t="s">
        <v>42</v>
      </c>
      <c r="V197" s="94" t="s">
        <v>51</v>
      </c>
      <c r="W197" s="124" t="s">
        <v>51</v>
      </c>
      <c r="X197" s="94" t="s">
        <v>52</v>
      </c>
      <c r="Y197" s="94" t="s">
        <v>45</v>
      </c>
      <c r="Z197" s="91"/>
      <c r="AA197" s="91"/>
      <c r="AB197" s="91"/>
      <c r="AC197" s="91"/>
      <c r="AD197" s="91"/>
      <c r="AE197" s="91"/>
      <c r="AF197" s="91"/>
      <c r="AG197" s="91"/>
      <c r="AH197" s="91"/>
    </row>
    <row r="198" spans="1:34" customFormat="1" ht="30">
      <c r="A198" s="120">
        <v>197</v>
      </c>
      <c r="B198" s="120" t="b">
        <f t="shared" ca="1" si="3"/>
        <v>0</v>
      </c>
      <c r="C198" s="135">
        <v>45425</v>
      </c>
      <c r="D198" s="123">
        <v>0.83791666666666664</v>
      </c>
      <c r="E198" s="118">
        <v>1050</v>
      </c>
      <c r="F198" s="94">
        <v>1201</v>
      </c>
      <c r="G198" s="91" t="s">
        <v>71</v>
      </c>
      <c r="H198" s="118">
        <v>1061</v>
      </c>
      <c r="I198" s="115"/>
      <c r="J198" s="91" t="s">
        <v>72</v>
      </c>
      <c r="K198" s="133">
        <v>47.127000000000002</v>
      </c>
      <c r="L198" s="133" t="str">
        <f>VLOOKUP(K198,Liste!$L$2:$O$34,4,1)</f>
        <v>GSMR_08/09</v>
      </c>
      <c r="M198" s="133" t="s">
        <v>36</v>
      </c>
      <c r="N198" s="180" t="s">
        <v>37</v>
      </c>
      <c r="O198" s="125" t="s">
        <v>522</v>
      </c>
      <c r="P198" s="126"/>
      <c r="Q198" s="124" t="s">
        <v>39</v>
      </c>
      <c r="R198" s="91" t="s">
        <v>502</v>
      </c>
      <c r="S198" s="94" t="s">
        <v>523</v>
      </c>
      <c r="T198" s="94" t="s">
        <v>69</v>
      </c>
      <c r="U198" s="94" t="s">
        <v>524</v>
      </c>
      <c r="V198" s="94" t="s">
        <v>51</v>
      </c>
      <c r="W198" s="124" t="s">
        <v>51</v>
      </c>
      <c r="X198" s="94" t="s">
        <v>52</v>
      </c>
      <c r="Y198" s="94" t="s">
        <v>45</v>
      </c>
      <c r="Z198" s="91"/>
      <c r="AA198" s="91"/>
      <c r="AB198" s="91"/>
      <c r="AC198" s="91"/>
      <c r="AD198" s="91"/>
      <c r="AE198" s="91"/>
      <c r="AF198" s="91"/>
      <c r="AG198" s="91"/>
      <c r="AH198" s="91"/>
    </row>
    <row r="199" spans="1:34" customFormat="1" ht="30">
      <c r="A199" s="120">
        <v>198</v>
      </c>
      <c r="B199" s="120" t="b">
        <f t="shared" ca="1" si="3"/>
        <v>0</v>
      </c>
      <c r="C199" s="135">
        <v>45426</v>
      </c>
      <c r="D199" s="123">
        <v>0.46957175925925926</v>
      </c>
      <c r="E199" s="118">
        <v>2021</v>
      </c>
      <c r="F199" s="94">
        <v>1203</v>
      </c>
      <c r="G199" s="94" t="s">
        <v>34</v>
      </c>
      <c r="H199" s="118">
        <v>1025</v>
      </c>
      <c r="I199" s="115"/>
      <c r="J199" s="91" t="s">
        <v>35</v>
      </c>
      <c r="K199" s="133">
        <v>52.289000000000001</v>
      </c>
      <c r="L199" s="133" t="str">
        <f>VLOOKUP(K199,Liste!$L$2:$O$34,4,1)</f>
        <v>GSMR_09/10</v>
      </c>
      <c r="M199" s="133" t="s">
        <v>36</v>
      </c>
      <c r="N199" s="180" t="s">
        <v>37</v>
      </c>
      <c r="O199" s="125" t="s">
        <v>525</v>
      </c>
      <c r="P199" s="126"/>
      <c r="Q199" s="124" t="s">
        <v>39</v>
      </c>
      <c r="R199" s="91" t="s">
        <v>502</v>
      </c>
      <c r="S199" s="94" t="s">
        <v>526</v>
      </c>
      <c r="T199" s="94" t="s">
        <v>69</v>
      </c>
      <c r="U199" s="94" t="s">
        <v>425</v>
      </c>
      <c r="V199" s="94" t="s">
        <v>51</v>
      </c>
      <c r="W199" s="124" t="s">
        <v>51</v>
      </c>
      <c r="X199" s="94" t="s">
        <v>52</v>
      </c>
      <c r="Y199" s="94" t="s">
        <v>45</v>
      </c>
      <c r="Z199" s="91"/>
      <c r="AA199" s="91"/>
      <c r="AB199" s="91"/>
      <c r="AC199" s="91"/>
      <c r="AD199" s="91"/>
      <c r="AE199" s="91"/>
      <c r="AF199" s="91"/>
      <c r="AG199" s="91"/>
      <c r="AH199" s="91"/>
    </row>
    <row r="200" spans="1:34" customFormat="1" ht="30">
      <c r="A200" s="120">
        <v>199</v>
      </c>
      <c r="B200" s="120" t="b">
        <f t="shared" ca="1" si="3"/>
        <v>0</v>
      </c>
      <c r="C200" s="135">
        <v>45426</v>
      </c>
      <c r="D200" s="123">
        <v>0.96212962962962967</v>
      </c>
      <c r="E200" s="118">
        <v>1061</v>
      </c>
      <c r="F200" s="94">
        <v>1209</v>
      </c>
      <c r="G200" s="91" t="s">
        <v>71</v>
      </c>
      <c r="H200" s="118">
        <v>1032</v>
      </c>
      <c r="I200" s="115"/>
      <c r="J200" s="91" t="s">
        <v>72</v>
      </c>
      <c r="K200" s="133">
        <v>18.89</v>
      </c>
      <c r="L200" s="133" t="str">
        <f>VLOOKUP(K200,Liste!$L$2:$O$34,4,1)</f>
        <v>GSMR_04/05</v>
      </c>
      <c r="M200" s="133" t="s">
        <v>36</v>
      </c>
      <c r="N200" s="180" t="s">
        <v>37</v>
      </c>
      <c r="O200" s="125" t="s">
        <v>527</v>
      </c>
      <c r="P200" s="126"/>
      <c r="Q200" s="124" t="s">
        <v>39</v>
      </c>
      <c r="R200" s="91" t="s">
        <v>502</v>
      </c>
      <c r="S200" s="94" t="s">
        <v>244</v>
      </c>
      <c r="T200" s="94" t="s">
        <v>69</v>
      </c>
      <c r="U200" s="94" t="s">
        <v>120</v>
      </c>
      <c r="V200" s="94" t="s">
        <v>51</v>
      </c>
      <c r="W200" s="124" t="s">
        <v>51</v>
      </c>
      <c r="X200" s="94" t="s">
        <v>52</v>
      </c>
      <c r="Y200" s="94" t="s">
        <v>45</v>
      </c>
      <c r="Z200" s="91"/>
      <c r="AA200" s="91"/>
      <c r="AB200" s="91"/>
      <c r="AC200" s="91"/>
      <c r="AD200" s="91"/>
      <c r="AE200" s="91"/>
      <c r="AF200" s="91"/>
      <c r="AG200" s="91"/>
      <c r="AH200" s="91"/>
    </row>
    <row r="201" spans="1:34" customFormat="1" ht="30">
      <c r="A201" s="120">
        <v>200</v>
      </c>
      <c r="B201" s="120" t="b">
        <f t="shared" ca="1" si="3"/>
        <v>0</v>
      </c>
      <c r="C201" s="135">
        <v>45427</v>
      </c>
      <c r="D201" s="123">
        <v>0.73310185185185184</v>
      </c>
      <c r="E201" s="118">
        <v>2045</v>
      </c>
      <c r="F201" s="94">
        <v>1201</v>
      </c>
      <c r="G201" s="94" t="s">
        <v>34</v>
      </c>
      <c r="H201" s="91">
        <v>7206</v>
      </c>
      <c r="I201" s="115"/>
      <c r="J201" s="91" t="s">
        <v>35</v>
      </c>
      <c r="K201" s="133">
        <v>138.30199999999999</v>
      </c>
      <c r="L201" s="133" t="str">
        <f>VLOOKUP(K201,Liste!$L$2:$O$34,4,1)</f>
        <v>GSMR_24/25</v>
      </c>
      <c r="M201" s="133" t="s">
        <v>36</v>
      </c>
      <c r="N201" s="180" t="s">
        <v>37</v>
      </c>
      <c r="O201" s="125" t="s">
        <v>517</v>
      </c>
      <c r="P201" s="126"/>
      <c r="Q201" s="124" t="s">
        <v>39</v>
      </c>
      <c r="R201" s="91" t="s">
        <v>502</v>
      </c>
      <c r="S201" s="94" t="s">
        <v>376</v>
      </c>
      <c r="T201" s="94" t="s">
        <v>69</v>
      </c>
      <c r="U201" s="94" t="s">
        <v>318</v>
      </c>
      <c r="V201" s="94" t="s">
        <v>51</v>
      </c>
      <c r="W201" s="124" t="s">
        <v>51</v>
      </c>
      <c r="X201" s="94" t="s">
        <v>52</v>
      </c>
      <c r="Y201" s="94" t="s">
        <v>45</v>
      </c>
      <c r="Z201" s="91"/>
      <c r="AA201" s="91"/>
      <c r="AB201" s="91"/>
      <c r="AC201" s="91"/>
      <c r="AD201" s="91"/>
      <c r="AE201" s="91"/>
      <c r="AF201" s="91"/>
      <c r="AG201" s="91"/>
      <c r="AH201" s="91"/>
    </row>
    <row r="202" spans="1:34" customFormat="1" ht="30">
      <c r="A202" s="120">
        <v>201</v>
      </c>
      <c r="B202" s="120" t="b">
        <f t="shared" ca="1" si="3"/>
        <v>0</v>
      </c>
      <c r="C202" s="135">
        <v>45427</v>
      </c>
      <c r="D202" s="123">
        <v>0.80348379629629629</v>
      </c>
      <c r="E202" s="118">
        <v>2053</v>
      </c>
      <c r="F202" s="94">
        <v>1203</v>
      </c>
      <c r="G202" s="94" t="s">
        <v>34</v>
      </c>
      <c r="H202" s="91">
        <v>1024</v>
      </c>
      <c r="I202" s="115"/>
      <c r="J202" s="91" t="s">
        <v>35</v>
      </c>
      <c r="K202" s="133">
        <v>52.289000000000001</v>
      </c>
      <c r="L202" s="133" t="str">
        <f>VLOOKUP(K202,Liste!$L$2:$O$34,4,1)</f>
        <v>GSMR_09/10</v>
      </c>
      <c r="M202" s="133" t="s">
        <v>36</v>
      </c>
      <c r="N202" s="180" t="s">
        <v>37</v>
      </c>
      <c r="O202" s="125" t="s">
        <v>528</v>
      </c>
      <c r="P202" s="126"/>
      <c r="Q202" s="124" t="s">
        <v>39</v>
      </c>
      <c r="R202" s="91" t="s">
        <v>502</v>
      </c>
      <c r="S202" s="94" t="s">
        <v>529</v>
      </c>
      <c r="T202" s="94" t="s">
        <v>69</v>
      </c>
      <c r="U202" s="94" t="s">
        <v>75</v>
      </c>
      <c r="V202" s="94" t="s">
        <v>51</v>
      </c>
      <c r="W202" s="124" t="s">
        <v>51</v>
      </c>
      <c r="X202" s="94" t="s">
        <v>52</v>
      </c>
      <c r="Y202" s="94" t="s">
        <v>103</v>
      </c>
      <c r="Z202" s="91"/>
      <c r="AA202" s="91"/>
      <c r="AB202" s="91"/>
      <c r="AC202" s="91"/>
      <c r="AD202" s="91"/>
      <c r="AE202" s="91"/>
      <c r="AF202" s="91"/>
      <c r="AG202" s="91"/>
      <c r="AH202" s="91"/>
    </row>
    <row r="203" spans="1:34" customFormat="1" ht="30">
      <c r="A203" s="120">
        <v>202</v>
      </c>
      <c r="B203" s="120" t="b">
        <f t="shared" ca="1" si="3"/>
        <v>0</v>
      </c>
      <c r="C203" s="135">
        <v>45429</v>
      </c>
      <c r="D203" s="123">
        <v>0.64776620370370375</v>
      </c>
      <c r="E203" s="118">
        <v>1043</v>
      </c>
      <c r="F203" s="94">
        <v>1206</v>
      </c>
      <c r="G203" s="91" t="s">
        <v>71</v>
      </c>
      <c r="H203" s="91">
        <v>1041</v>
      </c>
      <c r="I203" s="115"/>
      <c r="J203" s="91" t="s">
        <v>72</v>
      </c>
      <c r="K203" s="133">
        <v>161.72200000000001</v>
      </c>
      <c r="L203" s="133" t="str">
        <f>VLOOKUP(K203,Liste!$L$2:$O$34,4,1)</f>
        <v>GSMR_27/28</v>
      </c>
      <c r="M203" s="133" t="s">
        <v>36</v>
      </c>
      <c r="N203" s="180" t="s">
        <v>37</v>
      </c>
      <c r="O203" s="125" t="s">
        <v>530</v>
      </c>
      <c r="P203" s="126"/>
      <c r="Q203" s="124" t="s">
        <v>531</v>
      </c>
      <c r="R203" s="91" t="s">
        <v>502</v>
      </c>
      <c r="S203" s="94" t="s">
        <v>532</v>
      </c>
      <c r="T203" s="94" t="s">
        <v>69</v>
      </c>
      <c r="U203" s="94" t="s">
        <v>156</v>
      </c>
      <c r="V203" s="94" t="s">
        <v>51</v>
      </c>
      <c r="W203" s="124" t="s">
        <v>51</v>
      </c>
      <c r="X203" s="94" t="s">
        <v>52</v>
      </c>
      <c r="Y203" s="94" t="s">
        <v>45</v>
      </c>
      <c r="Z203" s="91"/>
      <c r="AA203" s="91"/>
      <c r="AB203" s="91"/>
      <c r="AC203" s="91"/>
      <c r="AD203" s="91"/>
      <c r="AE203" s="91"/>
      <c r="AF203" s="91"/>
      <c r="AG203" s="91"/>
      <c r="AH203" s="91"/>
    </row>
    <row r="204" spans="1:34" customFormat="1" ht="30">
      <c r="A204" s="120">
        <v>203</v>
      </c>
      <c r="B204" s="120" t="b">
        <f t="shared" ca="1" si="3"/>
        <v>0</v>
      </c>
      <c r="C204" s="135">
        <v>45429</v>
      </c>
      <c r="D204" s="123">
        <v>0.64968749999999997</v>
      </c>
      <c r="E204" s="118">
        <v>1043</v>
      </c>
      <c r="F204" s="94">
        <v>1206</v>
      </c>
      <c r="G204" s="91" t="s">
        <v>71</v>
      </c>
      <c r="H204" s="91">
        <v>1040</v>
      </c>
      <c r="I204" s="115"/>
      <c r="J204" s="91" t="s">
        <v>72</v>
      </c>
      <c r="K204" s="133">
        <v>152.488</v>
      </c>
      <c r="L204" s="133" t="str">
        <f>VLOOKUP(K204,Liste!$L$2:$O$34,4,1)</f>
        <v>GSMR_26/27</v>
      </c>
      <c r="M204" s="133" t="s">
        <v>36</v>
      </c>
      <c r="N204" s="180" t="s">
        <v>37</v>
      </c>
      <c r="O204" s="125" t="s">
        <v>533</v>
      </c>
      <c r="P204" s="126"/>
      <c r="Q204" s="124" t="s">
        <v>531</v>
      </c>
      <c r="R204" s="91" t="s">
        <v>502</v>
      </c>
      <c r="S204" s="94" t="s">
        <v>534</v>
      </c>
      <c r="T204" s="94" t="s">
        <v>93</v>
      </c>
      <c r="U204" s="94" t="s">
        <v>250</v>
      </c>
      <c r="V204" s="94" t="s">
        <v>51</v>
      </c>
      <c r="W204" s="124" t="s">
        <v>51</v>
      </c>
      <c r="X204" s="94" t="s">
        <v>52</v>
      </c>
      <c r="Y204" s="94" t="s">
        <v>45</v>
      </c>
      <c r="Z204" s="91"/>
      <c r="AA204" s="91"/>
      <c r="AB204" s="91"/>
      <c r="AC204" s="91"/>
      <c r="AD204" s="91"/>
      <c r="AE204" s="91"/>
      <c r="AF204" s="91"/>
      <c r="AG204" s="91"/>
      <c r="AH204" s="91"/>
    </row>
    <row r="205" spans="1:34" customFormat="1" ht="30">
      <c r="A205" s="120">
        <v>204</v>
      </c>
      <c r="B205" s="120" t="b">
        <f t="shared" ca="1" si="3"/>
        <v>0</v>
      </c>
      <c r="C205" s="135">
        <v>45431</v>
      </c>
      <c r="D205" s="123">
        <v>0.76628472222222221</v>
      </c>
      <c r="E205" s="118">
        <v>1045</v>
      </c>
      <c r="F205" s="94">
        <v>1211</v>
      </c>
      <c r="G205" s="91" t="s">
        <v>71</v>
      </c>
      <c r="H205" s="91">
        <v>3062</v>
      </c>
      <c r="I205" s="115"/>
      <c r="J205" s="91" t="s">
        <v>72</v>
      </c>
      <c r="K205" s="133">
        <v>202.125</v>
      </c>
      <c r="L205" s="133" t="str">
        <f>VLOOKUP(K205,Liste!$L$2:$O$34,4,1)</f>
        <v>GSMR_33/RAC</v>
      </c>
      <c r="M205" s="133" t="s">
        <v>36</v>
      </c>
      <c r="N205" s="180" t="s">
        <v>37</v>
      </c>
      <c r="O205" s="125" t="s">
        <v>535</v>
      </c>
      <c r="P205" s="126"/>
      <c r="Q205" s="124" t="s">
        <v>47</v>
      </c>
      <c r="R205" s="91" t="s">
        <v>536</v>
      </c>
      <c r="S205" s="94" t="s">
        <v>537</v>
      </c>
      <c r="T205" s="94" t="s">
        <v>56</v>
      </c>
      <c r="U205" s="94" t="s">
        <v>102</v>
      </c>
      <c r="V205" s="94" t="s">
        <v>51</v>
      </c>
      <c r="W205" s="124" t="s">
        <v>51</v>
      </c>
      <c r="X205" s="94" t="s">
        <v>52</v>
      </c>
      <c r="Y205" s="94" t="s">
        <v>45</v>
      </c>
      <c r="Z205" s="91"/>
      <c r="AA205" s="91"/>
      <c r="AB205" s="91"/>
      <c r="AC205" s="91"/>
      <c r="AD205" s="91"/>
      <c r="AE205" s="91"/>
      <c r="AF205" s="91"/>
      <c r="AG205" s="91"/>
      <c r="AH205" s="91"/>
    </row>
    <row r="206" spans="1:34" customFormat="1" ht="30">
      <c r="A206" s="120">
        <v>205</v>
      </c>
      <c r="B206" s="120" t="b">
        <f t="shared" ca="1" si="3"/>
        <v>0</v>
      </c>
      <c r="C206" s="135">
        <v>45431</v>
      </c>
      <c r="D206" s="123">
        <v>0.81031249999999999</v>
      </c>
      <c r="E206" s="118">
        <v>1050</v>
      </c>
      <c r="F206" s="94">
        <v>1201</v>
      </c>
      <c r="G206" s="91" t="s">
        <v>71</v>
      </c>
      <c r="H206" s="91">
        <v>1061</v>
      </c>
      <c r="I206" s="115"/>
      <c r="J206" s="91" t="s">
        <v>72</v>
      </c>
      <c r="K206" s="133">
        <v>185.47</v>
      </c>
      <c r="L206" s="133" t="str">
        <f>VLOOKUP(K206,Liste!$L$2:$O$34,4,1)</f>
        <v>GSMR_32/33</v>
      </c>
      <c r="M206" s="133" t="s">
        <v>36</v>
      </c>
      <c r="N206" s="180" t="s">
        <v>37</v>
      </c>
      <c r="O206" s="125" t="s">
        <v>538</v>
      </c>
      <c r="P206" s="126"/>
      <c r="Q206" s="124" t="s">
        <v>531</v>
      </c>
      <c r="R206" s="91" t="s">
        <v>502</v>
      </c>
      <c r="S206" s="94" t="s">
        <v>539</v>
      </c>
      <c r="T206" s="94" t="s">
        <v>69</v>
      </c>
      <c r="U206" s="94" t="s">
        <v>250</v>
      </c>
      <c r="V206" s="94" t="s">
        <v>43</v>
      </c>
      <c r="W206" s="124" t="s">
        <v>51</v>
      </c>
      <c r="X206" s="94" t="s">
        <v>52</v>
      </c>
      <c r="Y206" s="94" t="s">
        <v>45</v>
      </c>
      <c r="Z206" s="91"/>
      <c r="AA206" s="91"/>
      <c r="AB206" s="91"/>
      <c r="AC206" s="91"/>
      <c r="AD206" s="91"/>
      <c r="AE206" s="91"/>
      <c r="AF206" s="91"/>
      <c r="AG206" s="91"/>
      <c r="AH206" s="91"/>
    </row>
    <row r="207" spans="1:34" customFormat="1" ht="30">
      <c r="A207" s="120">
        <v>206</v>
      </c>
      <c r="B207" s="120" t="b">
        <f t="shared" ca="1" si="3"/>
        <v>0</v>
      </c>
      <c r="C207" s="135">
        <v>45433</v>
      </c>
      <c r="D207" s="123">
        <v>0.46586805555555555</v>
      </c>
      <c r="E207" s="118">
        <v>1013</v>
      </c>
      <c r="F207" s="94">
        <v>1203</v>
      </c>
      <c r="G207" s="91" t="s">
        <v>71</v>
      </c>
      <c r="H207" s="91">
        <v>1026</v>
      </c>
      <c r="I207" s="115"/>
      <c r="J207" s="91" t="s">
        <v>72</v>
      </c>
      <c r="K207" s="153">
        <v>7.3209999999999997</v>
      </c>
      <c r="L207" s="133" t="str">
        <f>VLOOKUP(K207,Liste!$L$2:$O$34,4,1)</f>
        <v>GSMR_02/03</v>
      </c>
      <c r="M207" s="133" t="s">
        <v>36</v>
      </c>
      <c r="N207" s="180" t="s">
        <v>37</v>
      </c>
      <c r="O207" s="125" t="s">
        <v>540</v>
      </c>
      <c r="P207" s="126"/>
      <c r="Q207" s="124" t="s">
        <v>531</v>
      </c>
      <c r="R207" s="91" t="s">
        <v>502</v>
      </c>
      <c r="S207" s="94" t="s">
        <v>495</v>
      </c>
      <c r="T207" s="94" t="s">
        <v>56</v>
      </c>
      <c r="U207" s="94" t="s">
        <v>250</v>
      </c>
      <c r="V207" s="94" t="s">
        <v>51</v>
      </c>
      <c r="W207" s="124" t="s">
        <v>51</v>
      </c>
      <c r="X207" s="94" t="s">
        <v>52</v>
      </c>
      <c r="Y207" s="94" t="s">
        <v>541</v>
      </c>
      <c r="Z207" s="91"/>
      <c r="AA207" s="91"/>
      <c r="AB207" s="91"/>
      <c r="AC207" s="91"/>
      <c r="AD207" s="91"/>
      <c r="AE207" s="91"/>
      <c r="AF207" s="91"/>
      <c r="AG207" s="91"/>
      <c r="AH207" s="91"/>
    </row>
    <row r="208" spans="1:34" customFormat="1" ht="30">
      <c r="A208" s="120">
        <v>207</v>
      </c>
      <c r="B208" s="120" t="b">
        <f t="shared" ca="1" si="3"/>
        <v>0</v>
      </c>
      <c r="C208" s="135">
        <v>45434</v>
      </c>
      <c r="D208" s="123">
        <v>0.3372337962962963</v>
      </c>
      <c r="E208" s="118">
        <v>2009</v>
      </c>
      <c r="F208" s="94">
        <v>1201</v>
      </c>
      <c r="G208" s="94" t="s">
        <v>34</v>
      </c>
      <c r="H208" s="91">
        <v>7208</v>
      </c>
      <c r="I208" s="115"/>
      <c r="J208" s="91" t="s">
        <v>35</v>
      </c>
      <c r="K208" s="153">
        <v>6.13</v>
      </c>
      <c r="L208" s="133" t="str">
        <f>VLOOKUP(K208,Liste!$L$2:$O$34,4,1)</f>
        <v>GSMR_02/03</v>
      </c>
      <c r="M208" s="133" t="s">
        <v>36</v>
      </c>
      <c r="N208" s="180" t="s">
        <v>37</v>
      </c>
      <c r="O208" s="125" t="s">
        <v>542</v>
      </c>
      <c r="P208" s="126"/>
      <c r="Q208" s="124" t="s">
        <v>531</v>
      </c>
      <c r="R208" s="91" t="s">
        <v>502</v>
      </c>
      <c r="S208" s="94" t="s">
        <v>543</v>
      </c>
      <c r="T208" s="94" t="s">
        <v>56</v>
      </c>
      <c r="U208" s="94" t="s">
        <v>183</v>
      </c>
      <c r="V208" s="94" t="s">
        <v>51</v>
      </c>
      <c r="W208" s="124" t="s">
        <v>51</v>
      </c>
      <c r="X208" s="94" t="s">
        <v>52</v>
      </c>
      <c r="Y208" s="94" t="s">
        <v>146</v>
      </c>
      <c r="Z208" s="91"/>
      <c r="AA208" s="91"/>
      <c r="AB208" s="91"/>
      <c r="AC208" s="91"/>
      <c r="AD208" s="91"/>
      <c r="AE208" s="91"/>
      <c r="AF208" s="91"/>
      <c r="AG208" s="91"/>
      <c r="AH208" s="91"/>
    </row>
    <row r="209" spans="1:34" customFormat="1" ht="30">
      <c r="A209" s="120">
        <v>208</v>
      </c>
      <c r="B209" s="120" t="b">
        <f t="shared" ca="1" si="3"/>
        <v>0</v>
      </c>
      <c r="C209" s="135">
        <v>45434</v>
      </c>
      <c r="D209" s="123">
        <v>0.58712962962962967</v>
      </c>
      <c r="E209" s="118">
        <v>2033</v>
      </c>
      <c r="F209" s="94">
        <v>1201</v>
      </c>
      <c r="G209" s="94" t="s">
        <v>34</v>
      </c>
      <c r="H209" s="91">
        <v>7206</v>
      </c>
      <c r="I209" s="115"/>
      <c r="J209" s="91" t="s">
        <v>35</v>
      </c>
      <c r="K209" s="153">
        <v>6.13</v>
      </c>
      <c r="L209" s="133" t="str">
        <f>VLOOKUP(K209,Liste!$L$2:$O$34,4,1)</f>
        <v>GSMR_02/03</v>
      </c>
      <c r="M209" s="133" t="s">
        <v>36</v>
      </c>
      <c r="N209" s="180" t="s">
        <v>37</v>
      </c>
      <c r="O209" s="125" t="s">
        <v>544</v>
      </c>
      <c r="P209" s="126"/>
      <c r="Q209" s="124" t="s">
        <v>531</v>
      </c>
      <c r="R209" s="91" t="s">
        <v>502</v>
      </c>
      <c r="S209" s="94" t="s">
        <v>499</v>
      </c>
      <c r="T209" s="94" t="s">
        <v>56</v>
      </c>
      <c r="U209" s="94" t="s">
        <v>75</v>
      </c>
      <c r="V209" s="94" t="s">
        <v>43</v>
      </c>
      <c r="W209" s="124" t="s">
        <v>51</v>
      </c>
      <c r="X209" s="94" t="s">
        <v>52</v>
      </c>
      <c r="Y209" s="94" t="s">
        <v>45</v>
      </c>
      <c r="Z209" s="91"/>
      <c r="AA209" s="91"/>
      <c r="AB209" s="91"/>
      <c r="AC209" s="91"/>
      <c r="AD209" s="91"/>
      <c r="AE209" s="91"/>
      <c r="AF209" s="91"/>
      <c r="AG209" s="91"/>
      <c r="AH209" s="91"/>
    </row>
    <row r="210" spans="1:34" customFormat="1" ht="30">
      <c r="A210" s="120">
        <v>209</v>
      </c>
      <c r="B210" s="120" t="b">
        <f t="shared" ca="1" si="3"/>
        <v>0</v>
      </c>
      <c r="C210" s="135">
        <v>45435</v>
      </c>
      <c r="D210" s="123">
        <v>0.31319444444444444</v>
      </c>
      <c r="E210" s="118">
        <v>2005</v>
      </c>
      <c r="F210" s="94">
        <v>1206</v>
      </c>
      <c r="G210" s="94" t="s">
        <v>34</v>
      </c>
      <c r="H210" s="91">
        <v>1055</v>
      </c>
      <c r="I210" s="115"/>
      <c r="J210" s="91" t="s">
        <v>35</v>
      </c>
      <c r="K210" s="133">
        <v>121.232</v>
      </c>
      <c r="L210" s="133" t="str">
        <f>VLOOKUP(K210,Liste!$L$2:$O$34,4,1)</f>
        <v>GSMR_21/22</v>
      </c>
      <c r="M210" s="133" t="s">
        <v>36</v>
      </c>
      <c r="N210" s="180" t="s">
        <v>37</v>
      </c>
      <c r="O210" s="125" t="s">
        <v>545</v>
      </c>
      <c r="P210" s="126"/>
      <c r="Q210" s="124" t="s">
        <v>531</v>
      </c>
      <c r="R210" s="91" t="s">
        <v>502</v>
      </c>
      <c r="S210" s="94" t="s">
        <v>546</v>
      </c>
      <c r="T210" s="94" t="s">
        <v>69</v>
      </c>
      <c r="U210" s="94" t="s">
        <v>197</v>
      </c>
      <c r="V210" s="94" t="s">
        <v>51</v>
      </c>
      <c r="W210" s="124" t="s">
        <v>51</v>
      </c>
      <c r="X210" s="94" t="s">
        <v>52</v>
      </c>
      <c r="Y210" s="94" t="s">
        <v>45</v>
      </c>
      <c r="Z210" s="91"/>
      <c r="AA210" s="91"/>
      <c r="AB210" s="91"/>
      <c r="AC210" s="91"/>
      <c r="AD210" s="91"/>
      <c r="AE210" s="91"/>
      <c r="AF210" s="91"/>
      <c r="AG210" s="91"/>
      <c r="AH210" s="91"/>
    </row>
    <row r="211" spans="1:34" customFormat="1" ht="30">
      <c r="A211" s="120">
        <v>210</v>
      </c>
      <c r="B211" s="120" t="b">
        <f t="shared" ca="1" si="3"/>
        <v>0</v>
      </c>
      <c r="C211" s="135">
        <v>45435</v>
      </c>
      <c r="D211" s="123">
        <v>0.37745370370370368</v>
      </c>
      <c r="E211" s="118">
        <v>1005</v>
      </c>
      <c r="F211" s="94">
        <v>1205</v>
      </c>
      <c r="G211" s="91" t="s">
        <v>71</v>
      </c>
      <c r="H211" s="91">
        <v>1034</v>
      </c>
      <c r="I211" s="115"/>
      <c r="J211" s="91" t="s">
        <v>72</v>
      </c>
      <c r="K211" s="153">
        <v>7.3209999999999997</v>
      </c>
      <c r="L211" s="133" t="str">
        <f>VLOOKUP(K211,Liste!$L$2:$O$34,4,1)</f>
        <v>GSMR_02/03</v>
      </c>
      <c r="M211" s="133" t="s">
        <v>36</v>
      </c>
      <c r="N211" s="180" t="s">
        <v>37</v>
      </c>
      <c r="O211" s="125" t="s">
        <v>540</v>
      </c>
      <c r="P211" s="126"/>
      <c r="Q211" s="124" t="s">
        <v>531</v>
      </c>
      <c r="R211" s="91" t="s">
        <v>502</v>
      </c>
      <c r="S211" s="94" t="s">
        <v>495</v>
      </c>
      <c r="T211" s="94" t="s">
        <v>56</v>
      </c>
      <c r="U211" s="94" t="s">
        <v>387</v>
      </c>
      <c r="V211" s="94" t="s">
        <v>51</v>
      </c>
      <c r="W211" s="124" t="s">
        <v>51</v>
      </c>
      <c r="X211" s="94" t="s">
        <v>52</v>
      </c>
      <c r="Y211" s="94" t="s">
        <v>45</v>
      </c>
      <c r="Z211" s="91"/>
      <c r="AA211" s="91"/>
      <c r="AB211" s="91"/>
      <c r="AC211" s="91"/>
      <c r="AD211" s="91"/>
      <c r="AE211" s="91"/>
      <c r="AF211" s="91"/>
      <c r="AG211" s="91"/>
      <c r="AH211" s="91"/>
    </row>
    <row r="212" spans="1:34" customFormat="1" ht="30">
      <c r="A212" s="120">
        <v>211</v>
      </c>
      <c r="B212" s="120" t="b">
        <f t="shared" ca="1" si="3"/>
        <v>0</v>
      </c>
      <c r="C212" s="135">
        <v>45435</v>
      </c>
      <c r="D212" s="123">
        <v>0.67003472222222227</v>
      </c>
      <c r="E212" s="118">
        <v>2041</v>
      </c>
      <c r="F212" s="94">
        <v>1207</v>
      </c>
      <c r="G212" s="94" t="s">
        <v>34</v>
      </c>
      <c r="H212" s="91">
        <v>1046</v>
      </c>
      <c r="I212" s="115"/>
      <c r="J212" s="91" t="s">
        <v>35</v>
      </c>
      <c r="K212" s="153">
        <v>6.13</v>
      </c>
      <c r="L212" s="133" t="str">
        <f>VLOOKUP(K212,Liste!$L$2:$O$34,4,1)</f>
        <v>GSMR_02/03</v>
      </c>
      <c r="M212" s="133" t="s">
        <v>36</v>
      </c>
      <c r="N212" s="181" t="s">
        <v>58</v>
      </c>
      <c r="O212" s="125" t="s">
        <v>547</v>
      </c>
      <c r="P212" s="126"/>
      <c r="Q212" s="124" t="s">
        <v>531</v>
      </c>
      <c r="R212" s="91" t="s">
        <v>502</v>
      </c>
      <c r="S212" s="94" t="s">
        <v>548</v>
      </c>
      <c r="T212" s="94" t="s">
        <v>78</v>
      </c>
      <c r="U212" s="94" t="s">
        <v>425</v>
      </c>
      <c r="V212" s="94" t="s">
        <v>43</v>
      </c>
      <c r="W212" s="124" t="s">
        <v>51</v>
      </c>
      <c r="X212" s="94" t="s">
        <v>52</v>
      </c>
      <c r="Y212" s="94" t="s">
        <v>45</v>
      </c>
      <c r="Z212" s="91"/>
      <c r="AA212" s="91"/>
      <c r="AB212" s="91"/>
      <c r="AC212" s="91"/>
      <c r="AD212" s="91"/>
      <c r="AE212" s="91"/>
      <c r="AF212" s="91"/>
      <c r="AG212" s="91"/>
      <c r="AH212" s="91"/>
    </row>
    <row r="213" spans="1:34" customFormat="1" ht="30">
      <c r="A213" s="120">
        <v>212</v>
      </c>
      <c r="B213" s="120" t="b">
        <f t="shared" ca="1" si="3"/>
        <v>0</v>
      </c>
      <c r="C213" s="135">
        <v>45435</v>
      </c>
      <c r="D213" s="123">
        <v>0.68788194444444439</v>
      </c>
      <c r="E213" s="118"/>
      <c r="F213" s="94">
        <v>1207</v>
      </c>
      <c r="G213" s="94" t="s">
        <v>34</v>
      </c>
      <c r="H213" s="91">
        <v>1047</v>
      </c>
      <c r="I213" s="115"/>
      <c r="J213" s="91" t="s">
        <v>35</v>
      </c>
      <c r="K213" s="133">
        <v>114.607</v>
      </c>
      <c r="L213" s="133" t="str">
        <f>VLOOKUP(K213,Liste!$L$2:$O$34,4,1)</f>
        <v>GSMR_20/21</v>
      </c>
      <c r="M213" s="133" t="s">
        <v>36</v>
      </c>
      <c r="N213" s="180" t="s">
        <v>37</v>
      </c>
      <c r="O213" s="125" t="s">
        <v>549</v>
      </c>
      <c r="P213" s="126"/>
      <c r="Q213" s="124" t="s">
        <v>531</v>
      </c>
      <c r="R213" s="91" t="s">
        <v>502</v>
      </c>
      <c r="S213" s="94" t="s">
        <v>550</v>
      </c>
      <c r="T213" s="94" t="s">
        <v>41</v>
      </c>
      <c r="U213" s="94" t="s">
        <v>108</v>
      </c>
      <c r="V213" s="94" t="s">
        <v>51</v>
      </c>
      <c r="W213" s="124" t="s">
        <v>51</v>
      </c>
      <c r="X213" s="94" t="s">
        <v>52</v>
      </c>
      <c r="Y213" s="94" t="s">
        <v>45</v>
      </c>
      <c r="Z213" s="91"/>
      <c r="AA213" s="91"/>
      <c r="AB213" s="91"/>
      <c r="AC213" s="91"/>
      <c r="AD213" s="91"/>
      <c r="AE213" s="91"/>
      <c r="AF213" s="91"/>
      <c r="AG213" s="91"/>
      <c r="AH213" s="91"/>
    </row>
    <row r="214" spans="1:34" customFormat="1" ht="30">
      <c r="A214" s="120">
        <v>213</v>
      </c>
      <c r="B214" s="120" t="b">
        <f t="shared" ca="1" si="3"/>
        <v>0</v>
      </c>
      <c r="C214" s="135">
        <v>45435</v>
      </c>
      <c r="D214" s="123">
        <v>0.96269675925925924</v>
      </c>
      <c r="E214" s="118">
        <v>1061</v>
      </c>
      <c r="F214" s="94">
        <v>1203</v>
      </c>
      <c r="G214" s="91" t="s">
        <v>71</v>
      </c>
      <c r="H214" s="91">
        <v>1026</v>
      </c>
      <c r="I214" s="115"/>
      <c r="J214" s="91" t="s">
        <v>72</v>
      </c>
      <c r="K214" s="153">
        <v>7.3209999999999997</v>
      </c>
      <c r="L214" s="133" t="str">
        <f>VLOOKUP(K214,Liste!$L$2:$O$34,4,1)</f>
        <v>GSMR_02/03</v>
      </c>
      <c r="M214" s="133" t="s">
        <v>36</v>
      </c>
      <c r="N214" s="180" t="s">
        <v>37</v>
      </c>
      <c r="O214" s="125" t="s">
        <v>551</v>
      </c>
      <c r="P214" s="126"/>
      <c r="Q214" s="124" t="s">
        <v>531</v>
      </c>
      <c r="R214" s="91" t="s">
        <v>502</v>
      </c>
      <c r="S214" s="94" t="s">
        <v>552</v>
      </c>
      <c r="T214" s="94" t="s">
        <v>56</v>
      </c>
      <c r="U214" s="94" t="s">
        <v>408</v>
      </c>
      <c r="V214" s="94" t="s">
        <v>51</v>
      </c>
      <c r="W214" s="124" t="s">
        <v>51</v>
      </c>
      <c r="X214" s="94" t="s">
        <v>52</v>
      </c>
      <c r="Y214" s="94" t="s">
        <v>45</v>
      </c>
      <c r="Z214" s="91"/>
      <c r="AA214" s="91"/>
      <c r="AB214" s="91"/>
      <c r="AC214" s="91"/>
      <c r="AD214" s="91"/>
      <c r="AE214" s="91"/>
      <c r="AF214" s="91"/>
      <c r="AG214" s="91"/>
      <c r="AH214" s="91"/>
    </row>
    <row r="215" spans="1:34" customFormat="1" ht="30">
      <c r="A215" s="120">
        <v>214</v>
      </c>
      <c r="B215" s="120" t="b">
        <f t="shared" ca="1" si="3"/>
        <v>0</v>
      </c>
      <c r="C215" s="135">
        <v>45437.603784722225</v>
      </c>
      <c r="D215" s="123">
        <v>0.60378472222222224</v>
      </c>
      <c r="E215" s="91">
        <v>2033</v>
      </c>
      <c r="F215" s="91">
        <v>1201</v>
      </c>
      <c r="G215" s="91" t="s">
        <v>34</v>
      </c>
      <c r="H215" s="91">
        <v>7206</v>
      </c>
      <c r="I215" s="115"/>
      <c r="J215" s="91" t="s">
        <v>35</v>
      </c>
      <c r="K215" s="91">
        <v>109.495</v>
      </c>
      <c r="L215" s="133" t="str">
        <f>VLOOKUP(K215,Liste!$L$2:$O$34,4,1)</f>
        <v>GSMR_19/20</v>
      </c>
      <c r="M215" s="133" t="s">
        <v>36</v>
      </c>
      <c r="N215" s="180" t="s">
        <v>37</v>
      </c>
      <c r="O215" s="125" t="s">
        <v>553</v>
      </c>
      <c r="P215" s="126"/>
      <c r="Q215" s="124" t="s">
        <v>531</v>
      </c>
      <c r="R215" s="91" t="s">
        <v>502</v>
      </c>
      <c r="S215" s="94" t="s">
        <v>554</v>
      </c>
      <c r="T215" s="94" t="s">
        <v>93</v>
      </c>
      <c r="U215" s="94" t="s">
        <v>125</v>
      </c>
      <c r="V215" s="94" t="s">
        <v>43</v>
      </c>
      <c r="W215" s="124" t="s">
        <v>51</v>
      </c>
      <c r="X215" s="94" t="s">
        <v>52</v>
      </c>
      <c r="Y215" s="124" t="s">
        <v>45</v>
      </c>
      <c r="Z215" s="91"/>
      <c r="AA215" s="91"/>
      <c r="AB215" s="91"/>
      <c r="AC215" s="91"/>
      <c r="AD215" s="91"/>
      <c r="AE215" s="91"/>
      <c r="AF215" s="91"/>
      <c r="AG215" s="91"/>
      <c r="AH215" s="91"/>
    </row>
    <row r="216" spans="1:34" customFormat="1" ht="30">
      <c r="A216" s="120">
        <v>215</v>
      </c>
      <c r="B216" s="120" t="b">
        <f t="shared" ca="1" si="3"/>
        <v>0</v>
      </c>
      <c r="C216" s="135">
        <v>45437.64335648148</v>
      </c>
      <c r="D216" s="123">
        <v>0.6433564814814815</v>
      </c>
      <c r="E216" s="91">
        <v>1033</v>
      </c>
      <c r="F216" s="91">
        <v>1206</v>
      </c>
      <c r="G216" s="91" t="s">
        <v>71</v>
      </c>
      <c r="H216" s="91">
        <v>1041</v>
      </c>
      <c r="I216" s="115"/>
      <c r="J216" s="91" t="s">
        <v>72</v>
      </c>
      <c r="K216" s="91">
        <v>186.87</v>
      </c>
      <c r="L216" s="133" t="str">
        <f>VLOOKUP(K216,Liste!$L$2:$O$34,4,1)</f>
        <v>GSMR_32/33</v>
      </c>
      <c r="M216" s="133" t="s">
        <v>36</v>
      </c>
      <c r="N216" s="180" t="s">
        <v>37</v>
      </c>
      <c r="O216" s="125" t="s">
        <v>555</v>
      </c>
      <c r="P216" s="126"/>
      <c r="Q216" s="124" t="s">
        <v>531</v>
      </c>
      <c r="R216" s="91" t="s">
        <v>502</v>
      </c>
      <c r="S216" s="94" t="s">
        <v>556</v>
      </c>
      <c r="T216" s="94" t="s">
        <v>69</v>
      </c>
      <c r="U216" s="94" t="s">
        <v>449</v>
      </c>
      <c r="V216" s="94" t="s">
        <v>43</v>
      </c>
      <c r="W216" s="124" t="s">
        <v>51</v>
      </c>
      <c r="X216" s="94" t="s">
        <v>52</v>
      </c>
      <c r="Y216" s="124" t="s">
        <v>45</v>
      </c>
      <c r="Z216" s="91"/>
      <c r="AA216" s="91"/>
      <c r="AB216" s="91"/>
      <c r="AC216" s="91"/>
      <c r="AD216" s="91"/>
      <c r="AE216" s="91"/>
      <c r="AF216" s="91"/>
      <c r="AG216" s="91"/>
      <c r="AH216" s="91"/>
    </row>
    <row r="217" spans="1:34" customFormat="1" ht="30">
      <c r="A217" s="120">
        <v>216</v>
      </c>
      <c r="B217" s="120" t="b">
        <f t="shared" ca="1" si="3"/>
        <v>0</v>
      </c>
      <c r="C217" s="135">
        <v>45437.659930555557</v>
      </c>
      <c r="D217" s="123">
        <v>0.65993055555555558</v>
      </c>
      <c r="E217" s="91">
        <v>1034</v>
      </c>
      <c r="F217" s="91">
        <v>1206</v>
      </c>
      <c r="G217" s="91" t="s">
        <v>71</v>
      </c>
      <c r="H217" s="91">
        <v>1040</v>
      </c>
      <c r="I217" s="115"/>
      <c r="J217" s="91" t="s">
        <v>72</v>
      </c>
      <c r="K217" s="91">
        <v>83.084000000000003</v>
      </c>
      <c r="L217" s="133" t="str">
        <f>VLOOKUP(K217,Liste!$L$2:$O$34,4,1)</f>
        <v>GSMR_15/16</v>
      </c>
      <c r="M217" s="133" t="s">
        <v>36</v>
      </c>
      <c r="N217" s="180" t="s">
        <v>37</v>
      </c>
      <c r="O217" s="125" t="s">
        <v>557</v>
      </c>
      <c r="P217" s="126"/>
      <c r="Q217" s="124" t="s">
        <v>531</v>
      </c>
      <c r="R217" s="91" t="s">
        <v>502</v>
      </c>
      <c r="S217" s="94" t="s">
        <v>558</v>
      </c>
      <c r="T217" s="94" t="s">
        <v>69</v>
      </c>
      <c r="U217" s="94" t="s">
        <v>120</v>
      </c>
      <c r="V217" s="94" t="s">
        <v>51</v>
      </c>
      <c r="W217" s="124" t="s">
        <v>51</v>
      </c>
      <c r="X217" s="94" t="s">
        <v>52</v>
      </c>
      <c r="Y217" s="124" t="s">
        <v>45</v>
      </c>
      <c r="Z217" s="91"/>
      <c r="AA217" s="91"/>
      <c r="AB217" s="91"/>
      <c r="AC217" s="91"/>
      <c r="AD217" s="91"/>
      <c r="AE217" s="91"/>
      <c r="AF217" s="91"/>
      <c r="AG217" s="91"/>
      <c r="AH217" s="91"/>
    </row>
    <row r="218" spans="1:34" customFormat="1" ht="30">
      <c r="A218" s="120">
        <v>217</v>
      </c>
      <c r="B218" s="120" t="b">
        <f t="shared" ca="1" si="3"/>
        <v>0</v>
      </c>
      <c r="C218" s="135">
        <v>45438.396527777775</v>
      </c>
      <c r="D218" s="123">
        <v>0.39657407407407408</v>
      </c>
      <c r="E218" s="91">
        <v>2010</v>
      </c>
      <c r="F218" s="91">
        <v>1208</v>
      </c>
      <c r="G218" s="91" t="s">
        <v>71</v>
      </c>
      <c r="H218" s="91">
        <v>1045</v>
      </c>
      <c r="I218" s="115"/>
      <c r="J218" s="91" t="s">
        <v>72</v>
      </c>
      <c r="K218" s="91">
        <v>166.529</v>
      </c>
      <c r="L218" s="133" t="str">
        <f>VLOOKUP(K218,Liste!$L$2:$O$34,4,1)</f>
        <v>GSMR_28/29</v>
      </c>
      <c r="M218" s="133" t="s">
        <v>36</v>
      </c>
      <c r="N218" s="180" t="s">
        <v>37</v>
      </c>
      <c r="O218" s="125" t="s">
        <v>559</v>
      </c>
      <c r="P218" s="126"/>
      <c r="Q218" s="124" t="s">
        <v>531</v>
      </c>
      <c r="R218" s="91" t="s">
        <v>502</v>
      </c>
      <c r="S218" s="94" t="s">
        <v>560</v>
      </c>
      <c r="T218" s="94" t="s">
        <v>101</v>
      </c>
      <c r="U218" s="94" t="s">
        <v>97</v>
      </c>
      <c r="V218" s="94" t="s">
        <v>51</v>
      </c>
      <c r="W218" s="124" t="s">
        <v>43</v>
      </c>
      <c r="X218" s="94" t="s">
        <v>52</v>
      </c>
      <c r="Y218" s="124" t="s">
        <v>45</v>
      </c>
      <c r="Z218" s="91"/>
      <c r="AA218" s="91"/>
      <c r="AB218" s="91"/>
      <c r="AC218" s="91"/>
      <c r="AD218" s="91"/>
      <c r="AE218" s="91"/>
      <c r="AF218" s="91"/>
      <c r="AG218" s="91"/>
      <c r="AH218" s="91"/>
    </row>
    <row r="219" spans="1:34" customFormat="1" ht="30">
      <c r="A219" s="120">
        <v>218</v>
      </c>
      <c r="B219" s="120" t="b">
        <f t="shared" ca="1" si="3"/>
        <v>0</v>
      </c>
      <c r="C219" s="131">
        <v>45438.421365740738</v>
      </c>
      <c r="D219" s="137">
        <v>0.42136574074074074</v>
      </c>
      <c r="E219" s="94">
        <v>2017</v>
      </c>
      <c r="F219" s="94">
        <v>1205</v>
      </c>
      <c r="G219" s="94" t="s">
        <v>34</v>
      </c>
      <c r="H219" s="94">
        <v>7217</v>
      </c>
      <c r="I219" s="139"/>
      <c r="J219" s="94" t="s">
        <v>35</v>
      </c>
      <c r="K219" s="152">
        <v>7.3209999999999997</v>
      </c>
      <c r="L219" s="122" t="str">
        <f>VLOOKUP(K219,Liste!$L$2:$O$34,4,1)</f>
        <v>GSMR_02/03</v>
      </c>
      <c r="M219" s="133" t="s">
        <v>36</v>
      </c>
      <c r="N219" s="180" t="s">
        <v>37</v>
      </c>
      <c r="O219" s="126" t="s">
        <v>561</v>
      </c>
      <c r="P219" s="126"/>
      <c r="Q219" s="124" t="s">
        <v>531</v>
      </c>
      <c r="R219" s="94" t="s">
        <v>502</v>
      </c>
      <c r="S219" s="94" t="s">
        <v>499</v>
      </c>
      <c r="T219" s="94" t="s">
        <v>56</v>
      </c>
      <c r="U219" s="94" t="s">
        <v>183</v>
      </c>
      <c r="V219" s="94" t="s">
        <v>51</v>
      </c>
      <c r="W219" s="124" t="s">
        <v>51</v>
      </c>
      <c r="X219" s="124"/>
      <c r="Y219" s="124" t="s">
        <v>45</v>
      </c>
      <c r="Z219" s="94"/>
      <c r="AA219" s="94"/>
      <c r="AB219" s="94"/>
      <c r="AC219" s="94"/>
      <c r="AD219" s="94"/>
      <c r="AE219" s="94"/>
      <c r="AF219" s="94"/>
      <c r="AG219" s="94"/>
      <c r="AH219" s="94"/>
    </row>
    <row r="220" spans="1:34" customFormat="1" ht="30">
      <c r="A220" s="120">
        <v>219</v>
      </c>
      <c r="B220" s="120" t="b">
        <f t="shared" ca="1" si="3"/>
        <v>0</v>
      </c>
      <c r="C220" s="135">
        <v>45439.415925925925</v>
      </c>
      <c r="D220" s="123">
        <v>0.41592592592592592</v>
      </c>
      <c r="E220" s="91">
        <v>1009</v>
      </c>
      <c r="F220" s="91">
        <v>1201</v>
      </c>
      <c r="G220" s="91" t="s">
        <v>71</v>
      </c>
      <c r="H220" s="91">
        <v>1061</v>
      </c>
      <c r="I220" s="115"/>
      <c r="J220" s="91" t="s">
        <v>72</v>
      </c>
      <c r="K220" s="91">
        <v>32.625999999999998</v>
      </c>
      <c r="L220" s="133" t="str">
        <f>VLOOKUP(K220,Liste!$L$2:$O$34,4,1)</f>
        <v>GSMR_06/07</v>
      </c>
      <c r="M220" s="133" t="s">
        <v>36</v>
      </c>
      <c r="N220" s="180" t="s">
        <v>37</v>
      </c>
      <c r="O220" s="125" t="s">
        <v>562</v>
      </c>
      <c r="P220" s="126"/>
      <c r="Q220" s="94" t="s">
        <v>54</v>
      </c>
      <c r="R220" s="124" t="s">
        <v>563</v>
      </c>
      <c r="S220" s="94" t="s">
        <v>564</v>
      </c>
      <c r="T220" s="94" t="s">
        <v>69</v>
      </c>
      <c r="U220" s="94" t="s">
        <v>230</v>
      </c>
      <c r="V220" s="94" t="s">
        <v>43</v>
      </c>
      <c r="W220" s="124" t="s">
        <v>51</v>
      </c>
      <c r="X220" s="94" t="s">
        <v>52</v>
      </c>
      <c r="Y220" s="124" t="s">
        <v>45</v>
      </c>
      <c r="Z220" s="91"/>
      <c r="AA220" s="91"/>
      <c r="AB220" s="91"/>
      <c r="AC220" s="91"/>
      <c r="AD220" s="91"/>
      <c r="AE220" s="91"/>
      <c r="AF220" s="91"/>
      <c r="AG220" s="91"/>
      <c r="AH220" s="91"/>
    </row>
    <row r="221" spans="1:34" customFormat="1" ht="30">
      <c r="A221" s="120">
        <v>220</v>
      </c>
      <c r="B221" s="120" t="b">
        <f t="shared" ca="1" si="3"/>
        <v>0</v>
      </c>
      <c r="C221" s="135">
        <v>45439.677314814813</v>
      </c>
      <c r="D221" s="123">
        <v>0.67731481481481481</v>
      </c>
      <c r="E221" s="91">
        <v>2041</v>
      </c>
      <c r="F221" s="91">
        <v>1202</v>
      </c>
      <c r="G221" s="91" t="s">
        <v>34</v>
      </c>
      <c r="H221" s="91">
        <v>1043</v>
      </c>
      <c r="I221" s="115"/>
      <c r="J221" s="91" t="s">
        <v>35</v>
      </c>
      <c r="K221" s="91">
        <v>48.426000000000002</v>
      </c>
      <c r="L221" s="133" t="str">
        <f>VLOOKUP(K221,Liste!$L$2:$O$34,4,1)</f>
        <v>GSMR_08/09</v>
      </c>
      <c r="M221" s="133" t="s">
        <v>36</v>
      </c>
      <c r="N221" s="181" t="s">
        <v>58</v>
      </c>
      <c r="O221" s="125" t="s">
        <v>565</v>
      </c>
      <c r="P221" s="126"/>
      <c r="Q221" s="124" t="s">
        <v>531</v>
      </c>
      <c r="R221" s="91" t="s">
        <v>502</v>
      </c>
      <c r="S221" s="94" t="s">
        <v>529</v>
      </c>
      <c r="T221" s="94" t="s">
        <v>69</v>
      </c>
      <c r="U221" s="94" t="s">
        <v>387</v>
      </c>
      <c r="V221" s="94" t="s">
        <v>51</v>
      </c>
      <c r="W221" s="124" t="s">
        <v>51</v>
      </c>
      <c r="X221" s="94" t="s">
        <v>52</v>
      </c>
      <c r="Y221" s="124" t="s">
        <v>45</v>
      </c>
      <c r="Z221" s="91"/>
      <c r="AA221" s="91"/>
      <c r="AB221" s="91"/>
      <c r="AC221" s="91"/>
      <c r="AD221" s="91"/>
      <c r="AE221" s="91"/>
      <c r="AF221" s="91"/>
      <c r="AG221" s="91"/>
      <c r="AH221" s="91"/>
    </row>
    <row r="222" spans="1:34" customFormat="1" ht="30">
      <c r="A222" s="120">
        <v>221</v>
      </c>
      <c r="B222" s="120" t="b">
        <f t="shared" ca="1" si="3"/>
        <v>0</v>
      </c>
      <c r="C222" s="135">
        <v>45439.681018518517</v>
      </c>
      <c r="D222" s="118" t="s">
        <v>566</v>
      </c>
      <c r="E222" s="91">
        <v>2041</v>
      </c>
      <c r="F222" s="91">
        <v>1202</v>
      </c>
      <c r="G222" s="91" t="s">
        <v>34</v>
      </c>
      <c r="H222" s="91">
        <v>1042</v>
      </c>
      <c r="I222" s="115"/>
      <c r="J222" s="91" t="s">
        <v>35</v>
      </c>
      <c r="K222" s="91">
        <v>53.600999999999999</v>
      </c>
      <c r="L222" s="133" t="str">
        <f>VLOOKUP(K222,Liste!$L$2:$O$34,4,1)</f>
        <v>GSMR_09/10</v>
      </c>
      <c r="M222" s="133" t="s">
        <v>36</v>
      </c>
      <c r="N222" s="180" t="s">
        <v>37</v>
      </c>
      <c r="O222" s="125" t="s">
        <v>567</v>
      </c>
      <c r="P222" s="126"/>
      <c r="Q222" s="124" t="s">
        <v>531</v>
      </c>
      <c r="R222" s="91" t="s">
        <v>502</v>
      </c>
      <c r="S222" s="94" t="s">
        <v>568</v>
      </c>
      <c r="T222" s="94" t="s">
        <v>69</v>
      </c>
      <c r="U222" s="94" t="s">
        <v>120</v>
      </c>
      <c r="V222" s="94" t="s">
        <v>51</v>
      </c>
      <c r="W222" s="124" t="s">
        <v>51</v>
      </c>
      <c r="X222" s="94" t="s">
        <v>52</v>
      </c>
      <c r="Y222" s="124" t="s">
        <v>103</v>
      </c>
      <c r="Z222" s="91"/>
      <c r="AA222" s="91"/>
      <c r="AB222" s="91"/>
      <c r="AC222" s="91"/>
      <c r="AD222" s="91"/>
      <c r="AE222" s="91"/>
      <c r="AF222" s="91"/>
      <c r="AG222" s="91"/>
      <c r="AH222" s="91"/>
    </row>
    <row r="223" spans="1:34" customFormat="1" ht="30">
      <c r="A223" s="120">
        <v>222</v>
      </c>
      <c r="B223" s="120" t="b">
        <f t="shared" ca="1" si="3"/>
        <v>0</v>
      </c>
      <c r="C223" s="131">
        <v>45439.753900462965</v>
      </c>
      <c r="D223" s="137">
        <v>0.75390046296296298</v>
      </c>
      <c r="E223" s="94">
        <v>2049</v>
      </c>
      <c r="F223" s="94">
        <v>1204</v>
      </c>
      <c r="G223" s="94" t="s">
        <v>34</v>
      </c>
      <c r="H223" s="94">
        <v>1053</v>
      </c>
      <c r="I223" s="139"/>
      <c r="J223" s="94" t="s">
        <v>35</v>
      </c>
      <c r="K223" s="152">
        <v>6.13</v>
      </c>
      <c r="L223" s="122" t="str">
        <f>VLOOKUP(K223,Liste!$L$2:$O$34,4,1)</f>
        <v>GSMR_02/03</v>
      </c>
      <c r="M223" s="133" t="s">
        <v>36</v>
      </c>
      <c r="N223" s="180" t="s">
        <v>37</v>
      </c>
      <c r="O223" s="126" t="s">
        <v>569</v>
      </c>
      <c r="P223" s="126"/>
      <c r="Q223" s="124" t="s">
        <v>531</v>
      </c>
      <c r="R223" s="94" t="s">
        <v>502</v>
      </c>
      <c r="S223" s="94" t="s">
        <v>570</v>
      </c>
      <c r="T223" s="94" t="s">
        <v>116</v>
      </c>
      <c r="U223" s="94" t="s">
        <v>205</v>
      </c>
      <c r="V223" s="94" t="s">
        <v>51</v>
      </c>
      <c r="W223" s="124" t="s">
        <v>51</v>
      </c>
      <c r="X223" s="124"/>
      <c r="Y223" s="124" t="s">
        <v>45</v>
      </c>
      <c r="Z223" s="94"/>
      <c r="AA223" s="94"/>
      <c r="AB223" s="94"/>
      <c r="AC223" s="94"/>
      <c r="AD223" s="94"/>
      <c r="AE223" s="94"/>
      <c r="AF223" s="94"/>
      <c r="AG223" s="94"/>
      <c r="AH223" s="94"/>
    </row>
    <row r="224" spans="1:34" customFormat="1" ht="30">
      <c r="A224" s="120">
        <v>223</v>
      </c>
      <c r="B224" s="120" t="b">
        <f t="shared" ca="1" si="3"/>
        <v>0</v>
      </c>
      <c r="C224" s="135">
        <v>45439.892222222225</v>
      </c>
      <c r="D224" s="123">
        <v>0.89222222222222225</v>
      </c>
      <c r="E224" s="91">
        <v>2061</v>
      </c>
      <c r="F224" s="91">
        <v>1205</v>
      </c>
      <c r="G224" s="91" t="s">
        <v>34</v>
      </c>
      <c r="H224" s="91">
        <v>7217</v>
      </c>
      <c r="I224" s="115"/>
      <c r="J224" s="91" t="s">
        <v>35</v>
      </c>
      <c r="K224" s="91">
        <v>93.757999999999996</v>
      </c>
      <c r="L224" s="122" t="str">
        <f>VLOOKUP(K224,Liste!$L$2:$O$34,4,1)</f>
        <v>GSMR_17/18</v>
      </c>
      <c r="M224" s="133" t="s">
        <v>36</v>
      </c>
      <c r="N224" s="180" t="s">
        <v>37</v>
      </c>
      <c r="O224" s="125" t="s">
        <v>571</v>
      </c>
      <c r="P224" s="126"/>
      <c r="Q224" s="124" t="s">
        <v>531</v>
      </c>
      <c r="R224" s="91" t="s">
        <v>502</v>
      </c>
      <c r="S224" s="94" t="s">
        <v>476</v>
      </c>
      <c r="T224" s="94" t="s">
        <v>209</v>
      </c>
      <c r="U224" s="94" t="s">
        <v>572</v>
      </c>
      <c r="V224" s="94" t="s">
        <v>51</v>
      </c>
      <c r="W224" s="124" t="s">
        <v>51</v>
      </c>
      <c r="X224" s="94" t="s">
        <v>52</v>
      </c>
      <c r="Y224" s="124" t="s">
        <v>45</v>
      </c>
      <c r="Z224" s="91"/>
      <c r="AA224" s="91"/>
      <c r="AB224" s="91"/>
      <c r="AC224" s="91"/>
      <c r="AD224" s="91"/>
      <c r="AE224" s="91"/>
      <c r="AF224" s="91"/>
      <c r="AG224" s="91"/>
      <c r="AH224" s="91"/>
    </row>
    <row r="225" spans="1:34" customFormat="1" ht="30">
      <c r="A225" s="120">
        <v>224</v>
      </c>
      <c r="B225" s="120" t="b">
        <f t="shared" ca="1" si="3"/>
        <v>0</v>
      </c>
      <c r="C225" s="135">
        <v>45440.416620370372</v>
      </c>
      <c r="D225" s="123">
        <v>0.41662037037037036</v>
      </c>
      <c r="E225" s="91">
        <v>1009</v>
      </c>
      <c r="F225" s="91">
        <v>1205</v>
      </c>
      <c r="G225" s="91" t="s">
        <v>71</v>
      </c>
      <c r="H225" s="91">
        <v>1035</v>
      </c>
      <c r="I225" s="115"/>
      <c r="J225" s="91" t="s">
        <v>72</v>
      </c>
      <c r="K225" s="91">
        <v>25.91</v>
      </c>
      <c r="L225" s="122" t="str">
        <f>VLOOKUP(K225,Liste!$L$2:$O$34,4,1)</f>
        <v>GSMR_05/06</v>
      </c>
      <c r="M225" s="133" t="s">
        <v>36</v>
      </c>
      <c r="N225" s="180" t="s">
        <v>37</v>
      </c>
      <c r="O225" s="125" t="s">
        <v>573</v>
      </c>
      <c r="P225" s="126"/>
      <c r="Q225" s="124" t="s">
        <v>531</v>
      </c>
      <c r="R225" s="91" t="s">
        <v>502</v>
      </c>
      <c r="S225" s="94" t="s">
        <v>574</v>
      </c>
      <c r="T225" s="94" t="s">
        <v>56</v>
      </c>
      <c r="U225" s="94" t="s">
        <v>318</v>
      </c>
      <c r="V225" s="94" t="s">
        <v>43</v>
      </c>
      <c r="W225" s="124" t="s">
        <v>51</v>
      </c>
      <c r="X225" s="124" t="s">
        <v>400</v>
      </c>
      <c r="Y225" s="124" t="s">
        <v>45</v>
      </c>
      <c r="Z225" s="91"/>
      <c r="AA225" s="91"/>
      <c r="AB225" s="91"/>
      <c r="AC225" s="91"/>
      <c r="AD225" s="91"/>
      <c r="AE225" s="91"/>
      <c r="AF225" s="91"/>
      <c r="AG225" s="91"/>
      <c r="AH225" s="91"/>
    </row>
    <row r="226" spans="1:34" customFormat="1" ht="30">
      <c r="A226" s="120">
        <v>225</v>
      </c>
      <c r="B226" s="120" t="b">
        <f t="shared" ca="1" si="3"/>
        <v>0</v>
      </c>
      <c r="C226" s="131">
        <v>45440.420324074075</v>
      </c>
      <c r="D226" s="137">
        <v>0.42032407407407407</v>
      </c>
      <c r="E226" s="94"/>
      <c r="F226" s="94">
        <v>1205</v>
      </c>
      <c r="G226" s="91" t="s">
        <v>71</v>
      </c>
      <c r="H226" s="94">
        <v>1034</v>
      </c>
      <c r="I226" s="139"/>
      <c r="J226" s="94" t="s">
        <v>72</v>
      </c>
      <c r="K226" s="152">
        <v>7.3209999999999997</v>
      </c>
      <c r="L226" s="122" t="str">
        <f>VLOOKUP(K226,Liste!$L$2:$O$34,4,1)</f>
        <v>GSMR_02/03</v>
      </c>
      <c r="M226" s="133" t="s">
        <v>36</v>
      </c>
      <c r="N226" s="180" t="s">
        <v>37</v>
      </c>
      <c r="O226" s="126" t="s">
        <v>540</v>
      </c>
      <c r="P226" s="126"/>
      <c r="Q226" s="124" t="s">
        <v>531</v>
      </c>
      <c r="R226" s="94" t="s">
        <v>502</v>
      </c>
      <c r="S226" s="94" t="s">
        <v>495</v>
      </c>
      <c r="T226" s="94" t="s">
        <v>56</v>
      </c>
      <c r="U226" s="94" t="s">
        <v>408</v>
      </c>
      <c r="V226" s="94" t="s">
        <v>51</v>
      </c>
      <c r="W226" s="124" t="s">
        <v>51</v>
      </c>
      <c r="X226" s="124"/>
      <c r="Y226" s="124" t="s">
        <v>45</v>
      </c>
      <c r="Z226" s="94"/>
      <c r="AA226" s="94"/>
      <c r="AB226" s="94"/>
      <c r="AC226" s="94"/>
      <c r="AD226" s="94"/>
      <c r="AE226" s="94"/>
      <c r="AF226" s="94"/>
      <c r="AG226" s="94"/>
      <c r="AH226" s="94"/>
    </row>
    <row r="227" spans="1:34" customFormat="1" ht="30">
      <c r="A227" s="120">
        <v>226</v>
      </c>
      <c r="B227" s="120" t="b">
        <f t="shared" ca="1" si="3"/>
        <v>0</v>
      </c>
      <c r="C227" s="131">
        <v>45440.586805555555</v>
      </c>
      <c r="D227" s="129" t="s">
        <v>575</v>
      </c>
      <c r="E227" s="94">
        <v>1025</v>
      </c>
      <c r="F227" s="94">
        <v>1202</v>
      </c>
      <c r="G227" s="91" t="s">
        <v>71</v>
      </c>
      <c r="H227" s="94">
        <v>1022</v>
      </c>
      <c r="I227" s="139"/>
      <c r="J227" s="94" t="s">
        <v>72</v>
      </c>
      <c r="K227" s="152">
        <v>7.3209999999999997</v>
      </c>
      <c r="L227" s="122" t="str">
        <f>VLOOKUP(K227,Liste!$L$2:$O$34,4,1)</f>
        <v>GSMR_02/03</v>
      </c>
      <c r="M227" s="133" t="s">
        <v>36</v>
      </c>
      <c r="N227" s="180" t="s">
        <v>37</v>
      </c>
      <c r="O227" s="126" t="s">
        <v>540</v>
      </c>
      <c r="P227" s="126"/>
      <c r="Q227" s="124" t="s">
        <v>531</v>
      </c>
      <c r="R227" s="94" t="s">
        <v>502</v>
      </c>
      <c r="S227" s="94" t="s">
        <v>495</v>
      </c>
      <c r="T227" s="94" t="s">
        <v>56</v>
      </c>
      <c r="U227" s="94" t="s">
        <v>387</v>
      </c>
      <c r="V227" s="94" t="s">
        <v>51</v>
      </c>
      <c r="W227" s="124" t="s">
        <v>51</v>
      </c>
      <c r="X227" s="124"/>
      <c r="Y227" s="124" t="s">
        <v>45</v>
      </c>
      <c r="Z227" s="94"/>
      <c r="AA227" s="94"/>
      <c r="AB227" s="94"/>
      <c r="AC227" s="94"/>
      <c r="AD227" s="94"/>
      <c r="AE227" s="94"/>
      <c r="AF227" s="94"/>
      <c r="AG227" s="94"/>
      <c r="AH227" s="94"/>
    </row>
    <row r="228" spans="1:34" customFormat="1" ht="30">
      <c r="A228" s="120">
        <v>227</v>
      </c>
      <c r="B228" s="120" t="b">
        <f t="shared" ca="1" si="3"/>
        <v>0</v>
      </c>
      <c r="C228" s="135">
        <v>45440.838125000002</v>
      </c>
      <c r="D228" s="123">
        <v>0.83812500000000001</v>
      </c>
      <c r="E228" s="91">
        <v>1049</v>
      </c>
      <c r="F228" s="91">
        <v>1202</v>
      </c>
      <c r="G228" s="91" t="s">
        <v>71</v>
      </c>
      <c r="H228" s="91">
        <v>1023</v>
      </c>
      <c r="I228" s="115"/>
      <c r="J228" s="91" t="s">
        <v>72</v>
      </c>
      <c r="K228" s="91">
        <v>25.91</v>
      </c>
      <c r="L228" s="122" t="str">
        <f>VLOOKUP(K228,Liste!$L$2:$O$34,4,1)</f>
        <v>GSMR_05/06</v>
      </c>
      <c r="M228" s="133" t="s">
        <v>36</v>
      </c>
      <c r="N228" s="181" t="s">
        <v>58</v>
      </c>
      <c r="O228" s="125" t="s">
        <v>576</v>
      </c>
      <c r="P228" s="126"/>
      <c r="Q228" s="124" t="s">
        <v>531</v>
      </c>
      <c r="R228" s="91" t="s">
        <v>502</v>
      </c>
      <c r="S228" s="94" t="s">
        <v>577</v>
      </c>
      <c r="T228" s="94" t="s">
        <v>56</v>
      </c>
      <c r="U228" s="94" t="s">
        <v>578</v>
      </c>
      <c r="V228" s="94" t="s">
        <v>51</v>
      </c>
      <c r="W228" s="124" t="s">
        <v>51</v>
      </c>
      <c r="X228" s="124" t="s">
        <v>400</v>
      </c>
      <c r="Y228" s="124" t="s">
        <v>45</v>
      </c>
      <c r="Z228" s="91"/>
      <c r="AA228" s="91"/>
      <c r="AB228" s="91"/>
      <c r="AC228" s="91"/>
      <c r="AD228" s="91"/>
      <c r="AE228" s="91"/>
      <c r="AF228" s="91"/>
      <c r="AG228" s="91"/>
      <c r="AH228" s="91"/>
    </row>
    <row r="229" spans="1:34" customFormat="1" ht="30">
      <c r="A229" s="120">
        <v>228</v>
      </c>
      <c r="B229" s="120" t="b">
        <f t="shared" ca="1" si="3"/>
        <v>0</v>
      </c>
      <c r="C229" s="135">
        <v>45441.219085648147</v>
      </c>
      <c r="D229" s="123">
        <v>0.21908564814814815</v>
      </c>
      <c r="E229" s="91">
        <v>2081</v>
      </c>
      <c r="F229" s="91">
        <v>1209</v>
      </c>
      <c r="G229" s="91" t="s">
        <v>71</v>
      </c>
      <c r="H229" s="91">
        <v>7208</v>
      </c>
      <c r="I229" s="115"/>
      <c r="J229" s="91" t="s">
        <v>72</v>
      </c>
      <c r="K229" s="91">
        <v>179.149</v>
      </c>
      <c r="L229" s="122" t="str">
        <f>VLOOKUP(K229,Liste!$L$2:$O$34,4,1)</f>
        <v>GSMR_30/31</v>
      </c>
      <c r="M229" s="133" t="s">
        <v>36</v>
      </c>
      <c r="N229" s="180" t="s">
        <v>37</v>
      </c>
      <c r="O229" s="125" t="s">
        <v>579</v>
      </c>
      <c r="P229" s="126"/>
      <c r="Q229" s="124" t="s">
        <v>531</v>
      </c>
      <c r="R229" s="91" t="s">
        <v>502</v>
      </c>
      <c r="S229" s="94" t="s">
        <v>580</v>
      </c>
      <c r="T229" s="94" t="s">
        <v>69</v>
      </c>
      <c r="U229" s="94" t="s">
        <v>166</v>
      </c>
      <c r="V229" s="94" t="s">
        <v>51</v>
      </c>
      <c r="W229" s="124" t="s">
        <v>51</v>
      </c>
      <c r="X229" s="124" t="s">
        <v>52</v>
      </c>
      <c r="Y229" s="124" t="s">
        <v>45</v>
      </c>
      <c r="Z229" s="91"/>
      <c r="AA229" s="91"/>
      <c r="AB229" s="91"/>
      <c r="AC229" s="91"/>
      <c r="AD229" s="91"/>
      <c r="AE229" s="91"/>
      <c r="AF229" s="91"/>
      <c r="AG229" s="91"/>
      <c r="AH229" s="91"/>
    </row>
    <row r="230" spans="1:34" customFormat="1" ht="30">
      <c r="A230" s="120">
        <v>229</v>
      </c>
      <c r="B230" s="120" t="b">
        <f t="shared" ca="1" si="3"/>
        <v>0</v>
      </c>
      <c r="C230" s="135">
        <v>45441.419421296298</v>
      </c>
      <c r="D230" s="123">
        <v>0.41942129629629632</v>
      </c>
      <c r="E230" s="91">
        <v>1009</v>
      </c>
      <c r="F230" s="91">
        <v>1211</v>
      </c>
      <c r="G230" s="91" t="s">
        <v>71</v>
      </c>
      <c r="H230" s="91">
        <v>3063</v>
      </c>
      <c r="I230" s="115"/>
      <c r="J230" s="91" t="s">
        <v>72</v>
      </c>
      <c r="K230" s="91">
        <v>10.125</v>
      </c>
      <c r="L230" s="122" t="str">
        <f>VLOOKUP(K230,Liste!$L$2:$O$34,4,1)</f>
        <v>GSMR_03/04</v>
      </c>
      <c r="M230" s="133" t="s">
        <v>36</v>
      </c>
      <c r="N230" s="180" t="s">
        <v>37</v>
      </c>
      <c r="O230" s="125" t="s">
        <v>581</v>
      </c>
      <c r="P230" s="126"/>
      <c r="Q230" s="124" t="s">
        <v>531</v>
      </c>
      <c r="R230" s="91" t="s">
        <v>502</v>
      </c>
      <c r="S230" s="94" t="s">
        <v>582</v>
      </c>
      <c r="T230" s="94" t="s">
        <v>69</v>
      </c>
      <c r="U230" s="94" t="s">
        <v>120</v>
      </c>
      <c r="V230" s="94" t="s">
        <v>51</v>
      </c>
      <c r="W230" s="124" t="s">
        <v>51</v>
      </c>
      <c r="X230" s="124" t="s">
        <v>52</v>
      </c>
      <c r="Y230" s="124" t="s">
        <v>45</v>
      </c>
      <c r="Z230" s="91"/>
      <c r="AA230" s="91"/>
      <c r="AB230" s="91"/>
      <c r="AC230" s="91"/>
      <c r="AD230" s="91"/>
      <c r="AE230" s="91"/>
      <c r="AF230" s="91"/>
      <c r="AG230" s="91"/>
      <c r="AH230" s="91"/>
    </row>
    <row r="231" spans="1:34" customFormat="1" ht="30">
      <c r="A231" s="120">
        <v>230</v>
      </c>
      <c r="B231" s="120" t="b">
        <f t="shared" ca="1" si="3"/>
        <v>0</v>
      </c>
      <c r="C231" s="131">
        <v>45441.420567129629</v>
      </c>
      <c r="D231" s="137">
        <v>0.42056712962962961</v>
      </c>
      <c r="E231" s="94"/>
      <c r="F231" s="94">
        <v>1211</v>
      </c>
      <c r="G231" s="91" t="s">
        <v>71</v>
      </c>
      <c r="H231" s="94">
        <v>3062</v>
      </c>
      <c r="I231" s="139"/>
      <c r="J231" s="94" t="s">
        <v>72</v>
      </c>
      <c r="K231" s="152">
        <v>7.3209999999999997</v>
      </c>
      <c r="L231" s="122" t="str">
        <f>VLOOKUP(K231,Liste!$L$2:$O$34,4,1)</f>
        <v>GSMR_02/03</v>
      </c>
      <c r="M231" s="133" t="s">
        <v>36</v>
      </c>
      <c r="N231" s="180" t="s">
        <v>37</v>
      </c>
      <c r="O231" s="126" t="s">
        <v>583</v>
      </c>
      <c r="P231" s="189"/>
      <c r="Q231" s="141" t="s">
        <v>531</v>
      </c>
      <c r="R231" s="94" t="s">
        <v>502</v>
      </c>
      <c r="S231" s="94" t="s">
        <v>552</v>
      </c>
      <c r="T231" s="94" t="s">
        <v>93</v>
      </c>
      <c r="U231" s="94" t="s">
        <v>57</v>
      </c>
      <c r="V231" s="94" t="s">
        <v>43</v>
      </c>
      <c r="W231" s="124" t="s">
        <v>51</v>
      </c>
      <c r="X231" s="124"/>
      <c r="Y231" s="124" t="s">
        <v>45</v>
      </c>
      <c r="Z231" s="94"/>
      <c r="AA231" s="94"/>
      <c r="AB231" s="94"/>
      <c r="AC231" s="94"/>
      <c r="AD231" s="94"/>
      <c r="AE231" s="94"/>
      <c r="AF231" s="94"/>
      <c r="AG231" s="94"/>
      <c r="AH231" s="94"/>
    </row>
    <row r="232" spans="1:34" customFormat="1" ht="30">
      <c r="A232" s="120">
        <v>231</v>
      </c>
      <c r="B232" s="120" t="b">
        <f t="shared" ca="1" si="3"/>
        <v>0</v>
      </c>
      <c r="C232" s="135">
        <v>45441.714398148149</v>
      </c>
      <c r="D232" s="123">
        <v>0.71439814814814817</v>
      </c>
      <c r="E232" s="91">
        <v>2045</v>
      </c>
      <c r="F232" s="91">
        <v>1205</v>
      </c>
      <c r="G232" s="91" t="s">
        <v>34</v>
      </c>
      <c r="H232" s="91">
        <v>7218</v>
      </c>
      <c r="I232" s="115"/>
      <c r="J232" s="91" t="s">
        <v>35</v>
      </c>
      <c r="K232" s="91">
        <v>16.29</v>
      </c>
      <c r="L232" s="122" t="str">
        <f>VLOOKUP(K232,Liste!$L$2:$O$34,4,1)</f>
        <v>GSMR_03/04</v>
      </c>
      <c r="M232" s="133" t="s">
        <v>36</v>
      </c>
      <c r="N232" s="180" t="s">
        <v>37</v>
      </c>
      <c r="O232" s="125" t="s">
        <v>584</v>
      </c>
      <c r="P232" s="126"/>
      <c r="Q232" s="124" t="s">
        <v>531</v>
      </c>
      <c r="R232" s="91" t="s">
        <v>502</v>
      </c>
      <c r="S232" s="94" t="s">
        <v>222</v>
      </c>
      <c r="T232" s="94" t="s">
        <v>69</v>
      </c>
      <c r="U232" s="94" t="s">
        <v>120</v>
      </c>
      <c r="V232" s="94" t="s">
        <v>51</v>
      </c>
      <c r="W232" s="124" t="s">
        <v>51</v>
      </c>
      <c r="X232" s="124" t="s">
        <v>52</v>
      </c>
      <c r="Y232" s="124" t="s">
        <v>45</v>
      </c>
      <c r="Z232" s="91"/>
      <c r="AA232" s="91"/>
      <c r="AB232" s="91"/>
      <c r="AC232" s="91"/>
      <c r="AD232" s="91"/>
      <c r="AE232" s="91"/>
      <c r="AF232" s="91"/>
      <c r="AG232" s="91"/>
      <c r="AH232" s="91"/>
    </row>
    <row r="233" spans="1:34" customFormat="1" ht="30">
      <c r="A233" s="120">
        <v>232</v>
      </c>
      <c r="B233" s="120" t="b">
        <f t="shared" ca="1" si="3"/>
        <v>0</v>
      </c>
      <c r="C233" s="131">
        <v>45441.794930555552</v>
      </c>
      <c r="D233" s="137">
        <v>0.79493055555555558</v>
      </c>
      <c r="E233" s="94"/>
      <c r="F233" s="94">
        <v>1209</v>
      </c>
      <c r="G233" s="91" t="s">
        <v>71</v>
      </c>
      <c r="H233" s="94">
        <v>1033</v>
      </c>
      <c r="I233" s="139"/>
      <c r="J233" s="94" t="s">
        <v>72</v>
      </c>
      <c r="K233" s="152">
        <v>7.3209999999999997</v>
      </c>
      <c r="L233" s="122" t="str">
        <f>VLOOKUP(K233,Liste!$L$2:$O$34,4,1)</f>
        <v>GSMR_02/03</v>
      </c>
      <c r="M233" s="133" t="s">
        <v>36</v>
      </c>
      <c r="N233" s="181" t="s">
        <v>58</v>
      </c>
      <c r="O233" s="126" t="s">
        <v>540</v>
      </c>
      <c r="P233" s="126"/>
      <c r="Q233" s="124" t="s">
        <v>531</v>
      </c>
      <c r="R233" s="94" t="s">
        <v>502</v>
      </c>
      <c r="S233" s="94" t="s">
        <v>495</v>
      </c>
      <c r="T233" s="94" t="s">
        <v>56</v>
      </c>
      <c r="U233" s="94" t="s">
        <v>408</v>
      </c>
      <c r="V233" s="94" t="s">
        <v>51</v>
      </c>
      <c r="W233" s="124" t="s">
        <v>51</v>
      </c>
      <c r="X233" s="124"/>
      <c r="Y233" s="124" t="s">
        <v>45</v>
      </c>
      <c r="Z233" s="94"/>
      <c r="AA233" s="94"/>
      <c r="AB233" s="94"/>
      <c r="AC233" s="94"/>
      <c r="AD233" s="94"/>
      <c r="AE233" s="94"/>
      <c r="AF233" s="94"/>
      <c r="AG233" s="94"/>
      <c r="AH233" s="94"/>
    </row>
    <row r="234" spans="1:34" customFormat="1" ht="30">
      <c r="A234" s="120">
        <v>233</v>
      </c>
      <c r="B234" s="120" t="b">
        <f t="shared" ca="1" si="3"/>
        <v>0</v>
      </c>
      <c r="C234" s="135">
        <v>45441.936736111114</v>
      </c>
      <c r="D234" s="123">
        <v>0.9367361111111111</v>
      </c>
      <c r="E234" s="91">
        <v>1061</v>
      </c>
      <c r="F234" s="91">
        <v>1202</v>
      </c>
      <c r="G234" s="91" t="s">
        <v>71</v>
      </c>
      <c r="H234" s="91">
        <v>1023</v>
      </c>
      <c r="I234" s="115"/>
      <c r="J234" s="91" t="s">
        <v>72</v>
      </c>
      <c r="K234" s="91">
        <v>177.85</v>
      </c>
      <c r="L234" s="122" t="str">
        <f>VLOOKUP(K234,Liste!$L$2:$O$34,4,1)</f>
        <v>GSMR_30/31</v>
      </c>
      <c r="M234" s="133" t="s">
        <v>36</v>
      </c>
      <c r="N234" s="180" t="s">
        <v>37</v>
      </c>
      <c r="O234" s="125" t="s">
        <v>585</v>
      </c>
      <c r="P234" s="126"/>
      <c r="Q234" s="124" t="s">
        <v>531</v>
      </c>
      <c r="R234" s="91" t="s">
        <v>502</v>
      </c>
      <c r="S234" s="124" t="s">
        <v>586</v>
      </c>
      <c r="T234" s="94" t="s">
        <v>56</v>
      </c>
      <c r="U234" s="94" t="s">
        <v>366</v>
      </c>
      <c r="V234" s="94" t="s">
        <v>51</v>
      </c>
      <c r="W234" s="124" t="s">
        <v>51</v>
      </c>
      <c r="X234" s="124" t="s">
        <v>400</v>
      </c>
      <c r="Y234" s="124" t="s">
        <v>45</v>
      </c>
      <c r="Z234" s="91"/>
      <c r="AA234" s="91"/>
      <c r="AB234" s="91"/>
      <c r="AC234" s="91"/>
      <c r="AD234" s="91"/>
      <c r="AE234" s="91"/>
      <c r="AF234" s="91"/>
      <c r="AG234" s="91"/>
      <c r="AH234" s="91"/>
    </row>
    <row r="235" spans="1:34" customFormat="1" ht="30">
      <c r="A235" s="120">
        <v>234</v>
      </c>
      <c r="B235" s="120" t="b">
        <f t="shared" ca="1" si="3"/>
        <v>0</v>
      </c>
      <c r="C235" s="135">
        <v>45442.936736111114</v>
      </c>
      <c r="D235" s="123">
        <v>0.39341435185185186</v>
      </c>
      <c r="E235" s="91">
        <v>2013</v>
      </c>
      <c r="F235" s="91">
        <v>1201</v>
      </c>
      <c r="G235" s="91" t="s">
        <v>34</v>
      </c>
      <c r="H235" s="91">
        <v>7198</v>
      </c>
      <c r="I235" s="115"/>
      <c r="J235" s="91" t="s">
        <v>35</v>
      </c>
      <c r="K235" s="91">
        <v>97.619</v>
      </c>
      <c r="L235" s="122" t="str">
        <f>VLOOKUP(K235,Liste!$L$2:$O$34,4,1)</f>
        <v>GSMR_17/18</v>
      </c>
      <c r="M235" s="133" t="s">
        <v>36</v>
      </c>
      <c r="N235" s="181" t="s">
        <v>58</v>
      </c>
      <c r="O235" s="125" t="s">
        <v>587</v>
      </c>
      <c r="P235" s="126"/>
      <c r="Q235" s="124" t="s">
        <v>531</v>
      </c>
      <c r="R235" s="91" t="s">
        <v>502</v>
      </c>
      <c r="S235" s="124" t="s">
        <v>588</v>
      </c>
      <c r="T235" s="94" t="s">
        <v>69</v>
      </c>
      <c r="U235" s="94" t="s">
        <v>120</v>
      </c>
      <c r="V235" s="94" t="s">
        <v>51</v>
      </c>
      <c r="W235" s="124" t="s">
        <v>51</v>
      </c>
      <c r="X235" s="124" t="s">
        <v>52</v>
      </c>
      <c r="Y235" s="124" t="s">
        <v>45</v>
      </c>
      <c r="Z235" s="91"/>
      <c r="AA235" s="91"/>
      <c r="AB235" s="91"/>
      <c r="AC235" s="91"/>
      <c r="AD235" s="91"/>
      <c r="AE235" s="91"/>
      <c r="AF235" s="91"/>
      <c r="AG235" s="91"/>
      <c r="AH235" s="91"/>
    </row>
    <row r="236" spans="1:34" customFormat="1" ht="30">
      <c r="A236" s="120">
        <v>235</v>
      </c>
      <c r="B236" s="120" t="b">
        <f t="shared" ca="1" si="3"/>
        <v>0</v>
      </c>
      <c r="C236" s="135">
        <v>45442.936736111114</v>
      </c>
      <c r="D236" s="123">
        <v>0.45993055555555556</v>
      </c>
      <c r="E236" s="91">
        <v>1013</v>
      </c>
      <c r="F236" s="91">
        <v>1209</v>
      </c>
      <c r="G236" s="91" t="s">
        <v>71</v>
      </c>
      <c r="H236" s="91">
        <v>1032</v>
      </c>
      <c r="I236" s="115"/>
      <c r="J236" s="91" t="s">
        <v>72</v>
      </c>
      <c r="K236" s="91">
        <v>21.55</v>
      </c>
      <c r="L236" s="122" t="str">
        <f>VLOOKUP(K236,Liste!$L$2:$O$34,4,1)</f>
        <v>GSMR_04/05</v>
      </c>
      <c r="M236" s="133" t="s">
        <v>36</v>
      </c>
      <c r="N236" s="180" t="s">
        <v>37</v>
      </c>
      <c r="O236" s="125" t="s">
        <v>589</v>
      </c>
      <c r="P236" s="126"/>
      <c r="Q236" s="124" t="s">
        <v>531</v>
      </c>
      <c r="R236" s="91" t="s">
        <v>502</v>
      </c>
      <c r="S236" s="124" t="s">
        <v>590</v>
      </c>
      <c r="T236" s="94" t="s">
        <v>69</v>
      </c>
      <c r="U236" s="94" t="s">
        <v>230</v>
      </c>
      <c r="V236" s="94" t="s">
        <v>51</v>
      </c>
      <c r="W236" s="124" t="s">
        <v>51</v>
      </c>
      <c r="X236" s="124" t="s">
        <v>52</v>
      </c>
      <c r="Y236" s="124" t="s">
        <v>45</v>
      </c>
      <c r="Z236" s="91"/>
      <c r="AA236" s="91"/>
      <c r="AB236" s="91"/>
      <c r="AC236" s="91"/>
      <c r="AD236" s="91"/>
      <c r="AE236" s="91"/>
      <c r="AF236" s="91"/>
      <c r="AG236" s="91"/>
      <c r="AH236" s="91"/>
    </row>
    <row r="237" spans="1:34" customFormat="1" ht="30">
      <c r="A237" s="120">
        <v>236</v>
      </c>
      <c r="B237" s="120" t="b">
        <f t="shared" ca="1" si="3"/>
        <v>0</v>
      </c>
      <c r="C237" s="135">
        <v>45442.936736111114</v>
      </c>
      <c r="D237" s="123">
        <v>0.51967592592592593</v>
      </c>
      <c r="E237" s="91">
        <v>2025</v>
      </c>
      <c r="F237" s="91">
        <v>1209</v>
      </c>
      <c r="G237" s="91" t="s">
        <v>34</v>
      </c>
      <c r="H237" s="91">
        <v>7208</v>
      </c>
      <c r="I237" s="115"/>
      <c r="J237" s="91" t="s">
        <v>35</v>
      </c>
      <c r="K237" s="91">
        <v>108.206</v>
      </c>
      <c r="L237" s="122" t="str">
        <f>VLOOKUP(K237,Liste!$L$2:$O$34,4,1)</f>
        <v>GSMR_19/20</v>
      </c>
      <c r="M237" s="133" t="s">
        <v>36</v>
      </c>
      <c r="N237" s="180" t="s">
        <v>37</v>
      </c>
      <c r="O237" s="125" t="s">
        <v>591</v>
      </c>
      <c r="P237" s="126"/>
      <c r="Q237" s="124" t="s">
        <v>531</v>
      </c>
      <c r="R237" s="91" t="s">
        <v>502</v>
      </c>
      <c r="S237" s="124" t="s">
        <v>592</v>
      </c>
      <c r="T237" s="94" t="s">
        <v>56</v>
      </c>
      <c r="U237" s="94" t="s">
        <v>90</v>
      </c>
      <c r="V237" s="94" t="s">
        <v>51</v>
      </c>
      <c r="W237" s="124" t="s">
        <v>51</v>
      </c>
      <c r="X237" s="124" t="s">
        <v>52</v>
      </c>
      <c r="Y237" s="124" t="s">
        <v>103</v>
      </c>
      <c r="Z237" s="91"/>
      <c r="AA237" s="91"/>
      <c r="AB237" s="91"/>
      <c r="AC237" s="91"/>
      <c r="AD237" s="91"/>
      <c r="AE237" s="91"/>
      <c r="AF237" s="91"/>
      <c r="AG237" s="91"/>
      <c r="AH237" s="91"/>
    </row>
    <row r="238" spans="1:34" customFormat="1" ht="30">
      <c r="A238" s="120">
        <v>237</v>
      </c>
      <c r="B238" s="120" t="b">
        <f t="shared" ca="1" si="3"/>
        <v>0</v>
      </c>
      <c r="C238" s="135">
        <v>45442.936736111114</v>
      </c>
      <c r="D238" s="123">
        <v>0.5426157407407407</v>
      </c>
      <c r="E238" s="91">
        <v>1021</v>
      </c>
      <c r="F238" s="91">
        <v>1204</v>
      </c>
      <c r="G238" s="91" t="s">
        <v>71</v>
      </c>
      <c r="H238" s="91">
        <v>1031</v>
      </c>
      <c r="I238" s="115"/>
      <c r="J238" s="91" t="s">
        <v>72</v>
      </c>
      <c r="K238" s="91">
        <v>17.59</v>
      </c>
      <c r="L238" s="122" t="str">
        <f>VLOOKUP(K238,Liste!$L$2:$O$34,4,1)</f>
        <v>GSMR_04/05</v>
      </c>
      <c r="M238" s="133" t="s">
        <v>36</v>
      </c>
      <c r="N238" s="181" t="s">
        <v>58</v>
      </c>
      <c r="O238" s="125" t="s">
        <v>593</v>
      </c>
      <c r="P238" s="126"/>
      <c r="Q238" s="94" t="s">
        <v>54</v>
      </c>
      <c r="R238" s="124" t="s">
        <v>563</v>
      </c>
      <c r="S238" s="124" t="s">
        <v>244</v>
      </c>
      <c r="T238" s="94" t="s">
        <v>69</v>
      </c>
      <c r="U238" s="94" t="s">
        <v>183</v>
      </c>
      <c r="V238" s="94" t="s">
        <v>51</v>
      </c>
      <c r="W238" s="124" t="s">
        <v>51</v>
      </c>
      <c r="X238" s="124" t="s">
        <v>98</v>
      </c>
      <c r="Y238" s="124" t="s">
        <v>45</v>
      </c>
      <c r="Z238" s="91"/>
      <c r="AA238" s="91"/>
      <c r="AB238" s="91"/>
      <c r="AC238" s="91"/>
      <c r="AD238" s="91"/>
      <c r="AE238" s="91"/>
      <c r="AF238" s="91"/>
      <c r="AG238" s="91"/>
      <c r="AH238" s="91"/>
    </row>
    <row r="239" spans="1:34" customFormat="1" ht="30">
      <c r="A239" s="120">
        <v>238</v>
      </c>
      <c r="B239" s="120" t="b">
        <f t="shared" ca="1" si="3"/>
        <v>0</v>
      </c>
      <c r="C239" s="131">
        <v>45442.936736111114</v>
      </c>
      <c r="D239" s="137">
        <v>0.87877314814814811</v>
      </c>
      <c r="E239" s="94">
        <v>2061</v>
      </c>
      <c r="F239" s="94">
        <v>1211</v>
      </c>
      <c r="G239" s="94" t="s">
        <v>34</v>
      </c>
      <c r="H239" s="94">
        <v>1028</v>
      </c>
      <c r="I239" s="139"/>
      <c r="J239" s="94" t="s">
        <v>35</v>
      </c>
      <c r="K239" s="152">
        <v>6.13</v>
      </c>
      <c r="L239" s="122" t="str">
        <f>VLOOKUP(K239,Liste!$L$2:$O$34,4,1)</f>
        <v>GSMR_02/03</v>
      </c>
      <c r="M239" s="133" t="s">
        <v>36</v>
      </c>
      <c r="N239" s="181" t="s">
        <v>58</v>
      </c>
      <c r="O239" s="126" t="s">
        <v>594</v>
      </c>
      <c r="P239" s="126"/>
      <c r="Q239" s="124" t="s">
        <v>531</v>
      </c>
      <c r="R239" s="94" t="s">
        <v>502</v>
      </c>
      <c r="S239" s="124" t="s">
        <v>543</v>
      </c>
      <c r="T239" s="94" t="s">
        <v>209</v>
      </c>
      <c r="U239" s="94" t="s">
        <v>108</v>
      </c>
      <c r="V239" s="94" t="s">
        <v>51</v>
      </c>
      <c r="W239" s="124" t="s">
        <v>51</v>
      </c>
      <c r="X239" s="124"/>
      <c r="Y239" s="124" t="s">
        <v>45</v>
      </c>
      <c r="Z239" s="94"/>
      <c r="AA239" s="94"/>
      <c r="AB239" s="94"/>
      <c r="AC239" s="94"/>
      <c r="AD239" s="94"/>
      <c r="AE239" s="94"/>
      <c r="AF239" s="94"/>
      <c r="AG239" s="94"/>
      <c r="AH239" s="94"/>
    </row>
    <row r="240" spans="1:34" customFormat="1" ht="30">
      <c r="A240" s="120">
        <v>239</v>
      </c>
      <c r="B240" s="120" t="b">
        <f t="shared" ca="1" si="3"/>
        <v>0</v>
      </c>
      <c r="C240" s="131">
        <v>45443</v>
      </c>
      <c r="D240" s="137">
        <v>0.1915162037037037</v>
      </c>
      <c r="E240" s="94" t="s">
        <v>595</v>
      </c>
      <c r="F240" s="94">
        <v>1204</v>
      </c>
      <c r="G240" s="94" t="s">
        <v>34</v>
      </c>
      <c r="H240" s="94">
        <v>1052</v>
      </c>
      <c r="I240" s="139"/>
      <c r="J240" s="94" t="s">
        <v>35</v>
      </c>
      <c r="K240" s="91">
        <v>79.281999999999996</v>
      </c>
      <c r="L240" s="122" t="str">
        <f>VLOOKUP(K240,Liste!$L$2:$O$34,4,1)</f>
        <v>GSMR_14/15</v>
      </c>
      <c r="M240" s="133" t="s">
        <v>36</v>
      </c>
      <c r="N240" s="180" t="s">
        <v>37</v>
      </c>
      <c r="O240" s="125" t="s">
        <v>596</v>
      </c>
      <c r="P240" s="126"/>
      <c r="Q240" s="124" t="s">
        <v>150</v>
      </c>
      <c r="R240" s="94" t="s">
        <v>597</v>
      </c>
      <c r="S240" s="124" t="s">
        <v>258</v>
      </c>
      <c r="T240" s="94" t="s">
        <v>69</v>
      </c>
      <c r="U240" s="94" t="s">
        <v>120</v>
      </c>
      <c r="V240" s="94" t="s">
        <v>51</v>
      </c>
      <c r="W240" s="124" t="s">
        <v>51</v>
      </c>
      <c r="X240" s="124" t="s">
        <v>52</v>
      </c>
      <c r="Y240" s="124" t="s">
        <v>103</v>
      </c>
      <c r="Z240" s="91"/>
      <c r="AA240" s="91"/>
      <c r="AB240" s="91"/>
      <c r="AC240" s="91"/>
      <c r="AD240" s="91"/>
      <c r="AE240" s="91"/>
      <c r="AF240" s="91"/>
      <c r="AG240" s="91"/>
      <c r="AH240" s="91"/>
    </row>
    <row r="241" spans="1:34" customFormat="1" ht="30">
      <c r="A241" s="120">
        <v>240</v>
      </c>
      <c r="B241" s="120" t="b">
        <f t="shared" ca="1" si="3"/>
        <v>0</v>
      </c>
      <c r="C241" s="131">
        <v>45443</v>
      </c>
      <c r="D241" s="137">
        <v>0.23318287037037036</v>
      </c>
      <c r="E241" s="94">
        <v>2041</v>
      </c>
      <c r="F241" s="94">
        <v>1204</v>
      </c>
      <c r="G241" s="91" t="s">
        <v>71</v>
      </c>
      <c r="H241" s="94">
        <v>1053</v>
      </c>
      <c r="I241" s="139"/>
      <c r="J241" s="94" t="s">
        <v>35</v>
      </c>
      <c r="K241" s="91">
        <v>80.281999999999996</v>
      </c>
      <c r="L241" s="122" t="str">
        <f>VLOOKUP(K241,Liste!$L$2:$O$34,4,1)</f>
        <v>GSMR_14/15</v>
      </c>
      <c r="M241" s="133" t="s">
        <v>36</v>
      </c>
      <c r="N241" s="180" t="s">
        <v>37</v>
      </c>
      <c r="O241" s="125" t="s">
        <v>596</v>
      </c>
      <c r="P241" s="126"/>
      <c r="Q241" s="124" t="s">
        <v>150</v>
      </c>
      <c r="R241" s="94" t="s">
        <v>597</v>
      </c>
      <c r="S241" s="124" t="s">
        <v>598</v>
      </c>
      <c r="T241" s="94" t="s">
        <v>101</v>
      </c>
      <c r="U241" s="94" t="s">
        <v>120</v>
      </c>
      <c r="V241" s="94" t="s">
        <v>51</v>
      </c>
      <c r="W241" s="124" t="s">
        <v>51</v>
      </c>
      <c r="X241" s="124" t="s">
        <v>52</v>
      </c>
      <c r="Y241" s="124" t="s">
        <v>103</v>
      </c>
      <c r="Z241" s="91"/>
      <c r="AA241" s="91"/>
      <c r="AB241" s="91"/>
      <c r="AC241" s="91"/>
      <c r="AD241" s="91"/>
      <c r="AE241" s="91"/>
      <c r="AF241" s="91"/>
      <c r="AG241" s="91"/>
      <c r="AH241" s="91"/>
    </row>
    <row r="242" spans="1:34" customFormat="1" ht="30">
      <c r="A242" s="120">
        <v>241</v>
      </c>
      <c r="B242" s="120" t="b">
        <f t="shared" ca="1" si="3"/>
        <v>0</v>
      </c>
      <c r="C242" s="131">
        <v>45444</v>
      </c>
      <c r="D242" s="137">
        <v>0.55820601851851848</v>
      </c>
      <c r="E242" s="94">
        <v>1025</v>
      </c>
      <c r="F242" s="94">
        <v>1208</v>
      </c>
      <c r="G242" s="91" t="s">
        <v>71</v>
      </c>
      <c r="H242" s="94">
        <v>1044</v>
      </c>
      <c r="I242" s="139"/>
      <c r="J242" s="94" t="s">
        <v>72</v>
      </c>
      <c r="K242" s="91">
        <v>202.7</v>
      </c>
      <c r="L242" s="122" t="str">
        <f>VLOOKUP(K242,Liste!$L$2:$O$34,4,1)</f>
        <v>GSMR_33/RAC</v>
      </c>
      <c r="M242" s="133" t="s">
        <v>36</v>
      </c>
      <c r="N242" s="181" t="s">
        <v>58</v>
      </c>
      <c r="O242" s="125" t="s">
        <v>599</v>
      </c>
      <c r="P242" s="126"/>
      <c r="Q242" s="94" t="s">
        <v>54</v>
      </c>
      <c r="R242" s="94" t="s">
        <v>597</v>
      </c>
      <c r="S242" s="124" t="s">
        <v>600</v>
      </c>
      <c r="T242" s="94" t="s">
        <v>56</v>
      </c>
      <c r="U242" s="94" t="s">
        <v>85</v>
      </c>
      <c r="V242" s="94" t="s">
        <v>51</v>
      </c>
      <c r="W242" s="124" t="s">
        <v>51</v>
      </c>
      <c r="X242" s="124" t="s">
        <v>52</v>
      </c>
      <c r="Y242" s="124" t="s">
        <v>45</v>
      </c>
      <c r="Z242" s="91"/>
      <c r="AA242" s="91"/>
      <c r="AB242" s="91"/>
      <c r="AC242" s="91"/>
      <c r="AD242" s="91"/>
      <c r="AE242" s="91"/>
      <c r="AF242" s="91"/>
      <c r="AG242" s="91"/>
      <c r="AH242" s="91"/>
    </row>
    <row r="243" spans="1:34" customFormat="1" ht="30">
      <c r="A243" s="120">
        <v>242</v>
      </c>
      <c r="B243" s="120" t="b">
        <f t="shared" ca="1" si="3"/>
        <v>0</v>
      </c>
      <c r="C243" s="131">
        <v>45444</v>
      </c>
      <c r="D243" s="137">
        <v>0.7121643518518519</v>
      </c>
      <c r="E243" s="94">
        <v>2045</v>
      </c>
      <c r="F243" s="94">
        <v>1201</v>
      </c>
      <c r="G243" s="94" t="s">
        <v>34</v>
      </c>
      <c r="H243" s="94">
        <v>7206</v>
      </c>
      <c r="I243" s="139"/>
      <c r="J243" s="94" t="s">
        <v>35</v>
      </c>
      <c r="K243" s="152">
        <v>6.13</v>
      </c>
      <c r="L243" s="122" t="str">
        <f>VLOOKUP(K243,Liste!$L$2:$O$34,4,1)</f>
        <v>GSMR_02/03</v>
      </c>
      <c r="M243" s="133" t="s">
        <v>36</v>
      </c>
      <c r="N243" s="181" t="s">
        <v>58</v>
      </c>
      <c r="O243" s="126" t="s">
        <v>601</v>
      </c>
      <c r="P243" s="126"/>
      <c r="Q243" s="124" t="s">
        <v>531</v>
      </c>
      <c r="R243" s="94" t="s">
        <v>597</v>
      </c>
      <c r="S243" s="124" t="s">
        <v>548</v>
      </c>
      <c r="T243" s="94" t="s">
        <v>56</v>
      </c>
      <c r="U243" s="94" t="s">
        <v>387</v>
      </c>
      <c r="V243" s="94" t="s">
        <v>51</v>
      </c>
      <c r="W243" s="124" t="s">
        <v>51</v>
      </c>
      <c r="X243" s="124" t="s">
        <v>52</v>
      </c>
      <c r="Y243" s="124" t="s">
        <v>45</v>
      </c>
      <c r="Z243" s="91"/>
      <c r="AA243" s="91"/>
      <c r="AB243" s="91"/>
      <c r="AC243" s="91"/>
      <c r="AD243" s="91"/>
      <c r="AE243" s="91"/>
      <c r="AF243" s="91"/>
      <c r="AG243" s="91"/>
      <c r="AH243" s="91"/>
    </row>
    <row r="244" spans="1:34" customFormat="1" ht="30">
      <c r="A244" s="120">
        <v>243</v>
      </c>
      <c r="B244" s="120" t="b">
        <f t="shared" ca="1" si="3"/>
        <v>0</v>
      </c>
      <c r="C244" s="131">
        <v>45445</v>
      </c>
      <c r="D244" s="137">
        <v>0.67011574074074076</v>
      </c>
      <c r="E244" s="94">
        <v>1033</v>
      </c>
      <c r="F244" s="94">
        <v>1201</v>
      </c>
      <c r="G244" s="91" t="s">
        <v>71</v>
      </c>
      <c r="H244" s="94">
        <v>1060</v>
      </c>
      <c r="I244" s="139"/>
      <c r="J244" s="94" t="s">
        <v>72</v>
      </c>
      <c r="K244" s="152">
        <v>7.3209999999999997</v>
      </c>
      <c r="L244" s="122" t="str">
        <f>VLOOKUP(K244,Liste!$L$2:$O$34,4,1)</f>
        <v>GSMR_02/03</v>
      </c>
      <c r="M244" s="133" t="s">
        <v>36</v>
      </c>
      <c r="N244" s="180" t="s">
        <v>37</v>
      </c>
      <c r="O244" s="126" t="s">
        <v>544</v>
      </c>
      <c r="P244" s="126"/>
      <c r="Q244" s="124" t="s">
        <v>531</v>
      </c>
      <c r="R244" s="94" t="s">
        <v>597</v>
      </c>
      <c r="S244" s="124" t="s">
        <v>499</v>
      </c>
      <c r="T244" s="94" t="s">
        <v>56</v>
      </c>
      <c r="U244" s="94" t="s">
        <v>387</v>
      </c>
      <c r="V244" s="94" t="s">
        <v>51</v>
      </c>
      <c r="W244" s="124" t="s">
        <v>51</v>
      </c>
      <c r="X244" s="124" t="s">
        <v>52</v>
      </c>
      <c r="Y244" s="124" t="s">
        <v>45</v>
      </c>
      <c r="Z244" s="91"/>
      <c r="AA244" s="91"/>
      <c r="AB244" s="91"/>
      <c r="AC244" s="91"/>
      <c r="AD244" s="91"/>
      <c r="AE244" s="91"/>
      <c r="AF244" s="91"/>
      <c r="AG244" s="91"/>
      <c r="AH244" s="91"/>
    </row>
    <row r="245" spans="1:34" customFormat="1" ht="30">
      <c r="A245" s="120">
        <v>244</v>
      </c>
      <c r="B245" s="120" t="b">
        <f t="shared" ca="1" si="3"/>
        <v>0</v>
      </c>
      <c r="C245" s="131">
        <v>45445</v>
      </c>
      <c r="D245" s="137">
        <v>0.69914351851851853</v>
      </c>
      <c r="E245" s="94">
        <v>1037</v>
      </c>
      <c r="F245" s="94">
        <v>1208</v>
      </c>
      <c r="G245" s="91" t="s">
        <v>71</v>
      </c>
      <c r="H245" s="94">
        <v>1045</v>
      </c>
      <c r="I245" s="139"/>
      <c r="J245" s="94" t="s">
        <v>72</v>
      </c>
      <c r="K245" s="91">
        <v>94.953999999999994</v>
      </c>
      <c r="L245" s="122" t="str">
        <f>VLOOKUP(K245,Liste!$L$2:$O$34,4,1)</f>
        <v>GSMR_17/18</v>
      </c>
      <c r="M245" s="133" t="s">
        <v>36</v>
      </c>
      <c r="N245" s="180" t="s">
        <v>37</v>
      </c>
      <c r="O245" s="125" t="s">
        <v>602</v>
      </c>
      <c r="P245" s="126"/>
      <c r="Q245" s="124" t="s">
        <v>531</v>
      </c>
      <c r="R245" s="94" t="s">
        <v>597</v>
      </c>
      <c r="S245" s="124" t="s">
        <v>467</v>
      </c>
      <c r="T245" s="94" t="s">
        <v>56</v>
      </c>
      <c r="U245" s="94" t="s">
        <v>112</v>
      </c>
      <c r="V245" s="94" t="s">
        <v>51</v>
      </c>
      <c r="W245" s="124" t="s">
        <v>51</v>
      </c>
      <c r="X245" s="124" t="s">
        <v>52</v>
      </c>
      <c r="Y245" s="124" t="s">
        <v>45</v>
      </c>
      <c r="Z245" s="91"/>
      <c r="AA245" s="91"/>
      <c r="AB245" s="91"/>
      <c r="AC245" s="91"/>
      <c r="AD245" s="91"/>
      <c r="AE245" s="91"/>
      <c r="AF245" s="91"/>
      <c r="AG245" s="91"/>
      <c r="AH245" s="91"/>
    </row>
    <row r="246" spans="1:34" customFormat="1" ht="30">
      <c r="A246" s="120">
        <v>245</v>
      </c>
      <c r="B246" s="120" t="b">
        <f t="shared" ca="1" si="3"/>
        <v>0</v>
      </c>
      <c r="C246" s="131">
        <v>45445</v>
      </c>
      <c r="D246" s="137">
        <v>0.71348379629629632</v>
      </c>
      <c r="E246" s="94">
        <v>1038</v>
      </c>
      <c r="F246" s="94">
        <v>1208</v>
      </c>
      <c r="G246" s="91" t="s">
        <v>71</v>
      </c>
      <c r="H246" s="94">
        <v>1044</v>
      </c>
      <c r="I246" s="139"/>
      <c r="J246" s="94" t="s">
        <v>72</v>
      </c>
      <c r="K246" s="152">
        <v>7.3209999999999997</v>
      </c>
      <c r="L246" s="122" t="str">
        <f>VLOOKUP(K246,Liste!$L$2:$O$34,4,1)</f>
        <v>GSMR_02/03</v>
      </c>
      <c r="M246" s="133" t="s">
        <v>36</v>
      </c>
      <c r="N246" s="180" t="s">
        <v>37</v>
      </c>
      <c r="O246" s="125" t="s">
        <v>540</v>
      </c>
      <c r="P246" s="126"/>
      <c r="Q246" s="124" t="s">
        <v>531</v>
      </c>
      <c r="R246" s="94" t="s">
        <v>597</v>
      </c>
      <c r="S246" s="124" t="s">
        <v>495</v>
      </c>
      <c r="T246" s="94" t="s">
        <v>56</v>
      </c>
      <c r="U246" s="94" t="s">
        <v>75</v>
      </c>
      <c r="V246" s="94" t="s">
        <v>51</v>
      </c>
      <c r="W246" s="124" t="s">
        <v>51</v>
      </c>
      <c r="X246" s="124" t="s">
        <v>52</v>
      </c>
      <c r="Y246" s="124" t="s">
        <v>45</v>
      </c>
      <c r="Z246" s="91"/>
      <c r="AA246" s="91"/>
      <c r="AB246" s="91"/>
      <c r="AC246" s="91"/>
      <c r="AD246" s="91"/>
      <c r="AE246" s="91"/>
      <c r="AF246" s="91"/>
      <c r="AG246" s="91"/>
      <c r="AH246" s="91"/>
    </row>
    <row r="247" spans="1:34" customFormat="1" ht="30">
      <c r="A247" s="120">
        <v>246</v>
      </c>
      <c r="B247" s="120" t="b">
        <f t="shared" ca="1" si="3"/>
        <v>0</v>
      </c>
      <c r="C247" s="131">
        <v>45445</v>
      </c>
      <c r="D247" s="137">
        <v>0.75436342592592598</v>
      </c>
      <c r="E247" s="94">
        <v>2049</v>
      </c>
      <c r="F247" s="94">
        <v>1205</v>
      </c>
      <c r="G247" s="94" t="s">
        <v>34</v>
      </c>
      <c r="H247" s="94">
        <v>7217</v>
      </c>
      <c r="I247" s="139"/>
      <c r="J247" s="94" t="s">
        <v>35</v>
      </c>
      <c r="K247" s="152">
        <v>6.13</v>
      </c>
      <c r="L247" s="122" t="str">
        <f>VLOOKUP(K247,Liste!$L$2:$O$34,4,1)</f>
        <v>GSMR_02/03</v>
      </c>
      <c r="M247" s="133" t="s">
        <v>36</v>
      </c>
      <c r="N247" s="180" t="s">
        <v>37</v>
      </c>
      <c r="O247" s="125" t="s">
        <v>551</v>
      </c>
      <c r="P247" s="126"/>
      <c r="Q247" s="124" t="s">
        <v>531</v>
      </c>
      <c r="R247" s="94" t="s">
        <v>597</v>
      </c>
      <c r="S247" s="124" t="s">
        <v>552</v>
      </c>
      <c r="T247" s="94" t="s">
        <v>56</v>
      </c>
      <c r="U247" s="94" t="s">
        <v>183</v>
      </c>
      <c r="V247" s="94" t="s">
        <v>51</v>
      </c>
      <c r="W247" s="124" t="s">
        <v>51</v>
      </c>
      <c r="X247" s="124" t="s">
        <v>52</v>
      </c>
      <c r="Y247" s="124" t="s">
        <v>45</v>
      </c>
      <c r="Z247" s="91"/>
      <c r="AA247" s="91"/>
      <c r="AB247" s="91"/>
      <c r="AC247" s="91"/>
      <c r="AD247" s="91"/>
      <c r="AE247" s="91"/>
      <c r="AF247" s="91"/>
      <c r="AG247" s="91"/>
      <c r="AH247" s="91"/>
    </row>
    <row r="248" spans="1:34" customFormat="1" ht="30">
      <c r="A248" s="120">
        <v>247</v>
      </c>
      <c r="B248" s="120" t="b">
        <f t="shared" ca="1" si="3"/>
        <v>0</v>
      </c>
      <c r="C248" s="131">
        <v>45446</v>
      </c>
      <c r="D248" s="137">
        <v>0.37883101851851853</v>
      </c>
      <c r="E248" s="94">
        <v>1005</v>
      </c>
      <c r="F248" s="94">
        <v>1204</v>
      </c>
      <c r="G248" s="91" t="s">
        <v>71</v>
      </c>
      <c r="H248" s="94">
        <v>1030</v>
      </c>
      <c r="I248" s="139"/>
      <c r="J248" s="94" t="s">
        <v>72</v>
      </c>
      <c r="K248" s="152">
        <v>7.3209999999999997</v>
      </c>
      <c r="L248" s="122" t="str">
        <f>VLOOKUP(K248,Liste!$L$2:$O$34,4,1)</f>
        <v>GSMR_02/03</v>
      </c>
      <c r="M248" s="133" t="s">
        <v>36</v>
      </c>
      <c r="N248" s="180" t="s">
        <v>37</v>
      </c>
      <c r="O248" s="125" t="s">
        <v>540</v>
      </c>
      <c r="P248" s="126"/>
      <c r="Q248" s="124" t="s">
        <v>531</v>
      </c>
      <c r="R248" s="94" t="s">
        <v>597</v>
      </c>
      <c r="S248" s="124" t="s">
        <v>495</v>
      </c>
      <c r="T248" s="94" t="s">
        <v>56</v>
      </c>
      <c r="U248" s="94" t="s">
        <v>125</v>
      </c>
      <c r="V248" s="94" t="s">
        <v>51</v>
      </c>
      <c r="W248" s="124" t="s">
        <v>51</v>
      </c>
      <c r="X248" s="124" t="s">
        <v>52</v>
      </c>
      <c r="Y248" s="124" t="s">
        <v>146</v>
      </c>
      <c r="Z248" s="91"/>
      <c r="AA248" s="91"/>
      <c r="AB248" s="91"/>
      <c r="AC248" s="91"/>
      <c r="AD248" s="91"/>
      <c r="AE248" s="91"/>
      <c r="AF248" s="91"/>
      <c r="AG248" s="91"/>
      <c r="AH248" s="91"/>
    </row>
    <row r="249" spans="1:34" customFormat="1" ht="30">
      <c r="A249" s="120">
        <v>248</v>
      </c>
      <c r="B249" s="120" t="b">
        <f t="shared" ca="1" si="3"/>
        <v>0</v>
      </c>
      <c r="C249" s="131">
        <v>45446</v>
      </c>
      <c r="D249" s="137">
        <v>0.42060185185185184</v>
      </c>
      <c r="E249" s="94">
        <v>1009</v>
      </c>
      <c r="F249" s="94">
        <v>1208</v>
      </c>
      <c r="G249" s="91" t="s">
        <v>71</v>
      </c>
      <c r="H249" s="94">
        <v>1044</v>
      </c>
      <c r="I249" s="139"/>
      <c r="J249" s="94" t="s">
        <v>72</v>
      </c>
      <c r="K249" s="152">
        <v>7.3209999999999997</v>
      </c>
      <c r="L249" s="122" t="str">
        <f>VLOOKUP(K249,Liste!$L$2:$O$34,4,1)</f>
        <v>GSMR_02/03</v>
      </c>
      <c r="M249" s="133" t="s">
        <v>36</v>
      </c>
      <c r="N249" s="180" t="s">
        <v>37</v>
      </c>
      <c r="O249" s="125" t="s">
        <v>540</v>
      </c>
      <c r="P249" s="126"/>
      <c r="Q249" s="124" t="s">
        <v>531</v>
      </c>
      <c r="R249" s="94" t="s">
        <v>597</v>
      </c>
      <c r="S249" s="124" t="s">
        <v>495</v>
      </c>
      <c r="T249" s="94" t="s">
        <v>56</v>
      </c>
      <c r="U249" s="94" t="s">
        <v>75</v>
      </c>
      <c r="V249" s="94" t="s">
        <v>51</v>
      </c>
      <c r="W249" s="124" t="s">
        <v>51</v>
      </c>
      <c r="X249" s="124" t="s">
        <v>52</v>
      </c>
      <c r="Y249" s="124" t="s">
        <v>45</v>
      </c>
      <c r="Z249" s="91"/>
      <c r="AA249" s="91"/>
      <c r="AB249" s="91"/>
      <c r="AC249" s="91"/>
      <c r="AD249" s="91"/>
      <c r="AE249" s="91"/>
      <c r="AF249" s="91"/>
      <c r="AG249" s="91"/>
      <c r="AH249" s="91"/>
    </row>
    <row r="250" spans="1:34" customFormat="1" ht="30">
      <c r="A250" s="120">
        <v>249</v>
      </c>
      <c r="B250" s="120" t="b">
        <f t="shared" ca="1" si="3"/>
        <v>0</v>
      </c>
      <c r="C250" s="131">
        <v>45446</v>
      </c>
      <c r="D250" s="137">
        <v>0.79491898148148143</v>
      </c>
      <c r="E250" s="94">
        <v>2053</v>
      </c>
      <c r="F250" s="94">
        <v>1201</v>
      </c>
      <c r="G250" s="94" t="s">
        <v>34</v>
      </c>
      <c r="H250" s="94">
        <v>1045</v>
      </c>
      <c r="I250" s="139"/>
      <c r="J250" s="94" t="s">
        <v>35</v>
      </c>
      <c r="K250" s="152">
        <v>6.13</v>
      </c>
      <c r="L250" s="122" t="str">
        <f>VLOOKUP(K250,Liste!$L$2:$O$34,4,1)</f>
        <v>GSMR_02/03</v>
      </c>
      <c r="M250" s="133" t="s">
        <v>36</v>
      </c>
      <c r="N250" s="181" t="s">
        <v>58</v>
      </c>
      <c r="O250" s="125" t="s">
        <v>603</v>
      </c>
      <c r="P250" s="126"/>
      <c r="Q250" s="124" t="s">
        <v>531</v>
      </c>
      <c r="R250" s="94" t="s">
        <v>597</v>
      </c>
      <c r="S250" s="124" t="s">
        <v>552</v>
      </c>
      <c r="T250" s="94" t="s">
        <v>209</v>
      </c>
      <c r="U250" s="94" t="s">
        <v>183</v>
      </c>
      <c r="V250" s="94" t="s">
        <v>51</v>
      </c>
      <c r="W250" s="124" t="s">
        <v>51</v>
      </c>
      <c r="X250" s="124" t="s">
        <v>52</v>
      </c>
      <c r="Y250" s="124" t="s">
        <v>45</v>
      </c>
      <c r="Z250" s="91"/>
      <c r="AA250" s="91"/>
      <c r="AB250" s="91"/>
      <c r="AC250" s="91"/>
      <c r="AD250" s="91"/>
      <c r="AE250" s="91"/>
      <c r="AF250" s="91"/>
      <c r="AG250" s="91"/>
      <c r="AH250" s="91"/>
    </row>
    <row r="251" spans="1:34" customFormat="1" ht="30">
      <c r="A251" s="120">
        <v>250</v>
      </c>
      <c r="B251" s="120" t="b">
        <f t="shared" ca="1" si="3"/>
        <v>0</v>
      </c>
      <c r="C251" s="131">
        <v>45447</v>
      </c>
      <c r="D251" s="137">
        <v>0.29673611111111109</v>
      </c>
      <c r="E251" s="94">
        <v>1081</v>
      </c>
      <c r="F251" s="94">
        <v>1204</v>
      </c>
      <c r="G251" s="94" t="s">
        <v>34</v>
      </c>
      <c r="H251" s="94">
        <v>1030</v>
      </c>
      <c r="I251" s="115"/>
      <c r="J251" s="94" t="s">
        <v>35</v>
      </c>
      <c r="K251" s="152">
        <v>7.3209999999999997</v>
      </c>
      <c r="L251" s="122" t="str">
        <f>VLOOKUP(K251,Liste!$L$2:$O$34,4,1)</f>
        <v>GSMR_02/03</v>
      </c>
      <c r="M251" s="133" t="s">
        <v>36</v>
      </c>
      <c r="N251" s="180" t="s">
        <v>37</v>
      </c>
      <c r="O251" s="125" t="s">
        <v>604</v>
      </c>
      <c r="P251" s="126"/>
      <c r="Q251" s="124" t="s">
        <v>531</v>
      </c>
      <c r="R251" s="94" t="s">
        <v>597</v>
      </c>
      <c r="S251" s="124" t="s">
        <v>452</v>
      </c>
      <c r="T251" s="94" t="s">
        <v>56</v>
      </c>
      <c r="U251" s="94" t="s">
        <v>205</v>
      </c>
      <c r="V251" s="94" t="s">
        <v>51</v>
      </c>
      <c r="W251" s="124" t="s">
        <v>51</v>
      </c>
      <c r="X251" s="124" t="s">
        <v>52</v>
      </c>
      <c r="Y251" s="124" t="s">
        <v>45</v>
      </c>
      <c r="Z251" s="91"/>
      <c r="AA251" s="91"/>
      <c r="AB251" s="91"/>
      <c r="AC251" s="91"/>
      <c r="AD251" s="91"/>
      <c r="AE251" s="91"/>
      <c r="AF251" s="91"/>
      <c r="AG251" s="91"/>
      <c r="AH251" s="91"/>
    </row>
    <row r="252" spans="1:34" customFormat="1" ht="30">
      <c r="A252" s="120">
        <v>251</v>
      </c>
      <c r="B252" s="120" t="b">
        <f t="shared" ca="1" si="3"/>
        <v>0</v>
      </c>
      <c r="C252" s="131">
        <v>45447</v>
      </c>
      <c r="D252" s="137">
        <v>0.37940972222222225</v>
      </c>
      <c r="E252" s="94">
        <v>1005</v>
      </c>
      <c r="F252" s="94">
        <v>1202</v>
      </c>
      <c r="G252" s="91" t="s">
        <v>71</v>
      </c>
      <c r="H252" s="94">
        <v>1022</v>
      </c>
      <c r="I252" s="115"/>
      <c r="J252" s="94" t="s">
        <v>72</v>
      </c>
      <c r="K252" s="152">
        <v>7.3209999999999997</v>
      </c>
      <c r="L252" s="122" t="str">
        <f>VLOOKUP(K252,Liste!$L$2:$O$34,4,1)</f>
        <v>GSMR_02/03</v>
      </c>
      <c r="M252" s="133" t="s">
        <v>36</v>
      </c>
      <c r="N252" s="180" t="s">
        <v>37</v>
      </c>
      <c r="O252" s="125" t="s">
        <v>604</v>
      </c>
      <c r="P252" s="126"/>
      <c r="Q252" s="124" t="s">
        <v>531</v>
      </c>
      <c r="R252" s="94" t="s">
        <v>597</v>
      </c>
      <c r="S252" s="124" t="s">
        <v>452</v>
      </c>
      <c r="T252" s="94" t="s">
        <v>56</v>
      </c>
      <c r="U252" s="94" t="s">
        <v>572</v>
      </c>
      <c r="V252" s="94" t="s">
        <v>51</v>
      </c>
      <c r="W252" s="124" t="s">
        <v>51</v>
      </c>
      <c r="X252" s="124" t="s">
        <v>52</v>
      </c>
      <c r="Y252" s="124" t="s">
        <v>45</v>
      </c>
      <c r="Z252" s="91"/>
      <c r="AA252" s="91"/>
      <c r="AB252" s="91"/>
      <c r="AC252" s="91"/>
      <c r="AD252" s="91"/>
      <c r="AE252" s="91"/>
      <c r="AF252" s="91"/>
      <c r="AG252" s="91"/>
      <c r="AH252" s="91"/>
    </row>
    <row r="253" spans="1:34" customFormat="1" ht="30">
      <c r="A253" s="120">
        <v>252</v>
      </c>
      <c r="B253" s="120" t="b">
        <f t="shared" ca="1" si="3"/>
        <v>0</v>
      </c>
      <c r="C253" s="131">
        <v>45447</v>
      </c>
      <c r="D253" s="137">
        <v>0.96151620370370372</v>
      </c>
      <c r="E253" s="94">
        <v>1061</v>
      </c>
      <c r="F253" s="94">
        <v>1207</v>
      </c>
      <c r="G253" s="91" t="s">
        <v>71</v>
      </c>
      <c r="H253" s="94">
        <v>1007</v>
      </c>
      <c r="I253" s="115"/>
      <c r="J253" s="94" t="s">
        <v>72</v>
      </c>
      <c r="K253" s="152">
        <v>7.3209999999999997</v>
      </c>
      <c r="L253" s="122" t="str">
        <f>VLOOKUP(K253,Liste!$L$2:$O$34,4,1)</f>
        <v>GSMR_02/03</v>
      </c>
      <c r="M253" s="133" t="s">
        <v>36</v>
      </c>
      <c r="N253" s="181" t="s">
        <v>58</v>
      </c>
      <c r="O253" s="125" t="s">
        <v>540</v>
      </c>
      <c r="P253" s="126"/>
      <c r="Q253" s="124" t="s">
        <v>531</v>
      </c>
      <c r="R253" s="94" t="s">
        <v>597</v>
      </c>
      <c r="S253" s="124" t="s">
        <v>495</v>
      </c>
      <c r="T253" s="94" t="s">
        <v>56</v>
      </c>
      <c r="U253" s="94" t="s">
        <v>108</v>
      </c>
      <c r="V253" s="94" t="s">
        <v>51</v>
      </c>
      <c r="W253" s="124" t="s">
        <v>51</v>
      </c>
      <c r="X253" s="124" t="s">
        <v>52</v>
      </c>
      <c r="Y253" s="124" t="s">
        <v>45</v>
      </c>
      <c r="Z253" s="91"/>
      <c r="AA253" s="91"/>
      <c r="AB253" s="91"/>
      <c r="AC253" s="91"/>
      <c r="AD253" s="91"/>
      <c r="AE253" s="91"/>
      <c r="AF253" s="91"/>
      <c r="AG253" s="91"/>
      <c r="AH253" s="91"/>
    </row>
    <row r="254" spans="1:34" customFormat="1" ht="30">
      <c r="A254" s="120">
        <v>253</v>
      </c>
      <c r="B254" s="120" t="b">
        <f t="shared" ca="1" si="3"/>
        <v>0</v>
      </c>
      <c r="C254" s="131">
        <v>45448</v>
      </c>
      <c r="D254" s="129" t="s">
        <v>605</v>
      </c>
      <c r="E254" s="94">
        <v>2009</v>
      </c>
      <c r="F254" s="94">
        <v>1204</v>
      </c>
      <c r="G254" s="94" t="s">
        <v>34</v>
      </c>
      <c r="H254" s="94">
        <v>1052</v>
      </c>
      <c r="I254" s="115"/>
      <c r="J254" s="94" t="s">
        <v>35</v>
      </c>
      <c r="K254" s="91">
        <v>21.55</v>
      </c>
      <c r="L254" s="122" t="str">
        <f>VLOOKUP(K254,Liste!$L$2:$O$34,4,1)</f>
        <v>GSMR_04/05</v>
      </c>
      <c r="M254" s="133" t="s">
        <v>36</v>
      </c>
      <c r="N254" s="180" t="s">
        <v>37</v>
      </c>
      <c r="O254" s="125" t="s">
        <v>606</v>
      </c>
      <c r="P254" s="126"/>
      <c r="Q254" s="124" t="s">
        <v>531</v>
      </c>
      <c r="R254" s="94" t="s">
        <v>597</v>
      </c>
      <c r="S254" s="124" t="s">
        <v>607</v>
      </c>
      <c r="T254" s="94" t="s">
        <v>69</v>
      </c>
      <c r="U254" s="94" t="s">
        <v>102</v>
      </c>
      <c r="V254" s="94" t="s">
        <v>51</v>
      </c>
      <c r="W254" s="124" t="s">
        <v>51</v>
      </c>
      <c r="X254" s="124" t="s">
        <v>52</v>
      </c>
      <c r="Y254" s="124" t="s">
        <v>45</v>
      </c>
      <c r="Z254" s="91"/>
      <c r="AA254" s="91"/>
      <c r="AB254" s="91"/>
      <c r="AC254" s="91"/>
      <c r="AD254" s="91"/>
      <c r="AE254" s="91"/>
      <c r="AF254" s="91"/>
      <c r="AG254" s="91"/>
      <c r="AH254" s="91"/>
    </row>
    <row r="255" spans="1:34" customFormat="1" ht="30">
      <c r="A255" s="120">
        <v>254</v>
      </c>
      <c r="B255" s="120" t="b">
        <f t="shared" ca="1" si="3"/>
        <v>0</v>
      </c>
      <c r="C255" s="131">
        <v>45448</v>
      </c>
      <c r="D255" s="129" t="s">
        <v>608</v>
      </c>
      <c r="E255" s="94">
        <v>1050</v>
      </c>
      <c r="F255" s="94">
        <v>1201</v>
      </c>
      <c r="G255" s="91" t="s">
        <v>71</v>
      </c>
      <c r="H255" s="94">
        <v>1061</v>
      </c>
      <c r="I255" s="115"/>
      <c r="J255" s="94" t="s">
        <v>72</v>
      </c>
      <c r="K255" s="91">
        <v>127.815</v>
      </c>
      <c r="L255" s="122" t="str">
        <f>VLOOKUP(K255,Liste!$L$2:$O$34,4,1)</f>
        <v>GSMR_22/23</v>
      </c>
      <c r="M255" s="133" t="s">
        <v>36</v>
      </c>
      <c r="N255" s="180" t="s">
        <v>37</v>
      </c>
      <c r="O255" s="125" t="s">
        <v>609</v>
      </c>
      <c r="P255" s="126"/>
      <c r="Q255" s="124" t="s">
        <v>531</v>
      </c>
      <c r="R255" s="94" t="s">
        <v>597</v>
      </c>
      <c r="S255" s="124" t="s">
        <v>181</v>
      </c>
      <c r="T255" s="94" t="s">
        <v>56</v>
      </c>
      <c r="U255" s="94" t="s">
        <v>214</v>
      </c>
      <c r="V255" s="94" t="s">
        <v>51</v>
      </c>
      <c r="W255" s="124" t="s">
        <v>51</v>
      </c>
      <c r="X255" s="124" t="s">
        <v>52</v>
      </c>
      <c r="Y255" s="124" t="s">
        <v>45</v>
      </c>
      <c r="Z255" s="91"/>
      <c r="AA255" s="91"/>
      <c r="AB255" s="91"/>
      <c r="AC255" s="91"/>
      <c r="AD255" s="91"/>
      <c r="AE255" s="91"/>
      <c r="AF255" s="91"/>
      <c r="AG255" s="91"/>
      <c r="AH255" s="91"/>
    </row>
    <row r="256" spans="1:34" customFormat="1" ht="30">
      <c r="A256" s="120">
        <v>255</v>
      </c>
      <c r="B256" s="120" t="b">
        <f t="shared" ca="1" si="3"/>
        <v>0</v>
      </c>
      <c r="C256" s="131">
        <v>45449</v>
      </c>
      <c r="D256" s="137">
        <v>0.78256944444444443</v>
      </c>
      <c r="E256" s="94">
        <v>1046</v>
      </c>
      <c r="F256" s="94">
        <v>1211</v>
      </c>
      <c r="G256" s="91" t="s">
        <v>71</v>
      </c>
      <c r="H256" s="94">
        <v>3062</v>
      </c>
      <c r="I256" s="115"/>
      <c r="J256" s="94" t="s">
        <v>72</v>
      </c>
      <c r="K256" s="91">
        <v>90.108000000000004</v>
      </c>
      <c r="L256" s="122" t="str">
        <f>VLOOKUP(K256,Liste!$L$2:$O$34,4,1)</f>
        <v>GSMR_16/17</v>
      </c>
      <c r="M256" s="133" t="s">
        <v>36</v>
      </c>
      <c r="N256" s="180" t="s">
        <v>37</v>
      </c>
      <c r="O256" s="125" t="s">
        <v>610</v>
      </c>
      <c r="P256" s="126"/>
      <c r="Q256" s="124" t="s">
        <v>531</v>
      </c>
      <c r="R256" s="94" t="s">
        <v>597</v>
      </c>
      <c r="S256" s="124" t="s">
        <v>611</v>
      </c>
      <c r="T256" s="94" t="s">
        <v>78</v>
      </c>
      <c r="U256" s="94" t="s">
        <v>230</v>
      </c>
      <c r="V256" s="94" t="s">
        <v>51</v>
      </c>
      <c r="W256" s="124" t="s">
        <v>51</v>
      </c>
      <c r="X256" s="124" t="s">
        <v>400</v>
      </c>
      <c r="Y256" s="124" t="s">
        <v>45</v>
      </c>
      <c r="Z256" s="91"/>
      <c r="AA256" s="91"/>
      <c r="AB256" s="91"/>
      <c r="AC256" s="91"/>
      <c r="AD256" s="91"/>
      <c r="AE256" s="91"/>
      <c r="AF256" s="91"/>
      <c r="AG256" s="91"/>
      <c r="AH256" s="91"/>
    </row>
    <row r="257" spans="1:34" customFormat="1" ht="30">
      <c r="A257" s="120">
        <v>256</v>
      </c>
      <c r="B257" s="120" t="b">
        <f t="shared" ca="1" si="3"/>
        <v>0</v>
      </c>
      <c r="C257" s="121">
        <v>45451</v>
      </c>
      <c r="D257" s="137">
        <v>0.71122685185185186</v>
      </c>
      <c r="E257" s="94">
        <v>1045</v>
      </c>
      <c r="F257" s="142">
        <v>1209</v>
      </c>
      <c r="G257" s="91" t="s">
        <v>71</v>
      </c>
      <c r="H257" s="94">
        <v>1033</v>
      </c>
      <c r="I257" s="115"/>
      <c r="J257" s="94" t="s">
        <v>72</v>
      </c>
      <c r="K257" s="152">
        <v>7.3209999999999997</v>
      </c>
      <c r="L257" s="122" t="str">
        <f>VLOOKUP(K257,Liste!$L$2:$O$34,4,1)</f>
        <v>GSMR_02/03</v>
      </c>
      <c r="M257" s="133" t="s">
        <v>36</v>
      </c>
      <c r="N257" s="180" t="s">
        <v>37</v>
      </c>
      <c r="O257" s="125" t="s">
        <v>612</v>
      </c>
      <c r="P257" s="126"/>
      <c r="Q257" s="124" t="s">
        <v>39</v>
      </c>
      <c r="R257" s="94" t="s">
        <v>597</v>
      </c>
      <c r="S257" s="124" t="s">
        <v>74</v>
      </c>
      <c r="T257" s="94" t="s">
        <v>69</v>
      </c>
      <c r="U257" s="94" t="s">
        <v>425</v>
      </c>
      <c r="V257" s="94" t="s">
        <v>51</v>
      </c>
      <c r="W257" s="124" t="s">
        <v>51</v>
      </c>
      <c r="X257" s="124" t="s">
        <v>52</v>
      </c>
      <c r="Y257" s="124" t="s">
        <v>45</v>
      </c>
      <c r="Z257" s="91"/>
      <c r="AA257" s="91"/>
      <c r="AB257" s="91"/>
      <c r="AC257" s="91"/>
      <c r="AD257" s="91"/>
      <c r="AE257" s="91"/>
      <c r="AF257" s="91"/>
      <c r="AG257" s="91"/>
      <c r="AH257" s="91"/>
    </row>
    <row r="258" spans="1:34" customFormat="1" ht="30">
      <c r="A258" s="120">
        <v>257</v>
      </c>
      <c r="B258" s="120" t="b">
        <f t="shared" ref="B258:B321" ca="1" si="4">AND(C258&gt;=TODAY()-7, C258&lt;=TODAY()-1)</f>
        <v>0</v>
      </c>
      <c r="C258" s="131">
        <v>45451</v>
      </c>
      <c r="D258" s="137">
        <v>0.86930555555555555</v>
      </c>
      <c r="E258" s="94">
        <v>1053</v>
      </c>
      <c r="F258" s="94">
        <v>1204</v>
      </c>
      <c r="G258" s="91" t="s">
        <v>71</v>
      </c>
      <c r="H258" s="94">
        <v>1031</v>
      </c>
      <c r="I258" s="115"/>
      <c r="J258" s="94" t="s">
        <v>72</v>
      </c>
      <c r="K258" s="91">
        <v>65.513999999999996</v>
      </c>
      <c r="L258" s="122" t="str">
        <f>VLOOKUP(K258,Liste!$L$2:$O$34,4,1)</f>
        <v>GSMR_11/12</v>
      </c>
      <c r="M258" s="133" t="s">
        <v>36</v>
      </c>
      <c r="N258" s="180" t="s">
        <v>37</v>
      </c>
      <c r="O258" s="125" t="s">
        <v>613</v>
      </c>
      <c r="P258" s="126"/>
      <c r="Q258" s="124" t="s">
        <v>47</v>
      </c>
      <c r="R258" s="94" t="s">
        <v>614</v>
      </c>
      <c r="S258" s="124" t="s">
        <v>615</v>
      </c>
      <c r="T258" s="94" t="s">
        <v>69</v>
      </c>
      <c r="U258" s="94" t="s">
        <v>223</v>
      </c>
      <c r="V258" s="94" t="s">
        <v>43</v>
      </c>
      <c r="W258" s="124" t="s">
        <v>51</v>
      </c>
      <c r="X258" s="124" t="s">
        <v>98</v>
      </c>
      <c r="Y258" s="124" t="s">
        <v>45</v>
      </c>
      <c r="Z258" s="91"/>
      <c r="AA258" s="91"/>
      <c r="AB258" s="91"/>
      <c r="AC258" s="91"/>
      <c r="AD258" s="91"/>
      <c r="AE258" s="91"/>
      <c r="AF258" s="91"/>
      <c r="AG258" s="91"/>
      <c r="AH258" s="91"/>
    </row>
    <row r="259" spans="1:34" customFormat="1" ht="30">
      <c r="A259" s="120">
        <v>258</v>
      </c>
      <c r="B259" s="120" t="b">
        <f t="shared" ca="1" si="4"/>
        <v>0</v>
      </c>
      <c r="C259" s="131">
        <v>45452</v>
      </c>
      <c r="D259" s="137">
        <v>0.66559027777777779</v>
      </c>
      <c r="E259" s="94">
        <v>1034</v>
      </c>
      <c r="F259" s="94">
        <v>1211</v>
      </c>
      <c r="G259" s="91" t="s">
        <v>71</v>
      </c>
      <c r="H259" s="94">
        <v>3062</v>
      </c>
      <c r="I259" s="115"/>
      <c r="J259" s="94" t="s">
        <v>72</v>
      </c>
      <c r="K259" s="91">
        <v>26.739000000000001</v>
      </c>
      <c r="L259" s="122" t="str">
        <f>VLOOKUP(K259,Liste!$L$2:$O$34,4,1)</f>
        <v>GSMR_05/06</v>
      </c>
      <c r="M259" s="133" t="s">
        <v>36</v>
      </c>
      <c r="N259" s="181" t="s">
        <v>58</v>
      </c>
      <c r="O259" s="125" t="s">
        <v>616</v>
      </c>
      <c r="P259" s="126"/>
      <c r="Q259" s="124" t="s">
        <v>39</v>
      </c>
      <c r="R259" s="94" t="s">
        <v>597</v>
      </c>
      <c r="S259" s="124" t="s">
        <v>273</v>
      </c>
      <c r="T259" s="94" t="s">
        <v>69</v>
      </c>
      <c r="U259" s="94" t="s">
        <v>120</v>
      </c>
      <c r="V259" s="94" t="s">
        <v>51</v>
      </c>
      <c r="W259" s="124" t="s">
        <v>51</v>
      </c>
      <c r="X259" s="124" t="s">
        <v>52</v>
      </c>
      <c r="Y259" s="124" t="s">
        <v>45</v>
      </c>
      <c r="Z259" s="91"/>
      <c r="AA259" s="91"/>
      <c r="AB259" s="91"/>
      <c r="AC259" s="91"/>
      <c r="AD259" s="91"/>
      <c r="AE259" s="91"/>
      <c r="AF259" s="91"/>
      <c r="AG259" s="91"/>
      <c r="AH259" s="91"/>
    </row>
    <row r="260" spans="1:34" customFormat="1" ht="30">
      <c r="A260" s="120">
        <v>259</v>
      </c>
      <c r="B260" s="120" t="b">
        <f t="shared" ca="1" si="4"/>
        <v>0</v>
      </c>
      <c r="C260" s="121">
        <v>45453</v>
      </c>
      <c r="D260" s="137">
        <v>0.79723379629629632</v>
      </c>
      <c r="E260" s="94">
        <v>1046</v>
      </c>
      <c r="F260" s="142">
        <v>1210</v>
      </c>
      <c r="G260" s="91" t="s">
        <v>71</v>
      </c>
      <c r="H260" s="94">
        <v>1020</v>
      </c>
      <c r="I260" s="115"/>
      <c r="J260" s="94" t="s">
        <v>72</v>
      </c>
      <c r="K260" s="152">
        <v>7.3209999999999997</v>
      </c>
      <c r="L260" s="122" t="str">
        <f>VLOOKUP(K260,Liste!$L$2:$O$34,4,1)</f>
        <v>GSMR_02/03</v>
      </c>
      <c r="M260" s="133" t="s">
        <v>36</v>
      </c>
      <c r="N260" s="180" t="s">
        <v>37</v>
      </c>
      <c r="O260" s="125" t="s">
        <v>612</v>
      </c>
      <c r="P260" s="126"/>
      <c r="Q260" s="124" t="s">
        <v>39</v>
      </c>
      <c r="R260" s="94" t="s">
        <v>597</v>
      </c>
      <c r="S260" s="124" t="s">
        <v>452</v>
      </c>
      <c r="T260" s="94" t="s">
        <v>209</v>
      </c>
      <c r="U260" s="94" t="s">
        <v>75</v>
      </c>
      <c r="V260" s="94" t="s">
        <v>51</v>
      </c>
      <c r="W260" s="124" t="s">
        <v>51</v>
      </c>
      <c r="X260" s="124" t="s">
        <v>52</v>
      </c>
      <c r="Y260" s="124" t="s">
        <v>45</v>
      </c>
      <c r="Z260" s="91"/>
      <c r="AA260" s="91"/>
      <c r="AB260" s="91"/>
      <c r="AC260" s="91"/>
      <c r="AD260" s="91"/>
      <c r="AE260" s="91"/>
      <c r="AF260" s="91"/>
      <c r="AG260" s="91"/>
      <c r="AH260" s="91"/>
    </row>
    <row r="261" spans="1:34" customFormat="1" ht="30">
      <c r="A261" s="120">
        <v>260</v>
      </c>
      <c r="B261" s="120" t="b">
        <f t="shared" ca="1" si="4"/>
        <v>0</v>
      </c>
      <c r="C261" s="131">
        <v>45453</v>
      </c>
      <c r="D261" s="137">
        <v>0.83270833333333338</v>
      </c>
      <c r="E261" s="94">
        <v>1049</v>
      </c>
      <c r="F261" s="94">
        <v>1209</v>
      </c>
      <c r="G261" s="91" t="s">
        <v>71</v>
      </c>
      <c r="H261" s="94">
        <v>1033</v>
      </c>
      <c r="I261" s="115"/>
      <c r="J261" s="94" t="s">
        <v>72</v>
      </c>
      <c r="K261" s="91">
        <v>31.350999999999999</v>
      </c>
      <c r="L261" s="122" t="str">
        <f>VLOOKUP(K261,Liste!$L$2:$O$34,4,1)</f>
        <v>GSMR_06/07</v>
      </c>
      <c r="M261" s="133" t="s">
        <v>36</v>
      </c>
      <c r="N261" s="181" t="s">
        <v>58</v>
      </c>
      <c r="O261" s="125" t="s">
        <v>616</v>
      </c>
      <c r="P261" s="126"/>
      <c r="Q261" s="124" t="s">
        <v>39</v>
      </c>
      <c r="R261" s="94" t="s">
        <v>597</v>
      </c>
      <c r="S261" s="124" t="s">
        <v>273</v>
      </c>
      <c r="T261" s="94" t="s">
        <v>69</v>
      </c>
      <c r="U261" s="94" t="s">
        <v>120</v>
      </c>
      <c r="V261" s="94" t="s">
        <v>51</v>
      </c>
      <c r="W261" s="124" t="s">
        <v>51</v>
      </c>
      <c r="X261" s="124" t="s">
        <v>52</v>
      </c>
      <c r="Y261" s="124" t="s">
        <v>227</v>
      </c>
      <c r="Z261" s="91"/>
      <c r="AA261" s="91"/>
      <c r="AB261" s="91"/>
      <c r="AC261" s="91"/>
      <c r="AD261" s="91"/>
      <c r="AE261" s="91"/>
      <c r="AF261" s="91"/>
      <c r="AG261" s="91"/>
      <c r="AH261" s="91"/>
    </row>
    <row r="262" spans="1:34" customFormat="1" ht="30">
      <c r="A262" s="120">
        <v>261</v>
      </c>
      <c r="B262" s="120" t="b">
        <f t="shared" ca="1" si="4"/>
        <v>0</v>
      </c>
      <c r="C262" s="131">
        <v>45454</v>
      </c>
      <c r="D262" s="137">
        <v>0.30717592592592591</v>
      </c>
      <c r="E262" s="94">
        <v>2005</v>
      </c>
      <c r="F262" s="94">
        <v>1201</v>
      </c>
      <c r="G262" s="94" t="s">
        <v>34</v>
      </c>
      <c r="H262" s="94">
        <v>7198</v>
      </c>
      <c r="I262" s="115"/>
      <c r="J262" s="94" t="s">
        <v>35</v>
      </c>
      <c r="K262" s="91">
        <v>78.155000000000001</v>
      </c>
      <c r="L262" s="122" t="str">
        <f>VLOOKUP(K262,Liste!$L$2:$O$34,4,1)</f>
        <v>GSMR_14/15</v>
      </c>
      <c r="M262" s="133" t="s">
        <v>36</v>
      </c>
      <c r="N262" s="181" t="s">
        <v>58</v>
      </c>
      <c r="O262" s="125" t="s">
        <v>617</v>
      </c>
      <c r="P262" s="126"/>
      <c r="Q262" s="124" t="s">
        <v>39</v>
      </c>
      <c r="R262" s="94" t="s">
        <v>597</v>
      </c>
      <c r="S262" s="124" t="s">
        <v>618</v>
      </c>
      <c r="T262" s="94" t="s">
        <v>69</v>
      </c>
      <c r="U262" s="94" t="s">
        <v>57</v>
      </c>
      <c r="V262" s="94" t="s">
        <v>51</v>
      </c>
      <c r="W262" s="124" t="s">
        <v>51</v>
      </c>
      <c r="X262" s="124" t="s">
        <v>52</v>
      </c>
      <c r="Y262" s="124" t="s">
        <v>227</v>
      </c>
      <c r="Z262" s="91"/>
      <c r="AA262" s="91"/>
      <c r="AB262" s="131"/>
      <c r="AC262" s="143"/>
      <c r="AD262" s="94"/>
      <c r="AE262" s="94"/>
      <c r="AF262" s="94"/>
      <c r="AG262" s="91"/>
      <c r="AH262" s="94"/>
    </row>
    <row r="263" spans="1:34" customFormat="1" ht="30">
      <c r="A263" s="120">
        <v>262</v>
      </c>
      <c r="B263" s="120" t="b">
        <f t="shared" ca="1" si="4"/>
        <v>0</v>
      </c>
      <c r="C263" s="131">
        <v>45454</v>
      </c>
      <c r="D263" s="137">
        <v>0.49810185185185185</v>
      </c>
      <c r="E263" s="94">
        <v>1017</v>
      </c>
      <c r="F263" s="94">
        <v>1201</v>
      </c>
      <c r="G263" s="91" t="s">
        <v>71</v>
      </c>
      <c r="H263" s="94">
        <v>1060</v>
      </c>
      <c r="I263" s="115"/>
      <c r="J263" s="94" t="s">
        <v>72</v>
      </c>
      <c r="K263" s="91">
        <v>48.426000000000002</v>
      </c>
      <c r="L263" s="122" t="str">
        <f>VLOOKUP(K263,Liste!$L$2:$O$34,4,1)</f>
        <v>GSMR_08/09</v>
      </c>
      <c r="M263" s="133" t="s">
        <v>36</v>
      </c>
      <c r="N263" s="180" t="s">
        <v>37</v>
      </c>
      <c r="O263" s="125" t="s">
        <v>619</v>
      </c>
      <c r="P263" s="126"/>
      <c r="Q263" s="94" t="s">
        <v>54</v>
      </c>
      <c r="R263" s="94" t="s">
        <v>620</v>
      </c>
      <c r="S263" s="124" t="s">
        <v>621</v>
      </c>
      <c r="T263" s="94" t="s">
        <v>69</v>
      </c>
      <c r="U263" s="94" t="s">
        <v>307</v>
      </c>
      <c r="V263" s="94" t="s">
        <v>51</v>
      </c>
      <c r="W263" s="124" t="s">
        <v>51</v>
      </c>
      <c r="X263" s="124" t="s">
        <v>52</v>
      </c>
      <c r="Y263" s="124" t="s">
        <v>622</v>
      </c>
      <c r="Z263" s="91"/>
      <c r="AA263" s="91"/>
      <c r="AB263" s="131"/>
      <c r="AC263" s="143"/>
      <c r="AD263" s="94"/>
      <c r="AE263" s="94"/>
      <c r="AF263" s="94"/>
      <c r="AG263" s="91"/>
      <c r="AH263" s="94"/>
    </row>
    <row r="264" spans="1:34" customFormat="1" ht="30">
      <c r="A264" s="120">
        <v>263</v>
      </c>
      <c r="B264" s="120" t="b">
        <f t="shared" ca="1" si="4"/>
        <v>0</v>
      </c>
      <c r="C264" s="121">
        <v>45454</v>
      </c>
      <c r="D264" s="137">
        <v>0.50494212962962959</v>
      </c>
      <c r="E264" s="94">
        <v>1017</v>
      </c>
      <c r="F264" s="142">
        <v>1201</v>
      </c>
      <c r="G264" s="91" t="s">
        <v>71</v>
      </c>
      <c r="H264" s="94">
        <v>1060</v>
      </c>
      <c r="I264" s="115"/>
      <c r="J264" s="94" t="s">
        <v>72</v>
      </c>
      <c r="K264" s="152">
        <v>7.3209999999999997</v>
      </c>
      <c r="L264" s="122" t="str">
        <f>VLOOKUP(K264,Liste!$L$2:$O$34,4,1)</f>
        <v>GSMR_02/03</v>
      </c>
      <c r="M264" s="133" t="s">
        <v>36</v>
      </c>
      <c r="N264" s="181" t="s">
        <v>58</v>
      </c>
      <c r="O264" s="125" t="s">
        <v>623</v>
      </c>
      <c r="P264" s="126"/>
      <c r="Q264" s="124" t="s">
        <v>39</v>
      </c>
      <c r="R264" s="94" t="s">
        <v>597</v>
      </c>
      <c r="S264" s="124" t="s">
        <v>624</v>
      </c>
      <c r="T264" s="94" t="s">
        <v>56</v>
      </c>
      <c r="U264" s="94" t="s">
        <v>75</v>
      </c>
      <c r="V264" s="94" t="s">
        <v>51</v>
      </c>
      <c r="W264" s="124" t="s">
        <v>51</v>
      </c>
      <c r="X264" s="124" t="s">
        <v>52</v>
      </c>
      <c r="Y264" s="124" t="s">
        <v>622</v>
      </c>
      <c r="Z264" s="91"/>
      <c r="AA264" s="91"/>
      <c r="AB264" s="131"/>
      <c r="AC264" s="143"/>
      <c r="AD264" s="94"/>
      <c r="AE264" s="94"/>
      <c r="AF264" s="94"/>
      <c r="AG264" s="91"/>
      <c r="AH264" s="94"/>
    </row>
    <row r="265" spans="1:34" customFormat="1" ht="30">
      <c r="A265" s="120">
        <v>264</v>
      </c>
      <c r="B265" s="120" t="b">
        <f t="shared" ca="1" si="4"/>
        <v>0</v>
      </c>
      <c r="C265" s="131">
        <v>45456</v>
      </c>
      <c r="D265" s="137">
        <v>0.36556712962962962</v>
      </c>
      <c r="E265" s="94">
        <v>1005</v>
      </c>
      <c r="F265" s="94">
        <v>1209</v>
      </c>
      <c r="G265" s="91" t="s">
        <v>71</v>
      </c>
      <c r="H265" s="94">
        <v>1032</v>
      </c>
      <c r="I265" s="115"/>
      <c r="J265" s="94" t="s">
        <v>72</v>
      </c>
      <c r="K265" s="91">
        <v>94.953999999999994</v>
      </c>
      <c r="L265" s="122" t="str">
        <f>VLOOKUP(K265,Liste!$L$2:$O$34,4,1)</f>
        <v>GSMR_17/18</v>
      </c>
      <c r="M265" s="133" t="s">
        <v>36</v>
      </c>
      <c r="N265" s="180" t="s">
        <v>37</v>
      </c>
      <c r="O265" s="126" t="s">
        <v>625</v>
      </c>
      <c r="P265" s="126"/>
      <c r="Q265" s="124" t="s">
        <v>39</v>
      </c>
      <c r="R265" s="94" t="s">
        <v>597</v>
      </c>
      <c r="S265" s="124" t="s">
        <v>626</v>
      </c>
      <c r="T265" s="94" t="s">
        <v>56</v>
      </c>
      <c r="U265" s="94" t="s">
        <v>449</v>
      </c>
      <c r="V265" s="94" t="s">
        <v>51</v>
      </c>
      <c r="W265" s="124" t="s">
        <v>51</v>
      </c>
      <c r="X265" s="124" t="s">
        <v>52</v>
      </c>
      <c r="Y265" s="124" t="s">
        <v>227</v>
      </c>
      <c r="Z265" s="91"/>
      <c r="AA265" s="91"/>
      <c r="AB265" s="91"/>
      <c r="AC265" s="91"/>
      <c r="AD265" s="91"/>
      <c r="AE265" s="91"/>
      <c r="AF265" s="91"/>
      <c r="AG265" s="91"/>
      <c r="AH265" s="91"/>
    </row>
    <row r="266" spans="1:34" customFormat="1" ht="30">
      <c r="A266" s="120">
        <v>265</v>
      </c>
      <c r="B266" s="120" t="b">
        <f t="shared" ca="1" si="4"/>
        <v>0</v>
      </c>
      <c r="C266" s="121">
        <v>45456</v>
      </c>
      <c r="D266" s="137">
        <v>0.58733796296296292</v>
      </c>
      <c r="E266" s="94">
        <v>1035</v>
      </c>
      <c r="F266" s="142">
        <v>1202</v>
      </c>
      <c r="G266" s="91" t="s">
        <v>71</v>
      </c>
      <c r="H266" s="94">
        <v>1022</v>
      </c>
      <c r="I266" s="115"/>
      <c r="J266" s="94" t="s">
        <v>72</v>
      </c>
      <c r="K266" s="152">
        <v>7.3209999999999997</v>
      </c>
      <c r="L266" s="122" t="str">
        <f>VLOOKUP(K266,Liste!$L$2:$O$34,4,1)</f>
        <v>GSMR_02/03</v>
      </c>
      <c r="M266" s="133" t="s">
        <v>36</v>
      </c>
      <c r="N266" s="180" t="s">
        <v>37</v>
      </c>
      <c r="O266" s="126" t="s">
        <v>627</v>
      </c>
      <c r="P266" s="126"/>
      <c r="Q266" s="124" t="s">
        <v>39</v>
      </c>
      <c r="R266" s="94" t="s">
        <v>597</v>
      </c>
      <c r="S266" s="124" t="s">
        <v>624</v>
      </c>
      <c r="T266" s="94" t="s">
        <v>56</v>
      </c>
      <c r="U266" s="94" t="s">
        <v>108</v>
      </c>
      <c r="V266" s="94" t="s">
        <v>51</v>
      </c>
      <c r="W266" s="124" t="s">
        <v>51</v>
      </c>
      <c r="X266" s="124" t="s">
        <v>52</v>
      </c>
      <c r="Y266" s="124" t="s">
        <v>227</v>
      </c>
      <c r="Z266" s="91"/>
      <c r="AA266" s="91"/>
      <c r="AB266" s="91"/>
      <c r="AC266" s="91"/>
      <c r="AD266" s="91"/>
      <c r="AE266" s="91"/>
      <c r="AF266" s="91"/>
      <c r="AG266" s="91"/>
      <c r="AH266" s="91"/>
    </row>
    <row r="267" spans="1:34" customFormat="1" ht="30">
      <c r="A267" s="120">
        <v>266</v>
      </c>
      <c r="B267" s="120" t="b">
        <f t="shared" ca="1" si="4"/>
        <v>0</v>
      </c>
      <c r="C267" s="121">
        <v>45456</v>
      </c>
      <c r="D267" s="137">
        <v>0.79769675925925931</v>
      </c>
      <c r="E267" s="94">
        <v>1045</v>
      </c>
      <c r="F267" s="142">
        <v>1210</v>
      </c>
      <c r="G267" s="91" t="s">
        <v>71</v>
      </c>
      <c r="H267" s="94">
        <v>1020</v>
      </c>
      <c r="I267" s="115"/>
      <c r="J267" s="94" t="s">
        <v>72</v>
      </c>
      <c r="K267" s="152">
        <v>7.3209999999999997</v>
      </c>
      <c r="L267" s="122" t="str">
        <f>VLOOKUP(K267,Liste!$L$2:$O$34,4,1)</f>
        <v>GSMR_02/03</v>
      </c>
      <c r="M267" s="133" t="s">
        <v>36</v>
      </c>
      <c r="N267" s="181" t="s">
        <v>58</v>
      </c>
      <c r="O267" s="126" t="s">
        <v>627</v>
      </c>
      <c r="P267" s="126"/>
      <c r="Q267" s="124" t="s">
        <v>39</v>
      </c>
      <c r="R267" s="94" t="s">
        <v>597</v>
      </c>
      <c r="S267" s="124" t="s">
        <v>624</v>
      </c>
      <c r="T267" s="94" t="s">
        <v>56</v>
      </c>
      <c r="U267" s="94" t="s">
        <v>125</v>
      </c>
      <c r="V267" s="94" t="s">
        <v>51</v>
      </c>
      <c r="W267" s="124" t="s">
        <v>51</v>
      </c>
      <c r="X267" s="124" t="s">
        <v>52</v>
      </c>
      <c r="Y267" s="124" t="s">
        <v>622</v>
      </c>
      <c r="Z267" s="91"/>
      <c r="AA267" s="91"/>
      <c r="AB267" s="91"/>
      <c r="AC267" s="91"/>
      <c r="AD267" s="91"/>
      <c r="AE267" s="91"/>
      <c r="AF267" s="91"/>
      <c r="AG267" s="91"/>
      <c r="AH267" s="91"/>
    </row>
    <row r="268" spans="1:34" customFormat="1" ht="30">
      <c r="A268" s="120">
        <v>267</v>
      </c>
      <c r="B268" s="120" t="b">
        <f t="shared" ca="1" si="4"/>
        <v>0</v>
      </c>
      <c r="C268" s="121">
        <v>45457</v>
      </c>
      <c r="D268" s="137">
        <v>0.67115740740740737</v>
      </c>
      <c r="E268" s="94">
        <v>1034</v>
      </c>
      <c r="F268" s="142">
        <v>1209</v>
      </c>
      <c r="G268" s="91" t="s">
        <v>71</v>
      </c>
      <c r="H268" s="94">
        <v>1032</v>
      </c>
      <c r="I268" s="115"/>
      <c r="J268" s="94" t="s">
        <v>72</v>
      </c>
      <c r="K268" s="152">
        <v>7.3209999999999997</v>
      </c>
      <c r="L268" s="122" t="str">
        <f>VLOOKUP(K268,Liste!$L$2:$O$34,4,1)</f>
        <v>GSMR_02/03</v>
      </c>
      <c r="M268" s="133" t="s">
        <v>36</v>
      </c>
      <c r="N268" s="181" t="s">
        <v>58</v>
      </c>
      <c r="O268" s="126" t="s">
        <v>628</v>
      </c>
      <c r="P268" s="126"/>
      <c r="Q268" s="124" t="s">
        <v>39</v>
      </c>
      <c r="R268" s="94" t="s">
        <v>597</v>
      </c>
      <c r="S268" s="124" t="s">
        <v>624</v>
      </c>
      <c r="T268" s="94" t="s">
        <v>56</v>
      </c>
      <c r="U268" s="94" t="s">
        <v>408</v>
      </c>
      <c r="V268" s="94" t="s">
        <v>51</v>
      </c>
      <c r="W268" s="124" t="s">
        <v>51</v>
      </c>
      <c r="X268" s="124" t="s">
        <v>52</v>
      </c>
      <c r="Y268" s="124" t="s">
        <v>629</v>
      </c>
      <c r="Z268" s="91"/>
      <c r="AA268" s="91"/>
      <c r="AB268" s="91"/>
      <c r="AC268" s="91"/>
      <c r="AD268" s="91"/>
      <c r="AE268" s="91"/>
      <c r="AF268" s="91"/>
      <c r="AG268" s="91"/>
      <c r="AH268" s="91"/>
    </row>
    <row r="269" spans="1:34" customFormat="1" ht="30">
      <c r="A269" s="120">
        <v>268</v>
      </c>
      <c r="B269" s="120" t="b">
        <f t="shared" ca="1" si="4"/>
        <v>0</v>
      </c>
      <c r="C269" s="121">
        <v>45457</v>
      </c>
      <c r="D269" s="137">
        <v>0.96012731481481484</v>
      </c>
      <c r="E269" s="94">
        <v>1061</v>
      </c>
      <c r="F269" s="142">
        <v>1211</v>
      </c>
      <c r="G269" s="91" t="s">
        <v>71</v>
      </c>
      <c r="H269" s="94">
        <v>3062</v>
      </c>
      <c r="I269" s="115"/>
      <c r="J269" s="94" t="s">
        <v>72</v>
      </c>
      <c r="K269" s="91">
        <v>32.625999999999998</v>
      </c>
      <c r="L269" s="122" t="str">
        <f>VLOOKUP(K269,Liste!$L$2:$O$34,4,1)</f>
        <v>GSMR_06/07</v>
      </c>
      <c r="M269" s="133" t="s">
        <v>36</v>
      </c>
      <c r="N269" s="180" t="s">
        <v>37</v>
      </c>
      <c r="O269" s="125" t="s">
        <v>630</v>
      </c>
      <c r="P269" s="126"/>
      <c r="Q269" s="94" t="s">
        <v>54</v>
      </c>
      <c r="R269" s="94" t="s">
        <v>614</v>
      </c>
      <c r="S269" s="124" t="s">
        <v>631</v>
      </c>
      <c r="T269" s="94" t="s">
        <v>78</v>
      </c>
      <c r="U269" s="94" t="s">
        <v>82</v>
      </c>
      <c r="V269" s="94" t="s">
        <v>51</v>
      </c>
      <c r="W269" s="124" t="s">
        <v>51</v>
      </c>
      <c r="X269" s="124" t="s">
        <v>52</v>
      </c>
      <c r="Y269" s="124" t="s">
        <v>629</v>
      </c>
      <c r="Z269" s="91"/>
      <c r="AA269" s="91"/>
      <c r="AB269" s="91"/>
      <c r="AC269" s="91"/>
      <c r="AD269" s="91"/>
      <c r="AE269" s="91"/>
      <c r="AF269" s="91"/>
      <c r="AG269" s="91"/>
      <c r="AH269" s="91"/>
    </row>
    <row r="270" spans="1:34" customFormat="1" ht="30">
      <c r="A270" s="120">
        <v>269</v>
      </c>
      <c r="B270" s="120" t="b">
        <f t="shared" ca="1" si="4"/>
        <v>0</v>
      </c>
      <c r="C270" s="121">
        <v>45459</v>
      </c>
      <c r="D270" s="137">
        <v>0.99086805555555557</v>
      </c>
      <c r="E270" s="94">
        <v>1061</v>
      </c>
      <c r="F270" s="142">
        <v>1209</v>
      </c>
      <c r="G270" s="91" t="s">
        <v>71</v>
      </c>
      <c r="H270" s="94">
        <v>1020</v>
      </c>
      <c r="I270" s="115"/>
      <c r="J270" s="94" t="s">
        <v>72</v>
      </c>
      <c r="K270" s="91">
        <v>94.953999999999994</v>
      </c>
      <c r="L270" s="122" t="str">
        <f>VLOOKUP(K270,Liste!$L$2:$O$34,4,1)</f>
        <v>GSMR_17/18</v>
      </c>
      <c r="M270" s="133" t="s">
        <v>36</v>
      </c>
      <c r="N270" s="180" t="s">
        <v>37</v>
      </c>
      <c r="O270" s="125" t="s">
        <v>632</v>
      </c>
      <c r="P270" s="126"/>
      <c r="Q270" s="94" t="s">
        <v>54</v>
      </c>
      <c r="R270" s="94" t="s">
        <v>614</v>
      </c>
      <c r="S270" s="124" t="s">
        <v>633</v>
      </c>
      <c r="T270" s="94" t="s">
        <v>93</v>
      </c>
      <c r="U270" s="94" t="s">
        <v>223</v>
      </c>
      <c r="V270" s="94" t="s">
        <v>51</v>
      </c>
      <c r="W270" s="124" t="s">
        <v>51</v>
      </c>
      <c r="X270" s="124" t="s">
        <v>52</v>
      </c>
      <c r="Y270" s="124" t="s">
        <v>622</v>
      </c>
      <c r="Z270" s="91"/>
      <c r="AA270" s="91"/>
      <c r="AB270" s="91"/>
      <c r="AC270" s="91"/>
      <c r="AD270" s="91"/>
      <c r="AE270" s="91"/>
      <c r="AF270" s="91"/>
      <c r="AG270" s="91"/>
      <c r="AH270" s="91"/>
    </row>
    <row r="271" spans="1:34" customFormat="1" ht="30">
      <c r="A271" s="120">
        <v>270</v>
      </c>
      <c r="B271" s="120" t="b">
        <f t="shared" ca="1" si="4"/>
        <v>0</v>
      </c>
      <c r="C271" s="121">
        <v>45460</v>
      </c>
      <c r="D271" s="137">
        <v>0.96180555555555558</v>
      </c>
      <c r="E271" s="94">
        <v>1062</v>
      </c>
      <c r="F271" s="142">
        <v>1205</v>
      </c>
      <c r="G271" s="91" t="s">
        <v>71</v>
      </c>
      <c r="H271" s="94">
        <v>1034</v>
      </c>
      <c r="I271" s="115"/>
      <c r="J271" s="94" t="s">
        <v>72</v>
      </c>
      <c r="K271" s="152">
        <v>7.3209999999999997</v>
      </c>
      <c r="L271" s="122" t="str">
        <f>VLOOKUP(K271,Liste!$L$2:$O$34,4,1)</f>
        <v>GSMR_02/03</v>
      </c>
      <c r="M271" s="133" t="s">
        <v>36</v>
      </c>
      <c r="N271" s="181" t="s">
        <v>58</v>
      </c>
      <c r="O271" s="125" t="s">
        <v>634</v>
      </c>
      <c r="P271" s="126"/>
      <c r="Q271" s="124" t="s">
        <v>39</v>
      </c>
      <c r="R271" s="94" t="s">
        <v>597</v>
      </c>
      <c r="S271" s="124" t="s">
        <v>495</v>
      </c>
      <c r="T271" s="94" t="s">
        <v>56</v>
      </c>
      <c r="U271" s="94" t="s">
        <v>82</v>
      </c>
      <c r="V271" s="94" t="s">
        <v>51</v>
      </c>
      <c r="W271" s="124" t="s">
        <v>51</v>
      </c>
      <c r="X271" s="124" t="s">
        <v>52</v>
      </c>
      <c r="Y271" s="124" t="s">
        <v>622</v>
      </c>
      <c r="Z271" s="91"/>
      <c r="AA271" s="91"/>
      <c r="AB271" s="91"/>
      <c r="AC271" s="91"/>
      <c r="AD271" s="91"/>
      <c r="AE271" s="91"/>
      <c r="AF271" s="91"/>
      <c r="AG271" s="91"/>
      <c r="AH271" s="91"/>
    </row>
    <row r="272" spans="1:34" customFormat="1" ht="30">
      <c r="A272" s="120">
        <v>271</v>
      </c>
      <c r="B272" s="120" t="b">
        <f t="shared" ca="1" si="4"/>
        <v>0</v>
      </c>
      <c r="C272" s="121">
        <v>45461</v>
      </c>
      <c r="D272" s="137">
        <v>0.67040509259259262</v>
      </c>
      <c r="E272" s="94">
        <v>1033</v>
      </c>
      <c r="F272" s="142">
        <v>1211</v>
      </c>
      <c r="G272" s="91" t="s">
        <v>71</v>
      </c>
      <c r="H272" s="94">
        <v>3063</v>
      </c>
      <c r="I272" s="115"/>
      <c r="J272" s="94" t="s">
        <v>72</v>
      </c>
      <c r="K272" s="152">
        <v>7.3209999999999997</v>
      </c>
      <c r="L272" s="122" t="str">
        <f>VLOOKUP(K272,Liste!$L$2:$O$34,4,1)</f>
        <v>GSMR_02/03</v>
      </c>
      <c r="M272" s="133" t="s">
        <v>36</v>
      </c>
      <c r="N272" s="180" t="s">
        <v>37</v>
      </c>
      <c r="O272" s="125" t="s">
        <v>635</v>
      </c>
      <c r="P272" s="126"/>
      <c r="Q272" s="124" t="s">
        <v>39</v>
      </c>
      <c r="R272" s="94" t="s">
        <v>597</v>
      </c>
      <c r="S272" s="124" t="s">
        <v>495</v>
      </c>
      <c r="T272" s="94" t="s">
        <v>56</v>
      </c>
      <c r="U272" s="94" t="s">
        <v>125</v>
      </c>
      <c r="V272" s="94" t="s">
        <v>51</v>
      </c>
      <c r="W272" s="124" t="s">
        <v>51</v>
      </c>
      <c r="X272" s="124" t="s">
        <v>52</v>
      </c>
      <c r="Y272" s="124" t="s">
        <v>622</v>
      </c>
      <c r="Z272" s="91"/>
      <c r="AA272" s="91"/>
      <c r="AB272" s="91"/>
      <c r="AC272" s="91"/>
      <c r="AD272" s="91"/>
      <c r="AE272" s="91"/>
      <c r="AF272" s="91"/>
      <c r="AG272" s="91"/>
      <c r="AH272" s="91"/>
    </row>
    <row r="273" spans="1:34" customFormat="1" ht="30">
      <c r="A273" s="120">
        <v>272</v>
      </c>
      <c r="B273" s="120" t="b">
        <f t="shared" ca="1" si="4"/>
        <v>0</v>
      </c>
      <c r="C273" s="121">
        <v>45461</v>
      </c>
      <c r="D273" s="137">
        <v>0.79618055555555556</v>
      </c>
      <c r="E273" s="94">
        <v>1045</v>
      </c>
      <c r="F273" s="142">
        <v>1210</v>
      </c>
      <c r="G273" s="91" t="s">
        <v>71</v>
      </c>
      <c r="H273" s="94">
        <v>1020</v>
      </c>
      <c r="I273" s="115"/>
      <c r="J273" s="94" t="s">
        <v>72</v>
      </c>
      <c r="K273" s="152">
        <v>7.3209999999999997</v>
      </c>
      <c r="L273" s="122" t="str">
        <f>VLOOKUP(K273,Liste!$L$2:$O$34,4,1)</f>
        <v>GSMR_02/03</v>
      </c>
      <c r="M273" s="133" t="s">
        <v>36</v>
      </c>
      <c r="N273" s="181" t="s">
        <v>58</v>
      </c>
      <c r="O273" s="125" t="s">
        <v>636</v>
      </c>
      <c r="P273" s="126"/>
      <c r="Q273" s="124" t="s">
        <v>39</v>
      </c>
      <c r="R273" s="94" t="s">
        <v>597</v>
      </c>
      <c r="S273" s="91" t="s">
        <v>637</v>
      </c>
      <c r="T273" s="94" t="s">
        <v>69</v>
      </c>
      <c r="U273" s="94" t="s">
        <v>197</v>
      </c>
      <c r="V273" s="94" t="s">
        <v>51</v>
      </c>
      <c r="W273" s="124" t="s">
        <v>51</v>
      </c>
      <c r="X273" s="124" t="s">
        <v>52</v>
      </c>
      <c r="Y273" s="124" t="s">
        <v>622</v>
      </c>
      <c r="Z273" s="91"/>
      <c r="AA273" s="91"/>
      <c r="AB273" s="91"/>
      <c r="AC273" s="91"/>
      <c r="AD273" s="91"/>
      <c r="AE273" s="91"/>
      <c r="AF273" s="91"/>
      <c r="AG273" s="91"/>
      <c r="AH273" s="91"/>
    </row>
    <row r="274" spans="1:34" customFormat="1" ht="30">
      <c r="A274" s="120">
        <v>273</v>
      </c>
      <c r="B274" s="120" t="b">
        <f t="shared" ca="1" si="4"/>
        <v>0</v>
      </c>
      <c r="C274" s="121">
        <v>45461</v>
      </c>
      <c r="D274" s="137">
        <v>0.87798611111111113</v>
      </c>
      <c r="E274" s="94">
        <v>1053</v>
      </c>
      <c r="F274" s="142">
        <v>1202</v>
      </c>
      <c r="G274" s="91" t="s">
        <v>71</v>
      </c>
      <c r="H274" s="94">
        <v>1022</v>
      </c>
      <c r="I274" s="115"/>
      <c r="J274" s="94" t="s">
        <v>72</v>
      </c>
      <c r="K274" s="152">
        <v>7.3209999999999997</v>
      </c>
      <c r="L274" s="122" t="str">
        <f>VLOOKUP(K274,Liste!$L$2:$O$34,4,1)</f>
        <v>GSMR_02/03</v>
      </c>
      <c r="M274" s="133" t="s">
        <v>36</v>
      </c>
      <c r="N274" s="181" t="s">
        <v>58</v>
      </c>
      <c r="O274" s="125" t="s">
        <v>638</v>
      </c>
      <c r="P274" s="126"/>
      <c r="Q274" s="124" t="s">
        <v>39</v>
      </c>
      <c r="R274" s="94" t="s">
        <v>597</v>
      </c>
      <c r="S274" s="124" t="s">
        <v>495</v>
      </c>
      <c r="T274" s="94" t="s">
        <v>56</v>
      </c>
      <c r="U274" s="94" t="s">
        <v>125</v>
      </c>
      <c r="V274" s="94" t="s">
        <v>51</v>
      </c>
      <c r="W274" s="124" t="s">
        <v>51</v>
      </c>
      <c r="X274" s="124" t="s">
        <v>52</v>
      </c>
      <c r="Y274" s="124" t="s">
        <v>622</v>
      </c>
      <c r="Z274" s="91"/>
      <c r="AA274" s="91"/>
      <c r="AB274" s="91"/>
      <c r="AC274" s="91"/>
      <c r="AD274" s="91"/>
      <c r="AE274" s="91"/>
      <c r="AF274" s="91"/>
      <c r="AG274" s="91"/>
      <c r="AH274" s="91"/>
    </row>
    <row r="275" spans="1:34" customFormat="1" ht="30">
      <c r="A275" s="120">
        <v>274</v>
      </c>
      <c r="B275" s="120" t="b">
        <f t="shared" ca="1" si="4"/>
        <v>0</v>
      </c>
      <c r="C275" s="121">
        <v>45462</v>
      </c>
      <c r="D275" s="137">
        <v>0.62865740740740739</v>
      </c>
      <c r="E275" s="94">
        <v>2037</v>
      </c>
      <c r="F275" s="142">
        <v>1207</v>
      </c>
      <c r="G275" s="94" t="s">
        <v>34</v>
      </c>
      <c r="H275" s="94">
        <v>1046</v>
      </c>
      <c r="I275" s="115"/>
      <c r="J275" s="94" t="s">
        <v>35</v>
      </c>
      <c r="K275" s="152">
        <v>6.13</v>
      </c>
      <c r="L275" s="122" t="str">
        <f>VLOOKUP(K275,Liste!$L$2:$O$34,4,1)</f>
        <v>GSMR_02/03</v>
      </c>
      <c r="M275" s="133" t="s">
        <v>36</v>
      </c>
      <c r="N275" s="180" t="s">
        <v>37</v>
      </c>
      <c r="O275" s="125" t="s">
        <v>639</v>
      </c>
      <c r="P275" s="126"/>
      <c r="Q275" s="124" t="s">
        <v>39</v>
      </c>
      <c r="R275" s="94" t="s">
        <v>597</v>
      </c>
      <c r="S275" s="124" t="s">
        <v>640</v>
      </c>
      <c r="T275" s="94" t="s">
        <v>56</v>
      </c>
      <c r="U275" s="94" t="s">
        <v>641</v>
      </c>
      <c r="V275" s="94" t="s">
        <v>51</v>
      </c>
      <c r="W275" s="124" t="s">
        <v>51</v>
      </c>
      <c r="X275" s="124" t="s">
        <v>52</v>
      </c>
      <c r="Y275" s="124" t="s">
        <v>622</v>
      </c>
      <c r="Z275" s="91"/>
      <c r="AA275" s="91"/>
      <c r="AB275" s="91"/>
      <c r="AC275" s="91"/>
      <c r="AD275" s="91"/>
      <c r="AE275" s="91"/>
      <c r="AF275" s="91"/>
      <c r="AG275" s="91"/>
      <c r="AH275" s="91"/>
    </row>
    <row r="276" spans="1:34" customFormat="1" ht="30">
      <c r="A276" s="120">
        <v>275</v>
      </c>
      <c r="B276" s="120" t="b">
        <f t="shared" ca="1" si="4"/>
        <v>0</v>
      </c>
      <c r="C276" s="121">
        <v>45462</v>
      </c>
      <c r="D276" s="137">
        <v>0.79579861111111116</v>
      </c>
      <c r="E276" s="94">
        <v>1045</v>
      </c>
      <c r="F276" s="142">
        <v>1202</v>
      </c>
      <c r="G276" s="91" t="s">
        <v>71</v>
      </c>
      <c r="H276" s="94">
        <v>1022</v>
      </c>
      <c r="I276" s="115"/>
      <c r="J276" s="94" t="s">
        <v>72</v>
      </c>
      <c r="K276" s="152">
        <v>7.3209999999999997</v>
      </c>
      <c r="L276" s="122" t="str">
        <f>VLOOKUP(K276,Liste!$L$2:$O$34,4,1)</f>
        <v>GSMR_02/03</v>
      </c>
      <c r="M276" s="133" t="s">
        <v>36</v>
      </c>
      <c r="N276" s="180" t="s">
        <v>37</v>
      </c>
      <c r="O276" s="125" t="s">
        <v>642</v>
      </c>
      <c r="P276" s="126"/>
      <c r="Q276" s="124" t="s">
        <v>39</v>
      </c>
      <c r="R276" s="94" t="s">
        <v>597</v>
      </c>
      <c r="S276" s="91" t="s">
        <v>637</v>
      </c>
      <c r="T276" s="94" t="s">
        <v>56</v>
      </c>
      <c r="U276" s="94" t="s">
        <v>643</v>
      </c>
      <c r="V276" s="94" t="s">
        <v>51</v>
      </c>
      <c r="W276" s="124" t="s">
        <v>51</v>
      </c>
      <c r="X276" s="124" t="s">
        <v>52</v>
      </c>
      <c r="Y276" s="124" t="s">
        <v>622</v>
      </c>
      <c r="Z276" s="91"/>
      <c r="AA276" s="91"/>
      <c r="AB276" s="91"/>
      <c r="AC276" s="91"/>
      <c r="AD276" s="91"/>
      <c r="AE276" s="91"/>
      <c r="AF276" s="91"/>
      <c r="AG276" s="91"/>
      <c r="AH276" s="91"/>
    </row>
    <row r="277" spans="1:34" customFormat="1" ht="30">
      <c r="A277" s="120">
        <v>276</v>
      </c>
      <c r="B277" s="120" t="b">
        <f t="shared" ca="1" si="4"/>
        <v>0</v>
      </c>
      <c r="C277" s="121">
        <v>45464</v>
      </c>
      <c r="D277" s="137">
        <v>0.68726851851851856</v>
      </c>
      <c r="E277" s="94">
        <v>1038</v>
      </c>
      <c r="F277" s="142">
        <v>1205</v>
      </c>
      <c r="G277" s="91" t="s">
        <v>71</v>
      </c>
      <c r="H277" s="94">
        <v>1034</v>
      </c>
      <c r="I277" s="115"/>
      <c r="J277" s="94" t="s">
        <v>72</v>
      </c>
      <c r="K277" s="91">
        <v>176.61199999999999</v>
      </c>
      <c r="L277" s="122" t="str">
        <f>VLOOKUP(K277,Liste!$L$2:$O$34,4,1)</f>
        <v>GSMR_30/31</v>
      </c>
      <c r="M277" s="133" t="s">
        <v>36</v>
      </c>
      <c r="N277" s="180" t="s">
        <v>37</v>
      </c>
      <c r="O277" s="125" t="s">
        <v>644</v>
      </c>
      <c r="P277" s="126"/>
      <c r="Q277" s="124" t="s">
        <v>39</v>
      </c>
      <c r="R277" s="94" t="s">
        <v>597</v>
      </c>
      <c r="S277" s="124" t="s">
        <v>645</v>
      </c>
      <c r="T277" s="94" t="s">
        <v>69</v>
      </c>
      <c r="U277" s="94" t="s">
        <v>646</v>
      </c>
      <c r="V277" s="94" t="s">
        <v>51</v>
      </c>
      <c r="W277" s="124" t="s">
        <v>51</v>
      </c>
      <c r="X277" s="124" t="s">
        <v>52</v>
      </c>
      <c r="Y277" s="124" t="s">
        <v>622</v>
      </c>
      <c r="Z277" s="91"/>
      <c r="AA277" s="91"/>
      <c r="AB277" s="91"/>
      <c r="AC277" s="91"/>
      <c r="AD277" s="91"/>
      <c r="AE277" s="91"/>
      <c r="AF277" s="91"/>
      <c r="AG277" s="91"/>
      <c r="AH277" s="91"/>
    </row>
    <row r="278" spans="1:34" customFormat="1" ht="30">
      <c r="A278" s="120">
        <v>277</v>
      </c>
      <c r="B278" s="120" t="b">
        <f t="shared" ca="1" si="4"/>
        <v>0</v>
      </c>
      <c r="C278" s="121">
        <v>45465</v>
      </c>
      <c r="D278" s="137">
        <v>0.50446759259259255</v>
      </c>
      <c r="E278" s="94">
        <v>1017</v>
      </c>
      <c r="F278" s="142">
        <v>1207</v>
      </c>
      <c r="G278" s="91" t="s">
        <v>71</v>
      </c>
      <c r="H278" s="94">
        <v>1007</v>
      </c>
      <c r="I278" s="115"/>
      <c r="J278" s="94" t="s">
        <v>72</v>
      </c>
      <c r="K278" s="152">
        <v>7.3209999999999997</v>
      </c>
      <c r="L278" s="122" t="str">
        <f>VLOOKUP(K278,Liste!$L$2:$O$34,4,1)</f>
        <v>GSMR_02/03</v>
      </c>
      <c r="M278" s="133" t="s">
        <v>36</v>
      </c>
      <c r="N278" s="181" t="s">
        <v>58</v>
      </c>
      <c r="O278" s="125" t="s">
        <v>647</v>
      </c>
      <c r="P278" s="126"/>
      <c r="Q278" s="124" t="s">
        <v>39</v>
      </c>
      <c r="R278" s="94" t="s">
        <v>597</v>
      </c>
      <c r="S278" s="91" t="s">
        <v>637</v>
      </c>
      <c r="T278" s="94" t="s">
        <v>56</v>
      </c>
      <c r="U278" s="94" t="s">
        <v>648</v>
      </c>
      <c r="V278" s="94" t="s">
        <v>51</v>
      </c>
      <c r="W278" s="124" t="s">
        <v>51</v>
      </c>
      <c r="X278" s="124" t="s">
        <v>52</v>
      </c>
      <c r="Y278" s="124" t="s">
        <v>622</v>
      </c>
      <c r="Z278" s="91"/>
      <c r="AA278" s="91"/>
      <c r="AB278" s="91"/>
      <c r="AC278" s="91"/>
      <c r="AD278" s="91"/>
      <c r="AE278" s="91"/>
      <c r="AF278" s="91"/>
      <c r="AG278" s="91"/>
      <c r="AH278" s="91"/>
    </row>
    <row r="279" spans="1:34" customFormat="1" ht="30">
      <c r="A279" s="120">
        <v>278</v>
      </c>
      <c r="B279" s="120" t="b">
        <f t="shared" ca="1" si="4"/>
        <v>0</v>
      </c>
      <c r="C279" s="121">
        <v>45465</v>
      </c>
      <c r="D279" s="137">
        <v>0.60379629629629628</v>
      </c>
      <c r="E279" s="94">
        <v>1036</v>
      </c>
      <c r="F279" s="142">
        <v>1208</v>
      </c>
      <c r="G279" s="94" t="s">
        <v>34</v>
      </c>
      <c r="H279" s="94">
        <v>1008</v>
      </c>
      <c r="I279" s="115"/>
      <c r="J279" s="94" t="s">
        <v>35</v>
      </c>
      <c r="K279" s="91">
        <v>109.495</v>
      </c>
      <c r="L279" s="122" t="str">
        <f>VLOOKUP(K279,Liste!$L$2:$O$34,4,1)</f>
        <v>GSMR_19/20</v>
      </c>
      <c r="M279" s="133" t="s">
        <v>36</v>
      </c>
      <c r="N279" s="180" t="s">
        <v>37</v>
      </c>
      <c r="O279" s="125" t="s">
        <v>649</v>
      </c>
      <c r="P279" s="126"/>
      <c r="Q279" s="124" t="s">
        <v>39</v>
      </c>
      <c r="R279" s="94" t="s">
        <v>597</v>
      </c>
      <c r="S279" s="124" t="s">
        <v>592</v>
      </c>
      <c r="T279" s="94" t="s">
        <v>56</v>
      </c>
      <c r="U279" s="94" t="s">
        <v>289</v>
      </c>
      <c r="V279" s="94" t="s">
        <v>51</v>
      </c>
      <c r="W279" s="124" t="s">
        <v>51</v>
      </c>
      <c r="X279" s="124" t="s">
        <v>52</v>
      </c>
      <c r="Y279" s="124" t="s">
        <v>622</v>
      </c>
      <c r="Z279" s="91"/>
      <c r="AA279" s="91"/>
      <c r="AB279" s="91"/>
      <c r="AC279" s="91"/>
      <c r="AD279" s="91"/>
      <c r="AE279" s="91"/>
      <c r="AF279" s="91"/>
      <c r="AG279" s="91"/>
      <c r="AH279" s="91"/>
    </row>
    <row r="280" spans="1:34" customFormat="1" ht="30">
      <c r="A280" s="120">
        <v>279</v>
      </c>
      <c r="B280" s="120" t="b">
        <f t="shared" ca="1" si="4"/>
        <v>0</v>
      </c>
      <c r="C280" s="121">
        <v>45465</v>
      </c>
      <c r="D280" s="137">
        <v>0.79584490740740743</v>
      </c>
      <c r="E280" s="94">
        <v>1045</v>
      </c>
      <c r="F280" s="142">
        <v>1202</v>
      </c>
      <c r="G280" s="91" t="s">
        <v>71</v>
      </c>
      <c r="H280" s="94">
        <v>1022</v>
      </c>
      <c r="I280" s="115"/>
      <c r="J280" s="94" t="s">
        <v>72</v>
      </c>
      <c r="K280" s="152">
        <v>7.3209999999999997</v>
      </c>
      <c r="L280" s="122" t="str">
        <f>VLOOKUP(K280,Liste!$L$2:$O$34,4,1)</f>
        <v>GSMR_02/03</v>
      </c>
      <c r="M280" s="133" t="s">
        <v>36</v>
      </c>
      <c r="N280" s="180" t="s">
        <v>37</v>
      </c>
      <c r="O280" s="125" t="s">
        <v>650</v>
      </c>
      <c r="P280" s="126"/>
      <c r="Q280" s="94" t="s">
        <v>54</v>
      </c>
      <c r="R280" s="94" t="s">
        <v>651</v>
      </c>
      <c r="S280" s="91" t="s">
        <v>637</v>
      </c>
      <c r="T280" s="94" t="s">
        <v>56</v>
      </c>
      <c r="U280" s="94" t="s">
        <v>652</v>
      </c>
      <c r="V280" s="94" t="s">
        <v>51</v>
      </c>
      <c r="W280" s="124" t="s">
        <v>51</v>
      </c>
      <c r="X280" s="124" t="s">
        <v>52</v>
      </c>
      <c r="Y280" s="124" t="s">
        <v>622</v>
      </c>
      <c r="Z280" s="91"/>
      <c r="AA280" s="91"/>
      <c r="AB280" s="91"/>
      <c r="AC280" s="91"/>
      <c r="AD280" s="91"/>
      <c r="AE280" s="91"/>
      <c r="AF280" s="91"/>
      <c r="AG280" s="91"/>
      <c r="AH280" s="91"/>
    </row>
    <row r="281" spans="1:34" customFormat="1" ht="30">
      <c r="A281" s="120">
        <v>280</v>
      </c>
      <c r="B281" s="120" t="b">
        <f t="shared" ca="1" si="4"/>
        <v>0</v>
      </c>
      <c r="C281" s="121">
        <v>45466</v>
      </c>
      <c r="D281" s="137">
        <v>0.94449074074074069</v>
      </c>
      <c r="E281" s="94">
        <v>1061</v>
      </c>
      <c r="F281" s="142">
        <v>1207</v>
      </c>
      <c r="G281" s="91" t="s">
        <v>71</v>
      </c>
      <c r="H281" s="94">
        <v>1007</v>
      </c>
      <c r="I281" s="115"/>
      <c r="J281" s="94" t="s">
        <v>72</v>
      </c>
      <c r="K281" s="91">
        <v>127.815</v>
      </c>
      <c r="L281" s="122" t="str">
        <f>VLOOKUP(K281,Liste!$L$2:$O$34,4,1)</f>
        <v>GSMR_22/23</v>
      </c>
      <c r="M281" s="133" t="s">
        <v>36</v>
      </c>
      <c r="N281" s="180" t="s">
        <v>37</v>
      </c>
      <c r="O281" s="125" t="s">
        <v>653</v>
      </c>
      <c r="P281" s="126"/>
      <c r="Q281" s="124" t="s">
        <v>39</v>
      </c>
      <c r="R281" s="94" t="s">
        <v>597</v>
      </c>
      <c r="S281" s="91" t="s">
        <v>654</v>
      </c>
      <c r="T281" s="94" t="s">
        <v>56</v>
      </c>
      <c r="U281" s="94" t="s">
        <v>655</v>
      </c>
      <c r="V281" s="94" t="s">
        <v>51</v>
      </c>
      <c r="W281" s="124" t="s">
        <v>51</v>
      </c>
      <c r="X281" s="124" t="s">
        <v>52</v>
      </c>
      <c r="Y281" s="124" t="s">
        <v>622</v>
      </c>
      <c r="Z281" s="91"/>
      <c r="AA281" s="91"/>
      <c r="AB281" s="91"/>
      <c r="AC281" s="91"/>
      <c r="AD281" s="91"/>
      <c r="AE281" s="91"/>
      <c r="AF281" s="91"/>
      <c r="AG281" s="91"/>
      <c r="AH281" s="91"/>
    </row>
    <row r="282" spans="1:34" customFormat="1" ht="30">
      <c r="A282" s="120">
        <v>281</v>
      </c>
      <c r="B282" s="120" t="b">
        <f t="shared" ca="1" si="4"/>
        <v>0</v>
      </c>
      <c r="C282" s="121">
        <v>45466</v>
      </c>
      <c r="D282" s="137">
        <v>0.97924768518518523</v>
      </c>
      <c r="E282" s="94">
        <v>10091</v>
      </c>
      <c r="F282" s="142">
        <v>1210</v>
      </c>
      <c r="G282" s="91" t="s">
        <v>71</v>
      </c>
      <c r="H282" s="94">
        <v>1020</v>
      </c>
      <c r="I282" s="115"/>
      <c r="J282" s="94" t="s">
        <v>72</v>
      </c>
      <c r="K282" s="91">
        <v>177.85</v>
      </c>
      <c r="L282" s="122" t="str">
        <f>VLOOKUP(K282,Liste!$L$2:$O$34,4,1)</f>
        <v>GSMR_30/31</v>
      </c>
      <c r="M282" s="133" t="s">
        <v>36</v>
      </c>
      <c r="N282" s="180" t="s">
        <v>37</v>
      </c>
      <c r="O282" s="125" t="s">
        <v>656</v>
      </c>
      <c r="P282" s="126"/>
      <c r="Q282" s="124" t="s">
        <v>39</v>
      </c>
      <c r="R282" s="94" t="s">
        <v>657</v>
      </c>
      <c r="S282" s="91" t="s">
        <v>658</v>
      </c>
      <c r="T282" s="94" t="s">
        <v>116</v>
      </c>
      <c r="U282" s="94" t="s">
        <v>659</v>
      </c>
      <c r="V282" s="94" t="s">
        <v>51</v>
      </c>
      <c r="W282" s="124" t="s">
        <v>51</v>
      </c>
      <c r="X282" s="124" t="s">
        <v>52</v>
      </c>
      <c r="Y282" s="124" t="s">
        <v>622</v>
      </c>
      <c r="Z282" s="91"/>
      <c r="AA282" s="91"/>
      <c r="AB282" s="91"/>
      <c r="AC282" s="91"/>
      <c r="AD282" s="91"/>
      <c r="AE282" s="91"/>
      <c r="AF282" s="91"/>
      <c r="AG282" s="91"/>
      <c r="AH282" s="91"/>
    </row>
    <row r="283" spans="1:34" customFormat="1" ht="30">
      <c r="A283" s="120">
        <v>282</v>
      </c>
      <c r="B283" s="120" t="b">
        <f t="shared" ca="1" si="4"/>
        <v>0</v>
      </c>
      <c r="C283" s="121">
        <v>45467</v>
      </c>
      <c r="D283" s="137">
        <v>0.43425925925925923</v>
      </c>
      <c r="E283" s="94">
        <v>1009</v>
      </c>
      <c r="F283" s="142">
        <v>1210</v>
      </c>
      <c r="G283" s="91" t="s">
        <v>71</v>
      </c>
      <c r="H283" s="94">
        <v>1072</v>
      </c>
      <c r="I283" s="115"/>
      <c r="J283" s="94" t="s">
        <v>72</v>
      </c>
      <c r="K283" s="152">
        <v>7.3209999999999997</v>
      </c>
      <c r="L283" s="122" t="str">
        <f>VLOOKUP(K283,Liste!$L$2:$O$34,4,1)</f>
        <v>GSMR_02/03</v>
      </c>
      <c r="M283" s="133" t="s">
        <v>36</v>
      </c>
      <c r="N283" s="180" t="s">
        <v>37</v>
      </c>
      <c r="O283" s="125" t="s">
        <v>660</v>
      </c>
      <c r="P283" s="126"/>
      <c r="Q283" s="124" t="s">
        <v>39</v>
      </c>
      <c r="R283" s="94" t="s">
        <v>597</v>
      </c>
      <c r="S283" s="91" t="s">
        <v>661</v>
      </c>
      <c r="T283" s="94" t="s">
        <v>56</v>
      </c>
      <c r="U283" s="94" t="s">
        <v>323</v>
      </c>
      <c r="V283" s="94" t="s">
        <v>51</v>
      </c>
      <c r="W283" s="124" t="s">
        <v>51</v>
      </c>
      <c r="X283" s="124" t="s">
        <v>52</v>
      </c>
      <c r="Y283" s="124" t="s">
        <v>622</v>
      </c>
      <c r="Z283" s="91"/>
      <c r="AA283" s="91"/>
      <c r="AB283" s="91"/>
      <c r="AC283" s="91"/>
      <c r="AD283" s="91"/>
      <c r="AE283" s="91"/>
      <c r="AF283" s="91"/>
      <c r="AG283" s="91"/>
      <c r="AH283" s="91"/>
    </row>
    <row r="284" spans="1:34" customFormat="1" ht="30">
      <c r="A284" s="120">
        <v>283</v>
      </c>
      <c r="B284" s="120" t="b">
        <f t="shared" ca="1" si="4"/>
        <v>0</v>
      </c>
      <c r="C284" s="121">
        <v>45467</v>
      </c>
      <c r="D284" s="137">
        <v>0.85241898148148143</v>
      </c>
      <c r="E284" s="94">
        <v>1021</v>
      </c>
      <c r="F284" s="142">
        <v>1205</v>
      </c>
      <c r="G284" s="91" t="s">
        <v>71</v>
      </c>
      <c r="H284" s="94">
        <v>1034</v>
      </c>
      <c r="I284" s="115"/>
      <c r="J284" s="94" t="s">
        <v>72</v>
      </c>
      <c r="K284" s="91">
        <v>202.125</v>
      </c>
      <c r="L284" s="122" t="str">
        <f>VLOOKUP(K284,Liste!$L$2:$O$34,4,1)</f>
        <v>GSMR_33/RAC</v>
      </c>
      <c r="M284" s="133" t="s">
        <v>36</v>
      </c>
      <c r="N284" s="180" t="s">
        <v>37</v>
      </c>
      <c r="O284" s="125" t="s">
        <v>662</v>
      </c>
      <c r="P284" s="126"/>
      <c r="Q284" s="94" t="s">
        <v>54</v>
      </c>
      <c r="R284" s="94" t="s">
        <v>663</v>
      </c>
      <c r="S284" s="91" t="s">
        <v>664</v>
      </c>
      <c r="T284" s="94" t="s">
        <v>56</v>
      </c>
      <c r="U284" s="94" t="s">
        <v>665</v>
      </c>
      <c r="V284" s="94" t="s">
        <v>51</v>
      </c>
      <c r="W284" s="124" t="s">
        <v>51</v>
      </c>
      <c r="X284" s="124" t="s">
        <v>400</v>
      </c>
      <c r="Y284" s="124" t="s">
        <v>622</v>
      </c>
      <c r="Z284" s="91"/>
      <c r="AA284" s="91"/>
      <c r="AB284" s="91"/>
      <c r="AC284" s="91"/>
      <c r="AD284" s="91"/>
      <c r="AE284" s="91"/>
      <c r="AF284" s="91"/>
      <c r="AG284" s="91"/>
      <c r="AH284" s="91"/>
    </row>
    <row r="285" spans="1:34" customFormat="1" ht="30">
      <c r="A285" s="120">
        <v>284</v>
      </c>
      <c r="B285" s="120" t="b">
        <f t="shared" ca="1" si="4"/>
        <v>0</v>
      </c>
      <c r="C285" s="121">
        <v>45467</v>
      </c>
      <c r="D285" s="137">
        <v>0.89451388888888894</v>
      </c>
      <c r="E285" s="94">
        <v>2057</v>
      </c>
      <c r="F285" s="142">
        <v>1205</v>
      </c>
      <c r="G285" s="94" t="s">
        <v>34</v>
      </c>
      <c r="H285" s="94">
        <v>7217</v>
      </c>
      <c r="I285" s="115"/>
      <c r="J285" s="94" t="s">
        <v>35</v>
      </c>
      <c r="K285" s="91">
        <v>106.206</v>
      </c>
      <c r="L285" s="122" t="str">
        <f>VLOOKUP(K285,Liste!$L$2:$O$34,4,1)</f>
        <v>GSMR_19/20</v>
      </c>
      <c r="M285" s="133" t="s">
        <v>36</v>
      </c>
      <c r="N285" s="180" t="s">
        <v>37</v>
      </c>
      <c r="O285" s="125" t="s">
        <v>666</v>
      </c>
      <c r="P285" s="126"/>
      <c r="Q285" s="94" t="s">
        <v>54</v>
      </c>
      <c r="R285" s="94" t="s">
        <v>651</v>
      </c>
      <c r="S285" s="91" t="s">
        <v>667</v>
      </c>
      <c r="T285" s="94" t="s">
        <v>93</v>
      </c>
      <c r="U285" s="94" t="s">
        <v>668</v>
      </c>
      <c r="V285" s="94" t="s">
        <v>43</v>
      </c>
      <c r="W285" s="124" t="s">
        <v>51</v>
      </c>
      <c r="X285" s="124" t="s">
        <v>52</v>
      </c>
      <c r="Y285" s="124" t="s">
        <v>622</v>
      </c>
      <c r="Z285" s="91"/>
      <c r="AA285" s="91"/>
      <c r="AB285" s="91"/>
      <c r="AC285" s="91"/>
      <c r="AD285" s="91"/>
      <c r="AE285" s="91"/>
      <c r="AF285" s="91"/>
      <c r="AG285" s="91"/>
      <c r="AH285" s="91"/>
    </row>
    <row r="286" spans="1:34" customFormat="1" ht="30">
      <c r="A286" s="120">
        <v>285</v>
      </c>
      <c r="B286" s="120" t="b">
        <f t="shared" ca="1" si="4"/>
        <v>0</v>
      </c>
      <c r="C286" s="121">
        <v>45467</v>
      </c>
      <c r="D286" s="137">
        <v>0.51656250000000004</v>
      </c>
      <c r="E286" s="94">
        <v>2061</v>
      </c>
      <c r="F286" s="142">
        <v>1208</v>
      </c>
      <c r="G286" s="94" t="s">
        <v>34</v>
      </c>
      <c r="H286" s="94">
        <v>1036</v>
      </c>
      <c r="I286" s="115"/>
      <c r="J286" s="94" t="s">
        <v>35</v>
      </c>
      <c r="K286" s="91">
        <v>109.495</v>
      </c>
      <c r="L286" s="122" t="str">
        <f>VLOOKUP(K286,Liste!$L$2:$O$34,4,1)</f>
        <v>GSMR_19/20</v>
      </c>
      <c r="M286" s="133" t="s">
        <v>36</v>
      </c>
      <c r="N286" s="180" t="s">
        <v>37</v>
      </c>
      <c r="O286" s="125" t="s">
        <v>669</v>
      </c>
      <c r="P286" s="126"/>
      <c r="Q286" s="94" t="s">
        <v>54</v>
      </c>
      <c r="R286" s="94" t="s">
        <v>670</v>
      </c>
      <c r="S286" s="91" t="s">
        <v>671</v>
      </c>
      <c r="T286" s="94" t="s">
        <v>56</v>
      </c>
      <c r="U286" s="94" t="s">
        <v>289</v>
      </c>
      <c r="V286" s="94" t="s">
        <v>51</v>
      </c>
      <c r="W286" s="124" t="s">
        <v>51</v>
      </c>
      <c r="X286" s="124" t="s">
        <v>52</v>
      </c>
      <c r="Y286" s="124" t="s">
        <v>622</v>
      </c>
      <c r="Z286" s="91"/>
      <c r="AA286" s="91"/>
      <c r="AB286" s="91"/>
      <c r="AC286" s="91"/>
      <c r="AD286" s="91"/>
      <c r="AE286" s="91"/>
      <c r="AF286" s="91"/>
      <c r="AG286" s="91"/>
      <c r="AH286" s="91"/>
    </row>
    <row r="287" spans="1:34" customFormat="1" ht="30">
      <c r="A287" s="120">
        <v>286</v>
      </c>
      <c r="B287" s="120" t="b">
        <f t="shared" ca="1" si="4"/>
        <v>0</v>
      </c>
      <c r="C287" s="121">
        <v>45468</v>
      </c>
      <c r="D287" s="137">
        <v>0.54856481481481478</v>
      </c>
      <c r="E287" s="94">
        <v>1021</v>
      </c>
      <c r="F287" s="142">
        <v>1205</v>
      </c>
      <c r="G287" s="91" t="s">
        <v>71</v>
      </c>
      <c r="H287" s="94">
        <v>1034</v>
      </c>
      <c r="I287" s="115"/>
      <c r="J287" s="94" t="s">
        <v>72</v>
      </c>
      <c r="K287" s="152">
        <v>7.3209999999999997</v>
      </c>
      <c r="L287" s="122" t="str">
        <f>VLOOKUP(K287,Liste!$L$2:$O$34,4,1)</f>
        <v>GSMR_02/03</v>
      </c>
      <c r="M287" s="133" t="s">
        <v>36</v>
      </c>
      <c r="N287" s="180" t="s">
        <v>37</v>
      </c>
      <c r="O287" s="125" t="s">
        <v>672</v>
      </c>
      <c r="P287" s="126"/>
      <c r="Q287" s="124" t="s">
        <v>39</v>
      </c>
      <c r="R287" s="94" t="s">
        <v>597</v>
      </c>
      <c r="S287" s="91" t="s">
        <v>661</v>
      </c>
      <c r="T287" s="94" t="s">
        <v>56</v>
      </c>
      <c r="U287" s="94" t="s">
        <v>673</v>
      </c>
      <c r="V287" s="94" t="s">
        <v>51</v>
      </c>
      <c r="W287" s="124" t="s">
        <v>51</v>
      </c>
      <c r="X287" s="124" t="s">
        <v>52</v>
      </c>
      <c r="Y287" s="124" t="s">
        <v>622</v>
      </c>
      <c r="Z287" s="91"/>
      <c r="AA287" s="91"/>
      <c r="AB287" s="91"/>
      <c r="AC287" s="91"/>
      <c r="AD287" s="91"/>
      <c r="AE287" s="91"/>
      <c r="AF287" s="91"/>
      <c r="AG287" s="91"/>
      <c r="AH287" s="91"/>
    </row>
    <row r="288" spans="1:34" customFormat="1" ht="30">
      <c r="A288" s="120">
        <v>287</v>
      </c>
      <c r="B288" s="120" t="b">
        <f t="shared" ca="1" si="4"/>
        <v>0</v>
      </c>
      <c r="C288" s="121">
        <v>45468</v>
      </c>
      <c r="D288" s="137">
        <v>0.71101851851851849</v>
      </c>
      <c r="E288" s="94">
        <v>1038</v>
      </c>
      <c r="F288" s="142">
        <v>1205</v>
      </c>
      <c r="G288" s="91" t="s">
        <v>71</v>
      </c>
      <c r="H288" s="94">
        <v>1033</v>
      </c>
      <c r="I288" s="115"/>
      <c r="J288" s="94" t="s">
        <v>72</v>
      </c>
      <c r="K288" s="152">
        <v>8.9700000000000006</v>
      </c>
      <c r="L288" s="122" t="str">
        <f>VLOOKUP(K288,Liste!$L$2:$O$34,4,1)</f>
        <v>GSMR_02/03</v>
      </c>
      <c r="M288" s="133" t="s">
        <v>36</v>
      </c>
      <c r="N288" s="180" t="s">
        <v>37</v>
      </c>
      <c r="O288" s="125" t="s">
        <v>674</v>
      </c>
      <c r="P288" s="126"/>
      <c r="Q288" s="124" t="s">
        <v>39</v>
      </c>
      <c r="R288" s="94" t="s">
        <v>597</v>
      </c>
      <c r="S288" s="91" t="s">
        <v>675</v>
      </c>
      <c r="T288" s="94" t="s">
        <v>69</v>
      </c>
      <c r="U288" s="94" t="s">
        <v>137</v>
      </c>
      <c r="V288" s="94" t="s">
        <v>51</v>
      </c>
      <c r="W288" s="124" t="s">
        <v>51</v>
      </c>
      <c r="X288" s="124" t="s">
        <v>52</v>
      </c>
      <c r="Y288" s="124" t="s">
        <v>622</v>
      </c>
      <c r="Z288" s="91"/>
      <c r="AA288" s="91"/>
      <c r="AB288" s="91"/>
      <c r="AC288" s="91"/>
      <c r="AD288" s="91"/>
      <c r="AE288" s="91"/>
      <c r="AF288" s="91"/>
      <c r="AG288" s="91"/>
      <c r="AH288" s="91"/>
    </row>
    <row r="289" spans="1:34" customFormat="1" ht="30">
      <c r="A289" s="120">
        <v>288</v>
      </c>
      <c r="B289" s="120" t="b">
        <f t="shared" ca="1" si="4"/>
        <v>0</v>
      </c>
      <c r="C289" s="121">
        <v>45468</v>
      </c>
      <c r="D289" s="137">
        <v>0.961400462962963</v>
      </c>
      <c r="E289" s="94">
        <v>1061</v>
      </c>
      <c r="F289" s="142">
        <v>1209</v>
      </c>
      <c r="G289" s="91" t="s">
        <v>71</v>
      </c>
      <c r="H289" s="94">
        <v>1033</v>
      </c>
      <c r="I289" s="115"/>
      <c r="J289" s="94" t="s">
        <v>72</v>
      </c>
      <c r="K289" s="91">
        <v>13.712999999999999</v>
      </c>
      <c r="L289" s="122" t="str">
        <f>VLOOKUP(K289,Liste!$L$2:$O$34,4,1)</f>
        <v>GSMR_03/04</v>
      </c>
      <c r="M289" s="133" t="s">
        <v>36</v>
      </c>
      <c r="N289" s="181" t="s">
        <v>58</v>
      </c>
      <c r="O289" s="125" t="s">
        <v>676</v>
      </c>
      <c r="P289" s="119"/>
      <c r="Q289" s="94" t="s">
        <v>39</v>
      </c>
      <c r="R289" s="94" t="s">
        <v>597</v>
      </c>
      <c r="S289" s="91" t="s">
        <v>661</v>
      </c>
      <c r="T289" s="94" t="s">
        <v>56</v>
      </c>
      <c r="U289" s="94" t="s">
        <v>166</v>
      </c>
      <c r="V289" s="94" t="s">
        <v>51</v>
      </c>
      <c r="W289" s="124" t="s">
        <v>51</v>
      </c>
      <c r="X289" s="124" t="s">
        <v>52</v>
      </c>
      <c r="Y289" s="124" t="s">
        <v>622</v>
      </c>
      <c r="Z289" s="91"/>
      <c r="AA289" s="91"/>
      <c r="AB289" s="91"/>
      <c r="AC289" s="91"/>
      <c r="AD289" s="91"/>
      <c r="AE289" s="91"/>
      <c r="AF289" s="91"/>
      <c r="AG289" s="91"/>
      <c r="AH289" s="91"/>
    </row>
    <row r="290" spans="1:34" customFormat="1" ht="30">
      <c r="A290" s="120">
        <v>289</v>
      </c>
      <c r="B290" s="120" t="b">
        <f t="shared" ca="1" si="4"/>
        <v>0</v>
      </c>
      <c r="C290" s="121">
        <v>45469</v>
      </c>
      <c r="D290" s="137">
        <v>0.2581134259259259</v>
      </c>
      <c r="E290" s="94">
        <v>2001</v>
      </c>
      <c r="F290" s="142">
        <v>1209</v>
      </c>
      <c r="G290" s="94" t="s">
        <v>34</v>
      </c>
      <c r="H290" s="94">
        <v>1058</v>
      </c>
      <c r="I290" s="115"/>
      <c r="J290" s="94" t="s">
        <v>35</v>
      </c>
      <c r="K290" s="91">
        <v>25.91</v>
      </c>
      <c r="L290" s="122" t="str">
        <f>VLOOKUP(K290,Liste!$L$2:$O$34,4,1)</f>
        <v>GSMR_05/06</v>
      </c>
      <c r="M290" s="133" t="s">
        <v>36</v>
      </c>
      <c r="N290" s="180" t="s">
        <v>37</v>
      </c>
      <c r="O290" s="125" t="s">
        <v>677</v>
      </c>
      <c r="P290" s="126"/>
      <c r="Q290" s="124" t="s">
        <v>47</v>
      </c>
      <c r="R290" s="94" t="s">
        <v>678</v>
      </c>
      <c r="S290" s="91" t="s">
        <v>679</v>
      </c>
      <c r="T290" s="94" t="s">
        <v>69</v>
      </c>
      <c r="U290" s="94" t="s">
        <v>680</v>
      </c>
      <c r="V290" s="94" t="s">
        <v>43</v>
      </c>
      <c r="W290" s="124" t="s">
        <v>51</v>
      </c>
      <c r="X290" s="124" t="s">
        <v>400</v>
      </c>
      <c r="Y290" s="124" t="s">
        <v>622</v>
      </c>
      <c r="Z290" s="91"/>
      <c r="AA290" s="91"/>
      <c r="AB290" s="91"/>
      <c r="AC290" s="91"/>
      <c r="AD290" s="91"/>
      <c r="AE290" s="91"/>
      <c r="AF290" s="91"/>
      <c r="AG290" s="91"/>
      <c r="AH290" s="91"/>
    </row>
    <row r="291" spans="1:34" customFormat="1" ht="30">
      <c r="A291" s="120">
        <v>290</v>
      </c>
      <c r="B291" s="120" t="b">
        <f t="shared" ca="1" si="4"/>
        <v>0</v>
      </c>
      <c r="C291" s="121">
        <v>45469</v>
      </c>
      <c r="D291" s="137">
        <v>0.86581018518518515</v>
      </c>
      <c r="E291" s="94">
        <v>1054</v>
      </c>
      <c r="F291" s="142">
        <v>1210</v>
      </c>
      <c r="G291" s="91" t="s">
        <v>71</v>
      </c>
      <c r="H291" s="94">
        <v>1072</v>
      </c>
      <c r="I291" s="115"/>
      <c r="J291" s="94" t="s">
        <v>72</v>
      </c>
      <c r="K291" s="91">
        <v>94.953999999999994</v>
      </c>
      <c r="L291" s="122" t="str">
        <f>VLOOKUP(K291,Liste!$L$2:$O$34,4,1)</f>
        <v>GSMR_17/18</v>
      </c>
      <c r="M291" s="133" t="s">
        <v>36</v>
      </c>
      <c r="N291" s="180" t="s">
        <v>37</v>
      </c>
      <c r="O291" s="125" t="s">
        <v>681</v>
      </c>
      <c r="P291" s="126"/>
      <c r="Q291" s="94" t="s">
        <v>54</v>
      </c>
      <c r="R291" s="94" t="s">
        <v>663</v>
      </c>
      <c r="S291" s="91" t="s">
        <v>682</v>
      </c>
      <c r="T291" s="94" t="s">
        <v>56</v>
      </c>
      <c r="U291" s="94" t="s">
        <v>683</v>
      </c>
      <c r="V291" s="94" t="s">
        <v>51</v>
      </c>
      <c r="W291" s="124" t="s">
        <v>51</v>
      </c>
      <c r="X291" s="124" t="s">
        <v>52</v>
      </c>
      <c r="Y291" s="124" t="s">
        <v>622</v>
      </c>
      <c r="Z291" s="91"/>
      <c r="AA291" s="91"/>
      <c r="AB291" s="91"/>
      <c r="AC291" s="91"/>
      <c r="AD291" s="91"/>
      <c r="AE291" s="91"/>
      <c r="AF291" s="91"/>
      <c r="AG291" s="91"/>
      <c r="AH291" s="91"/>
    </row>
    <row r="292" spans="1:34" customFormat="1" ht="30">
      <c r="A292" s="120">
        <v>291</v>
      </c>
      <c r="B292" s="120" t="b">
        <f t="shared" ca="1" si="4"/>
        <v>0</v>
      </c>
      <c r="C292" s="121">
        <v>45470</v>
      </c>
      <c r="D292" s="137">
        <v>0.71187500000000004</v>
      </c>
      <c r="E292" s="94">
        <v>2045</v>
      </c>
      <c r="F292" s="142">
        <v>1201</v>
      </c>
      <c r="G292" s="94" t="s">
        <v>34</v>
      </c>
      <c r="H292" s="94">
        <v>7206</v>
      </c>
      <c r="I292" s="115"/>
      <c r="J292" s="94" t="s">
        <v>35</v>
      </c>
      <c r="K292" s="152">
        <v>6.13</v>
      </c>
      <c r="L292" s="122" t="str">
        <f>VLOOKUP(K292,Liste!$L$2:$O$34,4,1)</f>
        <v>GSMR_02/03</v>
      </c>
      <c r="M292" s="133" t="s">
        <v>36</v>
      </c>
      <c r="N292" s="180" t="s">
        <v>37</v>
      </c>
      <c r="O292" s="125" t="s">
        <v>684</v>
      </c>
      <c r="P292" s="126"/>
      <c r="Q292" s="124" t="s">
        <v>39</v>
      </c>
      <c r="R292" s="94" t="s">
        <v>597</v>
      </c>
      <c r="S292" s="91" t="s">
        <v>685</v>
      </c>
      <c r="T292" s="94" t="s">
        <v>56</v>
      </c>
      <c r="U292" s="94" t="s">
        <v>408</v>
      </c>
      <c r="V292" s="94" t="s">
        <v>51</v>
      </c>
      <c r="W292" s="124" t="s">
        <v>51</v>
      </c>
      <c r="X292" s="124" t="s">
        <v>52</v>
      </c>
      <c r="Y292" s="124" t="s">
        <v>622</v>
      </c>
      <c r="Z292" s="91"/>
      <c r="AA292" s="91"/>
      <c r="AB292" s="91"/>
      <c r="AC292" s="91"/>
      <c r="AD292" s="91"/>
      <c r="AE292" s="91"/>
      <c r="AF292" s="91"/>
      <c r="AG292" s="91"/>
      <c r="AH292" s="91"/>
    </row>
    <row r="293" spans="1:34" customFormat="1" ht="30">
      <c r="A293" s="120">
        <v>292</v>
      </c>
      <c r="B293" s="120" t="b">
        <f t="shared" ca="1" si="4"/>
        <v>0</v>
      </c>
      <c r="C293" s="121">
        <v>45470</v>
      </c>
      <c r="D293" s="137">
        <v>0.77888888888888885</v>
      </c>
      <c r="E293" s="94">
        <v>2049</v>
      </c>
      <c r="F293" s="142">
        <v>1204</v>
      </c>
      <c r="G293" s="94" t="s">
        <v>34</v>
      </c>
      <c r="H293" s="94">
        <v>1052</v>
      </c>
      <c r="I293" s="115"/>
      <c r="J293" s="94" t="s">
        <v>35</v>
      </c>
      <c r="K293" s="91">
        <v>176.61199999999999</v>
      </c>
      <c r="L293" s="122" t="str">
        <f>VLOOKUP(K293,Liste!$L$2:$O$34,4,1)</f>
        <v>GSMR_30/31</v>
      </c>
      <c r="M293" s="133" t="s">
        <v>36</v>
      </c>
      <c r="N293" s="180" t="s">
        <v>37</v>
      </c>
      <c r="O293" s="125" t="s">
        <v>686</v>
      </c>
      <c r="P293" s="119"/>
      <c r="Q293" s="94" t="s">
        <v>127</v>
      </c>
      <c r="R293" s="94" t="s">
        <v>687</v>
      </c>
      <c r="S293" s="91" t="s">
        <v>688</v>
      </c>
      <c r="T293" s="94" t="s">
        <v>93</v>
      </c>
      <c r="U293" s="94" t="s">
        <v>102</v>
      </c>
      <c r="V293" s="94" t="s">
        <v>43</v>
      </c>
      <c r="W293" s="124" t="s">
        <v>51</v>
      </c>
      <c r="X293" s="124" t="s">
        <v>52</v>
      </c>
      <c r="Y293" s="124" t="s">
        <v>622</v>
      </c>
      <c r="Z293" s="91"/>
      <c r="AA293" s="91"/>
      <c r="AB293" s="91"/>
      <c r="AC293" s="91"/>
      <c r="AD293" s="91"/>
      <c r="AE293" s="91"/>
      <c r="AF293" s="91"/>
      <c r="AG293" s="91"/>
      <c r="AH293" s="91"/>
    </row>
    <row r="294" spans="1:34" customFormat="1" ht="30">
      <c r="A294" s="120">
        <v>293</v>
      </c>
      <c r="B294" s="120" t="b">
        <f t="shared" ca="1" si="4"/>
        <v>0</v>
      </c>
      <c r="C294" s="121">
        <v>45470</v>
      </c>
      <c r="D294" s="137">
        <v>0.8790162037037037</v>
      </c>
      <c r="E294" s="94">
        <v>2061</v>
      </c>
      <c r="F294" s="142">
        <v>1207</v>
      </c>
      <c r="G294" s="94" t="s">
        <v>34</v>
      </c>
      <c r="H294" s="94">
        <v>1046</v>
      </c>
      <c r="I294" s="115"/>
      <c r="J294" s="94" t="s">
        <v>35</v>
      </c>
      <c r="K294" s="152">
        <v>6.13</v>
      </c>
      <c r="L294" s="122" t="str">
        <f>VLOOKUP(K294,Liste!$L$2:$O$34,4,1)</f>
        <v>GSMR_02/03</v>
      </c>
      <c r="M294" s="133" t="s">
        <v>36</v>
      </c>
      <c r="N294" s="181" t="s">
        <v>58</v>
      </c>
      <c r="O294" s="125" t="s">
        <v>689</v>
      </c>
      <c r="P294" s="126"/>
      <c r="Q294" s="124" t="s">
        <v>39</v>
      </c>
      <c r="R294" s="94" t="s">
        <v>597</v>
      </c>
      <c r="S294" s="91" t="s">
        <v>690</v>
      </c>
      <c r="T294" s="94" t="s">
        <v>56</v>
      </c>
      <c r="U294" s="94" t="s">
        <v>183</v>
      </c>
      <c r="V294" s="94" t="s">
        <v>51</v>
      </c>
      <c r="W294" s="124" t="s">
        <v>51</v>
      </c>
      <c r="X294" s="124" t="s">
        <v>52</v>
      </c>
      <c r="Y294" s="124" t="s">
        <v>622</v>
      </c>
      <c r="Z294" s="91"/>
      <c r="AA294" s="91"/>
      <c r="AB294" s="91"/>
      <c r="AC294" s="91"/>
      <c r="AD294" s="91"/>
      <c r="AE294" s="91"/>
      <c r="AF294" s="91"/>
      <c r="AG294" s="91"/>
      <c r="AH294" s="91"/>
    </row>
    <row r="295" spans="1:34" customFormat="1" ht="30">
      <c r="A295" s="120">
        <v>294</v>
      </c>
      <c r="B295" s="120" t="b">
        <f t="shared" ca="1" si="4"/>
        <v>0</v>
      </c>
      <c r="C295" s="121">
        <v>45471</v>
      </c>
      <c r="D295" s="137">
        <v>0.33679398148148149</v>
      </c>
      <c r="E295" s="94">
        <v>2005</v>
      </c>
      <c r="F295" s="142">
        <v>1204</v>
      </c>
      <c r="G295" s="94" t="s">
        <v>34</v>
      </c>
      <c r="H295" s="94">
        <v>1053</v>
      </c>
      <c r="I295" s="115"/>
      <c r="J295" s="94" t="s">
        <v>35</v>
      </c>
      <c r="K295" s="91">
        <v>169.06</v>
      </c>
      <c r="L295" s="122" t="str">
        <f>VLOOKUP(K295,Liste!$L$2:$O$34,4,1)</f>
        <v>GSMR_29/30</v>
      </c>
      <c r="M295" s="133" t="s">
        <v>36</v>
      </c>
      <c r="N295" s="180" t="s">
        <v>37</v>
      </c>
      <c r="O295" s="125" t="s">
        <v>691</v>
      </c>
      <c r="P295" s="119"/>
      <c r="Q295" s="94" t="s">
        <v>127</v>
      </c>
      <c r="R295" s="129" t="s">
        <v>692</v>
      </c>
      <c r="S295" s="91" t="s">
        <v>693</v>
      </c>
      <c r="T295" s="94" t="s">
        <v>209</v>
      </c>
      <c r="U295" s="94" t="s">
        <v>70</v>
      </c>
      <c r="V295" s="94" t="s">
        <v>51</v>
      </c>
      <c r="W295" s="124" t="s">
        <v>51</v>
      </c>
      <c r="X295" s="124" t="s">
        <v>52</v>
      </c>
      <c r="Y295" s="124" t="s">
        <v>622</v>
      </c>
      <c r="Z295" s="91"/>
      <c r="AA295" s="91"/>
      <c r="AB295" s="91"/>
      <c r="AC295" s="91"/>
      <c r="AD295" s="91"/>
      <c r="AE295" s="91"/>
      <c r="AF295" s="91"/>
      <c r="AG295" s="91"/>
      <c r="AH295" s="91"/>
    </row>
    <row r="296" spans="1:34" s="1" customFormat="1" ht="30">
      <c r="A296" s="120">
        <v>295</v>
      </c>
      <c r="B296" s="120" t="b">
        <f t="shared" ca="1" si="4"/>
        <v>0</v>
      </c>
      <c r="C296" s="121">
        <v>45471</v>
      </c>
      <c r="D296" s="137">
        <v>0.37917824074074075</v>
      </c>
      <c r="E296" s="94">
        <v>1001</v>
      </c>
      <c r="F296" s="142">
        <v>1209</v>
      </c>
      <c r="G296" s="91" t="s">
        <v>71</v>
      </c>
      <c r="H296" s="94">
        <v>1033</v>
      </c>
      <c r="I296" s="115"/>
      <c r="J296" s="94" t="s">
        <v>72</v>
      </c>
      <c r="K296" s="152">
        <v>7.3209999999999997</v>
      </c>
      <c r="L296" s="122" t="str">
        <f>VLOOKUP(K296,Liste!$L$2:$O$34,4,1)</f>
        <v>GSMR_02/03</v>
      </c>
      <c r="M296" s="133" t="s">
        <v>36</v>
      </c>
      <c r="N296" s="180" t="s">
        <v>37</v>
      </c>
      <c r="O296" s="125" t="s">
        <v>672</v>
      </c>
      <c r="P296" s="119"/>
      <c r="Q296" s="94" t="s">
        <v>39</v>
      </c>
      <c r="R296" s="129" t="s">
        <v>597</v>
      </c>
      <c r="S296" s="91" t="s">
        <v>694</v>
      </c>
      <c r="T296" s="94" t="s">
        <v>56</v>
      </c>
      <c r="U296" s="94" t="s">
        <v>408</v>
      </c>
      <c r="V296" s="94" t="s">
        <v>51</v>
      </c>
      <c r="W296" s="124" t="s">
        <v>51</v>
      </c>
      <c r="X296" s="124" t="s">
        <v>52</v>
      </c>
      <c r="Y296" s="124" t="s">
        <v>622</v>
      </c>
      <c r="Z296" s="91"/>
      <c r="AA296" s="91"/>
      <c r="AB296" s="91"/>
      <c r="AC296" s="91"/>
      <c r="AD296" s="91"/>
      <c r="AE296" s="91"/>
      <c r="AF296" s="91"/>
      <c r="AG296" s="91"/>
      <c r="AH296" s="91"/>
    </row>
    <row r="297" spans="1:34" s="1" customFormat="1" ht="30">
      <c r="A297" s="120">
        <v>296</v>
      </c>
      <c r="B297" s="120" t="b">
        <f t="shared" ca="1" si="4"/>
        <v>0</v>
      </c>
      <c r="C297" s="121">
        <v>45471</v>
      </c>
      <c r="D297" s="137">
        <v>0.58601851851851849</v>
      </c>
      <c r="E297" s="94">
        <v>1005</v>
      </c>
      <c r="F297" s="142">
        <v>1207</v>
      </c>
      <c r="G297" s="91" t="s">
        <v>71</v>
      </c>
      <c r="H297" s="94">
        <v>1008</v>
      </c>
      <c r="I297" s="115"/>
      <c r="J297" s="94" t="s">
        <v>72</v>
      </c>
      <c r="K297" s="91">
        <v>75.84</v>
      </c>
      <c r="L297" s="122" t="str">
        <f>VLOOKUP(K297,Liste!$L$2:$O$34,4,1)</f>
        <v>GSMR_13/14</v>
      </c>
      <c r="M297" s="133" t="s">
        <v>36</v>
      </c>
      <c r="N297" s="180" t="s">
        <v>37</v>
      </c>
      <c r="O297" s="125" t="s">
        <v>695</v>
      </c>
      <c r="P297" s="119"/>
      <c r="Q297" s="94" t="s">
        <v>127</v>
      </c>
      <c r="R297" s="129" t="s">
        <v>692</v>
      </c>
      <c r="S297" s="91" t="s">
        <v>696</v>
      </c>
      <c r="T297" s="94" t="s">
        <v>41</v>
      </c>
      <c r="U297" s="94" t="s">
        <v>97</v>
      </c>
      <c r="V297" s="94" t="s">
        <v>51</v>
      </c>
      <c r="W297" s="124" t="s">
        <v>51</v>
      </c>
      <c r="X297" s="124" t="s">
        <v>52</v>
      </c>
      <c r="Y297" s="124" t="s">
        <v>622</v>
      </c>
      <c r="Z297" s="91"/>
      <c r="AA297" s="91"/>
      <c r="AB297" s="91"/>
      <c r="AC297" s="91"/>
      <c r="AD297" s="91"/>
      <c r="AE297" s="91"/>
      <c r="AF297" s="91"/>
      <c r="AG297" s="91"/>
      <c r="AH297" s="91"/>
    </row>
    <row r="298" spans="1:34" s="1" customFormat="1" ht="30">
      <c r="A298" s="120">
        <v>297</v>
      </c>
      <c r="B298" s="120" t="b">
        <f t="shared" ca="1" si="4"/>
        <v>0</v>
      </c>
      <c r="C298" s="121">
        <v>45471</v>
      </c>
      <c r="D298" s="137">
        <v>0.36813657407407407</v>
      </c>
      <c r="E298" s="94">
        <v>1006</v>
      </c>
      <c r="F298" s="142">
        <v>1207</v>
      </c>
      <c r="G298" s="91" t="s">
        <v>71</v>
      </c>
      <c r="H298" s="94">
        <v>1007</v>
      </c>
      <c r="I298" s="115"/>
      <c r="J298" s="94" t="s">
        <v>72</v>
      </c>
      <c r="K298" s="152">
        <v>7.3209999999999997</v>
      </c>
      <c r="L298" s="122" t="str">
        <f>VLOOKUP(K298,Liste!$L$2:$O$34,4,1)</f>
        <v>GSMR_02/03</v>
      </c>
      <c r="M298" s="133" t="s">
        <v>36</v>
      </c>
      <c r="N298" s="181" t="s">
        <v>58</v>
      </c>
      <c r="O298" s="125" t="s">
        <v>697</v>
      </c>
      <c r="P298" s="119"/>
      <c r="Q298" s="94" t="s">
        <v>39</v>
      </c>
      <c r="R298" s="129" t="s">
        <v>597</v>
      </c>
      <c r="S298" s="91" t="s">
        <v>698</v>
      </c>
      <c r="T298" s="94" t="s">
        <v>56</v>
      </c>
      <c r="U298" s="94" t="s">
        <v>250</v>
      </c>
      <c r="V298" s="94" t="s">
        <v>51</v>
      </c>
      <c r="W298" s="124" t="s">
        <v>51</v>
      </c>
      <c r="X298" s="124" t="s">
        <v>52</v>
      </c>
      <c r="Y298" s="124" t="s">
        <v>622</v>
      </c>
      <c r="Z298" s="91"/>
      <c r="AA298" s="91"/>
      <c r="AB298" s="91"/>
      <c r="AC298" s="91"/>
      <c r="AD298" s="91"/>
      <c r="AE298" s="91"/>
      <c r="AF298" s="91"/>
      <c r="AG298" s="91"/>
      <c r="AH298" s="91"/>
    </row>
    <row r="299" spans="1:34" s="1" customFormat="1" ht="30">
      <c r="A299" s="120">
        <v>298</v>
      </c>
      <c r="B299" s="120" t="b">
        <f t="shared" ca="1" si="4"/>
        <v>0</v>
      </c>
      <c r="C299" s="121">
        <v>45471</v>
      </c>
      <c r="D299" s="137">
        <v>0.32097222222222221</v>
      </c>
      <c r="E299" s="94">
        <v>1025</v>
      </c>
      <c r="F299" s="142">
        <v>1209</v>
      </c>
      <c r="G299" s="91" t="s">
        <v>71</v>
      </c>
      <c r="H299" s="94">
        <v>1033</v>
      </c>
      <c r="I299" s="115"/>
      <c r="J299" s="94" t="s">
        <v>72</v>
      </c>
      <c r="K299" s="152">
        <v>7.3209999999999997</v>
      </c>
      <c r="L299" s="122" t="str">
        <f>VLOOKUP(K299,Liste!$L$2:$O$34,4,1)</f>
        <v>GSMR_02/03</v>
      </c>
      <c r="M299" s="133" t="s">
        <v>36</v>
      </c>
      <c r="N299" s="181" t="s">
        <v>58</v>
      </c>
      <c r="O299" s="125" t="s">
        <v>699</v>
      </c>
      <c r="P299" s="119"/>
      <c r="Q299" s="94" t="s">
        <v>39</v>
      </c>
      <c r="R299" s="129" t="s">
        <v>597</v>
      </c>
      <c r="S299" s="91" t="s">
        <v>700</v>
      </c>
      <c r="T299" s="94" t="s">
        <v>69</v>
      </c>
      <c r="U299" s="94" t="s">
        <v>137</v>
      </c>
      <c r="V299" s="94" t="s">
        <v>51</v>
      </c>
      <c r="W299" s="124" t="s">
        <v>51</v>
      </c>
      <c r="X299" s="124" t="s">
        <v>52</v>
      </c>
      <c r="Y299" s="124" t="s">
        <v>622</v>
      </c>
      <c r="Z299" s="91"/>
      <c r="AA299" s="91"/>
      <c r="AB299" s="91"/>
      <c r="AC299" s="91"/>
      <c r="AD299" s="91"/>
      <c r="AE299" s="91"/>
      <c r="AF299" s="91"/>
      <c r="AG299" s="91"/>
      <c r="AH299" s="91"/>
    </row>
    <row r="300" spans="1:34" s="1" customFormat="1" ht="30">
      <c r="A300" s="120">
        <v>299</v>
      </c>
      <c r="B300" s="120" t="b">
        <f t="shared" ca="1" si="4"/>
        <v>0</v>
      </c>
      <c r="C300" s="121">
        <v>45471</v>
      </c>
      <c r="D300" s="137">
        <v>0.85013888888888889</v>
      </c>
      <c r="E300" s="94">
        <v>1053</v>
      </c>
      <c r="F300" s="142">
        <v>1209</v>
      </c>
      <c r="G300" s="91" t="s">
        <v>71</v>
      </c>
      <c r="H300" s="94">
        <v>1033</v>
      </c>
      <c r="I300" s="115"/>
      <c r="J300" s="94" t="s">
        <v>72</v>
      </c>
      <c r="K300" s="91">
        <v>200.542</v>
      </c>
      <c r="L300" s="122" t="str">
        <f>VLOOKUP(K300,Liste!$L$2:$O$34,4,1)</f>
        <v>GSMR_33/RAC</v>
      </c>
      <c r="M300" s="133" t="s">
        <v>36</v>
      </c>
      <c r="N300" s="181" t="s">
        <v>58</v>
      </c>
      <c r="O300" s="125" t="s">
        <v>701</v>
      </c>
      <c r="P300" s="126"/>
      <c r="Q300" s="94" t="s">
        <v>54</v>
      </c>
      <c r="R300" s="129" t="s">
        <v>597</v>
      </c>
      <c r="S300" s="91" t="s">
        <v>702</v>
      </c>
      <c r="T300" s="94" t="s">
        <v>56</v>
      </c>
      <c r="U300" s="94" t="s">
        <v>97</v>
      </c>
      <c r="V300" s="94" t="s">
        <v>51</v>
      </c>
      <c r="W300" s="124" t="s">
        <v>51</v>
      </c>
      <c r="X300" s="124" t="s">
        <v>52</v>
      </c>
      <c r="Y300" s="124" t="s">
        <v>622</v>
      </c>
      <c r="Z300" s="91"/>
      <c r="AA300" s="91"/>
      <c r="AB300" s="91"/>
      <c r="AC300" s="91"/>
      <c r="AD300" s="91"/>
      <c r="AE300" s="91"/>
      <c r="AF300" s="91"/>
      <c r="AG300" s="91"/>
      <c r="AH300" s="91"/>
    </row>
    <row r="301" spans="1:34" s="1" customFormat="1" ht="30">
      <c r="A301" s="120">
        <v>300</v>
      </c>
      <c r="B301" s="120" t="b">
        <f t="shared" ca="1" si="4"/>
        <v>0</v>
      </c>
      <c r="C301" s="121">
        <v>45472</v>
      </c>
      <c r="D301" s="137">
        <v>0.29690972222222223</v>
      </c>
      <c r="E301" s="94">
        <v>2005</v>
      </c>
      <c r="F301" s="142">
        <v>1202</v>
      </c>
      <c r="G301" s="94" t="s">
        <v>34</v>
      </c>
      <c r="H301" s="94">
        <v>1043</v>
      </c>
      <c r="I301" s="115"/>
      <c r="J301" s="94" t="s">
        <v>35</v>
      </c>
      <c r="K301" s="152">
        <v>9.0299999999999994</v>
      </c>
      <c r="L301" s="122" t="str">
        <f>VLOOKUP(K301,Liste!$L$2:$O$34,4,1)</f>
        <v>GSMR_02/03</v>
      </c>
      <c r="M301" s="133" t="s">
        <v>36</v>
      </c>
      <c r="N301" s="181" t="s">
        <v>58</v>
      </c>
      <c r="O301" s="125" t="s">
        <v>703</v>
      </c>
      <c r="P301" s="119"/>
      <c r="Q301" s="94" t="s">
        <v>39</v>
      </c>
      <c r="R301" s="129" t="s">
        <v>597</v>
      </c>
      <c r="S301" s="91" t="s">
        <v>704</v>
      </c>
      <c r="T301" s="94" t="s">
        <v>69</v>
      </c>
      <c r="U301" s="94" t="s">
        <v>120</v>
      </c>
      <c r="V301" s="94" t="s">
        <v>51</v>
      </c>
      <c r="W301" s="124" t="s">
        <v>51</v>
      </c>
      <c r="X301" s="124" t="s">
        <v>52</v>
      </c>
      <c r="Y301" s="124" t="s">
        <v>622</v>
      </c>
      <c r="Z301" s="91"/>
      <c r="AA301" s="91"/>
      <c r="AB301" s="91"/>
      <c r="AC301" s="91"/>
      <c r="AD301" s="91"/>
      <c r="AE301" s="91"/>
      <c r="AF301" s="91"/>
      <c r="AG301" s="91"/>
      <c r="AH301" s="91"/>
    </row>
    <row r="302" spans="1:34" s="1" customFormat="1" ht="30">
      <c r="A302" s="120">
        <v>301</v>
      </c>
      <c r="B302" s="120" t="b">
        <f t="shared" ca="1" si="4"/>
        <v>0</v>
      </c>
      <c r="C302" s="121">
        <v>45472</v>
      </c>
      <c r="D302" s="137">
        <v>0.33675925925925926</v>
      </c>
      <c r="E302" s="94">
        <v>2009</v>
      </c>
      <c r="F302" s="142">
        <v>1205</v>
      </c>
      <c r="G302" s="94" t="s">
        <v>34</v>
      </c>
      <c r="H302" s="94">
        <v>7218</v>
      </c>
      <c r="I302" s="115"/>
      <c r="J302" s="94" t="s">
        <v>35</v>
      </c>
      <c r="K302" s="152">
        <v>6.13</v>
      </c>
      <c r="L302" s="122" t="str">
        <f>VLOOKUP(K302,Liste!$L$2:$O$34,4,1)</f>
        <v>GSMR_02/03</v>
      </c>
      <c r="M302" s="133" t="s">
        <v>36</v>
      </c>
      <c r="N302" s="181" t="s">
        <v>58</v>
      </c>
      <c r="O302" s="125" t="s">
        <v>705</v>
      </c>
      <c r="P302" s="119"/>
      <c r="Q302" s="94" t="s">
        <v>39</v>
      </c>
      <c r="R302" s="129" t="s">
        <v>597</v>
      </c>
      <c r="S302" s="91" t="s">
        <v>706</v>
      </c>
      <c r="T302" s="94" t="s">
        <v>78</v>
      </c>
      <c r="U302" s="94" t="s">
        <v>230</v>
      </c>
      <c r="V302" s="94" t="s">
        <v>51</v>
      </c>
      <c r="W302" s="124" t="s">
        <v>51</v>
      </c>
      <c r="X302" s="124" t="s">
        <v>52</v>
      </c>
      <c r="Y302" s="124" t="s">
        <v>622</v>
      </c>
      <c r="Z302" s="91"/>
      <c r="AA302" s="91"/>
      <c r="AB302" s="91"/>
      <c r="AC302" s="91"/>
      <c r="AD302" s="91"/>
      <c r="AE302" s="91"/>
      <c r="AF302" s="91"/>
      <c r="AG302" s="91"/>
      <c r="AH302" s="91"/>
    </row>
    <row r="303" spans="1:34" s="1" customFormat="1" ht="30">
      <c r="A303" s="120">
        <v>302</v>
      </c>
      <c r="B303" s="120" t="b">
        <f t="shared" ca="1" si="4"/>
        <v>0</v>
      </c>
      <c r="C303" s="121">
        <v>45472</v>
      </c>
      <c r="D303" s="137">
        <v>0.3995023148148148</v>
      </c>
      <c r="E303" s="94">
        <v>2013</v>
      </c>
      <c r="F303" s="142">
        <v>1208</v>
      </c>
      <c r="G303" s="94" t="s">
        <v>34</v>
      </c>
      <c r="H303" s="94">
        <v>1037</v>
      </c>
      <c r="I303" s="115"/>
      <c r="J303" s="94" t="s">
        <v>35</v>
      </c>
      <c r="K303" s="91">
        <v>145.6</v>
      </c>
      <c r="L303" s="122" t="str">
        <f>VLOOKUP(K303,Liste!$L$2:$O$34,4,1)</f>
        <v>GSMR_25/26</v>
      </c>
      <c r="M303" s="133" t="s">
        <v>36</v>
      </c>
      <c r="N303" s="180" t="s">
        <v>37</v>
      </c>
      <c r="O303" s="125" t="s">
        <v>707</v>
      </c>
      <c r="P303" s="119"/>
      <c r="Q303" s="94" t="s">
        <v>127</v>
      </c>
      <c r="R303" s="129" t="s">
        <v>692</v>
      </c>
      <c r="S303" s="91" t="s">
        <v>708</v>
      </c>
      <c r="T303" s="94" t="s">
        <v>56</v>
      </c>
      <c r="U303" s="94" t="s">
        <v>234</v>
      </c>
      <c r="V303" s="94" t="s">
        <v>43</v>
      </c>
      <c r="W303" s="124" t="s">
        <v>51</v>
      </c>
      <c r="X303" s="124" t="s">
        <v>52</v>
      </c>
      <c r="Y303" s="124" t="s">
        <v>622</v>
      </c>
      <c r="Z303" s="91"/>
      <c r="AA303" s="91"/>
      <c r="AB303" s="91"/>
      <c r="AC303" s="91"/>
      <c r="AD303" s="91"/>
      <c r="AE303" s="91"/>
      <c r="AF303" s="91"/>
      <c r="AG303" s="91"/>
      <c r="AH303" s="91"/>
    </row>
    <row r="304" spans="1:34" s="1" customFormat="1" ht="30">
      <c r="A304" s="120">
        <v>303</v>
      </c>
      <c r="B304" s="120" t="b">
        <f t="shared" ca="1" si="4"/>
        <v>0</v>
      </c>
      <c r="C304" s="121">
        <v>45472</v>
      </c>
      <c r="D304" s="137">
        <v>0.50362268518518516</v>
      </c>
      <c r="E304" s="94">
        <v>2025</v>
      </c>
      <c r="F304" s="142">
        <v>1210</v>
      </c>
      <c r="G304" s="94" t="s">
        <v>34</v>
      </c>
      <c r="H304" s="94">
        <v>1048</v>
      </c>
      <c r="I304" s="115"/>
      <c r="J304" s="94" t="s">
        <v>35</v>
      </c>
      <c r="K304" s="152">
        <v>6.13</v>
      </c>
      <c r="L304" s="122" t="str">
        <f>VLOOKUP(K304,Liste!$L$2:$O$34,4,1)</f>
        <v>GSMR_02/03</v>
      </c>
      <c r="M304" s="133" t="s">
        <v>36</v>
      </c>
      <c r="N304" s="181" t="s">
        <v>58</v>
      </c>
      <c r="O304" s="125" t="s">
        <v>709</v>
      </c>
      <c r="P304" s="119"/>
      <c r="Q304" s="94" t="s">
        <v>39</v>
      </c>
      <c r="R304" s="129" t="s">
        <v>597</v>
      </c>
      <c r="S304" s="91" t="s">
        <v>710</v>
      </c>
      <c r="T304" s="94" t="s">
        <v>56</v>
      </c>
      <c r="U304" s="94" t="s">
        <v>137</v>
      </c>
      <c r="V304" s="94" t="s">
        <v>51</v>
      </c>
      <c r="W304" s="124" t="s">
        <v>51</v>
      </c>
      <c r="X304" s="124" t="s">
        <v>52</v>
      </c>
      <c r="Y304" s="124" t="s">
        <v>622</v>
      </c>
      <c r="Z304" s="91"/>
      <c r="AA304" s="91"/>
      <c r="AB304" s="91"/>
      <c r="AC304" s="91"/>
      <c r="AD304" s="91"/>
      <c r="AE304" s="91"/>
      <c r="AF304" s="91"/>
      <c r="AG304" s="91"/>
      <c r="AH304" s="91"/>
    </row>
    <row r="305" spans="1:34" s="1" customFormat="1" ht="30">
      <c r="A305" s="120">
        <v>304</v>
      </c>
      <c r="B305" s="120" t="b">
        <f t="shared" ca="1" si="4"/>
        <v>0</v>
      </c>
      <c r="C305" s="121">
        <v>45472</v>
      </c>
      <c r="D305" s="137">
        <v>0.62878472222222226</v>
      </c>
      <c r="E305" s="94">
        <v>2037</v>
      </c>
      <c r="F305" s="142">
        <v>1202</v>
      </c>
      <c r="G305" s="94" t="s">
        <v>34</v>
      </c>
      <c r="H305" s="94">
        <v>1043</v>
      </c>
      <c r="I305" s="115"/>
      <c r="J305" s="94" t="s">
        <v>35</v>
      </c>
      <c r="K305" s="152">
        <v>6.13</v>
      </c>
      <c r="L305" s="122" t="str">
        <f>VLOOKUP(K305,Liste!$L$2:$O$34,4,1)</f>
        <v>GSMR_02/03</v>
      </c>
      <c r="M305" s="133" t="s">
        <v>36</v>
      </c>
      <c r="N305" s="180" t="s">
        <v>37</v>
      </c>
      <c r="O305" s="125" t="s">
        <v>711</v>
      </c>
      <c r="P305" s="119"/>
      <c r="Q305" s="94" t="s">
        <v>39</v>
      </c>
      <c r="R305" s="129" t="s">
        <v>597</v>
      </c>
      <c r="S305" s="91" t="s">
        <v>712</v>
      </c>
      <c r="T305" s="94" t="s">
        <v>209</v>
      </c>
      <c r="U305" s="94" t="s">
        <v>57</v>
      </c>
      <c r="V305" s="94" t="s">
        <v>51</v>
      </c>
      <c r="W305" s="124" t="s">
        <v>51</v>
      </c>
      <c r="X305" s="124" t="s">
        <v>52</v>
      </c>
      <c r="Y305" s="124" t="s">
        <v>622</v>
      </c>
      <c r="Z305" s="91"/>
      <c r="AA305" s="91"/>
      <c r="AB305" s="91"/>
      <c r="AC305" s="91"/>
      <c r="AD305" s="91"/>
      <c r="AE305" s="91"/>
      <c r="AF305" s="91"/>
      <c r="AG305" s="91"/>
      <c r="AH305" s="91"/>
    </row>
    <row r="306" spans="1:34" s="1" customFormat="1" ht="30">
      <c r="A306" s="120">
        <v>305</v>
      </c>
      <c r="B306" s="120" t="b">
        <f t="shared" ca="1" si="4"/>
        <v>0</v>
      </c>
      <c r="C306" s="121">
        <v>45472</v>
      </c>
      <c r="D306" s="137">
        <v>0.81864583333333329</v>
      </c>
      <c r="E306" s="94">
        <v>1050</v>
      </c>
      <c r="F306" s="142">
        <v>1202</v>
      </c>
      <c r="G306" s="91" t="s">
        <v>71</v>
      </c>
      <c r="H306" s="94">
        <v>1022</v>
      </c>
      <c r="I306" s="115"/>
      <c r="J306" s="94" t="s">
        <v>72</v>
      </c>
      <c r="K306" s="91">
        <v>134.30000000000001</v>
      </c>
      <c r="L306" s="122" t="str">
        <f>VLOOKUP(K306,Liste!$L$2:$O$34,4,1)</f>
        <v>GSMR_23/24</v>
      </c>
      <c r="M306" s="133" t="s">
        <v>36</v>
      </c>
      <c r="N306" s="180" t="s">
        <v>37</v>
      </c>
      <c r="O306" s="125" t="s">
        <v>713</v>
      </c>
      <c r="P306" s="119"/>
      <c r="Q306" s="94" t="s">
        <v>127</v>
      </c>
      <c r="R306" s="129" t="s">
        <v>692</v>
      </c>
      <c r="S306" s="91" t="s">
        <v>714</v>
      </c>
      <c r="T306" s="94" t="s">
        <v>69</v>
      </c>
      <c r="U306" s="94" t="s">
        <v>197</v>
      </c>
      <c r="V306" s="94" t="s">
        <v>51</v>
      </c>
      <c r="W306" s="124" t="s">
        <v>51</v>
      </c>
      <c r="X306" s="124" t="s">
        <v>52</v>
      </c>
      <c r="Y306" s="124" t="s">
        <v>622</v>
      </c>
      <c r="Z306" s="91"/>
      <c r="AA306" s="91"/>
      <c r="AB306" s="91"/>
      <c r="AC306" s="91"/>
      <c r="AD306" s="91"/>
      <c r="AE306" s="91"/>
      <c r="AF306" s="91"/>
      <c r="AG306" s="91"/>
      <c r="AH306" s="91"/>
    </row>
    <row r="307" spans="1:34" s="1" customFormat="1" ht="30">
      <c r="A307" s="120">
        <v>306</v>
      </c>
      <c r="B307" s="120" t="b">
        <f t="shared" ca="1" si="4"/>
        <v>0</v>
      </c>
      <c r="C307" s="121">
        <v>45472</v>
      </c>
      <c r="D307" s="137">
        <v>0.84083333333333332</v>
      </c>
      <c r="E307" s="94">
        <v>2057</v>
      </c>
      <c r="F307" s="142">
        <v>1205</v>
      </c>
      <c r="G307" s="94" t="s">
        <v>34</v>
      </c>
      <c r="H307" s="94">
        <v>7217</v>
      </c>
      <c r="I307" s="115"/>
      <c r="J307" s="94" t="s">
        <v>35</v>
      </c>
      <c r="K307" s="91">
        <v>11.23</v>
      </c>
      <c r="L307" s="122" t="str">
        <f>VLOOKUP(K307,Liste!$L$2:$O$34,4,1)</f>
        <v>GSMR_03/04</v>
      </c>
      <c r="M307" s="133" t="s">
        <v>36</v>
      </c>
      <c r="N307" s="180" t="s">
        <v>37</v>
      </c>
      <c r="O307" s="125" t="s">
        <v>715</v>
      </c>
      <c r="P307" s="119"/>
      <c r="Q307" s="94" t="s">
        <v>127</v>
      </c>
      <c r="R307" s="129" t="s">
        <v>692</v>
      </c>
      <c r="S307" s="91" t="s">
        <v>716</v>
      </c>
      <c r="T307" s="94" t="s">
        <v>69</v>
      </c>
      <c r="U307" s="94" t="s">
        <v>137</v>
      </c>
      <c r="V307" s="94" t="s">
        <v>51</v>
      </c>
      <c r="W307" s="124" t="s">
        <v>51</v>
      </c>
      <c r="X307" s="124" t="s">
        <v>52</v>
      </c>
      <c r="Y307" s="124" t="s">
        <v>622</v>
      </c>
      <c r="Z307" s="91"/>
      <c r="AA307" s="91"/>
      <c r="AB307" s="91"/>
      <c r="AC307" s="91"/>
      <c r="AD307" s="91"/>
      <c r="AE307" s="91"/>
      <c r="AF307" s="91"/>
      <c r="AG307" s="91"/>
      <c r="AH307" s="91"/>
    </row>
    <row r="308" spans="1:34" s="1" customFormat="1" ht="30">
      <c r="A308" s="120">
        <v>307</v>
      </c>
      <c r="B308" s="120" t="b">
        <f t="shared" ca="1" si="4"/>
        <v>0</v>
      </c>
      <c r="C308" s="121">
        <v>45472</v>
      </c>
      <c r="D308" s="137">
        <v>0.89922453703703709</v>
      </c>
      <c r="E308" s="94">
        <v>2061</v>
      </c>
      <c r="F308" s="142">
        <v>1202</v>
      </c>
      <c r="G308" s="94" t="s">
        <v>34</v>
      </c>
      <c r="H308" s="94">
        <v>1042</v>
      </c>
      <c r="I308" s="115"/>
      <c r="J308" s="94" t="s">
        <v>35</v>
      </c>
      <c r="K308" s="91">
        <v>134.30000000000001</v>
      </c>
      <c r="L308" s="122" t="str">
        <f>VLOOKUP(K308,Liste!$L$2:$O$34,4,1)</f>
        <v>GSMR_23/24</v>
      </c>
      <c r="M308" s="133" t="s">
        <v>36</v>
      </c>
      <c r="N308" s="180" t="s">
        <v>37</v>
      </c>
      <c r="O308" s="125" t="s">
        <v>717</v>
      </c>
      <c r="P308" s="119"/>
      <c r="Q308" s="94" t="s">
        <v>127</v>
      </c>
      <c r="R308" s="129" t="s">
        <v>692</v>
      </c>
      <c r="S308" s="91" t="s">
        <v>718</v>
      </c>
      <c r="T308" s="94" t="s">
        <v>69</v>
      </c>
      <c r="U308" s="94" t="s">
        <v>166</v>
      </c>
      <c r="V308" s="94" t="s">
        <v>51</v>
      </c>
      <c r="W308" s="124" t="s">
        <v>51</v>
      </c>
      <c r="X308" s="124" t="s">
        <v>52</v>
      </c>
      <c r="Y308" s="124" t="s">
        <v>622</v>
      </c>
      <c r="Z308" s="91"/>
      <c r="AA308" s="91"/>
      <c r="AB308" s="91"/>
      <c r="AC308" s="91"/>
      <c r="AD308" s="91"/>
      <c r="AE308" s="91"/>
      <c r="AF308" s="91"/>
      <c r="AG308" s="91"/>
      <c r="AH308" s="91"/>
    </row>
    <row r="309" spans="1:34" s="1" customFormat="1" ht="30">
      <c r="A309" s="120">
        <v>308</v>
      </c>
      <c r="B309" s="120" t="b">
        <f t="shared" ca="1" si="4"/>
        <v>0</v>
      </c>
      <c r="C309" s="121">
        <v>45473</v>
      </c>
      <c r="D309" s="137">
        <v>0.3424652777777778</v>
      </c>
      <c r="E309" s="94">
        <v>2009</v>
      </c>
      <c r="F309" s="142">
        <v>1207</v>
      </c>
      <c r="G309" s="94" t="s">
        <v>34</v>
      </c>
      <c r="H309" s="94">
        <v>1047</v>
      </c>
      <c r="I309" s="115"/>
      <c r="J309" s="94" t="s">
        <v>35</v>
      </c>
      <c r="K309" s="91">
        <v>33.960999999999999</v>
      </c>
      <c r="L309" s="122" t="str">
        <f>VLOOKUP(K309,Liste!$L$2:$O$34,4,1)</f>
        <v>GSMR_06/07</v>
      </c>
      <c r="M309" s="133" t="s">
        <v>36</v>
      </c>
      <c r="N309" s="180" t="s">
        <v>37</v>
      </c>
      <c r="O309" s="125" t="s">
        <v>719</v>
      </c>
      <c r="P309" s="119"/>
      <c r="Q309" s="94" t="s">
        <v>127</v>
      </c>
      <c r="R309" s="129" t="s">
        <v>692</v>
      </c>
      <c r="S309" s="91" t="s">
        <v>720</v>
      </c>
      <c r="T309" s="94" t="s">
        <v>78</v>
      </c>
      <c r="U309" s="94" t="s">
        <v>166</v>
      </c>
      <c r="V309" s="94" t="s">
        <v>51</v>
      </c>
      <c r="W309" s="124" t="s">
        <v>51</v>
      </c>
      <c r="X309" s="124" t="s">
        <v>52</v>
      </c>
      <c r="Y309" s="124" t="s">
        <v>721</v>
      </c>
      <c r="Z309" s="91"/>
      <c r="AA309" s="91"/>
      <c r="AB309" s="91"/>
      <c r="AC309" s="91"/>
      <c r="AD309" s="91"/>
      <c r="AE309" s="91"/>
      <c r="AF309" s="91"/>
      <c r="AG309" s="91"/>
      <c r="AH309" s="91"/>
    </row>
    <row r="310" spans="1:34" s="1" customFormat="1" ht="30">
      <c r="A310" s="120">
        <v>309</v>
      </c>
      <c r="B310" s="120" t="b">
        <f t="shared" ca="1" si="4"/>
        <v>0</v>
      </c>
      <c r="C310" s="121">
        <v>45473</v>
      </c>
      <c r="D310" s="137">
        <v>0.39422453703703703</v>
      </c>
      <c r="E310" s="94">
        <v>2013</v>
      </c>
      <c r="F310" s="142">
        <v>1210</v>
      </c>
      <c r="G310" s="94" t="s">
        <v>34</v>
      </c>
      <c r="H310" s="94">
        <v>1048</v>
      </c>
      <c r="I310" s="115"/>
      <c r="J310" s="94" t="s">
        <v>35</v>
      </c>
      <c r="K310" s="91">
        <v>113.321</v>
      </c>
      <c r="L310" s="122" t="str">
        <f>VLOOKUP(K310,Liste!$L$2:$O$34,4,1)</f>
        <v>GSMR_20/21</v>
      </c>
      <c r="M310" s="133" t="s">
        <v>36</v>
      </c>
      <c r="N310" s="180" t="s">
        <v>37</v>
      </c>
      <c r="O310" s="125" t="s">
        <v>722</v>
      </c>
      <c r="P310" s="126"/>
      <c r="Q310" s="124" t="s">
        <v>47</v>
      </c>
      <c r="R310" s="129" t="s">
        <v>723</v>
      </c>
      <c r="S310" s="91" t="s">
        <v>724</v>
      </c>
      <c r="T310" s="94" t="s">
        <v>93</v>
      </c>
      <c r="U310" s="94" t="s">
        <v>250</v>
      </c>
      <c r="V310" s="94" t="s">
        <v>51</v>
      </c>
      <c r="W310" s="124" t="s">
        <v>51</v>
      </c>
      <c r="X310" s="124" t="s">
        <v>52</v>
      </c>
      <c r="Y310" s="124" t="s">
        <v>622</v>
      </c>
      <c r="Z310" s="91"/>
      <c r="AA310" s="91"/>
      <c r="AB310" s="91"/>
      <c r="AC310" s="91"/>
      <c r="AD310" s="91"/>
      <c r="AE310" s="91"/>
      <c r="AF310" s="91"/>
      <c r="AG310" s="91"/>
      <c r="AH310" s="91"/>
    </row>
    <row r="311" spans="1:34" s="1" customFormat="1" ht="30">
      <c r="A311" s="120">
        <v>310</v>
      </c>
      <c r="B311" s="120" t="b">
        <f t="shared" ca="1" si="4"/>
        <v>0</v>
      </c>
      <c r="C311" s="121">
        <v>45473</v>
      </c>
      <c r="D311" s="137">
        <v>0.54464120370370372</v>
      </c>
      <c r="E311" s="94">
        <v>1021</v>
      </c>
      <c r="F311" s="142">
        <v>1207</v>
      </c>
      <c r="G311" s="91" t="s">
        <v>71</v>
      </c>
      <c r="H311" s="94">
        <v>1007</v>
      </c>
      <c r="I311" s="115"/>
      <c r="J311" s="94" t="s">
        <v>72</v>
      </c>
      <c r="K311" s="152">
        <v>7.3209999999999997</v>
      </c>
      <c r="L311" s="122" t="str">
        <f>VLOOKUP(K311,Liste!$L$2:$O$34,4,1)</f>
        <v>GSMR_02/03</v>
      </c>
      <c r="M311" s="133" t="s">
        <v>36</v>
      </c>
      <c r="N311" s="181" t="s">
        <v>58</v>
      </c>
      <c r="O311" s="125" t="s">
        <v>725</v>
      </c>
      <c r="P311" s="119"/>
      <c r="Q311" s="94" t="s">
        <v>39</v>
      </c>
      <c r="R311" s="129" t="s">
        <v>597</v>
      </c>
      <c r="S311" s="91" t="s">
        <v>726</v>
      </c>
      <c r="T311" s="94" t="s">
        <v>56</v>
      </c>
      <c r="U311" s="94" t="s">
        <v>75</v>
      </c>
      <c r="V311" s="94" t="s">
        <v>51</v>
      </c>
      <c r="W311" s="124" t="s">
        <v>51</v>
      </c>
      <c r="X311" s="124" t="s">
        <v>52</v>
      </c>
      <c r="Y311" s="124" t="s">
        <v>727</v>
      </c>
      <c r="Z311" s="91"/>
      <c r="AA311" s="91"/>
      <c r="AB311" s="91"/>
      <c r="AC311" s="91"/>
      <c r="AD311" s="91"/>
      <c r="AE311" s="91"/>
      <c r="AF311" s="91"/>
      <c r="AG311" s="91"/>
      <c r="AH311" s="91"/>
    </row>
    <row r="312" spans="1:34" s="1" customFormat="1" ht="30">
      <c r="A312" s="120">
        <v>311</v>
      </c>
      <c r="B312" s="120" t="b">
        <f t="shared" ca="1" si="4"/>
        <v>0</v>
      </c>
      <c r="C312" s="121">
        <v>45473</v>
      </c>
      <c r="D312" s="137">
        <v>0.71277777777777773</v>
      </c>
      <c r="E312" s="94">
        <v>1038</v>
      </c>
      <c r="F312" s="142">
        <v>1202</v>
      </c>
      <c r="G312" s="91" t="s">
        <v>71</v>
      </c>
      <c r="H312" s="94">
        <v>1022</v>
      </c>
      <c r="I312" s="115"/>
      <c r="J312" s="94" t="s">
        <v>72</v>
      </c>
      <c r="K312" s="152">
        <v>7.3209999999999997</v>
      </c>
      <c r="L312" s="122" t="str">
        <f>VLOOKUP(K312,Liste!$L$2:$O$34,4,1)</f>
        <v>GSMR_02/03</v>
      </c>
      <c r="M312" s="133" t="s">
        <v>36</v>
      </c>
      <c r="N312" s="180" t="s">
        <v>37</v>
      </c>
      <c r="O312" s="125" t="s">
        <v>728</v>
      </c>
      <c r="P312" s="119"/>
      <c r="Q312" s="94" t="s">
        <v>39</v>
      </c>
      <c r="R312" s="129" t="s">
        <v>597</v>
      </c>
      <c r="S312" s="91" t="s">
        <v>726</v>
      </c>
      <c r="T312" s="94" t="s">
        <v>56</v>
      </c>
      <c r="U312" s="94" t="s">
        <v>90</v>
      </c>
      <c r="V312" s="94" t="s">
        <v>51</v>
      </c>
      <c r="W312" s="124" t="s">
        <v>51</v>
      </c>
      <c r="X312" s="124" t="s">
        <v>52</v>
      </c>
      <c r="Y312" s="124" t="s">
        <v>622</v>
      </c>
      <c r="Z312" s="91"/>
      <c r="AA312" s="91"/>
      <c r="AB312" s="91"/>
      <c r="AC312" s="91"/>
      <c r="AD312" s="91"/>
      <c r="AE312" s="91"/>
      <c r="AF312" s="91"/>
      <c r="AG312" s="91"/>
      <c r="AH312" s="91"/>
    </row>
    <row r="313" spans="1:34" s="1" customFormat="1" ht="30">
      <c r="A313" s="120">
        <v>312</v>
      </c>
      <c r="B313" s="120" t="b">
        <f t="shared" ca="1" si="4"/>
        <v>0</v>
      </c>
      <c r="C313" s="121">
        <v>45473</v>
      </c>
      <c r="D313" s="137">
        <v>0.73890046296296297</v>
      </c>
      <c r="E313" s="94">
        <v>2045</v>
      </c>
      <c r="F313" s="142">
        <v>1205</v>
      </c>
      <c r="G313" s="94" t="s">
        <v>34</v>
      </c>
      <c r="H313" s="94">
        <v>7217</v>
      </c>
      <c r="I313" s="115"/>
      <c r="J313" s="94" t="s">
        <v>35</v>
      </c>
      <c r="K313" s="91">
        <v>182.92500000000001</v>
      </c>
      <c r="L313" s="122" t="str">
        <f>VLOOKUP(K313,Liste!$L$2:$O$34,4,1)</f>
        <v>GSMR_31/32</v>
      </c>
      <c r="M313" s="133" t="s">
        <v>36</v>
      </c>
      <c r="N313" s="180" t="s">
        <v>37</v>
      </c>
      <c r="O313" s="125" t="s">
        <v>729</v>
      </c>
      <c r="P313" s="119"/>
      <c r="Q313" s="94" t="s">
        <v>39</v>
      </c>
      <c r="R313" s="129" t="s">
        <v>597</v>
      </c>
      <c r="S313" s="91" t="s">
        <v>730</v>
      </c>
      <c r="T313" s="94" t="s">
        <v>69</v>
      </c>
      <c r="U313" s="94" t="s">
        <v>120</v>
      </c>
      <c r="V313" s="94" t="s">
        <v>51</v>
      </c>
      <c r="W313" s="124" t="s">
        <v>51</v>
      </c>
      <c r="X313" s="124" t="s">
        <v>52</v>
      </c>
      <c r="Y313" s="124" t="s">
        <v>622</v>
      </c>
      <c r="Z313" s="91"/>
      <c r="AA313" s="91"/>
      <c r="AB313" s="91"/>
      <c r="AC313" s="91"/>
      <c r="AD313" s="91"/>
      <c r="AE313" s="91"/>
      <c r="AF313" s="91"/>
      <c r="AG313" s="91"/>
      <c r="AH313" s="91"/>
    </row>
    <row r="314" spans="1:34" s="1" customFormat="1" ht="30">
      <c r="A314" s="120">
        <v>313</v>
      </c>
      <c r="B314" s="120" t="b">
        <f t="shared" ca="1" si="4"/>
        <v>0</v>
      </c>
      <c r="C314" s="121">
        <v>45473</v>
      </c>
      <c r="D314" s="137">
        <v>0.75311342592592589</v>
      </c>
      <c r="E314" s="94">
        <v>1042</v>
      </c>
      <c r="F314" s="142">
        <v>1209</v>
      </c>
      <c r="G314" s="91" t="s">
        <v>71</v>
      </c>
      <c r="H314" s="94">
        <v>1032</v>
      </c>
      <c r="I314" s="115"/>
      <c r="J314" s="94" t="s">
        <v>72</v>
      </c>
      <c r="K314" s="152">
        <v>7.3209999999999997</v>
      </c>
      <c r="L314" s="122" t="str">
        <f>VLOOKUP(K314,Liste!$L$2:$O$34,4,1)</f>
        <v>GSMR_02/03</v>
      </c>
      <c r="M314" s="133" t="s">
        <v>36</v>
      </c>
      <c r="N314" s="180" t="s">
        <v>37</v>
      </c>
      <c r="O314" s="125" t="s">
        <v>731</v>
      </c>
      <c r="P314" s="119"/>
      <c r="Q314" s="94" t="s">
        <v>39</v>
      </c>
      <c r="R314" s="129" t="s">
        <v>597</v>
      </c>
      <c r="S314" s="91" t="s">
        <v>726</v>
      </c>
      <c r="T314" s="94" t="s">
        <v>41</v>
      </c>
      <c r="U314" s="94" t="s">
        <v>42</v>
      </c>
      <c r="V314" s="94" t="s">
        <v>51</v>
      </c>
      <c r="W314" s="124" t="s">
        <v>51</v>
      </c>
      <c r="X314" s="124" t="s">
        <v>52</v>
      </c>
      <c r="Y314" s="124" t="s">
        <v>727</v>
      </c>
      <c r="Z314" s="91"/>
      <c r="AA314" s="91"/>
      <c r="AB314" s="91"/>
      <c r="AC314" s="91"/>
      <c r="AD314" s="91"/>
      <c r="AE314" s="91"/>
      <c r="AF314" s="91"/>
      <c r="AG314" s="91"/>
      <c r="AH314" s="91"/>
    </row>
    <row r="315" spans="1:34" s="1" customFormat="1" ht="30">
      <c r="A315" s="120">
        <v>314</v>
      </c>
      <c r="B315" s="120" t="b">
        <f t="shared" ca="1" si="4"/>
        <v>0</v>
      </c>
      <c r="C315" s="121">
        <v>45473</v>
      </c>
      <c r="D315" s="137">
        <v>0.90252314814814816</v>
      </c>
      <c r="E315" s="94">
        <v>2061</v>
      </c>
      <c r="F315" s="142">
        <v>1211</v>
      </c>
      <c r="G315" s="94" t="s">
        <v>34</v>
      </c>
      <c r="H315" s="94">
        <v>1029</v>
      </c>
      <c r="I315" s="115"/>
      <c r="J315" s="94" t="s">
        <v>35</v>
      </c>
      <c r="K315" s="91">
        <v>162.89500000000001</v>
      </c>
      <c r="L315" s="122" t="str">
        <f>VLOOKUP(K315,Liste!$L$2:$O$34,4,1)</f>
        <v>GSMR_27/28</v>
      </c>
      <c r="M315" s="133" t="s">
        <v>36</v>
      </c>
      <c r="N315" s="180" t="s">
        <v>37</v>
      </c>
      <c r="O315" s="125" t="s">
        <v>732</v>
      </c>
      <c r="P315" s="119"/>
      <c r="Q315" s="94" t="s">
        <v>127</v>
      </c>
      <c r="R315" s="129" t="s">
        <v>692</v>
      </c>
      <c r="S315" s="91" t="s">
        <v>733</v>
      </c>
      <c r="T315" s="94" t="s">
        <v>69</v>
      </c>
      <c r="U315" s="94" t="s">
        <v>120</v>
      </c>
      <c r="V315" s="94" t="s">
        <v>51</v>
      </c>
      <c r="W315" s="124" t="s">
        <v>51</v>
      </c>
      <c r="X315" s="124" t="s">
        <v>52</v>
      </c>
      <c r="Y315" s="124" t="s">
        <v>622</v>
      </c>
      <c r="Z315" s="91"/>
      <c r="AA315" s="91"/>
      <c r="AB315" s="91"/>
      <c r="AC315" s="91"/>
      <c r="AD315" s="91"/>
      <c r="AE315" s="91"/>
      <c r="AF315" s="91"/>
      <c r="AG315" s="91"/>
      <c r="AH315" s="91"/>
    </row>
    <row r="316" spans="1:34" s="1" customFormat="1" ht="30">
      <c r="A316" s="120">
        <v>315</v>
      </c>
      <c r="B316" s="120" t="b">
        <f t="shared" ca="1" si="4"/>
        <v>0</v>
      </c>
      <c r="C316" s="121">
        <v>45474</v>
      </c>
      <c r="D316" s="137">
        <v>0.58701388888888884</v>
      </c>
      <c r="E316" s="94">
        <v>2025</v>
      </c>
      <c r="F316" s="142">
        <v>1202</v>
      </c>
      <c r="G316" s="94" t="s">
        <v>71</v>
      </c>
      <c r="H316" s="94">
        <v>1022</v>
      </c>
      <c r="I316" s="115"/>
      <c r="J316" s="94" t="s">
        <v>72</v>
      </c>
      <c r="K316" s="152">
        <v>7.3209999999999997</v>
      </c>
      <c r="L316" s="122" t="str">
        <f>VLOOKUP(K316,Liste!$L$2:$O$34,4,1)</f>
        <v>GSMR_02/03</v>
      </c>
      <c r="M316" s="133" t="s">
        <v>36</v>
      </c>
      <c r="N316" s="180" t="s">
        <v>37</v>
      </c>
      <c r="O316" s="125" t="s">
        <v>734</v>
      </c>
      <c r="P316" s="119"/>
      <c r="Q316" s="94" t="s">
        <v>39</v>
      </c>
      <c r="R316" s="129" t="s">
        <v>597</v>
      </c>
      <c r="S316" s="91" t="s">
        <v>726</v>
      </c>
      <c r="T316" s="94" t="s">
        <v>56</v>
      </c>
      <c r="U316" s="94" t="s">
        <v>125</v>
      </c>
      <c r="V316" s="94" t="s">
        <v>51</v>
      </c>
      <c r="W316" s="124" t="s">
        <v>51</v>
      </c>
      <c r="X316" s="124" t="s">
        <v>52</v>
      </c>
      <c r="Y316" s="124" t="s">
        <v>721</v>
      </c>
      <c r="Z316" s="91"/>
      <c r="AA316" s="91"/>
      <c r="AB316" s="91"/>
      <c r="AC316" s="91"/>
      <c r="AD316" s="91"/>
      <c r="AE316" s="91"/>
      <c r="AF316" s="91"/>
      <c r="AG316" s="91"/>
      <c r="AH316" s="91"/>
    </row>
    <row r="317" spans="1:34" s="1" customFormat="1" ht="30">
      <c r="A317" s="120">
        <v>316</v>
      </c>
      <c r="B317" s="120" t="b">
        <f t="shared" ca="1" si="4"/>
        <v>0</v>
      </c>
      <c r="C317" s="121">
        <v>45474</v>
      </c>
      <c r="D317" s="137">
        <v>0.71207175925925925</v>
      </c>
      <c r="E317" s="94">
        <v>2045</v>
      </c>
      <c r="F317" s="142">
        <v>1211</v>
      </c>
      <c r="G317" s="94" t="s">
        <v>34</v>
      </c>
      <c r="H317" s="94">
        <v>1028</v>
      </c>
      <c r="I317" s="115"/>
      <c r="J317" s="94" t="s">
        <v>35</v>
      </c>
      <c r="K317" s="152">
        <v>6.13</v>
      </c>
      <c r="L317" s="122" t="str">
        <f>VLOOKUP(K317,Liste!$L$2:$O$34,4,1)</f>
        <v>GSMR_02/03</v>
      </c>
      <c r="M317" s="133" t="s">
        <v>36</v>
      </c>
      <c r="N317" s="180" t="s">
        <v>37</v>
      </c>
      <c r="O317" s="125" t="s">
        <v>735</v>
      </c>
      <c r="P317" s="119"/>
      <c r="Q317" s="94" t="s">
        <v>39</v>
      </c>
      <c r="R317" s="129" t="s">
        <v>597</v>
      </c>
      <c r="S317" s="91" t="s">
        <v>736</v>
      </c>
      <c r="T317" s="94" t="s">
        <v>41</v>
      </c>
      <c r="U317" s="94" t="s">
        <v>387</v>
      </c>
      <c r="V317" s="94" t="s">
        <v>51</v>
      </c>
      <c r="W317" s="124" t="s">
        <v>51</v>
      </c>
      <c r="X317" s="124" t="s">
        <v>52</v>
      </c>
      <c r="Y317" s="124" t="s">
        <v>721</v>
      </c>
      <c r="Z317" s="91"/>
      <c r="AA317" s="91"/>
      <c r="AB317" s="91"/>
      <c r="AC317" s="91"/>
      <c r="AD317" s="91"/>
      <c r="AE317" s="91"/>
      <c r="AF317" s="91"/>
      <c r="AG317" s="91"/>
      <c r="AH317" s="91"/>
    </row>
    <row r="318" spans="1:34" s="1" customFormat="1" ht="30">
      <c r="A318" s="120">
        <v>317</v>
      </c>
      <c r="B318" s="120" t="b">
        <f t="shared" ca="1" si="4"/>
        <v>0</v>
      </c>
      <c r="C318" s="121">
        <v>45474</v>
      </c>
      <c r="D318" s="137">
        <v>0.79098379629629634</v>
      </c>
      <c r="E318" s="94">
        <v>1045</v>
      </c>
      <c r="F318" s="142">
        <v>1209</v>
      </c>
      <c r="G318" s="94" t="s">
        <v>71</v>
      </c>
      <c r="H318" s="94">
        <v>1033</v>
      </c>
      <c r="I318" s="115"/>
      <c r="J318" s="94" t="s">
        <v>72</v>
      </c>
      <c r="K318" s="91">
        <v>36.558</v>
      </c>
      <c r="L318" s="122" t="str">
        <f>VLOOKUP(K318,Liste!$L$2:$O$34,4,1)</f>
        <v>GSMR_07/08</v>
      </c>
      <c r="M318" s="133" t="s">
        <v>36</v>
      </c>
      <c r="N318" s="181" t="s">
        <v>58</v>
      </c>
      <c r="O318" s="125" t="s">
        <v>737</v>
      </c>
      <c r="P318" s="119"/>
      <c r="Q318" s="94" t="s">
        <v>39</v>
      </c>
      <c r="R318" s="129" t="s">
        <v>597</v>
      </c>
      <c r="S318" s="91" t="s">
        <v>738</v>
      </c>
      <c r="T318" s="94" t="s">
        <v>41</v>
      </c>
      <c r="U318" s="94" t="s">
        <v>102</v>
      </c>
      <c r="V318" s="94" t="s">
        <v>51</v>
      </c>
      <c r="W318" s="124" t="s">
        <v>51</v>
      </c>
      <c r="X318" s="124" t="s">
        <v>52</v>
      </c>
      <c r="Y318" s="124" t="s">
        <v>721</v>
      </c>
      <c r="Z318" s="91"/>
      <c r="AA318" s="91"/>
      <c r="AB318" s="91"/>
      <c r="AC318" s="91"/>
      <c r="AD318" s="91"/>
      <c r="AE318" s="91"/>
      <c r="AF318" s="91"/>
      <c r="AG318" s="91"/>
      <c r="AH318" s="91"/>
    </row>
    <row r="319" spans="1:34" s="1" customFormat="1" ht="30">
      <c r="A319" s="120">
        <v>318</v>
      </c>
      <c r="B319" s="120" t="b">
        <f t="shared" ca="1" si="4"/>
        <v>0</v>
      </c>
      <c r="C319" s="121">
        <v>45474</v>
      </c>
      <c r="D319" s="137">
        <v>0.83673611111111112</v>
      </c>
      <c r="E319" s="94">
        <v>2057</v>
      </c>
      <c r="F319" s="142">
        <v>1209</v>
      </c>
      <c r="G319" s="94" t="s">
        <v>34</v>
      </c>
      <c r="H319" s="94">
        <v>7208</v>
      </c>
      <c r="I319" s="115"/>
      <c r="J319" s="94" t="s">
        <v>35</v>
      </c>
      <c r="K319" s="152">
        <v>6.13</v>
      </c>
      <c r="L319" s="122" t="str">
        <f>VLOOKUP(K319,Liste!$L$2:$O$34,4,1)</f>
        <v>GSMR_02/03</v>
      </c>
      <c r="M319" s="133" t="s">
        <v>36</v>
      </c>
      <c r="N319" s="181" t="s">
        <v>58</v>
      </c>
      <c r="O319" s="125" t="s">
        <v>739</v>
      </c>
      <c r="P319" s="119"/>
      <c r="Q319" s="94" t="s">
        <v>39</v>
      </c>
      <c r="R319" s="129" t="s">
        <v>597</v>
      </c>
      <c r="S319" s="91" t="s">
        <v>736</v>
      </c>
      <c r="T319" s="94" t="s">
        <v>56</v>
      </c>
      <c r="U319" s="94" t="s">
        <v>183</v>
      </c>
      <c r="V319" s="94" t="s">
        <v>51</v>
      </c>
      <c r="W319" s="124" t="s">
        <v>51</v>
      </c>
      <c r="X319" s="124" t="s">
        <v>52</v>
      </c>
      <c r="Y319" s="124" t="s">
        <v>622</v>
      </c>
      <c r="Z319" s="91"/>
      <c r="AA319" s="91"/>
      <c r="AB319" s="91"/>
      <c r="AC319" s="91"/>
      <c r="AD319" s="91"/>
      <c r="AE319" s="91"/>
      <c r="AF319" s="91"/>
      <c r="AG319" s="91"/>
      <c r="AH319" s="91"/>
    </row>
    <row r="320" spans="1:34" s="1" customFormat="1" ht="30">
      <c r="A320" s="120">
        <v>319</v>
      </c>
      <c r="B320" s="120" t="b">
        <f t="shared" ca="1" si="4"/>
        <v>0</v>
      </c>
      <c r="C320" s="121">
        <v>45474</v>
      </c>
      <c r="D320" s="137">
        <v>0.84208333333333329</v>
      </c>
      <c r="E320" s="94">
        <v>2057</v>
      </c>
      <c r="F320" s="142">
        <v>1209</v>
      </c>
      <c r="G320" s="94" t="s">
        <v>34</v>
      </c>
      <c r="H320" s="94">
        <v>1058</v>
      </c>
      <c r="I320" s="115"/>
      <c r="J320" s="94" t="s">
        <v>35</v>
      </c>
      <c r="K320" s="91">
        <v>21.55</v>
      </c>
      <c r="L320" s="122" t="str">
        <f>VLOOKUP(K320,Liste!$L$2:$O$34,4,1)</f>
        <v>GSMR_04/05</v>
      </c>
      <c r="M320" s="133" t="s">
        <v>36</v>
      </c>
      <c r="N320" s="181" t="s">
        <v>58</v>
      </c>
      <c r="O320" s="125" t="s">
        <v>740</v>
      </c>
      <c r="P320" s="119"/>
      <c r="Q320" s="94" t="s">
        <v>127</v>
      </c>
      <c r="R320" s="182" t="s">
        <v>741</v>
      </c>
      <c r="S320" s="91" t="s">
        <v>742</v>
      </c>
      <c r="T320" s="94" t="s">
        <v>69</v>
      </c>
      <c r="U320" s="94" t="s">
        <v>85</v>
      </c>
      <c r="V320" s="94" t="s">
        <v>51</v>
      </c>
      <c r="W320" s="124" t="s">
        <v>51</v>
      </c>
      <c r="X320" s="124" t="s">
        <v>52</v>
      </c>
      <c r="Y320" s="124" t="s">
        <v>622</v>
      </c>
      <c r="Z320" s="91"/>
      <c r="AA320" s="91"/>
      <c r="AB320" s="91"/>
      <c r="AC320" s="91"/>
      <c r="AD320" s="91"/>
      <c r="AE320" s="91"/>
      <c r="AF320" s="91"/>
      <c r="AG320" s="91"/>
      <c r="AH320" s="91"/>
    </row>
    <row r="321" spans="1:34" s="1" customFormat="1" ht="30">
      <c r="A321" s="120">
        <v>320</v>
      </c>
      <c r="B321" s="120" t="b">
        <f t="shared" ca="1" si="4"/>
        <v>0</v>
      </c>
      <c r="C321" s="121">
        <v>45475</v>
      </c>
      <c r="D321" s="137">
        <v>0.38093749999999998</v>
      </c>
      <c r="E321" s="94">
        <v>2013</v>
      </c>
      <c r="F321" s="142">
        <v>1206</v>
      </c>
      <c r="G321" s="94" t="s">
        <v>34</v>
      </c>
      <c r="H321" s="94">
        <v>1055</v>
      </c>
      <c r="I321" s="115"/>
      <c r="J321" s="94" t="s">
        <v>35</v>
      </c>
      <c r="K321" s="91">
        <v>13.712999999999999</v>
      </c>
      <c r="L321" s="122" t="str">
        <f>VLOOKUP(K321,Liste!$L$2:$O$34,4,1)</f>
        <v>GSMR_03/04</v>
      </c>
      <c r="M321" s="133" t="s">
        <v>36</v>
      </c>
      <c r="N321" s="181" t="s">
        <v>58</v>
      </c>
      <c r="O321" s="125" t="s">
        <v>743</v>
      </c>
      <c r="P321" s="119"/>
      <c r="Q321" s="94" t="s">
        <v>127</v>
      </c>
      <c r="R321" s="129" t="s">
        <v>692</v>
      </c>
      <c r="S321" s="91" t="s">
        <v>744</v>
      </c>
      <c r="T321" s="94" t="s">
        <v>101</v>
      </c>
      <c r="U321" s="94" t="s">
        <v>125</v>
      </c>
      <c r="V321" s="94" t="s">
        <v>51</v>
      </c>
      <c r="W321" s="124" t="s">
        <v>51</v>
      </c>
      <c r="X321" s="124" t="s">
        <v>400</v>
      </c>
      <c r="Y321" s="124" t="s">
        <v>622</v>
      </c>
      <c r="Z321" s="91"/>
      <c r="AA321" s="91" t="s">
        <v>745</v>
      </c>
      <c r="AB321" s="91"/>
      <c r="AC321" s="91"/>
      <c r="AD321" s="91"/>
      <c r="AE321" s="91"/>
      <c r="AF321" s="91"/>
      <c r="AG321" s="91"/>
      <c r="AH321" s="91"/>
    </row>
    <row r="322" spans="1:34" s="1" customFormat="1" ht="30">
      <c r="A322" s="120">
        <v>321</v>
      </c>
      <c r="B322" s="120" t="b">
        <f t="shared" ref="B322:B385" ca="1" si="5">AND(C322&gt;=TODAY()-7, C322&lt;=TODAY()-1)</f>
        <v>0</v>
      </c>
      <c r="C322" s="121">
        <v>45475</v>
      </c>
      <c r="D322" s="137">
        <v>0.39247685185185183</v>
      </c>
      <c r="E322" s="94">
        <v>2013</v>
      </c>
      <c r="F322" s="142">
        <v>1206</v>
      </c>
      <c r="G322" s="94" t="s">
        <v>34</v>
      </c>
      <c r="H322" s="94">
        <v>1055</v>
      </c>
      <c r="I322" s="115"/>
      <c r="J322" s="94" t="s">
        <v>35</v>
      </c>
      <c r="K322" s="91">
        <v>44.47</v>
      </c>
      <c r="L322" s="122" t="str">
        <f>VLOOKUP(K322,Liste!$L$2:$O$34,4,1)</f>
        <v>GSMR_08/09</v>
      </c>
      <c r="M322" s="133" t="s">
        <v>36</v>
      </c>
      <c r="N322" s="181" t="s">
        <v>58</v>
      </c>
      <c r="O322" s="125" t="s">
        <v>746</v>
      </c>
      <c r="P322" s="119"/>
      <c r="Q322" s="94" t="s">
        <v>127</v>
      </c>
      <c r="R322" s="182" t="s">
        <v>747</v>
      </c>
      <c r="S322" s="91" t="s">
        <v>748</v>
      </c>
      <c r="T322" s="94" t="s">
        <v>41</v>
      </c>
      <c r="U322" s="94" t="s">
        <v>42</v>
      </c>
      <c r="V322" s="94" t="s">
        <v>51</v>
      </c>
      <c r="W322" s="124" t="s">
        <v>51</v>
      </c>
      <c r="X322" s="124" t="s">
        <v>400</v>
      </c>
      <c r="Y322" s="124" t="s">
        <v>622</v>
      </c>
      <c r="Z322" s="91"/>
      <c r="AA322" s="91" t="s">
        <v>745</v>
      </c>
      <c r="AB322" s="91"/>
      <c r="AC322" s="91"/>
      <c r="AD322" s="91"/>
      <c r="AE322" s="91"/>
      <c r="AF322" s="91"/>
      <c r="AG322" s="91"/>
      <c r="AH322" s="91"/>
    </row>
    <row r="323" spans="1:34" s="1" customFormat="1" ht="30">
      <c r="A323" s="120">
        <v>322</v>
      </c>
      <c r="B323" s="120" t="b">
        <f t="shared" ca="1" si="5"/>
        <v>0</v>
      </c>
      <c r="C323" s="121">
        <v>45475</v>
      </c>
      <c r="D323" s="137">
        <v>0.58723379629629635</v>
      </c>
      <c r="E323" s="94">
        <v>2033</v>
      </c>
      <c r="F323" s="142">
        <v>1205</v>
      </c>
      <c r="G323" s="94" t="s">
        <v>34</v>
      </c>
      <c r="H323" s="94">
        <v>7218</v>
      </c>
      <c r="I323" s="115"/>
      <c r="J323" s="94" t="s">
        <v>35</v>
      </c>
      <c r="K323" s="152">
        <v>7.3209999999999997</v>
      </c>
      <c r="L323" s="122" t="str">
        <f>VLOOKUP(K323,Liste!$L$2:$O$34,4,1)</f>
        <v>GSMR_02/03</v>
      </c>
      <c r="M323" s="133" t="s">
        <v>36</v>
      </c>
      <c r="N323" s="180" t="s">
        <v>37</v>
      </c>
      <c r="O323" s="125" t="s">
        <v>749</v>
      </c>
      <c r="P323" s="119"/>
      <c r="Q323" s="94" t="s">
        <v>39</v>
      </c>
      <c r="R323" s="129" t="s">
        <v>597</v>
      </c>
      <c r="S323" s="91" t="s">
        <v>750</v>
      </c>
      <c r="T323" s="94" t="s">
        <v>93</v>
      </c>
      <c r="U323" s="94" t="s">
        <v>197</v>
      </c>
      <c r="V323" s="94" t="s">
        <v>51</v>
      </c>
      <c r="W323" s="124" t="s">
        <v>51</v>
      </c>
      <c r="X323" s="124" t="s">
        <v>52</v>
      </c>
      <c r="Y323" s="124" t="s">
        <v>622</v>
      </c>
      <c r="Z323" s="91"/>
      <c r="AA323" s="91" t="s">
        <v>745</v>
      </c>
      <c r="AB323" s="91"/>
      <c r="AC323" s="91"/>
      <c r="AD323" s="91"/>
      <c r="AE323" s="91"/>
      <c r="AF323" s="91"/>
      <c r="AG323" s="91"/>
      <c r="AH323" s="91"/>
    </row>
    <row r="324" spans="1:34" s="1" customFormat="1" ht="30">
      <c r="A324" s="120">
        <v>323</v>
      </c>
      <c r="B324" s="120" t="b">
        <f t="shared" ca="1" si="5"/>
        <v>0</v>
      </c>
      <c r="C324" s="121">
        <v>45475</v>
      </c>
      <c r="D324" s="137">
        <v>0.62853009259259263</v>
      </c>
      <c r="E324" s="94">
        <v>2037</v>
      </c>
      <c r="F324" s="142">
        <v>1207</v>
      </c>
      <c r="G324" s="94" t="s">
        <v>34</v>
      </c>
      <c r="H324" s="94">
        <v>1046</v>
      </c>
      <c r="I324" s="115"/>
      <c r="J324" s="94" t="s">
        <v>35</v>
      </c>
      <c r="K324" s="152">
        <v>7.3209999999999997</v>
      </c>
      <c r="L324" s="122" t="str">
        <f>VLOOKUP(K324,Liste!$L$2:$O$34,4,1)</f>
        <v>GSMR_02/03</v>
      </c>
      <c r="M324" s="133" t="s">
        <v>36</v>
      </c>
      <c r="N324" s="180" t="s">
        <v>37</v>
      </c>
      <c r="O324" s="125" t="s">
        <v>751</v>
      </c>
      <c r="P324" s="119"/>
      <c r="Q324" s="94" t="s">
        <v>39</v>
      </c>
      <c r="R324" s="129" t="s">
        <v>597</v>
      </c>
      <c r="S324" s="91" t="s">
        <v>752</v>
      </c>
      <c r="T324" s="94" t="s">
        <v>209</v>
      </c>
      <c r="U324" s="94" t="s">
        <v>425</v>
      </c>
      <c r="V324" s="94" t="s">
        <v>43</v>
      </c>
      <c r="W324" s="124" t="s">
        <v>51</v>
      </c>
      <c r="X324" s="124" t="s">
        <v>52</v>
      </c>
      <c r="Y324" s="124" t="s">
        <v>622</v>
      </c>
      <c r="Z324" s="91"/>
      <c r="AA324" s="91" t="s">
        <v>745</v>
      </c>
      <c r="AB324" s="91"/>
      <c r="AC324" s="91"/>
      <c r="AD324" s="91"/>
      <c r="AE324" s="91"/>
      <c r="AF324" s="91"/>
      <c r="AG324" s="91"/>
      <c r="AH324" s="91"/>
    </row>
    <row r="325" spans="1:34" s="1" customFormat="1" ht="30">
      <c r="A325" s="120">
        <v>324</v>
      </c>
      <c r="B325" s="120" t="b">
        <f t="shared" ca="1" si="5"/>
        <v>0</v>
      </c>
      <c r="C325" s="121">
        <v>45475</v>
      </c>
      <c r="D325" s="137">
        <v>0.87827546296296299</v>
      </c>
      <c r="E325" s="94">
        <v>2061</v>
      </c>
      <c r="F325" s="142">
        <v>1207</v>
      </c>
      <c r="G325" s="94" t="s">
        <v>34</v>
      </c>
      <c r="H325" s="94">
        <v>1046</v>
      </c>
      <c r="I325" s="115"/>
      <c r="J325" s="94" t="s">
        <v>35</v>
      </c>
      <c r="K325" s="152">
        <v>6.13</v>
      </c>
      <c r="L325" s="122" t="str">
        <f>VLOOKUP(K325,Liste!$L$2:$O$34,4,1)</f>
        <v>GSMR_02/03</v>
      </c>
      <c r="M325" s="133" t="s">
        <v>36</v>
      </c>
      <c r="N325" s="181" t="s">
        <v>58</v>
      </c>
      <c r="O325" s="125" t="s">
        <v>753</v>
      </c>
      <c r="P325" s="119"/>
      <c r="Q325" s="94" t="s">
        <v>39</v>
      </c>
      <c r="R325" s="129" t="s">
        <v>597</v>
      </c>
      <c r="S325" s="91" t="s">
        <v>750</v>
      </c>
      <c r="T325" s="94" t="s">
        <v>41</v>
      </c>
      <c r="U325" s="94" t="s">
        <v>197</v>
      </c>
      <c r="V325" s="94" t="s">
        <v>51</v>
      </c>
      <c r="W325" s="124" t="s">
        <v>51</v>
      </c>
      <c r="X325" s="124" t="s">
        <v>52</v>
      </c>
      <c r="Y325" s="124" t="s">
        <v>727</v>
      </c>
      <c r="Z325" s="91"/>
      <c r="AA325" s="91" t="s">
        <v>754</v>
      </c>
      <c r="AB325" s="91"/>
      <c r="AC325" s="91"/>
      <c r="AD325" s="91"/>
      <c r="AE325" s="91"/>
      <c r="AF325" s="91"/>
      <c r="AG325" s="91"/>
      <c r="AH325" s="91"/>
    </row>
    <row r="326" spans="1:34" s="1" customFormat="1" ht="30">
      <c r="A326" s="120">
        <v>325</v>
      </c>
      <c r="B326" s="120" t="b">
        <f t="shared" ca="1" si="5"/>
        <v>0</v>
      </c>
      <c r="C326" s="121">
        <v>45476</v>
      </c>
      <c r="D326" s="137">
        <v>0.71248842592592587</v>
      </c>
      <c r="E326" s="94">
        <v>2045</v>
      </c>
      <c r="F326" s="142">
        <v>1201</v>
      </c>
      <c r="G326" s="94" t="s">
        <v>34</v>
      </c>
      <c r="H326" s="94">
        <v>7206</v>
      </c>
      <c r="I326" s="115"/>
      <c r="J326" s="94" t="s">
        <v>35</v>
      </c>
      <c r="K326" s="152">
        <v>6.13</v>
      </c>
      <c r="L326" s="122" t="str">
        <f>VLOOKUP(K326,Liste!$L$2:$O$34,4,1)</f>
        <v>GSMR_02/03</v>
      </c>
      <c r="M326" s="133" t="s">
        <v>36</v>
      </c>
      <c r="N326" s="180" t="s">
        <v>37</v>
      </c>
      <c r="O326" s="125" t="s">
        <v>755</v>
      </c>
      <c r="P326" s="119"/>
      <c r="Q326" s="94" t="s">
        <v>39</v>
      </c>
      <c r="R326" s="129" t="s">
        <v>597</v>
      </c>
      <c r="S326" s="91" t="s">
        <v>756</v>
      </c>
      <c r="T326" s="94" t="s">
        <v>56</v>
      </c>
      <c r="U326" s="94" t="s">
        <v>250</v>
      </c>
      <c r="V326" s="94" t="s">
        <v>43</v>
      </c>
      <c r="W326" s="124" t="s">
        <v>51</v>
      </c>
      <c r="X326" s="124" t="s">
        <v>52</v>
      </c>
      <c r="Y326" s="124" t="s">
        <v>622</v>
      </c>
      <c r="Z326" s="91"/>
      <c r="AA326" s="91" t="s">
        <v>757</v>
      </c>
      <c r="AB326" s="91"/>
      <c r="AC326" s="91"/>
      <c r="AD326" s="91"/>
      <c r="AE326" s="91"/>
      <c r="AF326" s="91"/>
      <c r="AG326" s="91"/>
      <c r="AH326" s="91"/>
    </row>
    <row r="327" spans="1:34" s="1" customFormat="1" ht="60">
      <c r="A327" s="120">
        <v>326</v>
      </c>
      <c r="B327" s="120" t="b">
        <f t="shared" ca="1" si="5"/>
        <v>0</v>
      </c>
      <c r="C327" s="121">
        <v>45477</v>
      </c>
      <c r="D327" s="137">
        <v>0.50392361111111106</v>
      </c>
      <c r="E327" s="94">
        <v>2025</v>
      </c>
      <c r="F327" s="142">
        <v>1210</v>
      </c>
      <c r="G327" s="94" t="s">
        <v>34</v>
      </c>
      <c r="H327" s="94">
        <v>1048</v>
      </c>
      <c r="I327" s="115">
        <v>35214500046078</v>
      </c>
      <c r="J327" s="94" t="s">
        <v>35</v>
      </c>
      <c r="K327" s="152">
        <v>6.13</v>
      </c>
      <c r="L327" s="122" t="str">
        <f>VLOOKUP(K327,Liste!$L$2:$O$34,4,1)</f>
        <v>GSMR_02/03</v>
      </c>
      <c r="M327" s="133" t="s">
        <v>36</v>
      </c>
      <c r="N327" s="181" t="s">
        <v>58</v>
      </c>
      <c r="O327" s="125" t="s">
        <v>758</v>
      </c>
      <c r="P327" s="119"/>
      <c r="Q327" s="94" t="s">
        <v>39</v>
      </c>
      <c r="R327" s="129" t="s">
        <v>597</v>
      </c>
      <c r="S327" s="91" t="s">
        <v>750</v>
      </c>
      <c r="T327" s="94" t="s">
        <v>56</v>
      </c>
      <c r="U327" s="94" t="s">
        <v>387</v>
      </c>
      <c r="V327" s="94" t="s">
        <v>43</v>
      </c>
      <c r="W327" s="124" t="s">
        <v>51</v>
      </c>
      <c r="X327" s="124" t="s">
        <v>52</v>
      </c>
      <c r="Y327" s="124" t="s">
        <v>727</v>
      </c>
      <c r="Z327" s="91"/>
      <c r="AA327" s="91" t="s">
        <v>759</v>
      </c>
      <c r="AB327" s="91"/>
      <c r="AC327" s="91"/>
      <c r="AD327" s="91"/>
      <c r="AE327" s="91"/>
      <c r="AF327" s="91"/>
      <c r="AG327" s="91"/>
      <c r="AH327" s="91"/>
    </row>
    <row r="328" spans="1:34" s="1" customFormat="1" ht="30">
      <c r="A328" s="120">
        <v>327</v>
      </c>
      <c r="B328" s="120" t="b">
        <f t="shared" ca="1" si="5"/>
        <v>0</v>
      </c>
      <c r="C328" s="121">
        <v>45477</v>
      </c>
      <c r="D328" s="137">
        <v>0.69134259259259256</v>
      </c>
      <c r="E328" s="94">
        <v>1037</v>
      </c>
      <c r="F328" s="142">
        <v>1210</v>
      </c>
      <c r="G328" s="94" t="s">
        <v>71</v>
      </c>
      <c r="H328" s="94">
        <v>1072</v>
      </c>
      <c r="I328" s="115">
        <v>35214500045424</v>
      </c>
      <c r="J328" s="94" t="s">
        <v>72</v>
      </c>
      <c r="K328" s="91">
        <v>145.54</v>
      </c>
      <c r="L328" s="122" t="s">
        <v>760</v>
      </c>
      <c r="M328" s="133" t="s">
        <v>36</v>
      </c>
      <c r="N328" s="180" t="s">
        <v>37</v>
      </c>
      <c r="O328" s="125" t="s">
        <v>761</v>
      </c>
      <c r="P328" s="119"/>
      <c r="Q328" s="94" t="s">
        <v>127</v>
      </c>
      <c r="R328" s="129" t="s">
        <v>692</v>
      </c>
      <c r="S328" s="91" t="s">
        <v>762</v>
      </c>
      <c r="T328" s="94" t="s">
        <v>69</v>
      </c>
      <c r="U328" s="94" t="s">
        <v>197</v>
      </c>
      <c r="V328" s="124" t="s">
        <v>51</v>
      </c>
      <c r="W328" s="124" t="s">
        <v>51</v>
      </c>
      <c r="X328" s="124" t="s">
        <v>52</v>
      </c>
      <c r="Y328" s="124" t="s">
        <v>622</v>
      </c>
      <c r="Z328" s="91"/>
      <c r="AA328" s="91" t="s">
        <v>757</v>
      </c>
      <c r="AB328" s="91"/>
      <c r="AC328" s="91"/>
      <c r="AD328" s="91"/>
      <c r="AE328" s="91"/>
      <c r="AF328" s="91"/>
      <c r="AG328" s="91"/>
      <c r="AH328" s="91"/>
    </row>
    <row r="329" spans="1:34" s="1" customFormat="1" ht="30">
      <c r="A329" s="120">
        <v>328</v>
      </c>
      <c r="B329" s="120" t="b">
        <f t="shared" ca="1" si="5"/>
        <v>0</v>
      </c>
      <c r="C329" s="121">
        <v>45477</v>
      </c>
      <c r="D329" s="137">
        <v>0.83707175925925925</v>
      </c>
      <c r="E329" s="94">
        <v>2057</v>
      </c>
      <c r="F329" s="142">
        <v>1207</v>
      </c>
      <c r="G329" s="94" t="s">
        <v>34</v>
      </c>
      <c r="H329" s="94">
        <v>1046</v>
      </c>
      <c r="I329" s="115">
        <v>35214500038730</v>
      </c>
      <c r="J329" s="94" t="s">
        <v>35</v>
      </c>
      <c r="K329" s="152">
        <v>6.13</v>
      </c>
      <c r="L329" s="122" t="str">
        <f>VLOOKUP(K329,Liste!$L$2:$O$34,4,1)</f>
        <v>GSMR_02/03</v>
      </c>
      <c r="M329" s="133" t="s">
        <v>36</v>
      </c>
      <c r="N329" s="181" t="s">
        <v>58</v>
      </c>
      <c r="O329" s="125" t="s">
        <v>763</v>
      </c>
      <c r="P329" s="119"/>
      <c r="Q329" s="94" t="s">
        <v>39</v>
      </c>
      <c r="R329" s="129" t="s">
        <v>597</v>
      </c>
      <c r="S329" s="91" t="s">
        <v>736</v>
      </c>
      <c r="T329" s="94" t="s">
        <v>56</v>
      </c>
      <c r="U329" s="94" t="s">
        <v>183</v>
      </c>
      <c r="V329" s="94" t="s">
        <v>43</v>
      </c>
      <c r="W329" s="124" t="s">
        <v>51</v>
      </c>
      <c r="X329" s="124" t="s">
        <v>52</v>
      </c>
      <c r="Y329" s="124" t="s">
        <v>622</v>
      </c>
      <c r="Z329" s="91"/>
      <c r="AA329" s="91" t="s">
        <v>757</v>
      </c>
      <c r="AB329" s="91"/>
      <c r="AC329" s="91"/>
      <c r="AD329" s="91"/>
      <c r="AE329" s="91"/>
      <c r="AF329" s="91"/>
      <c r="AG329" s="91"/>
      <c r="AH329" s="91"/>
    </row>
    <row r="330" spans="1:34" s="1" customFormat="1" ht="30">
      <c r="A330" s="120">
        <v>329</v>
      </c>
      <c r="B330" s="120" t="b">
        <f t="shared" ca="1" si="5"/>
        <v>0</v>
      </c>
      <c r="C330" s="121">
        <v>45478</v>
      </c>
      <c r="D330" s="137">
        <v>0.59429398148148149</v>
      </c>
      <c r="E330" s="94">
        <v>2033</v>
      </c>
      <c r="F330" s="142">
        <v>1206</v>
      </c>
      <c r="G330" s="94" t="s">
        <v>34</v>
      </c>
      <c r="H330" s="94">
        <v>1055</v>
      </c>
      <c r="I330" s="115">
        <v>35214500036582</v>
      </c>
      <c r="J330" s="94" t="s">
        <v>35</v>
      </c>
      <c r="K330" s="91">
        <v>44.47</v>
      </c>
      <c r="L330" s="122" t="str">
        <f>VLOOKUP(K330,Liste!$L$2:$O$34,4,1)</f>
        <v>GSMR_08/09</v>
      </c>
      <c r="M330" s="133" t="s">
        <v>36</v>
      </c>
      <c r="N330" s="180" t="s">
        <v>37</v>
      </c>
      <c r="O330" s="125" t="s">
        <v>764</v>
      </c>
      <c r="P330" s="126"/>
      <c r="Q330" s="124" t="s">
        <v>150</v>
      </c>
      <c r="R330" s="124" t="s">
        <v>765</v>
      </c>
      <c r="S330" s="91" t="s">
        <v>766</v>
      </c>
      <c r="T330" s="94" t="s">
        <v>101</v>
      </c>
      <c r="U330" s="94" t="s">
        <v>57</v>
      </c>
      <c r="V330" s="124" t="s">
        <v>51</v>
      </c>
      <c r="W330" s="124" t="s">
        <v>51</v>
      </c>
      <c r="X330" s="124" t="s">
        <v>52</v>
      </c>
      <c r="Y330" s="124" t="s">
        <v>622</v>
      </c>
      <c r="Z330" s="91"/>
      <c r="AA330" s="91" t="s">
        <v>757</v>
      </c>
      <c r="AB330" s="91"/>
      <c r="AC330" s="91"/>
      <c r="AD330" s="91"/>
      <c r="AE330" s="91"/>
      <c r="AF330" s="91"/>
      <c r="AG330" s="91"/>
      <c r="AH330" s="91"/>
    </row>
    <row r="331" spans="1:34" customFormat="1" ht="30">
      <c r="A331" s="120">
        <v>330</v>
      </c>
      <c r="B331" s="120" t="b">
        <f t="shared" ca="1" si="5"/>
        <v>0</v>
      </c>
      <c r="C331" s="121">
        <v>45478</v>
      </c>
      <c r="D331" s="137">
        <v>0.71231481481481485</v>
      </c>
      <c r="E331" s="94">
        <v>2045</v>
      </c>
      <c r="F331" s="142">
        <v>1211</v>
      </c>
      <c r="G331" s="94" t="s">
        <v>34</v>
      </c>
      <c r="H331" s="94">
        <v>1029</v>
      </c>
      <c r="I331" s="115">
        <v>35214500045449</v>
      </c>
      <c r="J331" s="94" t="s">
        <v>35</v>
      </c>
      <c r="K331" s="152">
        <v>6.13</v>
      </c>
      <c r="L331" s="122" t="str">
        <f>VLOOKUP(K331,Liste!$L$2:$O$34,4,1)</f>
        <v>GSMR_02/03</v>
      </c>
      <c r="M331" s="133" t="s">
        <v>36</v>
      </c>
      <c r="N331" s="180" t="s">
        <v>37</v>
      </c>
      <c r="O331" s="125" t="s">
        <v>767</v>
      </c>
      <c r="P331" s="119"/>
      <c r="Q331" s="94" t="s">
        <v>39</v>
      </c>
      <c r="R331" s="124" t="s">
        <v>768</v>
      </c>
      <c r="S331" s="91" t="s">
        <v>769</v>
      </c>
      <c r="T331" s="94" t="s">
        <v>116</v>
      </c>
      <c r="U331" s="94" t="s">
        <v>449</v>
      </c>
      <c r="V331" s="124" t="s">
        <v>51</v>
      </c>
      <c r="W331" s="124" t="s">
        <v>51</v>
      </c>
      <c r="X331" s="124" t="s">
        <v>52</v>
      </c>
      <c r="Y331" s="124" t="s">
        <v>622</v>
      </c>
      <c r="Z331" s="91"/>
      <c r="AA331" s="91" t="s">
        <v>757</v>
      </c>
      <c r="AB331" s="91"/>
      <c r="AC331" s="91"/>
      <c r="AD331" s="91"/>
      <c r="AE331" s="91"/>
      <c r="AF331" s="91"/>
      <c r="AG331" s="91"/>
      <c r="AH331" s="91"/>
    </row>
    <row r="332" spans="1:34" customFormat="1" ht="30">
      <c r="A332" s="120">
        <v>331</v>
      </c>
      <c r="B332" s="120" t="b">
        <f t="shared" ca="1" si="5"/>
        <v>0</v>
      </c>
      <c r="C332" s="121">
        <v>45478</v>
      </c>
      <c r="D332" s="137">
        <v>0.83958333333333335</v>
      </c>
      <c r="E332" s="94">
        <v>1050</v>
      </c>
      <c r="F332" s="142">
        <v>1205</v>
      </c>
      <c r="G332" s="94" t="s">
        <v>71</v>
      </c>
      <c r="H332" s="94">
        <v>1035</v>
      </c>
      <c r="I332" s="115">
        <v>35214500046011</v>
      </c>
      <c r="J332" s="94" t="s">
        <v>72</v>
      </c>
      <c r="K332" s="152">
        <v>7.3209999999999997</v>
      </c>
      <c r="L332" s="122" t="str">
        <f>VLOOKUP(K332,Liste!$L$2:$O$34,4,1)</f>
        <v>GSMR_02/03</v>
      </c>
      <c r="M332" s="133" t="s">
        <v>36</v>
      </c>
      <c r="N332" s="180" t="s">
        <v>37</v>
      </c>
      <c r="O332" s="125" t="s">
        <v>770</v>
      </c>
      <c r="P332" s="119"/>
      <c r="Q332" s="94" t="s">
        <v>39</v>
      </c>
      <c r="R332" s="124" t="s">
        <v>768</v>
      </c>
      <c r="S332" s="91" t="s">
        <v>771</v>
      </c>
      <c r="T332" s="94" t="s">
        <v>93</v>
      </c>
      <c r="U332" s="94" t="s">
        <v>223</v>
      </c>
      <c r="V332" s="124" t="s">
        <v>51</v>
      </c>
      <c r="W332" s="124" t="s">
        <v>51</v>
      </c>
      <c r="X332" s="124" t="s">
        <v>52</v>
      </c>
      <c r="Y332" s="124" t="s">
        <v>622</v>
      </c>
      <c r="Z332" s="91"/>
      <c r="AA332" s="91" t="s">
        <v>772</v>
      </c>
      <c r="AB332" s="91"/>
      <c r="AC332" s="91"/>
      <c r="AD332" s="91"/>
      <c r="AE332" s="91"/>
      <c r="AF332" s="91"/>
      <c r="AG332" s="91"/>
      <c r="AH332" s="91"/>
    </row>
    <row r="333" spans="1:34" customFormat="1" ht="30">
      <c r="A333" s="120">
        <v>332</v>
      </c>
      <c r="B333" s="120" t="b">
        <f t="shared" ca="1" si="5"/>
        <v>0</v>
      </c>
      <c r="C333" s="121">
        <v>45478</v>
      </c>
      <c r="D333" s="137">
        <v>0.87851851851851848</v>
      </c>
      <c r="E333" s="94">
        <v>2061</v>
      </c>
      <c r="F333" s="142">
        <v>1205</v>
      </c>
      <c r="G333" s="94" t="s">
        <v>34</v>
      </c>
      <c r="H333" s="94">
        <v>7217</v>
      </c>
      <c r="I333" s="115">
        <v>35214500044557</v>
      </c>
      <c r="J333" s="94" t="s">
        <v>35</v>
      </c>
      <c r="K333" s="152">
        <v>6.13</v>
      </c>
      <c r="L333" s="122" t="str">
        <f>VLOOKUP(K333,Liste!$L$2:$O$34,4,1)</f>
        <v>GSMR_02/03</v>
      </c>
      <c r="M333" s="133" t="s">
        <v>36</v>
      </c>
      <c r="N333" s="181" t="s">
        <v>58</v>
      </c>
      <c r="O333" s="125" t="s">
        <v>773</v>
      </c>
      <c r="P333" s="119"/>
      <c r="Q333" s="94" t="s">
        <v>39</v>
      </c>
      <c r="R333" s="124" t="s">
        <v>768</v>
      </c>
      <c r="S333" s="91" t="s">
        <v>771</v>
      </c>
      <c r="T333" s="94" t="s">
        <v>56</v>
      </c>
      <c r="U333" s="94" t="s">
        <v>57</v>
      </c>
      <c r="V333" s="94" t="s">
        <v>43</v>
      </c>
      <c r="W333" s="124" t="s">
        <v>51</v>
      </c>
      <c r="X333" s="124" t="s">
        <v>52</v>
      </c>
      <c r="Y333" s="124" t="s">
        <v>622</v>
      </c>
      <c r="Z333" s="91"/>
      <c r="AA333" s="91" t="s">
        <v>772</v>
      </c>
      <c r="AB333" s="91"/>
      <c r="AC333" s="91"/>
      <c r="AD333" s="91"/>
      <c r="AE333" s="91"/>
      <c r="AF333" s="91"/>
      <c r="AG333" s="91"/>
      <c r="AH333" s="91"/>
    </row>
    <row r="334" spans="1:34" customFormat="1" ht="30">
      <c r="A334" s="120">
        <v>333</v>
      </c>
      <c r="B334" s="120" t="b">
        <f t="shared" ca="1" si="5"/>
        <v>0</v>
      </c>
      <c r="C334" s="121">
        <v>45479</v>
      </c>
      <c r="D334" s="137">
        <v>0.73116898148148146</v>
      </c>
      <c r="E334" s="94">
        <v>2045</v>
      </c>
      <c r="F334" s="142">
        <v>1208</v>
      </c>
      <c r="G334" s="94" t="s">
        <v>34</v>
      </c>
      <c r="H334" s="94">
        <v>1037</v>
      </c>
      <c r="I334" s="115">
        <v>35214500045488</v>
      </c>
      <c r="J334" s="94" t="s">
        <v>35</v>
      </c>
      <c r="K334" s="91">
        <v>123.901</v>
      </c>
      <c r="L334" s="122" t="str">
        <f>VLOOKUP(K334,Liste!$L$2:$O$34,4,1)</f>
        <v>GSMR_21/22</v>
      </c>
      <c r="M334" s="133" t="s">
        <v>36</v>
      </c>
      <c r="N334" s="180" t="s">
        <v>37</v>
      </c>
      <c r="O334" s="125" t="s">
        <v>774</v>
      </c>
      <c r="P334" s="126"/>
      <c r="Q334" s="124" t="s">
        <v>150</v>
      </c>
      <c r="R334" s="124" t="s">
        <v>765</v>
      </c>
      <c r="S334" s="91" t="s">
        <v>775</v>
      </c>
      <c r="T334" s="94" t="s">
        <v>69</v>
      </c>
      <c r="U334" s="94" t="s">
        <v>120</v>
      </c>
      <c r="V334" s="124" t="s">
        <v>51</v>
      </c>
      <c r="W334" s="124" t="s">
        <v>51</v>
      </c>
      <c r="X334" s="124" t="s">
        <v>52</v>
      </c>
      <c r="Y334" s="124" t="s">
        <v>622</v>
      </c>
      <c r="Z334" s="91"/>
      <c r="AA334" s="91" t="s">
        <v>754</v>
      </c>
      <c r="AB334" s="91"/>
      <c r="AC334" s="91"/>
      <c r="AD334" s="91"/>
      <c r="AE334" s="91"/>
      <c r="AF334" s="91"/>
      <c r="AG334" s="91"/>
      <c r="AH334" s="91"/>
    </row>
    <row r="335" spans="1:34" customFormat="1" ht="30">
      <c r="A335" s="120">
        <v>334</v>
      </c>
      <c r="B335" s="120" t="b">
        <f t="shared" ca="1" si="5"/>
        <v>0</v>
      </c>
      <c r="C335" s="121">
        <v>45480</v>
      </c>
      <c r="D335" s="137">
        <v>0.31642361111111111</v>
      </c>
      <c r="E335" s="94">
        <v>1065</v>
      </c>
      <c r="F335" s="142">
        <v>1211</v>
      </c>
      <c r="G335" s="94" t="s">
        <v>71</v>
      </c>
      <c r="H335" s="94">
        <v>3062</v>
      </c>
      <c r="I335" s="115">
        <v>35214500017596</v>
      </c>
      <c r="J335" s="94" t="s">
        <v>72</v>
      </c>
      <c r="K335" s="91">
        <v>78.155000000000001</v>
      </c>
      <c r="L335" s="122" t="str">
        <f>VLOOKUP(K335,Liste!$L$2:$O$34,4,1)</f>
        <v>GSMR_14/15</v>
      </c>
      <c r="M335" s="133" t="s">
        <v>36</v>
      </c>
      <c r="N335" s="180" t="s">
        <v>37</v>
      </c>
      <c r="O335" s="125" t="s">
        <v>776</v>
      </c>
      <c r="P335" s="126"/>
      <c r="Q335" s="124" t="s">
        <v>150</v>
      </c>
      <c r="R335" s="124" t="s">
        <v>765</v>
      </c>
      <c r="S335" s="91" t="s">
        <v>777</v>
      </c>
      <c r="T335" s="94" t="s">
        <v>69</v>
      </c>
      <c r="U335" s="94" t="s">
        <v>183</v>
      </c>
      <c r="V335" s="124" t="s">
        <v>51</v>
      </c>
      <c r="W335" s="124" t="s">
        <v>51</v>
      </c>
      <c r="X335" s="124" t="s">
        <v>52</v>
      </c>
      <c r="Y335" s="124" t="s">
        <v>622</v>
      </c>
      <c r="Z335" s="91"/>
      <c r="AA335" s="91" t="s">
        <v>778</v>
      </c>
      <c r="AB335" s="91"/>
      <c r="AC335" s="91"/>
      <c r="AD335" s="91"/>
      <c r="AE335" s="91"/>
      <c r="AF335" s="91"/>
      <c r="AG335" s="91"/>
      <c r="AH335" s="91"/>
    </row>
    <row r="336" spans="1:34" customFormat="1" ht="30">
      <c r="A336" s="120">
        <v>335</v>
      </c>
      <c r="B336" s="120" t="b">
        <f t="shared" ca="1" si="5"/>
        <v>0</v>
      </c>
      <c r="C336" s="121">
        <v>45480</v>
      </c>
      <c r="D336" s="137">
        <v>0.64370370370370367</v>
      </c>
      <c r="E336" s="94">
        <v>2037</v>
      </c>
      <c r="F336" s="142">
        <v>1202</v>
      </c>
      <c r="G336" s="94" t="s">
        <v>34</v>
      </c>
      <c r="H336" s="94">
        <v>1043</v>
      </c>
      <c r="I336" s="115">
        <v>35214500045200</v>
      </c>
      <c r="J336" s="94" t="s">
        <v>35</v>
      </c>
      <c r="K336" s="91">
        <v>101.587</v>
      </c>
      <c r="L336" s="122" t="str">
        <f>VLOOKUP(K336,Liste!$L$2:$O$34,4,1)</f>
        <v>GSMR_18/19</v>
      </c>
      <c r="M336" s="133" t="s">
        <v>36</v>
      </c>
      <c r="N336" s="180" t="s">
        <v>37</v>
      </c>
      <c r="O336" s="125" t="s">
        <v>779</v>
      </c>
      <c r="P336" s="126"/>
      <c r="Q336" s="94" t="s">
        <v>54</v>
      </c>
      <c r="R336" s="124" t="s">
        <v>780</v>
      </c>
      <c r="S336" s="91" t="s">
        <v>781</v>
      </c>
      <c r="T336" s="94" t="s">
        <v>69</v>
      </c>
      <c r="U336" s="94" t="s">
        <v>102</v>
      </c>
      <c r="V336" s="94" t="s">
        <v>43</v>
      </c>
      <c r="W336" s="124" t="s">
        <v>51</v>
      </c>
      <c r="X336" s="124" t="s">
        <v>52</v>
      </c>
      <c r="Y336" s="124" t="s">
        <v>622</v>
      </c>
      <c r="Z336" s="91"/>
      <c r="AA336" s="91" t="s">
        <v>754</v>
      </c>
      <c r="AB336" s="91"/>
      <c r="AC336" s="91"/>
      <c r="AD336" s="91"/>
      <c r="AE336" s="91"/>
      <c r="AF336" s="91"/>
      <c r="AG336" s="91"/>
      <c r="AH336" s="91"/>
    </row>
    <row r="337" spans="1:34" customFormat="1" ht="45">
      <c r="A337" s="120">
        <v>336</v>
      </c>
      <c r="B337" s="120" t="b">
        <f t="shared" ca="1" si="5"/>
        <v>0</v>
      </c>
      <c r="C337" s="121">
        <v>45480</v>
      </c>
      <c r="D337" s="137">
        <v>0.92087962962962966</v>
      </c>
      <c r="E337" s="94">
        <v>10081</v>
      </c>
      <c r="F337" s="142">
        <v>1205</v>
      </c>
      <c r="G337" s="94" t="s">
        <v>34</v>
      </c>
      <c r="H337" s="94">
        <v>7217</v>
      </c>
      <c r="I337" s="115">
        <v>35214500044557</v>
      </c>
      <c r="J337" s="94" t="s">
        <v>35</v>
      </c>
      <c r="K337" s="152">
        <v>6.13</v>
      </c>
      <c r="L337" s="122" t="str">
        <f>VLOOKUP(K337,Liste!$L$2:$O$34,4,1)</f>
        <v>GSMR_02/03</v>
      </c>
      <c r="M337" s="133" t="s">
        <v>36</v>
      </c>
      <c r="N337" s="181" t="s">
        <v>58</v>
      </c>
      <c r="O337" s="125" t="s">
        <v>782</v>
      </c>
      <c r="P337" s="119"/>
      <c r="Q337" s="94" t="s">
        <v>39</v>
      </c>
      <c r="R337" s="124" t="s">
        <v>768</v>
      </c>
      <c r="S337" s="91" t="s">
        <v>783</v>
      </c>
      <c r="T337" s="94" t="s">
        <v>116</v>
      </c>
      <c r="U337" s="94" t="s">
        <v>183</v>
      </c>
      <c r="V337" s="94" t="s">
        <v>43</v>
      </c>
      <c r="W337" s="124" t="s">
        <v>51</v>
      </c>
      <c r="X337" s="124" t="s">
        <v>52</v>
      </c>
      <c r="Y337" s="124" t="s">
        <v>622</v>
      </c>
      <c r="Z337" s="91"/>
      <c r="AA337" s="91" t="s">
        <v>772</v>
      </c>
      <c r="AB337" s="91"/>
      <c r="AC337" s="91"/>
      <c r="AD337" s="91"/>
      <c r="AE337" s="91"/>
      <c r="AF337" s="91"/>
      <c r="AG337" s="91"/>
      <c r="AH337" s="91"/>
    </row>
    <row r="338" spans="1:34" customFormat="1" ht="30">
      <c r="A338" s="120">
        <v>337</v>
      </c>
      <c r="B338" s="120" t="b">
        <f t="shared" ca="1" si="5"/>
        <v>0</v>
      </c>
      <c r="C338" s="121">
        <v>45481</v>
      </c>
      <c r="D338" s="144">
        <v>0.35288194444444443</v>
      </c>
      <c r="E338" s="94">
        <v>2009</v>
      </c>
      <c r="F338" s="142">
        <v>1208</v>
      </c>
      <c r="G338" s="94" t="s">
        <v>34</v>
      </c>
      <c r="H338" s="94">
        <v>1036</v>
      </c>
      <c r="I338" s="139">
        <v>35214500044557</v>
      </c>
      <c r="J338" s="94" t="s">
        <v>35</v>
      </c>
      <c r="K338" s="91">
        <v>109.5</v>
      </c>
      <c r="L338" s="122" t="str">
        <f>VLOOKUP(K338,Liste!$L$2:$O$34,4,1)</f>
        <v>GSMR_19/20</v>
      </c>
      <c r="M338" s="133" t="s">
        <v>36</v>
      </c>
      <c r="N338" s="181" t="s">
        <v>58</v>
      </c>
      <c r="O338" s="126" t="s">
        <v>784</v>
      </c>
      <c r="P338" s="126"/>
      <c r="Q338" s="94" t="s">
        <v>54</v>
      </c>
      <c r="R338" s="124" t="s">
        <v>780</v>
      </c>
      <c r="S338" s="94" t="s">
        <v>785</v>
      </c>
      <c r="T338" s="94" t="s">
        <v>56</v>
      </c>
      <c r="U338" s="94" t="s">
        <v>97</v>
      </c>
      <c r="V338" s="94" t="s">
        <v>51</v>
      </c>
      <c r="W338" s="124" t="s">
        <v>51</v>
      </c>
      <c r="X338" s="124" t="s">
        <v>52</v>
      </c>
      <c r="Y338" s="124" t="s">
        <v>622</v>
      </c>
      <c r="Z338" s="94"/>
      <c r="AA338" s="94" t="s">
        <v>778</v>
      </c>
      <c r="AB338" s="94"/>
      <c r="AC338" s="94"/>
      <c r="AD338" s="94"/>
      <c r="AE338" s="94"/>
      <c r="AF338" s="94"/>
      <c r="AG338" s="94"/>
      <c r="AH338" s="94"/>
    </row>
    <row r="339" spans="1:34" s="183" customFormat="1" ht="30">
      <c r="A339" s="120">
        <v>338</v>
      </c>
      <c r="B339" s="120" t="b">
        <f t="shared" ca="1" si="5"/>
        <v>0</v>
      </c>
      <c r="C339" s="121">
        <v>45481</v>
      </c>
      <c r="D339" s="137">
        <v>0.64738425925925924</v>
      </c>
      <c r="E339" s="94">
        <v>2037</v>
      </c>
      <c r="F339" s="142">
        <v>1207</v>
      </c>
      <c r="G339" s="94" t="s">
        <v>34</v>
      </c>
      <c r="H339" s="94">
        <v>1047</v>
      </c>
      <c r="I339" s="115">
        <v>35214500038727</v>
      </c>
      <c r="J339" s="94" t="s">
        <v>35</v>
      </c>
      <c r="K339" s="91">
        <v>126.51</v>
      </c>
      <c r="L339" s="122" t="str">
        <f>VLOOKUP(K339,Liste!$L$2:$O$34,4,1)</f>
        <v>GSMR_22/23</v>
      </c>
      <c r="M339" s="133" t="s">
        <v>36</v>
      </c>
      <c r="N339" s="180" t="s">
        <v>37</v>
      </c>
      <c r="O339" s="125" t="s">
        <v>786</v>
      </c>
      <c r="P339" s="126"/>
      <c r="Q339" s="94" t="s">
        <v>54</v>
      </c>
      <c r="R339" s="124" t="s">
        <v>780</v>
      </c>
      <c r="S339" s="91" t="s">
        <v>787</v>
      </c>
      <c r="T339" s="94" t="s">
        <v>69</v>
      </c>
      <c r="U339" s="94" t="s">
        <v>112</v>
      </c>
      <c r="V339" s="94" t="s">
        <v>51</v>
      </c>
      <c r="W339" s="94" t="s">
        <v>51</v>
      </c>
      <c r="X339" s="124" t="s">
        <v>52</v>
      </c>
      <c r="Y339" s="124" t="s">
        <v>622</v>
      </c>
      <c r="Z339" s="91"/>
      <c r="AA339" s="91" t="s">
        <v>754</v>
      </c>
      <c r="AB339" s="91"/>
      <c r="AC339" s="91"/>
      <c r="AD339" s="91"/>
      <c r="AE339" s="91"/>
      <c r="AF339" s="91"/>
      <c r="AG339" s="91"/>
      <c r="AH339" s="91"/>
    </row>
    <row r="340" spans="1:34" customFormat="1" ht="30">
      <c r="A340" s="120">
        <v>339</v>
      </c>
      <c r="B340" s="120" t="b">
        <f t="shared" ca="1" si="5"/>
        <v>0</v>
      </c>
      <c r="C340" s="121">
        <v>45481</v>
      </c>
      <c r="D340" s="137">
        <v>0.85387731481481477</v>
      </c>
      <c r="E340" s="94">
        <v>2057</v>
      </c>
      <c r="F340" s="142">
        <v>1208</v>
      </c>
      <c r="G340" s="94" t="s">
        <v>34</v>
      </c>
      <c r="H340" s="94">
        <v>1037</v>
      </c>
      <c r="I340" s="115">
        <v>35214500045488</v>
      </c>
      <c r="J340" s="94" t="s">
        <v>35</v>
      </c>
      <c r="K340" s="91">
        <v>117.258</v>
      </c>
      <c r="L340" s="122" t="str">
        <f>VLOOKUP(K340,Liste!$L$2:$O$34,4,1)</f>
        <v>GSMR_20/21</v>
      </c>
      <c r="M340" s="133" t="s">
        <v>36</v>
      </c>
      <c r="N340" s="180" t="s">
        <v>37</v>
      </c>
      <c r="O340" s="125" t="s">
        <v>788</v>
      </c>
      <c r="P340" s="126"/>
      <c r="Q340" s="94" t="s">
        <v>54</v>
      </c>
      <c r="R340" s="124" t="s">
        <v>780</v>
      </c>
      <c r="S340" s="91" t="s">
        <v>789</v>
      </c>
      <c r="T340" s="94" t="s">
        <v>69</v>
      </c>
      <c r="U340" s="94" t="s">
        <v>42</v>
      </c>
      <c r="V340" s="94" t="s">
        <v>51</v>
      </c>
      <c r="W340" s="94" t="s">
        <v>51</v>
      </c>
      <c r="X340" s="124" t="s">
        <v>52</v>
      </c>
      <c r="Y340" s="124" t="s">
        <v>727</v>
      </c>
      <c r="Z340" s="91"/>
      <c r="AA340" s="91" t="s">
        <v>754</v>
      </c>
      <c r="AB340" s="91"/>
      <c r="AC340" s="91"/>
      <c r="AD340" s="91"/>
      <c r="AE340" s="91"/>
      <c r="AF340" s="91"/>
      <c r="AG340" s="91"/>
      <c r="AH340" s="91"/>
    </row>
    <row r="341" spans="1:34" customFormat="1" ht="30">
      <c r="A341" s="120">
        <v>340</v>
      </c>
      <c r="B341" s="120" t="b">
        <f t="shared" ca="1" si="5"/>
        <v>0</v>
      </c>
      <c r="C341" s="121">
        <v>45481</v>
      </c>
      <c r="D341" s="137">
        <v>0.87866898148148154</v>
      </c>
      <c r="E341" s="94">
        <v>2061</v>
      </c>
      <c r="F341" s="142">
        <v>1207</v>
      </c>
      <c r="G341" s="94" t="s">
        <v>34</v>
      </c>
      <c r="H341" s="94">
        <v>1046</v>
      </c>
      <c r="I341" s="115">
        <v>35214500038730</v>
      </c>
      <c r="J341" s="94" t="s">
        <v>35</v>
      </c>
      <c r="K341" s="152">
        <v>6.13</v>
      </c>
      <c r="L341" s="122" t="s">
        <v>790</v>
      </c>
      <c r="M341" s="133" t="s">
        <v>36</v>
      </c>
      <c r="N341" s="180" t="s">
        <v>37</v>
      </c>
      <c r="O341" s="125" t="s">
        <v>791</v>
      </c>
      <c r="P341" s="119"/>
      <c r="Q341" s="94" t="s">
        <v>39</v>
      </c>
      <c r="R341" s="124" t="s">
        <v>768</v>
      </c>
      <c r="S341" s="91" t="s">
        <v>792</v>
      </c>
      <c r="T341" s="94" t="s">
        <v>56</v>
      </c>
      <c r="U341" s="94" t="s">
        <v>387</v>
      </c>
      <c r="V341" s="94" t="s">
        <v>51</v>
      </c>
      <c r="W341" s="94" t="s">
        <v>51</v>
      </c>
      <c r="X341" s="124" t="s">
        <v>52</v>
      </c>
      <c r="Y341" s="124" t="s">
        <v>622</v>
      </c>
      <c r="Z341" s="91"/>
      <c r="AA341" s="91" t="s">
        <v>793</v>
      </c>
      <c r="AB341" s="91"/>
      <c r="AC341" s="91"/>
      <c r="AD341" s="91"/>
      <c r="AE341" s="91"/>
      <c r="AF341" s="91"/>
      <c r="AG341" s="91"/>
      <c r="AH341" s="91"/>
    </row>
    <row r="342" spans="1:34" customFormat="1" ht="30">
      <c r="A342" s="120">
        <v>341</v>
      </c>
      <c r="B342" s="120" t="b">
        <f t="shared" ca="1" si="5"/>
        <v>0</v>
      </c>
      <c r="C342" s="121">
        <v>45482</v>
      </c>
      <c r="D342" s="137">
        <v>0.49358796296296298</v>
      </c>
      <c r="E342" s="94">
        <v>1017</v>
      </c>
      <c r="F342" s="142">
        <v>1210</v>
      </c>
      <c r="G342" s="94" t="s">
        <v>71</v>
      </c>
      <c r="H342" s="94">
        <v>1072</v>
      </c>
      <c r="I342" s="115">
        <v>35214500045424</v>
      </c>
      <c r="J342" s="94" t="s">
        <v>72</v>
      </c>
      <c r="K342" s="91">
        <v>94.953999999999994</v>
      </c>
      <c r="L342" s="122" t="s">
        <v>794</v>
      </c>
      <c r="M342" s="133" t="s">
        <v>36</v>
      </c>
      <c r="N342" s="180" t="s">
        <v>37</v>
      </c>
      <c r="O342" s="125" t="s">
        <v>795</v>
      </c>
      <c r="P342" s="126"/>
      <c r="Q342" s="124" t="s">
        <v>47</v>
      </c>
      <c r="R342" s="124" t="s">
        <v>796</v>
      </c>
      <c r="S342" s="91" t="s">
        <v>797</v>
      </c>
      <c r="T342" s="94" t="s">
        <v>116</v>
      </c>
      <c r="U342" s="94" t="s">
        <v>307</v>
      </c>
      <c r="V342" s="94" t="s">
        <v>51</v>
      </c>
      <c r="W342" s="94" t="s">
        <v>51</v>
      </c>
      <c r="X342" s="124" t="s">
        <v>52</v>
      </c>
      <c r="Y342" s="124" t="s">
        <v>622</v>
      </c>
      <c r="Z342" s="91"/>
      <c r="AA342" s="91" t="s">
        <v>754</v>
      </c>
      <c r="AB342" s="91"/>
      <c r="AC342" s="91"/>
      <c r="AD342" s="91"/>
      <c r="AE342" s="91"/>
      <c r="AF342" s="91"/>
      <c r="AG342" s="91"/>
      <c r="AH342" s="91"/>
    </row>
    <row r="343" spans="1:34" customFormat="1" ht="30">
      <c r="A343" s="120">
        <v>342</v>
      </c>
      <c r="B343" s="120" t="b">
        <f t="shared" ca="1" si="5"/>
        <v>0</v>
      </c>
      <c r="C343" s="121">
        <v>45482</v>
      </c>
      <c r="D343" s="137">
        <v>0.67032407407407413</v>
      </c>
      <c r="E343" s="94">
        <v>2041</v>
      </c>
      <c r="F343" s="142">
        <v>1210</v>
      </c>
      <c r="G343" s="94" t="s">
        <v>34</v>
      </c>
      <c r="H343" s="94">
        <v>1049</v>
      </c>
      <c r="I343" s="115">
        <v>35214500046076</v>
      </c>
      <c r="J343" s="94" t="s">
        <v>35</v>
      </c>
      <c r="K343" s="152">
        <v>6.13</v>
      </c>
      <c r="L343" s="122" t="s">
        <v>790</v>
      </c>
      <c r="M343" s="133" t="s">
        <v>36</v>
      </c>
      <c r="N343" s="180" t="s">
        <v>37</v>
      </c>
      <c r="O343" s="125" t="s">
        <v>798</v>
      </c>
      <c r="P343" s="119"/>
      <c r="Q343" s="94" t="s">
        <v>39</v>
      </c>
      <c r="R343" s="124" t="s">
        <v>768</v>
      </c>
      <c r="S343" s="91" t="s">
        <v>799</v>
      </c>
      <c r="T343" s="94" t="s">
        <v>116</v>
      </c>
      <c r="U343" s="94" t="s">
        <v>97</v>
      </c>
      <c r="V343" s="94" t="s">
        <v>51</v>
      </c>
      <c r="W343" s="94" t="s">
        <v>51</v>
      </c>
      <c r="X343" s="124" t="s">
        <v>52</v>
      </c>
      <c r="Y343" s="124" t="s">
        <v>622</v>
      </c>
      <c r="Z343" s="91"/>
      <c r="AA343" s="91" t="s">
        <v>754</v>
      </c>
      <c r="AB343" s="91"/>
      <c r="AC343" s="91"/>
      <c r="AD343" s="91"/>
      <c r="AE343" s="91"/>
      <c r="AF343" s="91"/>
      <c r="AG343" s="91"/>
      <c r="AH343" s="91"/>
    </row>
    <row r="344" spans="1:34" customFormat="1" ht="30">
      <c r="A344" s="120">
        <v>343</v>
      </c>
      <c r="B344" s="120" t="b">
        <f t="shared" ca="1" si="5"/>
        <v>0</v>
      </c>
      <c r="C344" s="121">
        <v>45482</v>
      </c>
      <c r="D344" s="137">
        <v>0.71174768518518516</v>
      </c>
      <c r="E344" s="94">
        <v>2045</v>
      </c>
      <c r="F344" s="142">
        <v>1201</v>
      </c>
      <c r="G344" s="94" t="s">
        <v>34</v>
      </c>
      <c r="H344" s="94">
        <v>7206</v>
      </c>
      <c r="I344" s="115">
        <v>35214500026718</v>
      </c>
      <c r="J344" s="94" t="s">
        <v>35</v>
      </c>
      <c r="K344" s="152">
        <v>6.13</v>
      </c>
      <c r="L344" s="122" t="s">
        <v>790</v>
      </c>
      <c r="M344" s="133" t="s">
        <v>36</v>
      </c>
      <c r="N344" s="181" t="s">
        <v>58</v>
      </c>
      <c r="O344" s="125" t="s">
        <v>800</v>
      </c>
      <c r="P344" s="119"/>
      <c r="Q344" s="94" t="s">
        <v>39</v>
      </c>
      <c r="R344" s="124" t="s">
        <v>768</v>
      </c>
      <c r="S344" s="91" t="s">
        <v>750</v>
      </c>
      <c r="T344" s="94" t="s">
        <v>56</v>
      </c>
      <c r="U344" s="94" t="s">
        <v>408</v>
      </c>
      <c r="V344" s="94" t="s">
        <v>51</v>
      </c>
      <c r="W344" s="94" t="s">
        <v>51</v>
      </c>
      <c r="X344" s="124" t="s">
        <v>52</v>
      </c>
      <c r="Y344" s="124" t="s">
        <v>727</v>
      </c>
      <c r="Z344" s="91"/>
      <c r="AA344" s="91" t="s">
        <v>754</v>
      </c>
      <c r="AB344" s="91"/>
      <c r="AC344" s="91"/>
      <c r="AD344" s="91"/>
      <c r="AE344" s="91"/>
      <c r="AF344" s="91"/>
      <c r="AG344" s="91"/>
      <c r="AH344" s="91"/>
    </row>
    <row r="345" spans="1:34" customFormat="1" ht="30">
      <c r="A345" s="120">
        <v>344</v>
      </c>
      <c r="B345" s="120" t="b">
        <f t="shared" ca="1" si="5"/>
        <v>0</v>
      </c>
      <c r="C345" s="121">
        <v>45483</v>
      </c>
      <c r="D345" s="137">
        <v>0.58714120370370371</v>
      </c>
      <c r="E345" s="94">
        <v>2033</v>
      </c>
      <c r="F345" s="142">
        <v>1210</v>
      </c>
      <c r="G345" s="94" t="s">
        <v>34</v>
      </c>
      <c r="H345" s="94">
        <v>1048</v>
      </c>
      <c r="I345" s="115">
        <v>35214500046078</v>
      </c>
      <c r="J345" s="94" t="s">
        <v>35</v>
      </c>
      <c r="K345" s="152">
        <v>6.13</v>
      </c>
      <c r="L345" s="122" t="s">
        <v>790</v>
      </c>
      <c r="M345" s="133" t="s">
        <v>36</v>
      </c>
      <c r="N345" s="180" t="s">
        <v>37</v>
      </c>
      <c r="O345" s="125" t="s">
        <v>801</v>
      </c>
      <c r="P345" s="119"/>
      <c r="Q345" s="94" t="s">
        <v>39</v>
      </c>
      <c r="R345" s="124" t="s">
        <v>768</v>
      </c>
      <c r="S345" s="91" t="s">
        <v>712</v>
      </c>
      <c r="T345" s="94" t="s">
        <v>56</v>
      </c>
      <c r="U345" s="94" t="s">
        <v>408</v>
      </c>
      <c r="V345" s="94" t="s">
        <v>51</v>
      </c>
      <c r="W345" s="94" t="s">
        <v>43</v>
      </c>
      <c r="X345" s="124" t="s">
        <v>52</v>
      </c>
      <c r="Y345" s="124" t="s">
        <v>622</v>
      </c>
      <c r="Z345" s="91"/>
      <c r="AA345" s="91" t="s">
        <v>802</v>
      </c>
      <c r="AB345" s="91"/>
      <c r="AC345" s="91"/>
      <c r="AD345" s="91"/>
      <c r="AE345" s="91"/>
      <c r="AF345" s="91"/>
      <c r="AG345" s="91"/>
      <c r="AH345" s="91"/>
    </row>
    <row r="346" spans="1:34" s="1" customFormat="1" ht="30">
      <c r="A346" s="120">
        <v>345</v>
      </c>
      <c r="B346" s="120" t="b">
        <f t="shared" ca="1" si="5"/>
        <v>0</v>
      </c>
      <c r="C346" s="121">
        <v>45483</v>
      </c>
      <c r="D346" s="137">
        <v>0.67680555555555555</v>
      </c>
      <c r="E346" s="94">
        <v>1033</v>
      </c>
      <c r="F346" s="142">
        <v>1203</v>
      </c>
      <c r="G346" s="94" t="s">
        <v>71</v>
      </c>
      <c r="H346" s="94">
        <v>1027</v>
      </c>
      <c r="I346" s="115">
        <v>35214500045083</v>
      </c>
      <c r="J346" s="94" t="s">
        <v>72</v>
      </c>
      <c r="K346" s="152">
        <v>7.3209999999999997</v>
      </c>
      <c r="L346" s="122" t="s">
        <v>790</v>
      </c>
      <c r="M346" s="133" t="s">
        <v>36</v>
      </c>
      <c r="N346" s="180" t="s">
        <v>37</v>
      </c>
      <c r="O346" s="125" t="s">
        <v>803</v>
      </c>
      <c r="P346" s="119"/>
      <c r="Q346" s="94" t="s">
        <v>39</v>
      </c>
      <c r="R346" s="124" t="s">
        <v>768</v>
      </c>
      <c r="S346" s="91" t="s">
        <v>769</v>
      </c>
      <c r="T346" s="94" t="s">
        <v>69</v>
      </c>
      <c r="U346" s="94" t="s">
        <v>70</v>
      </c>
      <c r="V346" s="94" t="s">
        <v>51</v>
      </c>
      <c r="W346" s="94" t="s">
        <v>51</v>
      </c>
      <c r="X346" s="124" t="s">
        <v>52</v>
      </c>
      <c r="Y346" s="124" t="s">
        <v>622</v>
      </c>
      <c r="Z346" s="91"/>
      <c r="AA346" s="91" t="s">
        <v>754</v>
      </c>
      <c r="AB346" s="91"/>
      <c r="AC346" s="91"/>
      <c r="AD346" s="91"/>
      <c r="AE346" s="91"/>
      <c r="AF346" s="91"/>
      <c r="AG346" s="91"/>
      <c r="AH346" s="91"/>
    </row>
    <row r="347" spans="1:34" s="1" customFormat="1" ht="30">
      <c r="A347" s="120">
        <v>346</v>
      </c>
      <c r="B347" s="120" t="b">
        <f t="shared" ca="1" si="5"/>
        <v>0</v>
      </c>
      <c r="C347" s="121">
        <v>45483</v>
      </c>
      <c r="D347" s="137">
        <v>0.84956018518518517</v>
      </c>
      <c r="E347" s="94">
        <v>2057</v>
      </c>
      <c r="F347" s="142">
        <v>1210</v>
      </c>
      <c r="G347" s="94" t="s">
        <v>34</v>
      </c>
      <c r="H347" s="94">
        <v>1049</v>
      </c>
      <c r="I347" s="115">
        <v>35214500046076</v>
      </c>
      <c r="J347" s="94" t="s">
        <v>35</v>
      </c>
      <c r="K347" s="91">
        <v>86.238</v>
      </c>
      <c r="L347" s="122" t="s">
        <v>804</v>
      </c>
      <c r="M347" s="133" t="s">
        <v>36</v>
      </c>
      <c r="N347" s="181" t="s">
        <v>58</v>
      </c>
      <c r="O347" s="125" t="s">
        <v>805</v>
      </c>
      <c r="P347" s="126"/>
      <c r="Q347" s="124" t="s">
        <v>150</v>
      </c>
      <c r="R347" s="124" t="s">
        <v>765</v>
      </c>
      <c r="S347" s="91" t="s">
        <v>806</v>
      </c>
      <c r="T347" s="94" t="s">
        <v>69</v>
      </c>
      <c r="U347" s="94" t="s">
        <v>230</v>
      </c>
      <c r="V347" s="94" t="s">
        <v>51</v>
      </c>
      <c r="W347" s="94" t="s">
        <v>51</v>
      </c>
      <c r="X347" s="124" t="s">
        <v>52</v>
      </c>
      <c r="Y347" s="124" t="s">
        <v>622</v>
      </c>
      <c r="Z347" s="91"/>
      <c r="AA347" s="91" t="s">
        <v>754</v>
      </c>
      <c r="AB347" s="91"/>
      <c r="AC347" s="91"/>
      <c r="AD347" s="91"/>
      <c r="AE347" s="91"/>
      <c r="AF347" s="91"/>
      <c r="AG347" s="91"/>
      <c r="AH347" s="91"/>
    </row>
    <row r="348" spans="1:34" s="1" customFormat="1" ht="30">
      <c r="A348" s="120">
        <v>347</v>
      </c>
      <c r="B348" s="120" t="b">
        <f t="shared" ca="1" si="5"/>
        <v>0</v>
      </c>
      <c r="C348" s="121">
        <v>45484</v>
      </c>
      <c r="D348" s="137">
        <v>0.33832175925925928</v>
      </c>
      <c r="E348" s="94">
        <v>1001</v>
      </c>
      <c r="F348" s="142">
        <v>1203</v>
      </c>
      <c r="G348" s="94" t="s">
        <v>71</v>
      </c>
      <c r="H348" s="94">
        <v>1026</v>
      </c>
      <c r="I348" s="115">
        <v>35214500045329</v>
      </c>
      <c r="J348" s="94" t="s">
        <v>72</v>
      </c>
      <c r="K348" s="91">
        <v>10.125</v>
      </c>
      <c r="L348" s="122" t="s">
        <v>413</v>
      </c>
      <c r="M348" s="133" t="s">
        <v>36</v>
      </c>
      <c r="N348" s="181" t="s">
        <v>58</v>
      </c>
      <c r="O348" s="125" t="s">
        <v>807</v>
      </c>
      <c r="P348" s="126"/>
      <c r="Q348" s="124" t="s">
        <v>47</v>
      </c>
      <c r="R348" s="124" t="s">
        <v>808</v>
      </c>
      <c r="S348" s="91" t="s">
        <v>809</v>
      </c>
      <c r="T348" s="94" t="s">
        <v>69</v>
      </c>
      <c r="U348" s="94" t="s">
        <v>120</v>
      </c>
      <c r="V348" s="94" t="s">
        <v>43</v>
      </c>
      <c r="W348" s="94" t="s">
        <v>51</v>
      </c>
      <c r="X348" s="124" t="s">
        <v>52</v>
      </c>
      <c r="Y348" s="124" t="s">
        <v>227</v>
      </c>
      <c r="Z348" s="91"/>
      <c r="AA348" s="91" t="s">
        <v>810</v>
      </c>
      <c r="AB348" s="91"/>
      <c r="AC348" s="91"/>
      <c r="AD348" s="91"/>
      <c r="AE348" s="91"/>
      <c r="AF348" s="91"/>
      <c r="AG348" s="91"/>
      <c r="AH348" s="91"/>
    </row>
    <row r="349" spans="1:34" s="1" customFormat="1" ht="30">
      <c r="A349" s="120">
        <v>348</v>
      </c>
      <c r="B349" s="120" t="b">
        <f t="shared" ca="1" si="5"/>
        <v>0</v>
      </c>
      <c r="C349" s="121">
        <v>45484</v>
      </c>
      <c r="D349" s="137">
        <v>0.83665509259259263</v>
      </c>
      <c r="E349" s="94">
        <v>2057</v>
      </c>
      <c r="F349" s="142">
        <v>1207</v>
      </c>
      <c r="G349" s="94" t="s">
        <v>34</v>
      </c>
      <c r="H349" s="94">
        <v>1046</v>
      </c>
      <c r="I349" s="115">
        <v>35214500038730</v>
      </c>
      <c r="J349" s="94" t="s">
        <v>35</v>
      </c>
      <c r="K349" s="152">
        <v>6.13</v>
      </c>
      <c r="L349" s="122" t="s">
        <v>790</v>
      </c>
      <c r="M349" s="133" t="s">
        <v>36</v>
      </c>
      <c r="N349" s="181" t="s">
        <v>58</v>
      </c>
      <c r="O349" s="125" t="s">
        <v>811</v>
      </c>
      <c r="P349" s="119"/>
      <c r="Q349" s="94" t="s">
        <v>39</v>
      </c>
      <c r="R349" s="124" t="s">
        <v>768</v>
      </c>
      <c r="S349" s="91" t="s">
        <v>750</v>
      </c>
      <c r="T349" s="94" t="s">
        <v>69</v>
      </c>
      <c r="U349" s="94" t="s">
        <v>156</v>
      </c>
      <c r="V349" s="94" t="s">
        <v>43</v>
      </c>
      <c r="W349" s="94" t="s">
        <v>51</v>
      </c>
      <c r="X349" s="124" t="s">
        <v>52</v>
      </c>
      <c r="Y349" s="124" t="s">
        <v>227</v>
      </c>
      <c r="Z349" s="91"/>
      <c r="AA349" s="91" t="s">
        <v>772</v>
      </c>
      <c r="AB349" s="91"/>
      <c r="AC349" s="91"/>
      <c r="AD349" s="91"/>
      <c r="AE349" s="91"/>
      <c r="AF349" s="91"/>
      <c r="AG349" s="91"/>
      <c r="AH349" s="91"/>
    </row>
    <row r="350" spans="1:34" s="1" customFormat="1" ht="30">
      <c r="A350" s="120">
        <v>349</v>
      </c>
      <c r="B350" s="120" t="b">
        <f t="shared" ca="1" si="5"/>
        <v>0</v>
      </c>
      <c r="C350" s="121">
        <v>45484</v>
      </c>
      <c r="D350" s="137">
        <v>0.90472222222222221</v>
      </c>
      <c r="E350" s="94">
        <v>2061</v>
      </c>
      <c r="F350" s="142">
        <v>1208</v>
      </c>
      <c r="G350" s="94" t="s">
        <v>34</v>
      </c>
      <c r="H350" s="94">
        <v>1036</v>
      </c>
      <c r="I350" s="115">
        <v>35214500045461</v>
      </c>
      <c r="J350" s="94" t="s">
        <v>35</v>
      </c>
      <c r="K350" s="91">
        <v>177.85</v>
      </c>
      <c r="L350" s="122" t="str">
        <f>VLOOKUP(K350,Liste!$L$2:$O$34,4,1)</f>
        <v>GSMR_30/31</v>
      </c>
      <c r="M350" s="133" t="s">
        <v>36</v>
      </c>
      <c r="N350" s="181" t="s">
        <v>58</v>
      </c>
      <c r="O350" s="125" t="s">
        <v>812</v>
      </c>
      <c r="P350" s="126"/>
      <c r="Q350" s="124" t="s">
        <v>150</v>
      </c>
      <c r="R350" s="124" t="s">
        <v>765</v>
      </c>
      <c r="S350" s="91" t="s">
        <v>813</v>
      </c>
      <c r="T350" s="94" t="s">
        <v>69</v>
      </c>
      <c r="U350" s="94" t="s">
        <v>230</v>
      </c>
      <c r="V350" s="94" t="s">
        <v>51</v>
      </c>
      <c r="W350" s="94" t="s">
        <v>51</v>
      </c>
      <c r="X350" s="124" t="s">
        <v>52</v>
      </c>
      <c r="Y350" s="124" t="s">
        <v>622</v>
      </c>
      <c r="Z350" s="91"/>
      <c r="AA350" s="91" t="s">
        <v>793</v>
      </c>
      <c r="AB350" s="91"/>
      <c r="AC350" s="91"/>
      <c r="AD350" s="91"/>
      <c r="AE350" s="91"/>
      <c r="AF350" s="91"/>
      <c r="AG350" s="91"/>
      <c r="AH350" s="91"/>
    </row>
    <row r="351" spans="1:34" s="1" customFormat="1" ht="30">
      <c r="A351" s="120">
        <v>350</v>
      </c>
      <c r="B351" s="120" t="b">
        <f t="shared" ca="1" si="5"/>
        <v>0</v>
      </c>
      <c r="C351" s="121">
        <v>45485</v>
      </c>
      <c r="D351" s="137">
        <v>0.50385416666666671</v>
      </c>
      <c r="E351" s="94">
        <v>2025</v>
      </c>
      <c r="F351" s="142">
        <v>1209</v>
      </c>
      <c r="G351" s="94" t="s">
        <v>34</v>
      </c>
      <c r="H351" s="94">
        <v>7208</v>
      </c>
      <c r="I351" s="115">
        <v>35214500004427</v>
      </c>
      <c r="J351" s="94" t="s">
        <v>35</v>
      </c>
      <c r="K351" s="152">
        <v>6.13</v>
      </c>
      <c r="L351" s="122" t="str">
        <f>VLOOKUP(K351,Liste!$L$2:$O$34,4,1)</f>
        <v>GSMR_02/03</v>
      </c>
      <c r="M351" s="133" t="s">
        <v>36</v>
      </c>
      <c r="N351" s="180" t="s">
        <v>37</v>
      </c>
      <c r="O351" s="125" t="s">
        <v>814</v>
      </c>
      <c r="P351" s="119"/>
      <c r="Q351" s="94" t="s">
        <v>531</v>
      </c>
      <c r="R351" s="124" t="s">
        <v>768</v>
      </c>
      <c r="S351" s="91" t="s">
        <v>769</v>
      </c>
      <c r="T351" s="94" t="s">
        <v>93</v>
      </c>
      <c r="U351" s="94" t="s">
        <v>156</v>
      </c>
      <c r="V351" s="94" t="s">
        <v>43</v>
      </c>
      <c r="W351" s="94" t="s">
        <v>51</v>
      </c>
      <c r="X351" s="124" t="s">
        <v>52</v>
      </c>
      <c r="Y351" s="124" t="s">
        <v>622</v>
      </c>
      <c r="Z351" s="91"/>
      <c r="AA351" s="91" t="s">
        <v>810</v>
      </c>
      <c r="AB351" s="91"/>
      <c r="AC351" s="91"/>
      <c r="AD351" s="91"/>
      <c r="AE351" s="91"/>
      <c r="AF351" s="91"/>
      <c r="AG351" s="91"/>
      <c r="AH351" s="91"/>
    </row>
    <row r="352" spans="1:34" s="1" customFormat="1" ht="30">
      <c r="A352" s="120">
        <v>351</v>
      </c>
      <c r="B352" s="120" t="b">
        <f t="shared" ca="1" si="5"/>
        <v>0</v>
      </c>
      <c r="C352" s="121">
        <v>45485</v>
      </c>
      <c r="D352" s="137">
        <v>0.63876157407407408</v>
      </c>
      <c r="E352" s="94">
        <v>2037</v>
      </c>
      <c r="F352" s="142">
        <v>1202</v>
      </c>
      <c r="G352" s="94" t="s">
        <v>34</v>
      </c>
      <c r="H352" s="94">
        <v>1042</v>
      </c>
      <c r="I352" s="115">
        <v>35214500045498</v>
      </c>
      <c r="J352" s="94" t="s">
        <v>35</v>
      </c>
      <c r="K352" s="91">
        <v>60.945</v>
      </c>
      <c r="L352" s="122" t="str">
        <f>VLOOKUP(K352,Liste!$L$2:$O$34,4,1)</f>
        <v>GSMR_11/12</v>
      </c>
      <c r="M352" s="133" t="s">
        <v>36</v>
      </c>
      <c r="N352" s="180" t="s">
        <v>37</v>
      </c>
      <c r="O352" s="125" t="s">
        <v>815</v>
      </c>
      <c r="P352" s="126"/>
      <c r="Q352" s="124" t="s">
        <v>150</v>
      </c>
      <c r="R352" s="124" t="s">
        <v>816</v>
      </c>
      <c r="S352" s="91" t="s">
        <v>817</v>
      </c>
      <c r="T352" s="94" t="s">
        <v>69</v>
      </c>
      <c r="U352" s="94" t="s">
        <v>120</v>
      </c>
      <c r="V352" s="94" t="s">
        <v>51</v>
      </c>
      <c r="W352" s="94" t="s">
        <v>51</v>
      </c>
      <c r="X352" s="124" t="s">
        <v>52</v>
      </c>
      <c r="Y352" s="124" t="s">
        <v>622</v>
      </c>
      <c r="Z352" s="91"/>
      <c r="AA352" s="91" t="s">
        <v>772</v>
      </c>
      <c r="AB352" s="91"/>
      <c r="AC352" s="91"/>
      <c r="AD352" s="91"/>
      <c r="AE352" s="91"/>
      <c r="AF352" s="91"/>
      <c r="AG352" s="91"/>
      <c r="AH352" s="91"/>
    </row>
    <row r="353" spans="1:34" s="1" customFormat="1" ht="30">
      <c r="A353" s="120">
        <v>352</v>
      </c>
      <c r="B353" s="120" t="b">
        <f t="shared" ca="1" si="5"/>
        <v>0</v>
      </c>
      <c r="C353" s="121">
        <v>45485</v>
      </c>
      <c r="D353" s="137">
        <v>0.78787037037037033</v>
      </c>
      <c r="E353" s="94">
        <v>2046</v>
      </c>
      <c r="F353" s="142">
        <v>1211</v>
      </c>
      <c r="G353" s="94" t="s">
        <v>71</v>
      </c>
      <c r="H353" s="94">
        <v>1042</v>
      </c>
      <c r="I353" s="115">
        <v>35214500046055</v>
      </c>
      <c r="J353" s="94" t="s">
        <v>72</v>
      </c>
      <c r="K353" s="91">
        <v>59.758000000000003</v>
      </c>
      <c r="L353" s="122" t="str">
        <f>VLOOKUP(K353,Liste!$L$2:$O$34,4,1)</f>
        <v>GSMR_10/11</v>
      </c>
      <c r="M353" s="133" t="s">
        <v>36</v>
      </c>
      <c r="N353" s="180" t="s">
        <v>37</v>
      </c>
      <c r="O353" s="125" t="s">
        <v>818</v>
      </c>
      <c r="P353" s="126"/>
      <c r="Q353" s="124" t="s">
        <v>47</v>
      </c>
      <c r="R353" s="124" t="s">
        <v>808</v>
      </c>
      <c r="S353" s="91" t="s">
        <v>819</v>
      </c>
      <c r="T353" s="94" t="s">
        <v>69</v>
      </c>
      <c r="U353" s="94" t="s">
        <v>572</v>
      </c>
      <c r="V353" s="94" t="s">
        <v>51</v>
      </c>
      <c r="W353" s="94" t="s">
        <v>43</v>
      </c>
      <c r="X353" s="124" t="s">
        <v>400</v>
      </c>
      <c r="Y353" s="124" t="s">
        <v>622</v>
      </c>
      <c r="Z353" s="91"/>
      <c r="AA353" s="91" t="s">
        <v>772</v>
      </c>
      <c r="AB353" s="91"/>
      <c r="AC353" s="91"/>
      <c r="AD353" s="91"/>
      <c r="AE353" s="91"/>
      <c r="AF353" s="91"/>
      <c r="AG353" s="91"/>
      <c r="AH353" s="91"/>
    </row>
    <row r="354" spans="1:34" s="1" customFormat="1" ht="30">
      <c r="A354" s="120">
        <v>353</v>
      </c>
      <c r="B354" s="120" t="b">
        <f t="shared" ca="1" si="5"/>
        <v>0</v>
      </c>
      <c r="C354" s="121">
        <v>45485</v>
      </c>
      <c r="D354" s="137">
        <v>0.83732638888888888</v>
      </c>
      <c r="E354" s="94">
        <v>2057</v>
      </c>
      <c r="F354" s="142">
        <v>1204</v>
      </c>
      <c r="G354" s="94" t="s">
        <v>34</v>
      </c>
      <c r="H354" s="94">
        <v>3740</v>
      </c>
      <c r="I354" s="115">
        <v>35214500044497</v>
      </c>
      <c r="J354" s="94" t="s">
        <v>35</v>
      </c>
      <c r="K354" s="152">
        <v>6.13</v>
      </c>
      <c r="L354" s="122" t="str">
        <f>VLOOKUP(K354,Liste!$L$2:$O$34,4,1)</f>
        <v>GSMR_02/03</v>
      </c>
      <c r="M354" s="133" t="s">
        <v>36</v>
      </c>
      <c r="N354" s="181" t="s">
        <v>58</v>
      </c>
      <c r="O354" s="125" t="s">
        <v>820</v>
      </c>
      <c r="P354" s="119"/>
      <c r="Q354" s="94" t="s">
        <v>531</v>
      </c>
      <c r="R354" s="124" t="s">
        <v>768</v>
      </c>
      <c r="S354" s="91" t="s">
        <v>712</v>
      </c>
      <c r="T354" s="94" t="s">
        <v>93</v>
      </c>
      <c r="U354" s="94" t="s">
        <v>408</v>
      </c>
      <c r="V354" s="94" t="s">
        <v>43</v>
      </c>
      <c r="W354" s="94" t="s">
        <v>51</v>
      </c>
      <c r="X354" s="124" t="s">
        <v>52</v>
      </c>
      <c r="Y354" s="124" t="s">
        <v>622</v>
      </c>
      <c r="Z354" s="91"/>
      <c r="AA354" s="91" t="s">
        <v>772</v>
      </c>
      <c r="AB354" s="91"/>
      <c r="AC354" s="91"/>
      <c r="AD354" s="91"/>
      <c r="AE354" s="91"/>
      <c r="AF354" s="91"/>
      <c r="AG354" s="91"/>
      <c r="AH354" s="91"/>
    </row>
    <row r="355" spans="1:34" s="1" customFormat="1" ht="30">
      <c r="A355" s="120">
        <v>354</v>
      </c>
      <c r="B355" s="120" t="b">
        <f t="shared" ca="1" si="5"/>
        <v>0</v>
      </c>
      <c r="C355" s="121">
        <v>45485</v>
      </c>
      <c r="D355" s="137">
        <v>0.87942129629629628</v>
      </c>
      <c r="E355" s="94">
        <v>1054</v>
      </c>
      <c r="F355" s="142">
        <v>1203</v>
      </c>
      <c r="G355" s="94" t="s">
        <v>71</v>
      </c>
      <c r="H355" s="94">
        <v>1053</v>
      </c>
      <c r="I355" s="115">
        <v>35214500045329</v>
      </c>
      <c r="J355" s="94" t="s">
        <v>72</v>
      </c>
      <c r="K355" s="152">
        <v>7.3209999999999997</v>
      </c>
      <c r="L355" s="122" t="str">
        <f>VLOOKUP(K355,Liste!$L$2:$O$34,4,1)</f>
        <v>GSMR_02/03</v>
      </c>
      <c r="M355" s="133" t="s">
        <v>36</v>
      </c>
      <c r="N355" s="180" t="s">
        <v>37</v>
      </c>
      <c r="O355" s="125" t="s">
        <v>821</v>
      </c>
      <c r="P355" s="119"/>
      <c r="Q355" s="94" t="s">
        <v>531</v>
      </c>
      <c r="R355" s="124" t="s">
        <v>768</v>
      </c>
      <c r="S355" s="91" t="s">
        <v>726</v>
      </c>
      <c r="T355" s="94" t="s">
        <v>93</v>
      </c>
      <c r="U355" s="94" t="s">
        <v>408</v>
      </c>
      <c r="V355" s="94" t="s">
        <v>51</v>
      </c>
      <c r="W355" s="94" t="s">
        <v>51</v>
      </c>
      <c r="X355" s="124" t="s">
        <v>52</v>
      </c>
      <c r="Y355" s="124" t="s">
        <v>622</v>
      </c>
      <c r="Z355" s="91"/>
      <c r="AA355" s="91" t="s">
        <v>793</v>
      </c>
      <c r="AB355" s="91"/>
      <c r="AC355" s="91"/>
      <c r="AD355" s="91"/>
      <c r="AE355" s="91"/>
      <c r="AF355" s="91"/>
      <c r="AG355" s="91"/>
      <c r="AH355" s="91"/>
    </row>
    <row r="356" spans="1:34" s="1" customFormat="1" ht="30">
      <c r="A356" s="120">
        <v>355</v>
      </c>
      <c r="B356" s="120" t="b">
        <f t="shared" ca="1" si="5"/>
        <v>0</v>
      </c>
      <c r="C356" s="121">
        <v>45485</v>
      </c>
      <c r="D356" s="137">
        <v>0.89582175925925922</v>
      </c>
      <c r="E356" s="94">
        <v>2061</v>
      </c>
      <c r="F356" s="142">
        <v>1202</v>
      </c>
      <c r="G356" s="94" t="s">
        <v>34</v>
      </c>
      <c r="H356" s="94">
        <v>1043</v>
      </c>
      <c r="I356" s="115">
        <v>35214500045498</v>
      </c>
      <c r="J356" s="94" t="s">
        <v>35</v>
      </c>
      <c r="K356" s="91">
        <v>113.321</v>
      </c>
      <c r="L356" s="122" t="str">
        <f>VLOOKUP(K356,Liste!$L$2:$O$34,4,1)</f>
        <v>GSMR_20/21</v>
      </c>
      <c r="M356" s="133" t="s">
        <v>36</v>
      </c>
      <c r="N356" s="180" t="s">
        <v>37</v>
      </c>
      <c r="O356" s="125" t="s">
        <v>822</v>
      </c>
      <c r="P356" s="126"/>
      <c r="Q356" s="94" t="s">
        <v>54</v>
      </c>
      <c r="R356" s="124" t="s">
        <v>823</v>
      </c>
      <c r="S356" s="91" t="s">
        <v>824</v>
      </c>
      <c r="T356" s="94" t="s">
        <v>93</v>
      </c>
      <c r="U356" s="94" t="s">
        <v>102</v>
      </c>
      <c r="V356" s="94" t="s">
        <v>43</v>
      </c>
      <c r="W356" s="94" t="s">
        <v>51</v>
      </c>
      <c r="X356" s="124" t="s">
        <v>52</v>
      </c>
      <c r="Y356" s="124" t="s">
        <v>622</v>
      </c>
      <c r="Z356" s="91"/>
      <c r="AA356" s="91" t="s">
        <v>793</v>
      </c>
      <c r="AB356" s="91"/>
      <c r="AC356" s="91"/>
      <c r="AD356" s="91"/>
      <c r="AE356" s="91"/>
      <c r="AF356" s="91"/>
      <c r="AG356" s="91"/>
      <c r="AH356" s="91"/>
    </row>
    <row r="357" spans="1:34" s="1" customFormat="1" ht="30">
      <c r="A357" s="120">
        <v>356</v>
      </c>
      <c r="B357" s="120" t="b">
        <f t="shared" ca="1" si="5"/>
        <v>0</v>
      </c>
      <c r="C357" s="121">
        <v>45486</v>
      </c>
      <c r="D357" s="137">
        <v>0.51437500000000003</v>
      </c>
      <c r="E357" s="94">
        <v>2025</v>
      </c>
      <c r="F357" s="142">
        <v>1203</v>
      </c>
      <c r="G357" s="94" t="s">
        <v>34</v>
      </c>
      <c r="H357" s="94">
        <v>1024</v>
      </c>
      <c r="I357" s="115">
        <v>35214500045122</v>
      </c>
      <c r="J357" s="94" t="s">
        <v>35</v>
      </c>
      <c r="K357" s="91">
        <v>75.84</v>
      </c>
      <c r="L357" s="122" t="str">
        <f>VLOOKUP(K357,Liste!$L$2:$O$34,4,1)</f>
        <v>GSMR_13/14</v>
      </c>
      <c r="M357" s="133" t="s">
        <v>36</v>
      </c>
      <c r="N357" s="181" t="s">
        <v>58</v>
      </c>
      <c r="O357" s="125" t="s">
        <v>825</v>
      </c>
      <c r="P357" s="126"/>
      <c r="Q357" s="124" t="s">
        <v>150</v>
      </c>
      <c r="R357" s="124" t="s">
        <v>816</v>
      </c>
      <c r="S357" s="91" t="s">
        <v>826</v>
      </c>
      <c r="T357" s="94" t="s">
        <v>69</v>
      </c>
      <c r="U357" s="94" t="s">
        <v>120</v>
      </c>
      <c r="V357" s="94" t="s">
        <v>51</v>
      </c>
      <c r="W357" s="94" t="s">
        <v>51</v>
      </c>
      <c r="X357" s="124" t="s">
        <v>52</v>
      </c>
      <c r="Y357" s="124" t="s">
        <v>622</v>
      </c>
      <c r="Z357" s="91"/>
      <c r="AA357" s="91" t="s">
        <v>754</v>
      </c>
      <c r="AB357" s="91"/>
      <c r="AC357" s="91"/>
      <c r="AD357" s="91"/>
      <c r="AE357" s="91"/>
      <c r="AF357" s="91"/>
      <c r="AG357" s="91"/>
      <c r="AH357" s="91"/>
    </row>
    <row r="358" spans="1:34" s="1" customFormat="1" ht="30">
      <c r="A358" s="120">
        <v>357</v>
      </c>
      <c r="B358" s="120" t="b">
        <f t="shared" ca="1" si="5"/>
        <v>0</v>
      </c>
      <c r="C358" s="121">
        <v>45486</v>
      </c>
      <c r="D358" s="137">
        <v>0.54099537037037038</v>
      </c>
      <c r="E358" s="94">
        <v>2025</v>
      </c>
      <c r="F358" s="142">
        <v>1203</v>
      </c>
      <c r="G358" s="94" t="s">
        <v>34</v>
      </c>
      <c r="H358" s="94">
        <v>1025</v>
      </c>
      <c r="I358" s="115">
        <v>35214500045073</v>
      </c>
      <c r="J358" s="94" t="s">
        <v>35</v>
      </c>
      <c r="K358" s="91">
        <v>185.82499999999999</v>
      </c>
      <c r="L358" s="122" t="str">
        <f>VLOOKUP(K358,Liste!$L$2:$O$34,4,1)</f>
        <v>GSMR_32/33</v>
      </c>
      <c r="M358" s="133" t="s">
        <v>36</v>
      </c>
      <c r="N358" s="180" t="s">
        <v>37</v>
      </c>
      <c r="O358" s="125" t="s">
        <v>827</v>
      </c>
      <c r="P358" s="126"/>
      <c r="Q358" s="124" t="s">
        <v>47</v>
      </c>
      <c r="R358" s="124" t="s">
        <v>828</v>
      </c>
      <c r="S358" s="91" t="s">
        <v>829</v>
      </c>
      <c r="T358" s="94" t="s">
        <v>69</v>
      </c>
      <c r="U358" s="94" t="s">
        <v>408</v>
      </c>
      <c r="V358" s="94" t="s">
        <v>43</v>
      </c>
      <c r="W358" s="94" t="s">
        <v>51</v>
      </c>
      <c r="X358" s="124" t="s">
        <v>52</v>
      </c>
      <c r="Y358" s="124" t="s">
        <v>622</v>
      </c>
      <c r="Z358" s="91"/>
      <c r="AA358" s="91" t="s">
        <v>754</v>
      </c>
      <c r="AB358" s="91"/>
      <c r="AC358" s="91"/>
      <c r="AD358" s="91"/>
      <c r="AE358" s="91"/>
      <c r="AF358" s="91"/>
      <c r="AG358" s="91"/>
      <c r="AH358" s="91"/>
    </row>
    <row r="359" spans="1:34" s="1" customFormat="1" ht="30">
      <c r="A359" s="120">
        <v>358</v>
      </c>
      <c r="B359" s="120" t="b">
        <f t="shared" ca="1" si="5"/>
        <v>0</v>
      </c>
      <c r="C359" s="121">
        <v>45487</v>
      </c>
      <c r="D359" s="137">
        <v>0.31596064814814817</v>
      </c>
      <c r="E359" s="94">
        <v>10075</v>
      </c>
      <c r="F359" s="142">
        <v>1201</v>
      </c>
      <c r="G359" s="94" t="s">
        <v>71</v>
      </c>
      <c r="H359" s="94">
        <v>1061</v>
      </c>
      <c r="I359" s="115">
        <v>35214500042751</v>
      </c>
      <c r="J359" s="94" t="s">
        <v>72</v>
      </c>
      <c r="K359" s="91">
        <v>74.712999999999994</v>
      </c>
      <c r="L359" s="122" t="str">
        <f>VLOOKUP(K359,Liste!$L$2:$O$34,4,1)</f>
        <v>GSMR_13/14</v>
      </c>
      <c r="M359" s="133" t="s">
        <v>36</v>
      </c>
      <c r="N359" s="180" t="s">
        <v>37</v>
      </c>
      <c r="O359" s="125" t="s">
        <v>830</v>
      </c>
      <c r="P359" s="126"/>
      <c r="Q359" s="124" t="s">
        <v>150</v>
      </c>
      <c r="R359" s="124" t="s">
        <v>816</v>
      </c>
      <c r="S359" s="91" t="s">
        <v>831</v>
      </c>
      <c r="T359" s="94" t="s">
        <v>69</v>
      </c>
      <c r="U359" s="94" t="s">
        <v>120</v>
      </c>
      <c r="V359" s="94" t="s">
        <v>51</v>
      </c>
      <c r="W359" s="94" t="s">
        <v>51</v>
      </c>
      <c r="X359" s="124" t="s">
        <v>52</v>
      </c>
      <c r="Y359" s="124" t="s">
        <v>622</v>
      </c>
      <c r="Z359" s="91"/>
      <c r="AA359" s="91" t="s">
        <v>754</v>
      </c>
      <c r="AB359" s="91"/>
      <c r="AC359" s="91"/>
      <c r="AD359" s="91"/>
      <c r="AE359" s="91"/>
      <c r="AF359" s="91"/>
      <c r="AG359" s="91"/>
      <c r="AH359" s="91"/>
    </row>
    <row r="360" spans="1:34" s="1" customFormat="1" ht="30">
      <c r="A360" s="120">
        <v>359</v>
      </c>
      <c r="B360" s="120" t="b">
        <f t="shared" ca="1" si="5"/>
        <v>0</v>
      </c>
      <c r="C360" s="121">
        <v>45487</v>
      </c>
      <c r="D360" s="137">
        <v>0.36562499999999998</v>
      </c>
      <c r="E360" s="94">
        <v>1005</v>
      </c>
      <c r="F360" s="142">
        <v>1205</v>
      </c>
      <c r="G360" s="94" t="s">
        <v>71</v>
      </c>
      <c r="H360" s="94">
        <v>1035</v>
      </c>
      <c r="I360" s="115">
        <v>35214500046011</v>
      </c>
      <c r="J360" s="94" t="s">
        <v>72</v>
      </c>
      <c r="K360" s="91">
        <v>94.953999999999994</v>
      </c>
      <c r="L360" s="122" t="str">
        <f>VLOOKUP(K360,Liste!$L$2:$O$34,4,1)</f>
        <v>GSMR_17/18</v>
      </c>
      <c r="M360" s="133" t="s">
        <v>36</v>
      </c>
      <c r="N360" s="180" t="s">
        <v>37</v>
      </c>
      <c r="O360" s="125" t="s">
        <v>832</v>
      </c>
      <c r="P360" s="119"/>
      <c r="Q360" s="94" t="s">
        <v>531</v>
      </c>
      <c r="R360" s="124" t="s">
        <v>833</v>
      </c>
      <c r="S360" s="91" t="s">
        <v>834</v>
      </c>
      <c r="T360" s="94" t="s">
        <v>56</v>
      </c>
      <c r="U360" s="94" t="s">
        <v>449</v>
      </c>
      <c r="V360" s="94" t="s">
        <v>51</v>
      </c>
      <c r="W360" s="94" t="s">
        <v>51</v>
      </c>
      <c r="X360" s="124" t="s">
        <v>52</v>
      </c>
      <c r="Y360" s="124" t="s">
        <v>622</v>
      </c>
      <c r="Z360" s="91"/>
      <c r="AA360" s="91" t="s">
        <v>754</v>
      </c>
      <c r="AB360" s="91"/>
      <c r="AC360" s="91"/>
      <c r="AD360" s="91"/>
      <c r="AE360" s="91"/>
      <c r="AF360" s="91"/>
      <c r="AG360" s="91"/>
      <c r="AH360" s="91"/>
    </row>
    <row r="361" spans="1:34" s="1" customFormat="1" ht="30">
      <c r="A361" s="120">
        <v>360</v>
      </c>
      <c r="B361" s="120" t="b">
        <f t="shared" ca="1" si="5"/>
        <v>0</v>
      </c>
      <c r="C361" s="121">
        <v>45487</v>
      </c>
      <c r="D361" s="137">
        <v>0.39363425925925927</v>
      </c>
      <c r="E361" s="94">
        <v>2013</v>
      </c>
      <c r="F361" s="142">
        <v>1201</v>
      </c>
      <c r="G361" s="94" t="s">
        <v>34</v>
      </c>
      <c r="H361" s="94">
        <v>7206</v>
      </c>
      <c r="I361" s="115">
        <v>35214500026718</v>
      </c>
      <c r="J361" s="94" t="s">
        <v>35</v>
      </c>
      <c r="K361" s="91">
        <v>108.206</v>
      </c>
      <c r="L361" s="122" t="str">
        <f>VLOOKUP(K361,Liste!$L$2:$O$34,4,1)</f>
        <v>GSMR_19/20</v>
      </c>
      <c r="M361" s="133" t="s">
        <v>36</v>
      </c>
      <c r="N361" s="180" t="s">
        <v>37</v>
      </c>
      <c r="O361" s="125" t="s">
        <v>835</v>
      </c>
      <c r="P361" s="126"/>
      <c r="Q361" s="94" t="s">
        <v>54</v>
      </c>
      <c r="R361" s="124" t="s">
        <v>836</v>
      </c>
      <c r="S361" s="91" t="s">
        <v>837</v>
      </c>
      <c r="T361" s="94" t="s">
        <v>56</v>
      </c>
      <c r="U361" s="94" t="s">
        <v>140</v>
      </c>
      <c r="V361" s="94" t="s">
        <v>51</v>
      </c>
      <c r="W361" s="94" t="s">
        <v>51</v>
      </c>
      <c r="X361" s="124" t="s">
        <v>52</v>
      </c>
      <c r="Y361" s="124" t="s">
        <v>727</v>
      </c>
      <c r="Z361" s="91"/>
      <c r="AA361" s="91" t="s">
        <v>754</v>
      </c>
      <c r="AB361" s="91"/>
      <c r="AC361" s="91"/>
      <c r="AD361" s="91"/>
      <c r="AE361" s="91"/>
      <c r="AF361" s="91"/>
      <c r="AG361" s="91"/>
      <c r="AH361" s="91"/>
    </row>
    <row r="362" spans="1:34" s="1" customFormat="1" ht="30">
      <c r="A362" s="120">
        <v>361</v>
      </c>
      <c r="B362" s="120" t="b">
        <f t="shared" ca="1" si="5"/>
        <v>0</v>
      </c>
      <c r="C362" s="121">
        <v>45487</v>
      </c>
      <c r="D362" s="137">
        <v>0.45915509259259257</v>
      </c>
      <c r="E362" s="94">
        <v>1013</v>
      </c>
      <c r="F362" s="142">
        <v>1207</v>
      </c>
      <c r="G362" s="94" t="s">
        <v>71</v>
      </c>
      <c r="H362" s="94">
        <v>1008</v>
      </c>
      <c r="I362" s="115">
        <v>35214500045654</v>
      </c>
      <c r="J362" s="94" t="s">
        <v>72</v>
      </c>
      <c r="K362" s="91">
        <v>25.91</v>
      </c>
      <c r="L362" s="122" t="str">
        <f>VLOOKUP(K362,Liste!$L$2:$O$34,4,1)</f>
        <v>GSMR_05/06</v>
      </c>
      <c r="M362" s="133" t="s">
        <v>36</v>
      </c>
      <c r="N362" s="180" t="s">
        <v>37</v>
      </c>
      <c r="O362" s="125" t="s">
        <v>838</v>
      </c>
      <c r="P362" s="126"/>
      <c r="Q362" s="94" t="s">
        <v>54</v>
      </c>
      <c r="R362" s="124" t="s">
        <v>808</v>
      </c>
      <c r="S362" s="91" t="s">
        <v>839</v>
      </c>
      <c r="T362" s="94" t="s">
        <v>93</v>
      </c>
      <c r="U362" s="94" t="s">
        <v>578</v>
      </c>
      <c r="V362" s="94" t="s">
        <v>51</v>
      </c>
      <c r="W362" s="94" t="s">
        <v>51</v>
      </c>
      <c r="X362" s="124" t="s">
        <v>52</v>
      </c>
      <c r="Y362" s="124" t="s">
        <v>622</v>
      </c>
      <c r="Z362" s="91"/>
      <c r="AA362" s="91" t="s">
        <v>754</v>
      </c>
      <c r="AB362" s="91"/>
      <c r="AC362" s="91"/>
      <c r="AD362" s="91"/>
      <c r="AE362" s="91"/>
      <c r="AF362" s="91"/>
      <c r="AG362" s="91"/>
      <c r="AH362" s="91"/>
    </row>
    <row r="363" spans="1:34" s="1" customFormat="1" ht="30">
      <c r="A363" s="120">
        <v>362</v>
      </c>
      <c r="B363" s="120" t="b">
        <f t="shared" ca="1" si="5"/>
        <v>0</v>
      </c>
      <c r="C363" s="121">
        <v>45487</v>
      </c>
      <c r="D363" s="137">
        <v>0.47692129629629632</v>
      </c>
      <c r="E363" s="94">
        <v>2021</v>
      </c>
      <c r="F363" s="142">
        <v>1204</v>
      </c>
      <c r="G363" s="94" t="s">
        <v>34</v>
      </c>
      <c r="H363" s="94">
        <v>1053</v>
      </c>
      <c r="I363" s="115">
        <v>35214500044497</v>
      </c>
      <c r="J363" s="94" t="s">
        <v>35</v>
      </c>
      <c r="K363" s="91">
        <v>104.253</v>
      </c>
      <c r="L363" s="122" t="str">
        <f>VLOOKUP(K363,Liste!$L$2:$O$34,4,1)</f>
        <v>GSMR_18/19</v>
      </c>
      <c r="M363" s="133" t="s">
        <v>36</v>
      </c>
      <c r="N363" s="180" t="s">
        <v>37</v>
      </c>
      <c r="O363" s="125" t="s">
        <v>840</v>
      </c>
      <c r="P363" s="126"/>
      <c r="Q363" s="124" t="s">
        <v>150</v>
      </c>
      <c r="R363" s="124" t="s">
        <v>816</v>
      </c>
      <c r="S363" s="91" t="s">
        <v>841</v>
      </c>
      <c r="T363" s="94" t="s">
        <v>69</v>
      </c>
      <c r="U363" s="94" t="s">
        <v>120</v>
      </c>
      <c r="V363" s="94" t="s">
        <v>51</v>
      </c>
      <c r="W363" s="94" t="s">
        <v>51</v>
      </c>
      <c r="X363" s="124" t="s">
        <v>52</v>
      </c>
      <c r="Y363" s="124" t="s">
        <v>622</v>
      </c>
      <c r="Z363" s="91"/>
      <c r="AA363" s="91" t="s">
        <v>754</v>
      </c>
      <c r="AB363" s="91"/>
      <c r="AC363" s="91"/>
      <c r="AD363" s="91"/>
      <c r="AE363" s="91"/>
      <c r="AF363" s="91"/>
      <c r="AG363" s="91"/>
      <c r="AH363" s="91"/>
    </row>
    <row r="364" spans="1:34" s="1" customFormat="1" ht="30">
      <c r="A364" s="120">
        <v>363</v>
      </c>
      <c r="B364" s="120" t="b">
        <f t="shared" ca="1" si="5"/>
        <v>0</v>
      </c>
      <c r="C364" s="121">
        <v>45487</v>
      </c>
      <c r="D364" s="137">
        <v>0.76824074074074078</v>
      </c>
      <c r="E364" s="94">
        <v>1249</v>
      </c>
      <c r="F364" s="142">
        <v>1207</v>
      </c>
      <c r="G364" s="94" t="s">
        <v>34</v>
      </c>
      <c r="H364" s="94">
        <v>1046</v>
      </c>
      <c r="I364" s="115">
        <v>35214500038730</v>
      </c>
      <c r="J364" s="94" t="s">
        <v>35</v>
      </c>
      <c r="K364" s="91">
        <v>91.364999999999995</v>
      </c>
      <c r="L364" s="122" t="str">
        <f>VLOOKUP(K364,Liste!$L$2:$O$34,4,1)</f>
        <v>GSMR_16/17</v>
      </c>
      <c r="M364" s="133" t="s">
        <v>36</v>
      </c>
      <c r="N364" s="180" t="s">
        <v>37</v>
      </c>
      <c r="O364" s="125" t="s">
        <v>842</v>
      </c>
      <c r="P364" s="126"/>
      <c r="Q364" s="124" t="s">
        <v>150</v>
      </c>
      <c r="R364" s="124" t="s">
        <v>816</v>
      </c>
      <c r="S364" s="91" t="s">
        <v>843</v>
      </c>
      <c r="T364" s="94" t="s">
        <v>69</v>
      </c>
      <c r="U364" s="94" t="s">
        <v>172</v>
      </c>
      <c r="V364" s="94" t="s">
        <v>51</v>
      </c>
      <c r="W364" s="94" t="s">
        <v>51</v>
      </c>
      <c r="X364" s="124" t="s">
        <v>52</v>
      </c>
      <c r="Y364" s="124" t="s">
        <v>622</v>
      </c>
      <c r="Z364" s="91"/>
      <c r="AA364" s="91" t="s">
        <v>772</v>
      </c>
      <c r="AB364" s="91"/>
      <c r="AC364" s="91"/>
      <c r="AD364" s="91"/>
      <c r="AE364" s="91"/>
      <c r="AF364" s="91"/>
      <c r="AG364" s="91"/>
      <c r="AH364" s="91"/>
    </row>
    <row r="365" spans="1:34" s="1" customFormat="1" ht="30">
      <c r="A365" s="120">
        <v>364</v>
      </c>
      <c r="B365" s="120" t="b">
        <f t="shared" ca="1" si="5"/>
        <v>0</v>
      </c>
      <c r="C365" s="121">
        <v>45487</v>
      </c>
      <c r="D365" s="137">
        <v>0.81144675925925924</v>
      </c>
      <c r="E365" s="94">
        <v>2053</v>
      </c>
      <c r="F365" s="142">
        <v>1209</v>
      </c>
      <c r="G365" s="94" t="s">
        <v>34</v>
      </c>
      <c r="H365" s="94">
        <v>7208</v>
      </c>
      <c r="I365" s="115">
        <v>35214500004427</v>
      </c>
      <c r="J365" s="94" t="s">
        <v>35</v>
      </c>
      <c r="K365" s="91">
        <v>109.495</v>
      </c>
      <c r="L365" s="122" t="str">
        <f>VLOOKUP(K365,Liste!$L$2:$O$34,4,1)</f>
        <v>GSMR_19/20</v>
      </c>
      <c r="M365" s="133" t="s">
        <v>36</v>
      </c>
      <c r="N365" s="180" t="s">
        <v>37</v>
      </c>
      <c r="O365" s="125" t="s">
        <v>844</v>
      </c>
      <c r="P365" s="126"/>
      <c r="Q365" s="94" t="s">
        <v>54</v>
      </c>
      <c r="R365" s="124" t="s">
        <v>823</v>
      </c>
      <c r="S365" s="91" t="s">
        <v>837</v>
      </c>
      <c r="T365" s="94" t="s">
        <v>56</v>
      </c>
      <c r="U365" s="94" t="s">
        <v>234</v>
      </c>
      <c r="V365" s="94" t="s">
        <v>51</v>
      </c>
      <c r="W365" s="94" t="s">
        <v>51</v>
      </c>
      <c r="X365" s="124" t="s">
        <v>52</v>
      </c>
      <c r="Y365" s="124" t="s">
        <v>622</v>
      </c>
      <c r="Z365" s="91"/>
      <c r="AA365" s="91" t="s">
        <v>772</v>
      </c>
      <c r="AB365" s="91"/>
      <c r="AC365" s="91"/>
      <c r="AD365" s="91"/>
      <c r="AE365" s="91"/>
      <c r="AF365" s="91"/>
      <c r="AG365" s="91"/>
      <c r="AH365" s="91"/>
    </row>
    <row r="366" spans="1:34" s="1" customFormat="1" ht="30">
      <c r="A366" s="120">
        <v>365</v>
      </c>
      <c r="B366" s="120" t="b">
        <f t="shared" ca="1" si="5"/>
        <v>0</v>
      </c>
      <c r="C366" s="121">
        <v>45487</v>
      </c>
      <c r="D366" s="137">
        <v>0.84995370370370371</v>
      </c>
      <c r="E366" s="94">
        <v>1053</v>
      </c>
      <c r="F366" s="142">
        <v>1203</v>
      </c>
      <c r="G366" s="94" t="s">
        <v>71</v>
      </c>
      <c r="H366" s="94">
        <v>1026</v>
      </c>
      <c r="I366" s="115">
        <v>35214500045329</v>
      </c>
      <c r="J366" s="94" t="s">
        <v>35</v>
      </c>
      <c r="K366" s="91">
        <v>202.125</v>
      </c>
      <c r="L366" s="122" t="str">
        <f>VLOOKUP(K366,Liste!$L$2:$O$34,4,1)</f>
        <v>GSMR_33/RAC</v>
      </c>
      <c r="M366" s="133" t="s">
        <v>36</v>
      </c>
      <c r="N366" s="180" t="s">
        <v>37</v>
      </c>
      <c r="O366" s="125" t="s">
        <v>845</v>
      </c>
      <c r="P366" s="126"/>
      <c r="Q366" s="124" t="s">
        <v>47</v>
      </c>
      <c r="R366" s="124" t="s">
        <v>846</v>
      </c>
      <c r="S366" s="91" t="s">
        <v>843</v>
      </c>
      <c r="T366" s="94" t="s">
        <v>56</v>
      </c>
      <c r="U366" s="94" t="s">
        <v>42</v>
      </c>
      <c r="V366" s="94" t="s">
        <v>51</v>
      </c>
      <c r="W366" s="94" t="s">
        <v>51</v>
      </c>
      <c r="X366" s="124" t="s">
        <v>52</v>
      </c>
      <c r="Y366" s="124" t="s">
        <v>622</v>
      </c>
      <c r="Z366" s="91"/>
      <c r="AA366" s="91" t="s">
        <v>772</v>
      </c>
      <c r="AB366" s="91"/>
      <c r="AC366" s="91"/>
      <c r="AD366" s="91"/>
      <c r="AE366" s="91"/>
      <c r="AF366" s="91"/>
      <c r="AG366" s="91"/>
      <c r="AH366" s="91"/>
    </row>
    <row r="367" spans="1:34" s="1" customFormat="1" ht="45">
      <c r="A367" s="120">
        <v>366</v>
      </c>
      <c r="B367" s="120" t="b">
        <f t="shared" ca="1" si="5"/>
        <v>0</v>
      </c>
      <c r="C367" s="121">
        <v>45487</v>
      </c>
      <c r="D367" s="137">
        <v>0.87673611111111116</v>
      </c>
      <c r="E367" s="94">
        <v>1054</v>
      </c>
      <c r="F367" s="142">
        <v>1203</v>
      </c>
      <c r="G367" s="94" t="s">
        <v>71</v>
      </c>
      <c r="H367" s="94">
        <v>1026</v>
      </c>
      <c r="I367" s="115">
        <v>35214500045329</v>
      </c>
      <c r="J367" s="94" t="s">
        <v>72</v>
      </c>
      <c r="K367" s="91">
        <v>18.89</v>
      </c>
      <c r="L367" s="122" t="str">
        <f>VLOOKUP(K367,Liste!$L$2:$O$34,4,1)</f>
        <v>GSMR_04/05</v>
      </c>
      <c r="M367" s="133" t="s">
        <v>36</v>
      </c>
      <c r="N367" s="180" t="s">
        <v>37</v>
      </c>
      <c r="O367" s="125" t="s">
        <v>847</v>
      </c>
      <c r="P367" s="126"/>
      <c r="Q367" s="94" t="s">
        <v>54</v>
      </c>
      <c r="R367" s="124" t="s">
        <v>848</v>
      </c>
      <c r="S367" s="91" t="s">
        <v>849</v>
      </c>
      <c r="T367" s="94" t="s">
        <v>69</v>
      </c>
      <c r="U367" s="94" t="s">
        <v>120</v>
      </c>
      <c r="V367" s="94" t="s">
        <v>51</v>
      </c>
      <c r="W367" s="94" t="s">
        <v>51</v>
      </c>
      <c r="X367" s="124" t="s">
        <v>52</v>
      </c>
      <c r="Y367" s="124" t="s">
        <v>227</v>
      </c>
      <c r="Z367" s="91"/>
      <c r="AA367" s="91" t="s">
        <v>778</v>
      </c>
      <c r="AB367" s="91"/>
      <c r="AC367" s="91"/>
      <c r="AD367" s="91"/>
      <c r="AE367" s="91"/>
      <c r="AF367" s="91"/>
      <c r="AG367" s="91"/>
      <c r="AH367" s="91"/>
    </row>
    <row r="368" spans="1:34" s="1" customFormat="1" ht="45">
      <c r="A368" s="120">
        <v>367</v>
      </c>
      <c r="B368" s="120" t="b">
        <f t="shared" ca="1" si="5"/>
        <v>0</v>
      </c>
      <c r="C368" s="121">
        <v>45487</v>
      </c>
      <c r="D368" s="137">
        <v>0.87795138888888891</v>
      </c>
      <c r="E368" s="94">
        <v>1054</v>
      </c>
      <c r="F368" s="142">
        <v>1203</v>
      </c>
      <c r="G368" s="94" t="s">
        <v>71</v>
      </c>
      <c r="H368" s="94">
        <v>1027</v>
      </c>
      <c r="I368" s="115">
        <v>35214500045083</v>
      </c>
      <c r="J368" s="94" t="s">
        <v>72</v>
      </c>
      <c r="K368" s="91">
        <v>12.496</v>
      </c>
      <c r="L368" s="122" t="str">
        <f>VLOOKUP(K368,Liste!$L$2:$O$34,4,1)</f>
        <v>GSMR_03/04</v>
      </c>
      <c r="M368" s="133" t="s">
        <v>36</v>
      </c>
      <c r="N368" s="181" t="s">
        <v>58</v>
      </c>
      <c r="O368" s="125" t="s">
        <v>850</v>
      </c>
      <c r="P368" s="119"/>
      <c r="Q368" s="94" t="s">
        <v>531</v>
      </c>
      <c r="R368" s="124" t="s">
        <v>768</v>
      </c>
      <c r="S368" s="91" t="s">
        <v>851</v>
      </c>
      <c r="T368" s="94" t="s">
        <v>69</v>
      </c>
      <c r="U368" s="94" t="s">
        <v>318</v>
      </c>
      <c r="V368" s="94" t="s">
        <v>51</v>
      </c>
      <c r="W368" s="94" t="s">
        <v>51</v>
      </c>
      <c r="X368" s="124" t="s">
        <v>52</v>
      </c>
      <c r="Y368" s="124" t="s">
        <v>622</v>
      </c>
      <c r="Z368" s="91"/>
      <c r="AA368" s="91" t="s">
        <v>778</v>
      </c>
      <c r="AB368" s="91"/>
      <c r="AC368" s="91"/>
      <c r="AD368" s="91"/>
      <c r="AE368" s="91"/>
      <c r="AF368" s="91"/>
      <c r="AG368" s="91"/>
      <c r="AH368" s="91"/>
    </row>
    <row r="369" spans="1:34" s="1" customFormat="1" ht="45">
      <c r="A369" s="120">
        <v>368</v>
      </c>
      <c r="B369" s="120" t="b">
        <f t="shared" ca="1" si="5"/>
        <v>0</v>
      </c>
      <c r="C369" s="121">
        <v>45487</v>
      </c>
      <c r="D369" s="137">
        <v>0.89324074074074078</v>
      </c>
      <c r="E369" s="94">
        <v>1057</v>
      </c>
      <c r="F369" s="142">
        <v>1204</v>
      </c>
      <c r="G369" s="94" t="s">
        <v>71</v>
      </c>
      <c r="H369" s="94">
        <v>1031</v>
      </c>
      <c r="I369" s="115">
        <v>35214500045491</v>
      </c>
      <c r="J369" s="94" t="s">
        <v>72</v>
      </c>
      <c r="K369" s="91">
        <v>185.47</v>
      </c>
      <c r="L369" s="122" t="str">
        <f>VLOOKUP(K369,Liste!$L$2:$O$34,4,1)</f>
        <v>GSMR_32/33</v>
      </c>
      <c r="M369" s="133" t="s">
        <v>36</v>
      </c>
      <c r="N369" s="180" t="s">
        <v>37</v>
      </c>
      <c r="O369" s="125" t="s">
        <v>852</v>
      </c>
      <c r="P369" s="119"/>
      <c r="Q369" s="94" t="s">
        <v>531</v>
      </c>
      <c r="R369" s="124" t="s">
        <v>768</v>
      </c>
      <c r="S369" s="91" t="s">
        <v>853</v>
      </c>
      <c r="T369" s="94" t="s">
        <v>209</v>
      </c>
      <c r="U369" s="94" t="s">
        <v>125</v>
      </c>
      <c r="V369" s="94" t="s">
        <v>43</v>
      </c>
      <c r="W369" s="94" t="s">
        <v>51</v>
      </c>
      <c r="X369" s="124" t="s">
        <v>52</v>
      </c>
      <c r="Y369" s="124" t="s">
        <v>622</v>
      </c>
      <c r="Z369" s="91"/>
      <c r="AA369" s="91" t="s">
        <v>778</v>
      </c>
      <c r="AB369" s="91"/>
      <c r="AC369" s="91"/>
      <c r="AD369" s="91"/>
      <c r="AE369" s="91"/>
      <c r="AF369" s="91"/>
      <c r="AG369" s="91"/>
      <c r="AH369" s="91"/>
    </row>
    <row r="370" spans="1:34" s="1" customFormat="1" ht="45">
      <c r="A370" s="120">
        <v>369</v>
      </c>
      <c r="B370" s="120" t="b">
        <f t="shared" ca="1" si="5"/>
        <v>0</v>
      </c>
      <c r="C370" s="121">
        <v>45487</v>
      </c>
      <c r="D370" s="137">
        <v>0.93837962962962962</v>
      </c>
      <c r="E370" s="94">
        <v>1061</v>
      </c>
      <c r="F370" s="142">
        <v>1210</v>
      </c>
      <c r="G370" s="94" t="s">
        <v>71</v>
      </c>
      <c r="H370" s="94">
        <v>1020</v>
      </c>
      <c r="I370" s="115">
        <v>35214500045491</v>
      </c>
      <c r="J370" s="94" t="s">
        <v>72</v>
      </c>
      <c r="K370" s="91">
        <v>202.125</v>
      </c>
      <c r="L370" s="122" t="str">
        <f>VLOOKUP(K370,Liste!$L$2:$O$34,4,1)</f>
        <v>GSMR_33/RAC</v>
      </c>
      <c r="M370" s="133" t="s">
        <v>36</v>
      </c>
      <c r="N370" s="180" t="s">
        <v>37</v>
      </c>
      <c r="O370" s="125" t="s">
        <v>854</v>
      </c>
      <c r="P370" s="126"/>
      <c r="Q370" s="94" t="s">
        <v>54</v>
      </c>
      <c r="R370" s="124" t="s">
        <v>855</v>
      </c>
      <c r="S370" s="91" t="s">
        <v>856</v>
      </c>
      <c r="T370" s="94" t="s">
        <v>56</v>
      </c>
      <c r="U370" s="94" t="s">
        <v>665</v>
      </c>
      <c r="V370" s="94" t="s">
        <v>51</v>
      </c>
      <c r="W370" s="94" t="s">
        <v>51</v>
      </c>
      <c r="X370" s="124" t="s">
        <v>52</v>
      </c>
      <c r="Y370" s="124" t="s">
        <v>622</v>
      </c>
      <c r="Z370" s="91"/>
      <c r="AA370" s="91" t="s">
        <v>778</v>
      </c>
      <c r="AB370" s="91"/>
      <c r="AC370" s="91"/>
      <c r="AD370" s="91"/>
      <c r="AE370" s="91"/>
      <c r="AF370" s="91"/>
      <c r="AG370" s="91"/>
      <c r="AH370" s="91"/>
    </row>
    <row r="371" spans="1:34" s="1" customFormat="1" ht="45">
      <c r="A371" s="120">
        <v>370</v>
      </c>
      <c r="B371" s="120" t="b">
        <f t="shared" ca="1" si="5"/>
        <v>0</v>
      </c>
      <c r="C371" s="121">
        <v>45488</v>
      </c>
      <c r="D371" s="137">
        <v>0.33930555555555558</v>
      </c>
      <c r="E371" s="94">
        <v>2009</v>
      </c>
      <c r="F371" s="142">
        <v>1204</v>
      </c>
      <c r="G371" s="94" t="s">
        <v>34</v>
      </c>
      <c r="H371" s="94">
        <v>1052</v>
      </c>
      <c r="I371" s="115">
        <v>35214500045491</v>
      </c>
      <c r="J371" s="94" t="s">
        <v>35</v>
      </c>
      <c r="K371" s="91">
        <v>12.496</v>
      </c>
      <c r="L371" s="122" t="str">
        <f>VLOOKUP(K371,Liste!$L$2:$O$34,4,1)</f>
        <v>GSMR_03/04</v>
      </c>
      <c r="M371" s="133" t="s">
        <v>36</v>
      </c>
      <c r="N371" s="180" t="s">
        <v>37</v>
      </c>
      <c r="O371" s="125" t="s">
        <v>857</v>
      </c>
      <c r="P371" s="119"/>
      <c r="Q371" s="94" t="s">
        <v>531</v>
      </c>
      <c r="R371" s="124" t="s">
        <v>768</v>
      </c>
      <c r="S371" s="91" t="s">
        <v>858</v>
      </c>
      <c r="T371" s="94" t="s">
        <v>69</v>
      </c>
      <c r="U371" s="94" t="s">
        <v>859</v>
      </c>
      <c r="V371" s="94" t="s">
        <v>51</v>
      </c>
      <c r="W371" s="94" t="s">
        <v>51</v>
      </c>
      <c r="X371" s="124" t="s">
        <v>52</v>
      </c>
      <c r="Y371" s="124" t="s">
        <v>622</v>
      </c>
      <c r="Z371" s="91"/>
      <c r="AA371" s="91" t="s">
        <v>810</v>
      </c>
      <c r="AB371" s="91"/>
      <c r="AC371" s="91"/>
      <c r="AD371" s="91"/>
      <c r="AE371" s="91"/>
      <c r="AF371" s="91"/>
      <c r="AG371" s="91"/>
      <c r="AH371" s="91"/>
    </row>
    <row r="372" spans="1:34" s="1" customFormat="1" ht="45">
      <c r="A372" s="120">
        <v>371</v>
      </c>
      <c r="B372" s="120" t="b">
        <f t="shared" ca="1" si="5"/>
        <v>0</v>
      </c>
      <c r="C372" s="121">
        <v>45488</v>
      </c>
      <c r="D372" s="137">
        <v>0.83667824074074071</v>
      </c>
      <c r="E372" s="94">
        <v>2057</v>
      </c>
      <c r="F372" s="142">
        <v>1207</v>
      </c>
      <c r="G372" s="94" t="s">
        <v>34</v>
      </c>
      <c r="H372" s="94">
        <v>1046</v>
      </c>
      <c r="I372" s="115">
        <v>35214500045491</v>
      </c>
      <c r="J372" s="94" t="s">
        <v>35</v>
      </c>
      <c r="K372" s="152">
        <v>6.13</v>
      </c>
      <c r="L372" s="122" t="str">
        <f>VLOOKUP(K372,Liste!$L$2:$O$34,4,1)</f>
        <v>GSMR_02/03</v>
      </c>
      <c r="M372" s="133" t="s">
        <v>36</v>
      </c>
      <c r="N372" s="180" t="s">
        <v>37</v>
      </c>
      <c r="O372" s="125" t="s">
        <v>860</v>
      </c>
      <c r="P372" s="119"/>
      <c r="Q372" s="94" t="s">
        <v>531</v>
      </c>
      <c r="R372" s="124" t="s">
        <v>768</v>
      </c>
      <c r="S372" s="91" t="s">
        <v>861</v>
      </c>
      <c r="T372" s="94" t="s">
        <v>56</v>
      </c>
      <c r="U372" s="94" t="s">
        <v>862</v>
      </c>
      <c r="V372" s="94" t="s">
        <v>51</v>
      </c>
      <c r="W372" s="94" t="s">
        <v>51</v>
      </c>
      <c r="X372" s="124" t="s">
        <v>52</v>
      </c>
      <c r="Y372" s="124" t="s">
        <v>622</v>
      </c>
      <c r="Z372" s="91"/>
      <c r="AA372" s="91" t="s">
        <v>757</v>
      </c>
      <c r="AB372" s="91"/>
      <c r="AC372" s="91"/>
      <c r="AD372" s="91"/>
      <c r="AE372" s="91"/>
      <c r="AF372" s="91"/>
      <c r="AG372" s="91"/>
      <c r="AH372" s="91"/>
    </row>
    <row r="373" spans="1:34" s="1" customFormat="1" ht="45">
      <c r="A373" s="120">
        <v>372</v>
      </c>
      <c r="B373" s="120" t="b">
        <f t="shared" ca="1" si="5"/>
        <v>0</v>
      </c>
      <c r="C373" s="121">
        <v>45489</v>
      </c>
      <c r="D373" s="137">
        <v>0.513275462962963</v>
      </c>
      <c r="E373" s="94">
        <v>2025</v>
      </c>
      <c r="F373" s="142">
        <v>1210</v>
      </c>
      <c r="G373" s="94" t="s">
        <v>34</v>
      </c>
      <c r="H373" s="94">
        <v>1048</v>
      </c>
      <c r="I373" s="115">
        <v>35214500045491</v>
      </c>
      <c r="J373" s="94" t="s">
        <v>35</v>
      </c>
      <c r="K373" s="91">
        <v>58.71</v>
      </c>
      <c r="L373" s="122" t="str">
        <f>VLOOKUP(K373,Liste!$L$2:$O$34,4,1)</f>
        <v>GSMR_10/11</v>
      </c>
      <c r="M373" s="133" t="s">
        <v>36</v>
      </c>
      <c r="N373" s="180" t="s">
        <v>37</v>
      </c>
      <c r="O373" s="125" t="s">
        <v>863</v>
      </c>
      <c r="P373" s="119"/>
      <c r="Q373" s="94" t="s">
        <v>531</v>
      </c>
      <c r="R373" s="124" t="s">
        <v>768</v>
      </c>
      <c r="S373" s="91" t="s">
        <v>864</v>
      </c>
      <c r="T373" s="94" t="s">
        <v>69</v>
      </c>
      <c r="U373" s="94" t="s">
        <v>665</v>
      </c>
      <c r="V373" s="94" t="s">
        <v>43</v>
      </c>
      <c r="W373" s="94" t="s">
        <v>51</v>
      </c>
      <c r="X373" s="124" t="s">
        <v>52</v>
      </c>
      <c r="Y373" s="124" t="s">
        <v>622</v>
      </c>
      <c r="Z373" s="91"/>
      <c r="AA373" s="91" t="s">
        <v>810</v>
      </c>
      <c r="AB373" s="91"/>
      <c r="AC373" s="91"/>
      <c r="AD373" s="91"/>
      <c r="AE373" s="91"/>
      <c r="AF373" s="91"/>
      <c r="AG373" s="91"/>
      <c r="AH373" s="91"/>
    </row>
    <row r="374" spans="1:34" s="1" customFormat="1" ht="45">
      <c r="A374" s="120">
        <v>373</v>
      </c>
      <c r="B374" s="120" t="b">
        <f t="shared" ca="1" si="5"/>
        <v>0</v>
      </c>
      <c r="C374" s="121">
        <v>45489</v>
      </c>
      <c r="D374" s="137">
        <v>0.5151041666666667</v>
      </c>
      <c r="E374" s="94">
        <v>2025</v>
      </c>
      <c r="F374" s="142">
        <v>1210</v>
      </c>
      <c r="G374" s="94" t="s">
        <v>34</v>
      </c>
      <c r="H374" s="94">
        <v>1049</v>
      </c>
      <c r="I374" s="115">
        <v>35214500045491</v>
      </c>
      <c r="J374" s="94" t="s">
        <v>35</v>
      </c>
      <c r="K374" s="91">
        <v>68.956000000000003</v>
      </c>
      <c r="L374" s="122" t="str">
        <f>VLOOKUP(K374,Liste!$L$2:$O$34,4,1)</f>
        <v>GSMR_12/13</v>
      </c>
      <c r="M374" s="133" t="s">
        <v>36</v>
      </c>
      <c r="N374" s="180" t="s">
        <v>37</v>
      </c>
      <c r="O374" s="125" t="s">
        <v>865</v>
      </c>
      <c r="P374" s="119"/>
      <c r="Q374" s="94" t="s">
        <v>531</v>
      </c>
      <c r="R374" s="124" t="s">
        <v>768</v>
      </c>
      <c r="S374" s="91" t="s">
        <v>866</v>
      </c>
      <c r="T374" s="94" t="s">
        <v>209</v>
      </c>
      <c r="U374" s="94" t="s">
        <v>289</v>
      </c>
      <c r="V374" s="94" t="s">
        <v>43</v>
      </c>
      <c r="W374" s="94" t="s">
        <v>51</v>
      </c>
      <c r="X374" s="124" t="s">
        <v>52</v>
      </c>
      <c r="Y374" s="124" t="s">
        <v>622</v>
      </c>
      <c r="Z374" s="91"/>
      <c r="AA374" s="91" t="s">
        <v>802</v>
      </c>
      <c r="AB374" s="91"/>
      <c r="AC374" s="91"/>
      <c r="AD374" s="91"/>
      <c r="AE374" s="91"/>
      <c r="AF374" s="91"/>
      <c r="AG374" s="91"/>
      <c r="AH374" s="91"/>
    </row>
    <row r="375" spans="1:34" s="1" customFormat="1" ht="45">
      <c r="A375" s="120">
        <v>374</v>
      </c>
      <c r="B375" s="120" t="b">
        <f t="shared" ca="1" si="5"/>
        <v>0</v>
      </c>
      <c r="C375" s="121">
        <v>45489</v>
      </c>
      <c r="D375" s="137">
        <v>0.5870023148148148</v>
      </c>
      <c r="E375" s="94">
        <v>2033</v>
      </c>
      <c r="F375" s="142">
        <v>1205</v>
      </c>
      <c r="G375" s="94" t="s">
        <v>34</v>
      </c>
      <c r="H375" s="94">
        <v>7217</v>
      </c>
      <c r="I375" s="115">
        <v>35214500045491</v>
      </c>
      <c r="J375" s="94" t="s">
        <v>35</v>
      </c>
      <c r="K375" s="152">
        <v>6.13</v>
      </c>
      <c r="L375" s="122" t="str">
        <f>VLOOKUP(K375,Liste!$L$2:$O$34,4,1)</f>
        <v>GSMR_02/03</v>
      </c>
      <c r="M375" s="133" t="s">
        <v>36</v>
      </c>
      <c r="N375" s="180" t="s">
        <v>37</v>
      </c>
      <c r="O375" s="125" t="s">
        <v>867</v>
      </c>
      <c r="P375" s="119"/>
      <c r="Q375" s="94" t="s">
        <v>531</v>
      </c>
      <c r="R375" s="124" t="s">
        <v>768</v>
      </c>
      <c r="S375" s="91" t="s">
        <v>868</v>
      </c>
      <c r="T375" s="94" t="s">
        <v>56</v>
      </c>
      <c r="U375" s="94" t="s">
        <v>673</v>
      </c>
      <c r="V375" s="94" t="s">
        <v>43</v>
      </c>
      <c r="W375" s="94" t="s">
        <v>51</v>
      </c>
      <c r="X375" s="124" t="s">
        <v>52</v>
      </c>
      <c r="Y375" s="124" t="s">
        <v>622</v>
      </c>
      <c r="Z375" s="91"/>
      <c r="AA375" s="91" t="s">
        <v>810</v>
      </c>
      <c r="AB375" s="91"/>
      <c r="AC375" s="91"/>
      <c r="AD375" s="91"/>
      <c r="AE375" s="91"/>
      <c r="AF375" s="91"/>
      <c r="AG375" s="91"/>
      <c r="AH375" s="91"/>
    </row>
    <row r="376" spans="1:34" s="1" customFormat="1" ht="45">
      <c r="A376" s="120">
        <v>375</v>
      </c>
      <c r="B376" s="120" t="b">
        <f t="shared" ca="1" si="5"/>
        <v>0</v>
      </c>
      <c r="C376" s="121">
        <v>45489</v>
      </c>
      <c r="D376" s="137">
        <v>0.75328703703703703</v>
      </c>
      <c r="E376" s="94">
        <v>2049</v>
      </c>
      <c r="F376" s="142">
        <v>1210</v>
      </c>
      <c r="G376" s="94" t="s">
        <v>34</v>
      </c>
      <c r="H376" s="94">
        <v>1048</v>
      </c>
      <c r="I376" s="115">
        <v>35214500045491</v>
      </c>
      <c r="J376" s="94" t="s">
        <v>35</v>
      </c>
      <c r="K376" s="152">
        <v>6.13</v>
      </c>
      <c r="L376" s="122" t="str">
        <f>VLOOKUP(K376,Liste!$L$2:$O$34,4,1)</f>
        <v>GSMR_02/03</v>
      </c>
      <c r="M376" s="133" t="s">
        <v>36</v>
      </c>
      <c r="N376" s="180" t="s">
        <v>37</v>
      </c>
      <c r="O376" s="125" t="s">
        <v>867</v>
      </c>
      <c r="P376" s="119"/>
      <c r="Q376" s="94" t="s">
        <v>531</v>
      </c>
      <c r="R376" s="124" t="s">
        <v>768</v>
      </c>
      <c r="S376" s="91" t="s">
        <v>868</v>
      </c>
      <c r="T376" s="94" t="s">
        <v>56</v>
      </c>
      <c r="U376" s="94" t="s">
        <v>862</v>
      </c>
      <c r="V376" s="94" t="s">
        <v>51</v>
      </c>
      <c r="W376" s="94" t="s">
        <v>51</v>
      </c>
      <c r="X376" s="124" t="s">
        <v>52</v>
      </c>
      <c r="Y376" s="124" t="s">
        <v>622</v>
      </c>
      <c r="Z376" s="91"/>
      <c r="AA376" s="91" t="s">
        <v>793</v>
      </c>
      <c r="AB376" s="91"/>
      <c r="AC376" s="91"/>
      <c r="AD376" s="91"/>
      <c r="AE376" s="91"/>
      <c r="AF376" s="91"/>
      <c r="AG376" s="91"/>
      <c r="AH376" s="91"/>
    </row>
    <row r="377" spans="1:34" s="1" customFormat="1" ht="45">
      <c r="A377" s="120">
        <v>376</v>
      </c>
      <c r="B377" s="120" t="b">
        <f t="shared" ca="1" si="5"/>
        <v>0</v>
      </c>
      <c r="C377" s="121">
        <v>45490</v>
      </c>
      <c r="D377" s="137">
        <v>0.32376157407407408</v>
      </c>
      <c r="E377" s="94">
        <v>1002</v>
      </c>
      <c r="F377" s="142">
        <v>1203</v>
      </c>
      <c r="G377" s="94" t="s">
        <v>34</v>
      </c>
      <c r="H377" s="94">
        <v>1026</v>
      </c>
      <c r="I377" s="91"/>
      <c r="J377" s="94" t="s">
        <v>35</v>
      </c>
      <c r="K377" s="91">
        <v>90.108000000000004</v>
      </c>
      <c r="L377" s="122" t="str">
        <f>VLOOKUP(K377,Liste!$L$2:$O$34,4,1)</f>
        <v>GSMR_16/17</v>
      </c>
      <c r="M377" s="133" t="s">
        <v>36</v>
      </c>
      <c r="N377" s="180" t="s">
        <v>37</v>
      </c>
      <c r="O377" s="125" t="s">
        <v>869</v>
      </c>
      <c r="P377" s="119"/>
      <c r="Q377" s="94" t="s">
        <v>531</v>
      </c>
      <c r="R377" s="124" t="s">
        <v>768</v>
      </c>
      <c r="S377" s="91" t="s">
        <v>870</v>
      </c>
      <c r="T377" s="94" t="s">
        <v>69</v>
      </c>
      <c r="U377" s="94" t="s">
        <v>641</v>
      </c>
      <c r="V377" s="94" t="s">
        <v>51</v>
      </c>
      <c r="W377" s="94" t="s">
        <v>43</v>
      </c>
      <c r="X377" s="124" t="s">
        <v>52</v>
      </c>
      <c r="Y377" s="124" t="s">
        <v>622</v>
      </c>
      <c r="Z377" s="91"/>
      <c r="AA377" s="91" t="s">
        <v>757</v>
      </c>
      <c r="AB377" s="91"/>
      <c r="AC377" s="91"/>
      <c r="AD377" s="91"/>
      <c r="AE377" s="91"/>
      <c r="AF377" s="91"/>
      <c r="AG377" s="91"/>
      <c r="AH377" s="91"/>
    </row>
    <row r="378" spans="1:34" s="1" customFormat="1" ht="45">
      <c r="A378" s="120">
        <v>377</v>
      </c>
      <c r="B378" s="120" t="b">
        <f t="shared" ca="1" si="5"/>
        <v>0</v>
      </c>
      <c r="C378" s="121">
        <v>45490</v>
      </c>
      <c r="D378" s="137">
        <v>0.34687499999999999</v>
      </c>
      <c r="E378" s="94">
        <v>1002</v>
      </c>
      <c r="F378" s="142">
        <v>1205</v>
      </c>
      <c r="G378" s="94" t="s">
        <v>34</v>
      </c>
      <c r="H378" s="94">
        <v>7217</v>
      </c>
      <c r="I378" s="91"/>
      <c r="J378" s="94" t="s">
        <v>35</v>
      </c>
      <c r="K378" s="91">
        <v>66.701999999999998</v>
      </c>
      <c r="L378" s="122" t="str">
        <f>VLOOKUP(K378,Liste!$L$2:$O$34,4,1)</f>
        <v>GSMR_12/13</v>
      </c>
      <c r="M378" s="133" t="s">
        <v>36</v>
      </c>
      <c r="N378" s="180" t="s">
        <v>37</v>
      </c>
      <c r="O378" s="125" t="s">
        <v>871</v>
      </c>
      <c r="P378" s="119"/>
      <c r="Q378" s="94" t="s">
        <v>531</v>
      </c>
      <c r="R378" s="124" t="s">
        <v>768</v>
      </c>
      <c r="S378" s="91" t="s">
        <v>872</v>
      </c>
      <c r="T378" s="94" t="s">
        <v>69</v>
      </c>
      <c r="U378" s="94" t="s">
        <v>873</v>
      </c>
      <c r="V378" s="94" t="s">
        <v>51</v>
      </c>
      <c r="W378" s="94" t="s">
        <v>51</v>
      </c>
      <c r="X378" s="124" t="s">
        <v>52</v>
      </c>
      <c r="Y378" s="124" t="s">
        <v>622</v>
      </c>
      <c r="Z378" s="91"/>
      <c r="AA378" s="91" t="s">
        <v>810</v>
      </c>
      <c r="AB378" s="91"/>
      <c r="AC378" s="91"/>
      <c r="AD378" s="91"/>
      <c r="AE378" s="91"/>
      <c r="AF378" s="91"/>
      <c r="AG378" s="91"/>
      <c r="AH378" s="91"/>
    </row>
    <row r="379" spans="1:34" s="1" customFormat="1" ht="45">
      <c r="A379" s="120">
        <v>378</v>
      </c>
      <c r="B379" s="120" t="b">
        <f t="shared" ca="1" si="5"/>
        <v>0</v>
      </c>
      <c r="C379" s="121">
        <v>45490</v>
      </c>
      <c r="D379" s="137">
        <v>0.67179398148148151</v>
      </c>
      <c r="E379" s="94">
        <v>1034</v>
      </c>
      <c r="F379" s="142">
        <v>1211</v>
      </c>
      <c r="G379" s="94" t="s">
        <v>71</v>
      </c>
      <c r="H379" s="94">
        <v>3062</v>
      </c>
      <c r="I379" s="91"/>
      <c r="J379" s="94" t="s">
        <v>72</v>
      </c>
      <c r="K379" s="152">
        <v>7.3209999999999997</v>
      </c>
      <c r="L379" s="122" t="str">
        <f>VLOOKUP(K379,Liste!$L$2:$O$34,4,1)</f>
        <v>GSMR_02/03</v>
      </c>
      <c r="M379" s="133" t="s">
        <v>36</v>
      </c>
      <c r="N379" s="180" t="s">
        <v>37</v>
      </c>
      <c r="O379" s="125" t="s">
        <v>874</v>
      </c>
      <c r="P379" s="119"/>
      <c r="Q379" s="94" t="s">
        <v>531</v>
      </c>
      <c r="R379" s="124" t="s">
        <v>768</v>
      </c>
      <c r="S379" s="91" t="s">
        <v>861</v>
      </c>
      <c r="T379" s="94" t="s">
        <v>56</v>
      </c>
      <c r="U379" s="94" t="s">
        <v>673</v>
      </c>
      <c r="V379" s="94" t="s">
        <v>51</v>
      </c>
      <c r="W379" s="94" t="s">
        <v>51</v>
      </c>
      <c r="X379" s="124" t="s">
        <v>52</v>
      </c>
      <c r="Y379" s="124" t="s">
        <v>622</v>
      </c>
      <c r="Z379" s="91"/>
      <c r="AA379" s="91" t="s">
        <v>793</v>
      </c>
      <c r="AB379" s="91"/>
      <c r="AC379" s="91"/>
      <c r="AD379" s="91"/>
      <c r="AE379" s="91"/>
      <c r="AF379" s="91"/>
      <c r="AG379" s="91"/>
      <c r="AH379" s="91"/>
    </row>
    <row r="380" spans="1:34" s="1" customFormat="1" ht="45">
      <c r="A380" s="120">
        <v>379</v>
      </c>
      <c r="B380" s="120" t="b">
        <f t="shared" ca="1" si="5"/>
        <v>0</v>
      </c>
      <c r="C380" s="121">
        <v>45490</v>
      </c>
      <c r="D380" s="137">
        <v>0.74070601851851847</v>
      </c>
      <c r="E380" s="94">
        <v>2042</v>
      </c>
      <c r="F380" s="142">
        <v>1210</v>
      </c>
      <c r="G380" s="94" t="s">
        <v>71</v>
      </c>
      <c r="H380" s="94">
        <v>1072</v>
      </c>
      <c r="I380" s="91"/>
      <c r="J380" s="94" t="s">
        <v>72</v>
      </c>
      <c r="K380" s="91">
        <v>94.953999999999994</v>
      </c>
      <c r="L380" s="122" t="str">
        <f>VLOOKUP(K380,Liste!$L$2:$O$34,4,1)</f>
        <v>GSMR_17/18</v>
      </c>
      <c r="M380" s="133" t="s">
        <v>36</v>
      </c>
      <c r="N380" s="180" t="s">
        <v>37</v>
      </c>
      <c r="O380" s="125" t="s">
        <v>875</v>
      </c>
      <c r="P380" s="126"/>
      <c r="Q380" s="124" t="s">
        <v>47</v>
      </c>
      <c r="R380" s="124" t="s">
        <v>876</v>
      </c>
      <c r="S380" s="91" t="s">
        <v>877</v>
      </c>
      <c r="T380" s="94" t="s">
        <v>69</v>
      </c>
      <c r="U380" s="94" t="s">
        <v>878</v>
      </c>
      <c r="V380" s="94" t="s">
        <v>51</v>
      </c>
      <c r="W380" s="94" t="s">
        <v>51</v>
      </c>
      <c r="X380" s="124" t="s">
        <v>52</v>
      </c>
      <c r="Y380" s="124" t="s">
        <v>622</v>
      </c>
      <c r="Z380" s="91"/>
      <c r="AA380" s="91" t="s">
        <v>793</v>
      </c>
      <c r="AB380" s="91"/>
      <c r="AC380" s="91"/>
      <c r="AD380" s="91"/>
      <c r="AE380" s="91"/>
      <c r="AF380" s="91"/>
      <c r="AG380" s="91"/>
      <c r="AH380" s="91"/>
    </row>
    <row r="381" spans="1:34" s="1" customFormat="1" ht="45">
      <c r="A381" s="120">
        <v>380</v>
      </c>
      <c r="B381" s="120" t="b">
        <f t="shared" ca="1" si="5"/>
        <v>0</v>
      </c>
      <c r="C381" s="121">
        <v>45490</v>
      </c>
      <c r="D381" s="137">
        <v>0.83174768518518516</v>
      </c>
      <c r="E381" s="94">
        <v>1050</v>
      </c>
      <c r="F381" s="142">
        <v>1203</v>
      </c>
      <c r="G381" s="94" t="s">
        <v>71</v>
      </c>
      <c r="H381" s="94">
        <v>1027</v>
      </c>
      <c r="I381" s="91"/>
      <c r="J381" s="94" t="s">
        <v>72</v>
      </c>
      <c r="K381" s="91">
        <v>32.625999999999998</v>
      </c>
      <c r="L381" s="122" t="str">
        <f>VLOOKUP(K381,Liste!$L$2:$O$34,4,1)</f>
        <v>GSMR_06/07</v>
      </c>
      <c r="M381" s="133" t="s">
        <v>36</v>
      </c>
      <c r="N381" s="180" t="s">
        <v>37</v>
      </c>
      <c r="O381" s="125" t="s">
        <v>879</v>
      </c>
      <c r="P381" s="119"/>
      <c r="Q381" s="94" t="s">
        <v>531</v>
      </c>
      <c r="R381" s="124" t="s">
        <v>768</v>
      </c>
      <c r="S381" s="91" t="s">
        <v>880</v>
      </c>
      <c r="T381" s="94" t="s">
        <v>101</v>
      </c>
      <c r="U381" s="94" t="s">
        <v>646</v>
      </c>
      <c r="V381" s="94" t="s">
        <v>51</v>
      </c>
      <c r="W381" s="94" t="s">
        <v>51</v>
      </c>
      <c r="X381" s="124" t="s">
        <v>52</v>
      </c>
      <c r="Y381" s="124" t="s">
        <v>622</v>
      </c>
      <c r="Z381" s="91"/>
      <c r="AA381" s="91" t="s">
        <v>793</v>
      </c>
      <c r="AB381" s="91"/>
      <c r="AC381" s="91"/>
      <c r="AD381" s="91"/>
      <c r="AE381" s="91"/>
      <c r="AF381" s="91"/>
      <c r="AG381" s="91"/>
      <c r="AH381" s="91"/>
    </row>
    <row r="382" spans="1:34" s="1" customFormat="1" ht="45">
      <c r="A382" s="120">
        <v>381</v>
      </c>
      <c r="B382" s="120" t="b">
        <f t="shared" ca="1" si="5"/>
        <v>0</v>
      </c>
      <c r="C382" s="121">
        <v>45490</v>
      </c>
      <c r="D382" s="137">
        <v>0.84854166666666664</v>
      </c>
      <c r="E382" s="94">
        <v>2053</v>
      </c>
      <c r="F382" s="142">
        <v>1205</v>
      </c>
      <c r="G382" s="94" t="s">
        <v>34</v>
      </c>
      <c r="H382" s="94">
        <v>7218</v>
      </c>
      <c r="I382" s="91">
        <v>35214500045735</v>
      </c>
      <c r="J382" s="94" t="s">
        <v>35</v>
      </c>
      <c r="K382" s="91">
        <v>73.585999999999999</v>
      </c>
      <c r="L382" s="122" t="str">
        <f>VLOOKUP(K382,Liste!$L$2:$O$34,4,1)</f>
        <v>GSMR_13/14</v>
      </c>
      <c r="M382" s="133" t="s">
        <v>36</v>
      </c>
      <c r="N382" s="180" t="s">
        <v>37</v>
      </c>
      <c r="O382" s="125" t="s">
        <v>881</v>
      </c>
      <c r="P382" s="126"/>
      <c r="Q382" s="94" t="s">
        <v>54</v>
      </c>
      <c r="R382" s="124" t="s">
        <v>855</v>
      </c>
      <c r="S382" s="91" t="s">
        <v>882</v>
      </c>
      <c r="T382" s="94" t="s">
        <v>56</v>
      </c>
      <c r="U382" s="94" t="s">
        <v>883</v>
      </c>
      <c r="V382" s="94" t="s">
        <v>43</v>
      </c>
      <c r="W382" s="94" t="s">
        <v>51</v>
      </c>
      <c r="X382" s="124" t="s">
        <v>52</v>
      </c>
      <c r="Y382" s="124" t="s">
        <v>622</v>
      </c>
      <c r="Z382" s="91"/>
      <c r="AA382" s="91" t="s">
        <v>778</v>
      </c>
      <c r="AB382" s="91"/>
      <c r="AC382" s="91"/>
      <c r="AD382" s="91"/>
      <c r="AE382" s="91"/>
      <c r="AF382" s="91"/>
      <c r="AG382" s="91"/>
      <c r="AH382" s="91"/>
    </row>
    <row r="383" spans="1:34" s="1" customFormat="1" ht="45">
      <c r="A383" s="120">
        <v>382</v>
      </c>
      <c r="B383" s="120" t="b">
        <f t="shared" ca="1" si="5"/>
        <v>0</v>
      </c>
      <c r="C383" s="121">
        <v>45491</v>
      </c>
      <c r="D383" s="137">
        <v>0.58739583333333334</v>
      </c>
      <c r="E383" s="94">
        <v>2033</v>
      </c>
      <c r="F383" s="142">
        <v>1204</v>
      </c>
      <c r="G383" s="94" t="s">
        <v>34</v>
      </c>
      <c r="H383" s="94">
        <v>1052</v>
      </c>
      <c r="I383" s="91">
        <v>35214500045735</v>
      </c>
      <c r="J383" s="94" t="s">
        <v>35</v>
      </c>
      <c r="K383" s="152">
        <v>6.13</v>
      </c>
      <c r="L383" s="122" t="str">
        <f>VLOOKUP(K383,Liste!$L$2:$O$34,4,1)</f>
        <v>GSMR_02/03</v>
      </c>
      <c r="M383" s="133" t="s">
        <v>36</v>
      </c>
      <c r="N383" s="180" t="s">
        <v>37</v>
      </c>
      <c r="O383" s="125" t="s">
        <v>884</v>
      </c>
      <c r="P383" s="119"/>
      <c r="Q383" s="94" t="s">
        <v>531</v>
      </c>
      <c r="R383" s="124" t="s">
        <v>768</v>
      </c>
      <c r="S383" s="91" t="s">
        <v>885</v>
      </c>
      <c r="T383" s="94" t="s">
        <v>56</v>
      </c>
      <c r="U383" s="94" t="s">
        <v>859</v>
      </c>
      <c r="V383" s="94" t="s">
        <v>43</v>
      </c>
      <c r="W383" s="94" t="s">
        <v>51</v>
      </c>
      <c r="X383" s="124" t="s">
        <v>400</v>
      </c>
      <c r="Y383" s="124" t="s">
        <v>622</v>
      </c>
      <c r="Z383" s="91"/>
      <c r="AA383" s="91"/>
      <c r="AB383" s="91"/>
      <c r="AC383" s="91"/>
      <c r="AD383" s="91"/>
      <c r="AE383" s="91"/>
      <c r="AF383" s="91"/>
      <c r="AG383" s="91"/>
      <c r="AH383" s="91"/>
    </row>
    <row r="384" spans="1:34" s="1" customFormat="1" ht="45">
      <c r="A384" s="120">
        <v>383</v>
      </c>
      <c r="B384" s="120" t="b">
        <f t="shared" ca="1" si="5"/>
        <v>0</v>
      </c>
      <c r="C384" s="121">
        <v>45491</v>
      </c>
      <c r="D384" s="137">
        <v>0.8895601851851852</v>
      </c>
      <c r="E384" s="94">
        <v>2061</v>
      </c>
      <c r="F384" s="142">
        <v>1205</v>
      </c>
      <c r="G384" s="94" t="s">
        <v>34</v>
      </c>
      <c r="H384" s="94">
        <v>7218</v>
      </c>
      <c r="I384" s="91"/>
      <c r="J384" s="94" t="s">
        <v>35</v>
      </c>
      <c r="K384" s="91">
        <v>73.585999999999999</v>
      </c>
      <c r="L384" s="122" t="str">
        <f>VLOOKUP(K384,Liste!$L$2:$O$34,4,1)</f>
        <v>GSMR_13/14</v>
      </c>
      <c r="M384" s="133" t="s">
        <v>36</v>
      </c>
      <c r="N384" s="180" t="s">
        <v>37</v>
      </c>
      <c r="O384" s="125" t="s">
        <v>886</v>
      </c>
      <c r="P384" s="119"/>
      <c r="Q384" s="94" t="s">
        <v>531</v>
      </c>
      <c r="R384" s="124"/>
      <c r="S384" s="91" t="s">
        <v>887</v>
      </c>
      <c r="T384" s="94" t="s">
        <v>56</v>
      </c>
      <c r="U384" s="94" t="s">
        <v>888</v>
      </c>
      <c r="V384" s="94" t="s">
        <v>51</v>
      </c>
      <c r="W384" s="94" t="s">
        <v>51</v>
      </c>
      <c r="X384" s="124" t="s">
        <v>52</v>
      </c>
      <c r="Y384" s="124" t="s">
        <v>622</v>
      </c>
      <c r="Z384" s="91"/>
      <c r="AA384" s="91" t="s">
        <v>754</v>
      </c>
      <c r="AB384" s="91"/>
      <c r="AC384" s="91"/>
      <c r="AD384" s="91"/>
      <c r="AE384" s="91"/>
      <c r="AF384" s="91"/>
      <c r="AG384" s="91"/>
      <c r="AH384" s="91"/>
    </row>
    <row r="385" spans="1:34" s="1" customFormat="1" ht="45">
      <c r="A385" s="120">
        <v>384</v>
      </c>
      <c r="B385" s="120" t="b">
        <f t="shared" ca="1" si="5"/>
        <v>0</v>
      </c>
      <c r="C385" s="121">
        <v>45491</v>
      </c>
      <c r="D385" s="137">
        <v>0.8951041666666667</v>
      </c>
      <c r="E385" s="94">
        <v>1057</v>
      </c>
      <c r="F385" s="142">
        <v>1211</v>
      </c>
      <c r="G385" s="94" t="s">
        <v>71</v>
      </c>
      <c r="H385" s="94">
        <v>3062</v>
      </c>
      <c r="I385" s="91"/>
      <c r="J385" s="94" t="s">
        <v>72</v>
      </c>
      <c r="K385" s="91">
        <v>177.85</v>
      </c>
      <c r="L385" s="122" t="str">
        <f>VLOOKUP(K385,Liste!$L$2:$O$34,4,1)</f>
        <v>GSMR_30/31</v>
      </c>
      <c r="M385" s="133" t="s">
        <v>36</v>
      </c>
      <c r="N385" s="180" t="s">
        <v>37</v>
      </c>
      <c r="O385" s="125" t="s">
        <v>889</v>
      </c>
      <c r="P385" s="119"/>
      <c r="Q385" s="94" t="s">
        <v>531</v>
      </c>
      <c r="R385" s="124" t="s">
        <v>768</v>
      </c>
      <c r="S385" s="91" t="s">
        <v>890</v>
      </c>
      <c r="T385" s="94" t="s">
        <v>56</v>
      </c>
      <c r="U385" s="94" t="s">
        <v>888</v>
      </c>
      <c r="V385" s="94" t="s">
        <v>51</v>
      </c>
      <c r="W385" s="94" t="s">
        <v>51</v>
      </c>
      <c r="X385" s="124" t="s">
        <v>52</v>
      </c>
      <c r="Y385" s="124" t="s">
        <v>622</v>
      </c>
      <c r="Z385" s="91"/>
      <c r="AA385" s="91" t="s">
        <v>754</v>
      </c>
      <c r="AB385" s="91"/>
      <c r="AC385" s="91"/>
      <c r="AD385" s="91"/>
      <c r="AE385" s="91"/>
      <c r="AF385" s="91"/>
      <c r="AG385" s="91"/>
      <c r="AH385" s="91"/>
    </row>
    <row r="386" spans="1:34" s="1" customFormat="1" ht="45">
      <c r="A386" s="120">
        <v>385</v>
      </c>
      <c r="B386" s="120" t="b">
        <f t="shared" ref="B386:B449" ca="1" si="6">AND(C386&gt;=TODAY()-7, C386&lt;=TODAY()-1)</f>
        <v>0</v>
      </c>
      <c r="C386" s="121">
        <v>45491</v>
      </c>
      <c r="D386" s="137">
        <v>0.96092592592592596</v>
      </c>
      <c r="E386" s="94">
        <v>1061</v>
      </c>
      <c r="F386" s="142">
        <v>1206</v>
      </c>
      <c r="G386" s="94" t="s">
        <v>71</v>
      </c>
      <c r="H386" s="94">
        <v>1041</v>
      </c>
      <c r="I386" s="91"/>
      <c r="J386" s="94" t="s">
        <v>72</v>
      </c>
      <c r="K386" s="91">
        <v>94.953999999999994</v>
      </c>
      <c r="L386" s="122" t="str">
        <f>VLOOKUP(K386,Liste!$L$2:$O$34,4,1)</f>
        <v>GSMR_17/18</v>
      </c>
      <c r="M386" s="133" t="s">
        <v>36</v>
      </c>
      <c r="N386" s="180" t="s">
        <v>37</v>
      </c>
      <c r="O386" s="125" t="s">
        <v>891</v>
      </c>
      <c r="P386" s="119"/>
      <c r="Q386" s="94" t="s">
        <v>531</v>
      </c>
      <c r="R386" s="124"/>
      <c r="S386" s="91" t="s">
        <v>892</v>
      </c>
      <c r="T386" s="94" t="s">
        <v>56</v>
      </c>
      <c r="U386" s="94" t="s">
        <v>893</v>
      </c>
      <c r="V386" s="94" t="s">
        <v>51</v>
      </c>
      <c r="W386" s="94" t="s">
        <v>51</v>
      </c>
      <c r="X386" s="124" t="s">
        <v>52</v>
      </c>
      <c r="Y386" s="124" t="s">
        <v>622</v>
      </c>
      <c r="Z386" s="91"/>
      <c r="AA386" s="91" t="s">
        <v>754</v>
      </c>
      <c r="AB386" s="91"/>
      <c r="AC386" s="91"/>
      <c r="AD386" s="91"/>
      <c r="AE386" s="91"/>
      <c r="AF386" s="91"/>
      <c r="AG386" s="91"/>
      <c r="AH386" s="91"/>
    </row>
    <row r="387" spans="1:34" s="1" customFormat="1" ht="45">
      <c r="A387" s="120">
        <v>386</v>
      </c>
      <c r="B387" s="120" t="b">
        <f t="shared" ca="1" si="6"/>
        <v>0</v>
      </c>
      <c r="C387" s="121">
        <v>45492</v>
      </c>
      <c r="D387" s="137" t="s">
        <v>894</v>
      </c>
      <c r="E387" s="94">
        <v>2009</v>
      </c>
      <c r="F387" s="142">
        <v>1210</v>
      </c>
      <c r="G387" s="94" t="s">
        <v>34</v>
      </c>
      <c r="H387" s="94">
        <v>1048</v>
      </c>
      <c r="I387" s="91"/>
      <c r="J387" s="94" t="s">
        <v>35</v>
      </c>
      <c r="K387" s="91">
        <v>108.206</v>
      </c>
      <c r="L387" s="122" t="str">
        <f>VLOOKUP(K387,Liste!$L$2:$O$34,4,1)</f>
        <v>GSMR_19/20</v>
      </c>
      <c r="M387" s="133" t="s">
        <v>36</v>
      </c>
      <c r="N387" s="180" t="s">
        <v>37</v>
      </c>
      <c r="O387" s="125" t="s">
        <v>895</v>
      </c>
      <c r="P387" s="119"/>
      <c r="Q387" s="94" t="s">
        <v>531</v>
      </c>
      <c r="R387" s="124" t="s">
        <v>896</v>
      </c>
      <c r="S387" s="91" t="s">
        <v>897</v>
      </c>
      <c r="T387" s="94" t="s">
        <v>56</v>
      </c>
      <c r="U387" s="94" t="s">
        <v>668</v>
      </c>
      <c r="V387" s="94" t="s">
        <v>51</v>
      </c>
      <c r="W387" s="94" t="s">
        <v>51</v>
      </c>
      <c r="X387" s="124" t="s">
        <v>52</v>
      </c>
      <c r="Y387" s="124" t="s">
        <v>622</v>
      </c>
      <c r="Z387" s="91"/>
      <c r="AA387" s="91" t="s">
        <v>802</v>
      </c>
      <c r="AB387" s="91"/>
      <c r="AC387" s="91"/>
      <c r="AD387" s="91"/>
      <c r="AE387" s="91"/>
      <c r="AF387" s="91"/>
      <c r="AG387" s="91"/>
      <c r="AH387" s="91"/>
    </row>
    <row r="388" spans="1:34" s="1" customFormat="1" ht="45">
      <c r="A388" s="120">
        <v>387</v>
      </c>
      <c r="B388" s="120" t="b">
        <f t="shared" ca="1" si="6"/>
        <v>0</v>
      </c>
      <c r="C388" s="121">
        <v>45492</v>
      </c>
      <c r="D388" s="137" t="s">
        <v>898</v>
      </c>
      <c r="E388" s="94">
        <v>1005</v>
      </c>
      <c r="F388" s="142">
        <v>1205</v>
      </c>
      <c r="G388" s="94" t="s">
        <v>71</v>
      </c>
      <c r="H388" s="94">
        <v>1034</v>
      </c>
      <c r="I388" s="91"/>
      <c r="J388" s="94" t="s">
        <v>72</v>
      </c>
      <c r="K388" s="91">
        <v>155.96199999999999</v>
      </c>
      <c r="L388" s="122" t="str">
        <f>VLOOKUP(K388,Liste!$L$2:$O$34,4,1)</f>
        <v>GSMR_26/27</v>
      </c>
      <c r="M388" s="133" t="s">
        <v>36</v>
      </c>
      <c r="N388" s="180" t="s">
        <v>37</v>
      </c>
      <c r="O388" s="125" t="s">
        <v>899</v>
      </c>
      <c r="P388" s="119"/>
      <c r="Q388" s="94" t="s">
        <v>531</v>
      </c>
      <c r="R388" s="124" t="s">
        <v>768</v>
      </c>
      <c r="S388" s="91" t="s">
        <v>900</v>
      </c>
      <c r="T388" s="94" t="s">
        <v>69</v>
      </c>
      <c r="U388" s="94" t="s">
        <v>901</v>
      </c>
      <c r="V388" s="94" t="s">
        <v>51</v>
      </c>
      <c r="W388" s="94" t="s">
        <v>51</v>
      </c>
      <c r="X388" s="124" t="s">
        <v>52</v>
      </c>
      <c r="Y388" s="124" t="s">
        <v>622</v>
      </c>
      <c r="Z388" s="91"/>
      <c r="AA388" s="91" t="s">
        <v>802</v>
      </c>
      <c r="AB388" s="91"/>
      <c r="AC388" s="91"/>
      <c r="AD388" s="91"/>
      <c r="AE388" s="91"/>
      <c r="AF388" s="91"/>
      <c r="AG388" s="91"/>
      <c r="AH388" s="91"/>
    </row>
    <row r="389" spans="1:34" s="1" customFormat="1" ht="45">
      <c r="A389" s="120">
        <v>388</v>
      </c>
      <c r="B389" s="120" t="b">
        <f t="shared" ca="1" si="6"/>
        <v>0</v>
      </c>
      <c r="C389" s="121">
        <v>45492</v>
      </c>
      <c r="D389" s="137">
        <v>0.4199074074074074</v>
      </c>
      <c r="E389" s="94">
        <v>2017</v>
      </c>
      <c r="F389" s="142">
        <v>1205</v>
      </c>
      <c r="G389" s="94" t="s">
        <v>34</v>
      </c>
      <c r="H389" s="94">
        <v>1035</v>
      </c>
      <c r="I389" s="91"/>
      <c r="J389" s="94" t="s">
        <v>35</v>
      </c>
      <c r="K389" s="152">
        <v>6.13</v>
      </c>
      <c r="L389" s="122" t="str">
        <f>VLOOKUP(K389,Liste!$L$2:$O$34,4,1)</f>
        <v>GSMR_02/03</v>
      </c>
      <c r="M389" s="133" t="s">
        <v>36</v>
      </c>
      <c r="N389" s="181" t="s">
        <v>58</v>
      </c>
      <c r="O389" s="125" t="s">
        <v>902</v>
      </c>
      <c r="P389" s="119"/>
      <c r="Q389" s="94" t="s">
        <v>531</v>
      </c>
      <c r="R389" s="124" t="s">
        <v>768</v>
      </c>
      <c r="S389" s="91" t="s">
        <v>903</v>
      </c>
      <c r="T389" s="94" t="s">
        <v>69</v>
      </c>
      <c r="U389" s="94" t="s">
        <v>673</v>
      </c>
      <c r="V389" s="94" t="s">
        <v>51</v>
      </c>
      <c r="W389" s="94" t="s">
        <v>51</v>
      </c>
      <c r="X389" s="124" t="s">
        <v>52</v>
      </c>
      <c r="Y389" s="124" t="s">
        <v>622</v>
      </c>
      <c r="Z389" s="91"/>
      <c r="AA389" s="91" t="s">
        <v>810</v>
      </c>
      <c r="AB389" s="91"/>
      <c r="AC389" s="91"/>
      <c r="AD389" s="91"/>
      <c r="AE389" s="91"/>
      <c r="AF389" s="91"/>
      <c r="AG389" s="91"/>
      <c r="AH389" s="91"/>
    </row>
    <row r="390" spans="1:34" s="1" customFormat="1" ht="45">
      <c r="A390" s="120">
        <v>389</v>
      </c>
      <c r="B390" s="120" t="b">
        <f t="shared" ca="1" si="6"/>
        <v>0</v>
      </c>
      <c r="C390" s="121">
        <v>45492</v>
      </c>
      <c r="D390" s="137">
        <v>0.58631944444444439</v>
      </c>
      <c r="E390" s="94">
        <v>1025</v>
      </c>
      <c r="F390" s="142">
        <v>1207</v>
      </c>
      <c r="G390" s="94" t="s">
        <v>71</v>
      </c>
      <c r="H390" s="94">
        <v>1036</v>
      </c>
      <c r="I390" s="91"/>
      <c r="J390" s="94" t="s">
        <v>72</v>
      </c>
      <c r="K390" s="152">
        <v>7.3209999999999997</v>
      </c>
      <c r="L390" s="122" t="str">
        <f>VLOOKUP(K390,Liste!$L$2:$O$34,4,1)</f>
        <v>GSMR_02/03</v>
      </c>
      <c r="M390" s="133" t="s">
        <v>36</v>
      </c>
      <c r="N390" s="180" t="s">
        <v>37</v>
      </c>
      <c r="O390" s="125" t="s">
        <v>904</v>
      </c>
      <c r="P390" s="119"/>
      <c r="Q390" s="94" t="s">
        <v>531</v>
      </c>
      <c r="R390" s="124" t="s">
        <v>768</v>
      </c>
      <c r="S390" s="91" t="s">
        <v>905</v>
      </c>
      <c r="T390" s="94" t="s">
        <v>56</v>
      </c>
      <c r="U390" s="94" t="s">
        <v>223</v>
      </c>
      <c r="V390" s="94" t="s">
        <v>51</v>
      </c>
      <c r="W390" s="94" t="s">
        <v>51</v>
      </c>
      <c r="X390" s="124" t="s">
        <v>52</v>
      </c>
      <c r="Y390" s="124" t="s">
        <v>622</v>
      </c>
      <c r="Z390" s="91"/>
      <c r="AA390" s="91" t="s">
        <v>810</v>
      </c>
      <c r="AB390" s="91"/>
      <c r="AC390" s="91"/>
      <c r="AD390" s="91"/>
      <c r="AE390" s="91"/>
      <c r="AF390" s="91"/>
      <c r="AG390" s="91"/>
      <c r="AH390" s="91"/>
    </row>
    <row r="391" spans="1:34" s="1" customFormat="1" ht="45">
      <c r="A391" s="120">
        <v>390</v>
      </c>
      <c r="B391" s="120" t="b">
        <f t="shared" ca="1" si="6"/>
        <v>0</v>
      </c>
      <c r="C391" s="121">
        <v>45492</v>
      </c>
      <c r="D391" s="137">
        <v>0.79517361111111107</v>
      </c>
      <c r="E391" s="94">
        <v>2053</v>
      </c>
      <c r="F391" s="142">
        <v>1205</v>
      </c>
      <c r="G391" s="94" t="s">
        <v>34</v>
      </c>
      <c r="H391" s="94">
        <v>7217</v>
      </c>
      <c r="I391" s="91"/>
      <c r="J391" s="94" t="s">
        <v>35</v>
      </c>
      <c r="K391" s="152">
        <v>6.13</v>
      </c>
      <c r="L391" s="122" t="str">
        <f>VLOOKUP(K391,Liste!$L$2:$O$34,4,1)</f>
        <v>GSMR_02/03</v>
      </c>
      <c r="M391" s="133" t="s">
        <v>36</v>
      </c>
      <c r="N391" s="181" t="s">
        <v>58</v>
      </c>
      <c r="O391" s="125" t="s">
        <v>906</v>
      </c>
      <c r="P391" s="119"/>
      <c r="Q391" s="94" t="s">
        <v>531</v>
      </c>
      <c r="R391" s="124" t="s">
        <v>768</v>
      </c>
      <c r="S391" s="91" t="s">
        <v>861</v>
      </c>
      <c r="T391" s="94" t="s">
        <v>56</v>
      </c>
      <c r="U391" s="94" t="s">
        <v>183</v>
      </c>
      <c r="V391" s="94" t="s">
        <v>43</v>
      </c>
      <c r="W391" s="94" t="s">
        <v>51</v>
      </c>
      <c r="X391" s="124" t="s">
        <v>52</v>
      </c>
      <c r="Y391" s="124" t="s">
        <v>622</v>
      </c>
      <c r="Z391" s="91"/>
      <c r="AA391" s="91" t="s">
        <v>793</v>
      </c>
      <c r="AB391" s="91"/>
      <c r="AC391" s="91"/>
      <c r="AD391" s="91"/>
      <c r="AE391" s="91"/>
      <c r="AF391" s="91"/>
      <c r="AG391" s="91"/>
      <c r="AH391" s="91"/>
    </row>
    <row r="392" spans="1:34" s="1" customFormat="1" ht="45">
      <c r="A392" s="120">
        <v>391</v>
      </c>
      <c r="B392" s="120" t="b">
        <f t="shared" ca="1" si="6"/>
        <v>0</v>
      </c>
      <c r="C392" s="121">
        <v>45492</v>
      </c>
      <c r="D392" s="137">
        <v>0.83685185185185185</v>
      </c>
      <c r="E392" s="94">
        <v>2057</v>
      </c>
      <c r="F392" s="142">
        <v>1211</v>
      </c>
      <c r="G392" s="94" t="s">
        <v>34</v>
      </c>
      <c r="H392" s="94">
        <v>1028</v>
      </c>
      <c r="I392" s="91"/>
      <c r="J392" s="94" t="s">
        <v>35</v>
      </c>
      <c r="K392" s="152">
        <v>6.13</v>
      </c>
      <c r="L392" s="122" t="str">
        <f>VLOOKUP(K392,Liste!$L$2:$O$34,4,1)</f>
        <v>GSMR_02/03</v>
      </c>
      <c r="M392" s="133" t="s">
        <v>36</v>
      </c>
      <c r="N392" s="181" t="s">
        <v>58</v>
      </c>
      <c r="O392" s="125" t="s">
        <v>907</v>
      </c>
      <c r="P392" s="119"/>
      <c r="Q392" s="94" t="s">
        <v>531</v>
      </c>
      <c r="R392" s="124" t="s">
        <v>768</v>
      </c>
      <c r="S392" s="91" t="s">
        <v>908</v>
      </c>
      <c r="T392" s="94" t="s">
        <v>116</v>
      </c>
      <c r="U392" s="94" t="s">
        <v>387</v>
      </c>
      <c r="V392" s="94" t="s">
        <v>43</v>
      </c>
      <c r="W392" s="94" t="s">
        <v>51</v>
      </c>
      <c r="X392" s="124" t="s">
        <v>52</v>
      </c>
      <c r="Y392" s="124" t="s">
        <v>622</v>
      </c>
      <c r="Z392" s="91"/>
      <c r="AA392" s="91" t="s">
        <v>793</v>
      </c>
      <c r="AB392" s="91"/>
      <c r="AC392" s="91"/>
      <c r="AD392" s="91"/>
      <c r="AE392" s="91"/>
      <c r="AF392" s="91"/>
      <c r="AG392" s="91"/>
      <c r="AH392" s="91"/>
    </row>
    <row r="393" spans="1:34" s="1" customFormat="1" ht="45">
      <c r="A393" s="120">
        <v>392</v>
      </c>
      <c r="B393" s="120" t="b">
        <f t="shared" ca="1" si="6"/>
        <v>0</v>
      </c>
      <c r="C393" s="121">
        <v>45492</v>
      </c>
      <c r="D393" s="137">
        <v>0.85953703703703699</v>
      </c>
      <c r="E393" s="94">
        <v>1053</v>
      </c>
      <c r="F393" s="142">
        <v>1210</v>
      </c>
      <c r="G393" s="94" t="s">
        <v>71</v>
      </c>
      <c r="H393" s="94">
        <v>1072</v>
      </c>
      <c r="I393" s="91"/>
      <c r="J393" s="94" t="s">
        <v>72</v>
      </c>
      <c r="K393" s="91">
        <v>134.30000000000001</v>
      </c>
      <c r="L393" s="122" t="str">
        <f>VLOOKUP(K393,Liste!$L$2:$O$34,4,1)</f>
        <v>GSMR_23/24</v>
      </c>
      <c r="M393" s="133" t="s">
        <v>36</v>
      </c>
      <c r="N393" s="180" t="s">
        <v>37</v>
      </c>
      <c r="O393" s="125" t="s">
        <v>909</v>
      </c>
      <c r="P393" s="119"/>
      <c r="Q393" s="94" t="s">
        <v>531</v>
      </c>
      <c r="R393" s="124" t="s">
        <v>896</v>
      </c>
      <c r="S393" s="91" t="s">
        <v>910</v>
      </c>
      <c r="T393" s="94" t="s">
        <v>93</v>
      </c>
      <c r="U393" s="94" t="s">
        <v>449</v>
      </c>
      <c r="V393" s="94" t="s">
        <v>51</v>
      </c>
      <c r="W393" s="94" t="s">
        <v>51</v>
      </c>
      <c r="X393" s="124" t="s">
        <v>52</v>
      </c>
      <c r="Y393" s="124" t="s">
        <v>622</v>
      </c>
      <c r="Z393" s="91"/>
      <c r="AA393" s="91" t="s">
        <v>754</v>
      </c>
      <c r="AB393" s="91"/>
      <c r="AC393" s="91"/>
      <c r="AD393" s="91"/>
      <c r="AE393" s="91"/>
      <c r="AF393" s="91"/>
      <c r="AG393" s="91"/>
      <c r="AH393" s="91"/>
    </row>
    <row r="394" spans="1:34" s="1" customFormat="1" ht="45">
      <c r="A394" s="120">
        <v>393</v>
      </c>
      <c r="B394" s="120" t="b">
        <f t="shared" ca="1" si="6"/>
        <v>0</v>
      </c>
      <c r="C394" s="121">
        <v>45493</v>
      </c>
      <c r="D394" s="137">
        <v>0.54150462962962964</v>
      </c>
      <c r="E394" s="94">
        <v>1022</v>
      </c>
      <c r="F394" s="142">
        <v>1208</v>
      </c>
      <c r="G394" s="94" t="s">
        <v>71</v>
      </c>
      <c r="H394" s="94">
        <v>1044</v>
      </c>
      <c r="I394" s="91"/>
      <c r="J394" s="94" t="s">
        <v>72</v>
      </c>
      <c r="K394" s="91">
        <v>25.85</v>
      </c>
      <c r="L394" s="122" t="str">
        <f>VLOOKUP(K394,Liste!$L$2:$O$34,4,1)</f>
        <v>GSMR_05/06</v>
      </c>
      <c r="M394" s="133" t="s">
        <v>36</v>
      </c>
      <c r="N394" s="180" t="s">
        <v>37</v>
      </c>
      <c r="O394" s="125" t="s">
        <v>911</v>
      </c>
      <c r="P394" s="126"/>
      <c r="Q394" s="94" t="s">
        <v>54</v>
      </c>
      <c r="R394" s="124" t="s">
        <v>912</v>
      </c>
      <c r="S394" s="91" t="s">
        <v>913</v>
      </c>
      <c r="T394" s="94" t="s">
        <v>56</v>
      </c>
      <c r="U394" s="94" t="s">
        <v>914</v>
      </c>
      <c r="V394" s="94" t="s">
        <v>51</v>
      </c>
      <c r="W394" s="94" t="s">
        <v>51</v>
      </c>
      <c r="X394" s="124" t="s">
        <v>52</v>
      </c>
      <c r="Y394" s="124" t="s">
        <v>622</v>
      </c>
      <c r="Z394" s="91"/>
      <c r="AA394" s="91" t="s">
        <v>757</v>
      </c>
      <c r="AB394" s="91"/>
      <c r="AC394" s="91"/>
      <c r="AD394" s="91"/>
      <c r="AE394" s="91"/>
      <c r="AF394" s="91"/>
      <c r="AG394" s="91"/>
      <c r="AH394" s="91"/>
    </row>
    <row r="395" spans="1:34" s="1" customFormat="1" ht="45">
      <c r="A395" s="120">
        <v>394</v>
      </c>
      <c r="B395" s="120" t="b">
        <f t="shared" ca="1" si="6"/>
        <v>0</v>
      </c>
      <c r="C395" s="121">
        <v>45493</v>
      </c>
      <c r="D395" s="137">
        <v>0.71181712962962962</v>
      </c>
      <c r="E395" s="94">
        <v>2045</v>
      </c>
      <c r="F395" s="142">
        <v>1211</v>
      </c>
      <c r="G395" s="94" t="s">
        <v>34</v>
      </c>
      <c r="H395" s="94">
        <v>1028</v>
      </c>
      <c r="I395" s="91"/>
      <c r="J395" s="94" t="s">
        <v>35</v>
      </c>
      <c r="K395" s="152">
        <v>6.13</v>
      </c>
      <c r="L395" s="122" t="str">
        <f>VLOOKUP(K395,Liste!$L$2:$O$34,4,1)</f>
        <v>GSMR_02/03</v>
      </c>
      <c r="M395" s="133" t="s">
        <v>36</v>
      </c>
      <c r="N395" s="180" t="s">
        <v>37</v>
      </c>
      <c r="O395" s="125" t="s">
        <v>915</v>
      </c>
      <c r="P395" s="119"/>
      <c r="Q395" s="94" t="s">
        <v>531</v>
      </c>
      <c r="R395" s="124" t="s">
        <v>768</v>
      </c>
      <c r="S395" s="91" t="s">
        <v>861</v>
      </c>
      <c r="T395" s="94" t="s">
        <v>41</v>
      </c>
      <c r="U395" s="94" t="s">
        <v>108</v>
      </c>
      <c r="V395" s="94" t="s">
        <v>51</v>
      </c>
      <c r="W395" s="94" t="s">
        <v>51</v>
      </c>
      <c r="X395" s="124" t="s">
        <v>52</v>
      </c>
      <c r="Y395" s="124" t="s">
        <v>622</v>
      </c>
      <c r="Z395" s="91"/>
      <c r="AA395" s="91" t="s">
        <v>793</v>
      </c>
      <c r="AB395" s="91"/>
      <c r="AC395" s="91"/>
      <c r="AD395" s="91"/>
      <c r="AE395" s="91"/>
      <c r="AF395" s="91"/>
      <c r="AG395" s="91"/>
      <c r="AH395" s="91"/>
    </row>
    <row r="396" spans="1:34" s="1" customFormat="1" ht="45">
      <c r="A396" s="120">
        <v>395</v>
      </c>
      <c r="B396" s="120" t="b">
        <f t="shared" ca="1" si="6"/>
        <v>0</v>
      </c>
      <c r="C396" s="121">
        <v>45493</v>
      </c>
      <c r="D396" s="137">
        <v>0.85645833333333332</v>
      </c>
      <c r="E396" s="94">
        <v>2057</v>
      </c>
      <c r="F396" s="142">
        <v>1202</v>
      </c>
      <c r="G396" s="94" t="s">
        <v>34</v>
      </c>
      <c r="H396" s="94">
        <v>1042</v>
      </c>
      <c r="I396" s="91"/>
      <c r="J396" s="94" t="s">
        <v>35</v>
      </c>
      <c r="K396" s="91">
        <v>130.48400000000001</v>
      </c>
      <c r="L396" s="122" t="str">
        <f>VLOOKUP(K396,Liste!$L$2:$O$34,4,1)</f>
        <v>GSMR_23/24</v>
      </c>
      <c r="M396" s="133" t="s">
        <v>36</v>
      </c>
      <c r="N396" s="180" t="s">
        <v>37</v>
      </c>
      <c r="O396" s="125" t="s">
        <v>916</v>
      </c>
      <c r="P396" s="126"/>
      <c r="Q396" s="124" t="s">
        <v>150</v>
      </c>
      <c r="R396" s="124" t="s">
        <v>816</v>
      </c>
      <c r="S396" s="91" t="s">
        <v>917</v>
      </c>
      <c r="T396" s="94" t="s">
        <v>69</v>
      </c>
      <c r="U396" s="94" t="s">
        <v>197</v>
      </c>
      <c r="V396" s="94" t="s">
        <v>51</v>
      </c>
      <c r="W396" s="94" t="s">
        <v>51</v>
      </c>
      <c r="X396" s="124" t="s">
        <v>52</v>
      </c>
      <c r="Y396" s="124" t="s">
        <v>622</v>
      </c>
      <c r="Z396" s="91"/>
      <c r="AA396" s="91" t="s">
        <v>754</v>
      </c>
      <c r="AB396" s="91"/>
      <c r="AC396" s="91"/>
      <c r="AD396" s="91"/>
      <c r="AE396" s="91"/>
      <c r="AF396" s="91"/>
      <c r="AG396" s="91"/>
      <c r="AH396" s="91"/>
    </row>
    <row r="397" spans="1:34" s="1" customFormat="1" ht="45">
      <c r="A397" s="120">
        <v>396</v>
      </c>
      <c r="B397" s="120" t="b">
        <f t="shared" ca="1" si="6"/>
        <v>0</v>
      </c>
      <c r="C397" s="121">
        <v>45493</v>
      </c>
      <c r="D397" s="137">
        <v>0.87877314814814811</v>
      </c>
      <c r="E397" s="94">
        <v>2061</v>
      </c>
      <c r="F397" s="142">
        <v>1203</v>
      </c>
      <c r="G397" s="94" t="s">
        <v>34</v>
      </c>
      <c r="H397" s="94">
        <v>1024</v>
      </c>
      <c r="I397" s="91"/>
      <c r="J397" s="94" t="s">
        <v>35</v>
      </c>
      <c r="K397" s="152">
        <v>6.13</v>
      </c>
      <c r="L397" s="122" t="str">
        <f>VLOOKUP(K397,Liste!$L$2:$O$34,4,1)</f>
        <v>GSMR_02/03</v>
      </c>
      <c r="M397" s="133" t="s">
        <v>36</v>
      </c>
      <c r="N397" s="180" t="s">
        <v>37</v>
      </c>
      <c r="O397" s="125" t="s">
        <v>918</v>
      </c>
      <c r="P397" s="119"/>
      <c r="Q397" s="94" t="s">
        <v>531</v>
      </c>
      <c r="R397" s="124" t="s">
        <v>768</v>
      </c>
      <c r="S397" s="91" t="s">
        <v>908</v>
      </c>
      <c r="T397" s="94" t="s">
        <v>56</v>
      </c>
      <c r="U397" s="94" t="s">
        <v>57</v>
      </c>
      <c r="V397" s="94" t="s">
        <v>43</v>
      </c>
      <c r="W397" s="94" t="s">
        <v>51</v>
      </c>
      <c r="X397" s="124" t="s">
        <v>52</v>
      </c>
      <c r="Y397" s="124" t="s">
        <v>622</v>
      </c>
      <c r="Z397" s="91"/>
      <c r="AA397" s="91" t="s">
        <v>754</v>
      </c>
      <c r="AB397" s="91"/>
      <c r="AC397" s="91"/>
      <c r="AD397" s="91"/>
      <c r="AE397" s="91"/>
      <c r="AF397" s="91"/>
      <c r="AG397" s="91"/>
      <c r="AH397" s="91"/>
    </row>
    <row r="398" spans="1:34" s="1" customFormat="1" ht="45">
      <c r="A398" s="120">
        <v>397</v>
      </c>
      <c r="B398" s="120" t="b">
        <f t="shared" ca="1" si="6"/>
        <v>0</v>
      </c>
      <c r="C398" s="121">
        <v>45494</v>
      </c>
      <c r="D398" s="137">
        <v>0.58709490740740744</v>
      </c>
      <c r="E398" s="94">
        <v>2033</v>
      </c>
      <c r="F398" s="142">
        <v>1203</v>
      </c>
      <c r="G398" s="94" t="s">
        <v>34</v>
      </c>
      <c r="H398" s="94">
        <v>1022</v>
      </c>
      <c r="I398" s="91">
        <v>35214500045122</v>
      </c>
      <c r="J398" s="94" t="s">
        <v>35</v>
      </c>
      <c r="K398" s="152">
        <v>6.13</v>
      </c>
      <c r="L398" s="122" t="str">
        <f>VLOOKUP(K398,Liste!$L$2:$O$34,4,1)</f>
        <v>GSMR_02/03</v>
      </c>
      <c r="M398" s="133" t="s">
        <v>36</v>
      </c>
      <c r="N398" s="181" t="s">
        <v>58</v>
      </c>
      <c r="O398" s="125" t="s">
        <v>919</v>
      </c>
      <c r="P398" s="119"/>
      <c r="Q398" s="94" t="s">
        <v>531</v>
      </c>
      <c r="R398" s="124" t="s">
        <v>768</v>
      </c>
      <c r="S398" s="91" t="s">
        <v>920</v>
      </c>
      <c r="T398" s="94" t="s">
        <v>56</v>
      </c>
      <c r="U398" s="94" t="s">
        <v>108</v>
      </c>
      <c r="V398" s="94" t="s">
        <v>51</v>
      </c>
      <c r="W398" s="94" t="s">
        <v>51</v>
      </c>
      <c r="X398" s="124" t="s">
        <v>52</v>
      </c>
      <c r="Y398" s="124" t="s">
        <v>622</v>
      </c>
      <c r="Z398" s="91"/>
      <c r="AA398" s="91" t="s">
        <v>778</v>
      </c>
      <c r="AB398" s="91"/>
      <c r="AC398" s="91"/>
      <c r="AD398" s="91"/>
      <c r="AE398" s="91"/>
      <c r="AF398" s="91"/>
      <c r="AG398" s="91"/>
      <c r="AH398" s="91"/>
    </row>
    <row r="399" spans="1:34" s="1" customFormat="1" ht="45">
      <c r="A399" s="120">
        <v>398</v>
      </c>
      <c r="B399" s="120" t="b">
        <f t="shared" ca="1" si="6"/>
        <v>0</v>
      </c>
      <c r="C399" s="121">
        <v>45494</v>
      </c>
      <c r="D399" s="137">
        <v>0.71187500000000004</v>
      </c>
      <c r="E399" s="94">
        <v>2045</v>
      </c>
      <c r="F399" s="142">
        <v>1204</v>
      </c>
      <c r="G399" s="94" t="s">
        <v>34</v>
      </c>
      <c r="H399" s="94">
        <v>1052</v>
      </c>
      <c r="I399" s="91">
        <v>35214500043740</v>
      </c>
      <c r="J399" s="94" t="s">
        <v>35</v>
      </c>
      <c r="K399" s="152">
        <v>6.13</v>
      </c>
      <c r="L399" s="122" t="str">
        <f>VLOOKUP(K399,Liste!$L$2:$O$34,4,1)</f>
        <v>GSMR_02/03</v>
      </c>
      <c r="M399" s="133" t="s">
        <v>36</v>
      </c>
      <c r="N399" s="180" t="s">
        <v>37</v>
      </c>
      <c r="O399" s="125" t="s">
        <v>921</v>
      </c>
      <c r="P399" s="119"/>
      <c r="Q399" s="94" t="s">
        <v>531</v>
      </c>
      <c r="R399" s="124" t="s">
        <v>768</v>
      </c>
      <c r="S399" s="91" t="s">
        <v>922</v>
      </c>
      <c r="T399" s="94" t="s">
        <v>56</v>
      </c>
      <c r="U399" s="94" t="s">
        <v>57</v>
      </c>
      <c r="V399" s="94" t="s">
        <v>43</v>
      </c>
      <c r="W399" s="94" t="s">
        <v>51</v>
      </c>
      <c r="X399" s="124" t="s">
        <v>52</v>
      </c>
      <c r="Y399" s="124" t="s">
        <v>622</v>
      </c>
      <c r="Z399" s="91"/>
      <c r="AA399" s="91" t="s">
        <v>778</v>
      </c>
      <c r="AB399" s="91"/>
      <c r="AC399" s="91"/>
      <c r="AD399" s="91"/>
      <c r="AE399" s="91"/>
      <c r="AF399" s="91"/>
      <c r="AG399" s="91"/>
      <c r="AH399" s="91"/>
    </row>
    <row r="400" spans="1:34" s="1" customFormat="1" ht="45">
      <c r="A400" s="120">
        <v>399</v>
      </c>
      <c r="B400" s="120" t="b">
        <f t="shared" ca="1" si="6"/>
        <v>0</v>
      </c>
      <c r="C400" s="121">
        <v>45494</v>
      </c>
      <c r="D400" s="137">
        <v>0.77765046296296292</v>
      </c>
      <c r="E400" s="94">
        <v>1045</v>
      </c>
      <c r="F400" s="142">
        <v>1201</v>
      </c>
      <c r="G400" s="94" t="s">
        <v>71</v>
      </c>
      <c r="H400" s="94">
        <v>1060</v>
      </c>
      <c r="I400" s="91">
        <v>35214500043740</v>
      </c>
      <c r="J400" s="94" t="s">
        <v>72</v>
      </c>
      <c r="K400" s="91">
        <v>140.65899999999999</v>
      </c>
      <c r="L400" s="122" t="str">
        <f>VLOOKUP(K400,Liste!$L$2:$O$34,4,1)</f>
        <v>GSMR_24/25</v>
      </c>
      <c r="M400" s="133" t="s">
        <v>36</v>
      </c>
      <c r="N400" s="180" t="s">
        <v>37</v>
      </c>
      <c r="O400" s="125" t="s">
        <v>923</v>
      </c>
      <c r="P400" s="126"/>
      <c r="Q400" s="124" t="s">
        <v>150</v>
      </c>
      <c r="R400" s="124" t="s">
        <v>816</v>
      </c>
      <c r="S400" s="91" t="s">
        <v>924</v>
      </c>
      <c r="T400" s="94" t="s">
        <v>69</v>
      </c>
      <c r="U400" s="94" t="s">
        <v>140</v>
      </c>
      <c r="V400" s="94" t="s">
        <v>51</v>
      </c>
      <c r="W400" s="94" t="s">
        <v>51</v>
      </c>
      <c r="X400" s="124" t="s">
        <v>52</v>
      </c>
      <c r="Y400" s="124" t="s">
        <v>622</v>
      </c>
      <c r="Z400" s="91"/>
      <c r="AA400" s="91" t="s">
        <v>778</v>
      </c>
      <c r="AB400" s="91"/>
      <c r="AC400" s="91"/>
      <c r="AD400" s="91"/>
      <c r="AE400" s="91"/>
      <c r="AF400" s="91"/>
      <c r="AG400" s="91"/>
      <c r="AH400" s="91"/>
    </row>
    <row r="401" spans="1:34" s="1" customFormat="1" ht="45">
      <c r="A401" s="120">
        <v>400</v>
      </c>
      <c r="B401" s="120" t="b">
        <f t="shared" ca="1" si="6"/>
        <v>0</v>
      </c>
      <c r="C401" s="121">
        <v>45494</v>
      </c>
      <c r="D401" s="137">
        <v>0.79520833333333329</v>
      </c>
      <c r="E401" s="94">
        <v>2053</v>
      </c>
      <c r="F401" s="142">
        <v>1208</v>
      </c>
      <c r="G401" s="94" t="s">
        <v>34</v>
      </c>
      <c r="H401" s="94">
        <v>1036</v>
      </c>
      <c r="I401" s="91">
        <v>35214500043740</v>
      </c>
      <c r="J401" s="94" t="s">
        <v>35</v>
      </c>
      <c r="K401" s="152">
        <v>6.13</v>
      </c>
      <c r="L401" s="122" t="str">
        <f>VLOOKUP(K401,Liste!$L$2:$O$34,4,1)</f>
        <v>GSMR_02/03</v>
      </c>
      <c r="M401" s="133" t="s">
        <v>36</v>
      </c>
      <c r="N401" s="181" t="s">
        <v>58</v>
      </c>
      <c r="O401" s="125" t="s">
        <v>925</v>
      </c>
      <c r="P401" s="119"/>
      <c r="Q401" s="94" t="s">
        <v>531</v>
      </c>
      <c r="R401" s="124" t="s">
        <v>768</v>
      </c>
      <c r="S401" s="91" t="s">
        <v>926</v>
      </c>
      <c r="T401" s="94" t="s">
        <v>209</v>
      </c>
      <c r="U401" s="94" t="s">
        <v>197</v>
      </c>
      <c r="V401" s="94" t="s">
        <v>43</v>
      </c>
      <c r="W401" s="94" t="s">
        <v>51</v>
      </c>
      <c r="X401" s="124" t="s">
        <v>52</v>
      </c>
      <c r="Y401" s="124" t="s">
        <v>227</v>
      </c>
      <c r="Z401" s="91"/>
      <c r="AA401" s="91" t="s">
        <v>778</v>
      </c>
      <c r="AB401" s="91"/>
      <c r="AC401" s="91"/>
      <c r="AD401" s="91"/>
      <c r="AE401" s="91"/>
      <c r="AF401" s="91"/>
      <c r="AG401" s="91"/>
      <c r="AH401" s="91"/>
    </row>
    <row r="402" spans="1:34" s="1" customFormat="1" ht="45">
      <c r="A402" s="120">
        <v>401</v>
      </c>
      <c r="B402" s="120" t="b">
        <f t="shared" ca="1" si="6"/>
        <v>0</v>
      </c>
      <c r="C402" s="121">
        <v>45495</v>
      </c>
      <c r="D402" s="137">
        <v>0.68116898148148153</v>
      </c>
      <c r="E402" s="94">
        <v>2041</v>
      </c>
      <c r="F402" s="142">
        <v>1211</v>
      </c>
      <c r="G402" s="94" t="s">
        <v>34</v>
      </c>
      <c r="H402" s="94">
        <v>1029</v>
      </c>
      <c r="I402" s="91">
        <v>35214500043740</v>
      </c>
      <c r="J402" s="94" t="s">
        <v>35</v>
      </c>
      <c r="K402" s="91">
        <v>73.585999999999999</v>
      </c>
      <c r="L402" s="122" t="str">
        <f>VLOOKUP(K402,Liste!$L$2:$O$34,4,1)</f>
        <v>GSMR_13/14</v>
      </c>
      <c r="M402" s="133" t="s">
        <v>36</v>
      </c>
      <c r="N402" s="180" t="s">
        <v>37</v>
      </c>
      <c r="O402" s="125" t="s">
        <v>927</v>
      </c>
      <c r="P402" s="126"/>
      <c r="Q402" s="94" t="s">
        <v>54</v>
      </c>
      <c r="R402" s="124" t="s">
        <v>912</v>
      </c>
      <c r="S402" s="91" t="s">
        <v>928</v>
      </c>
      <c r="T402" s="94" t="s">
        <v>56</v>
      </c>
      <c r="U402" s="94" t="s">
        <v>269</v>
      </c>
      <c r="V402" s="94" t="s">
        <v>51</v>
      </c>
      <c r="W402" s="94" t="s">
        <v>51</v>
      </c>
      <c r="X402" s="124" t="s">
        <v>52</v>
      </c>
      <c r="Y402" s="124" t="s">
        <v>622</v>
      </c>
      <c r="Z402" s="91"/>
      <c r="AA402" s="91" t="s">
        <v>778</v>
      </c>
      <c r="AB402" s="91"/>
      <c r="AC402" s="91"/>
      <c r="AD402" s="91"/>
      <c r="AE402" s="91"/>
      <c r="AF402" s="91"/>
      <c r="AG402" s="91"/>
      <c r="AH402" s="91"/>
    </row>
    <row r="403" spans="1:34" s="1" customFormat="1" ht="45">
      <c r="A403" s="120">
        <v>402</v>
      </c>
      <c r="B403" s="120" t="b">
        <f t="shared" ca="1" si="6"/>
        <v>0</v>
      </c>
      <c r="C403" s="121">
        <v>45495</v>
      </c>
      <c r="D403" s="137">
        <v>0.85291666666666666</v>
      </c>
      <c r="E403" s="94">
        <v>2057</v>
      </c>
      <c r="F403" s="142">
        <v>1208</v>
      </c>
      <c r="G403" s="94" t="s">
        <v>34</v>
      </c>
      <c r="H403" s="94">
        <v>1037</v>
      </c>
      <c r="I403" s="91"/>
      <c r="J403" s="94" t="s">
        <v>35</v>
      </c>
      <c r="K403" s="91">
        <v>108.206</v>
      </c>
      <c r="L403" s="122" t="str">
        <f>VLOOKUP(K403,Liste!$L$2:$O$34,4,1)</f>
        <v>GSMR_19/20</v>
      </c>
      <c r="M403" s="133" t="s">
        <v>36</v>
      </c>
      <c r="N403" s="180" t="s">
        <v>37</v>
      </c>
      <c r="O403" s="125" t="s">
        <v>929</v>
      </c>
      <c r="P403" s="126"/>
      <c r="Q403" s="94" t="s">
        <v>54</v>
      </c>
      <c r="R403" s="124" t="s">
        <v>836</v>
      </c>
      <c r="S403" s="91" t="s">
        <v>930</v>
      </c>
      <c r="T403" s="94" t="s">
        <v>116</v>
      </c>
      <c r="U403" s="94" t="s">
        <v>226</v>
      </c>
      <c r="V403" s="94" t="s">
        <v>51</v>
      </c>
      <c r="W403" s="94" t="s">
        <v>51</v>
      </c>
      <c r="X403" s="124" t="s">
        <v>52</v>
      </c>
      <c r="Y403" s="124" t="s">
        <v>727</v>
      </c>
      <c r="Z403" s="91"/>
      <c r="AA403" s="91" t="s">
        <v>754</v>
      </c>
      <c r="AB403" s="91"/>
      <c r="AC403" s="91"/>
      <c r="AD403" s="91"/>
      <c r="AE403" s="91"/>
      <c r="AF403" s="91"/>
      <c r="AG403" s="91"/>
      <c r="AH403" s="91"/>
    </row>
    <row r="404" spans="1:34" s="1" customFormat="1" ht="45">
      <c r="A404" s="120">
        <v>403</v>
      </c>
      <c r="B404" s="120" t="b">
        <f t="shared" ca="1" si="6"/>
        <v>0</v>
      </c>
      <c r="C404" s="121">
        <v>45495</v>
      </c>
      <c r="D404" s="137">
        <v>0.94797453703703705</v>
      </c>
      <c r="E404" s="94">
        <v>1061</v>
      </c>
      <c r="F404" s="142">
        <v>1210</v>
      </c>
      <c r="G404" s="94" t="s">
        <v>71</v>
      </c>
      <c r="H404" s="94">
        <v>1072</v>
      </c>
      <c r="I404" s="91"/>
      <c r="J404" s="94" t="s">
        <v>72</v>
      </c>
      <c r="K404" s="91">
        <v>94.953999999999994</v>
      </c>
      <c r="L404" s="122" t="str">
        <f>VLOOKUP(K404,Liste!$L$2:$O$34,4,1)</f>
        <v>GSMR_17/18</v>
      </c>
      <c r="M404" s="133" t="s">
        <v>36</v>
      </c>
      <c r="N404" s="180" t="s">
        <v>37</v>
      </c>
      <c r="O404" s="125" t="s">
        <v>931</v>
      </c>
      <c r="P404" s="126"/>
      <c r="Q404" s="94" t="s">
        <v>54</v>
      </c>
      <c r="R404" s="124" t="s">
        <v>836</v>
      </c>
      <c r="S404" s="91" t="s">
        <v>932</v>
      </c>
      <c r="T404" s="94" t="s">
        <v>93</v>
      </c>
      <c r="U404" s="94" t="s">
        <v>307</v>
      </c>
      <c r="V404" s="94" t="s">
        <v>51</v>
      </c>
      <c r="W404" s="94" t="s">
        <v>51</v>
      </c>
      <c r="X404" s="124" t="s">
        <v>52</v>
      </c>
      <c r="Y404" s="124" t="s">
        <v>622</v>
      </c>
      <c r="Z404" s="91"/>
      <c r="AA404" s="91" t="s">
        <v>754</v>
      </c>
      <c r="AB404" s="91"/>
      <c r="AC404" s="91"/>
      <c r="AD404" s="91"/>
      <c r="AE404" s="91"/>
      <c r="AF404" s="91"/>
      <c r="AG404" s="91"/>
      <c r="AH404" s="91"/>
    </row>
    <row r="405" spans="1:34" s="1" customFormat="1" ht="45">
      <c r="A405" s="120">
        <v>404</v>
      </c>
      <c r="B405" s="120" t="b">
        <f t="shared" ca="1" si="6"/>
        <v>0</v>
      </c>
      <c r="C405" s="121">
        <v>45496</v>
      </c>
      <c r="D405" s="137">
        <v>0.30638888888888888</v>
      </c>
      <c r="E405" s="94">
        <v>2005</v>
      </c>
      <c r="F405" s="142">
        <v>1207</v>
      </c>
      <c r="G405" s="94" t="s">
        <v>34</v>
      </c>
      <c r="H405" s="94">
        <v>1047</v>
      </c>
      <c r="I405" s="91"/>
      <c r="J405" s="94" t="s">
        <v>35</v>
      </c>
      <c r="K405" s="91">
        <v>73.585999999999999</v>
      </c>
      <c r="L405" s="122" t="str">
        <f>VLOOKUP(K405,Liste!$L$2:$O$34,4,1)</f>
        <v>GSMR_13/14</v>
      </c>
      <c r="M405" s="133" t="s">
        <v>36</v>
      </c>
      <c r="N405" s="180" t="s">
        <v>37</v>
      </c>
      <c r="O405" s="125" t="s">
        <v>933</v>
      </c>
      <c r="P405" s="126"/>
      <c r="Q405" s="94" t="s">
        <v>54</v>
      </c>
      <c r="R405" s="124" t="s">
        <v>912</v>
      </c>
      <c r="S405" s="91" t="s">
        <v>934</v>
      </c>
      <c r="T405" s="94" t="s">
        <v>56</v>
      </c>
      <c r="U405" s="94" t="s">
        <v>102</v>
      </c>
      <c r="V405" s="94" t="s">
        <v>51</v>
      </c>
      <c r="W405" s="94" t="s">
        <v>51</v>
      </c>
      <c r="X405" s="124" t="s">
        <v>52</v>
      </c>
      <c r="Y405" s="124" t="s">
        <v>622</v>
      </c>
      <c r="Z405" s="91"/>
      <c r="AA405" s="91" t="s">
        <v>754</v>
      </c>
      <c r="AB405" s="91"/>
      <c r="AC405" s="91"/>
      <c r="AD405" s="91"/>
      <c r="AE405" s="91"/>
      <c r="AF405" s="91"/>
      <c r="AG405" s="91"/>
      <c r="AH405" s="91"/>
    </row>
    <row r="406" spans="1:34" s="1" customFormat="1" ht="45">
      <c r="A406" s="120">
        <v>405</v>
      </c>
      <c r="B406" s="120" t="b">
        <f t="shared" ca="1" si="6"/>
        <v>0</v>
      </c>
      <c r="C406" s="121">
        <v>45496</v>
      </c>
      <c r="D406" s="137">
        <v>0.37181712962962965</v>
      </c>
      <c r="E406" s="94">
        <v>1005</v>
      </c>
      <c r="F406" s="142">
        <v>1208</v>
      </c>
      <c r="G406" s="94" t="s">
        <v>71</v>
      </c>
      <c r="H406" s="94">
        <v>1044</v>
      </c>
      <c r="I406" s="91"/>
      <c r="J406" s="94" t="s">
        <v>72</v>
      </c>
      <c r="K406" s="91">
        <v>51.036999999999999</v>
      </c>
      <c r="L406" s="122" t="str">
        <f>VLOOKUP(K406,Liste!$L$2:$O$34,4,1)</f>
        <v>GSMR_09/10</v>
      </c>
      <c r="M406" s="133" t="s">
        <v>36</v>
      </c>
      <c r="N406" s="180" t="s">
        <v>37</v>
      </c>
      <c r="O406" s="125" t="s">
        <v>935</v>
      </c>
      <c r="P406" s="119"/>
      <c r="Q406" s="94" t="s">
        <v>39</v>
      </c>
      <c r="R406" s="124" t="s">
        <v>833</v>
      </c>
      <c r="S406" s="91" t="s">
        <v>936</v>
      </c>
      <c r="T406" s="94" t="s">
        <v>56</v>
      </c>
      <c r="U406" s="94" t="s">
        <v>120</v>
      </c>
      <c r="V406" s="94" t="s">
        <v>51</v>
      </c>
      <c r="W406" s="94" t="s">
        <v>43</v>
      </c>
      <c r="X406" s="124" t="s">
        <v>52</v>
      </c>
      <c r="Y406" s="124" t="s">
        <v>622</v>
      </c>
      <c r="Z406" s="91"/>
      <c r="AA406" s="91" t="s">
        <v>810</v>
      </c>
      <c r="AB406" s="91"/>
      <c r="AC406" s="91"/>
      <c r="AD406" s="91"/>
      <c r="AE406" s="91"/>
      <c r="AF406" s="91"/>
      <c r="AG406" s="91"/>
      <c r="AH406" s="91"/>
    </row>
    <row r="407" spans="1:34" s="1" customFormat="1" ht="45">
      <c r="A407" s="120">
        <v>406</v>
      </c>
      <c r="B407" s="120" t="b">
        <f t="shared" ca="1" si="6"/>
        <v>0</v>
      </c>
      <c r="C407" s="121">
        <v>45496</v>
      </c>
      <c r="D407" s="137">
        <v>0.52069444444444446</v>
      </c>
      <c r="E407" s="94">
        <v>1022</v>
      </c>
      <c r="F407" s="142">
        <v>1202</v>
      </c>
      <c r="G407" s="94" t="s">
        <v>71</v>
      </c>
      <c r="H407" s="94">
        <v>1022</v>
      </c>
      <c r="I407" s="91"/>
      <c r="J407" s="94" t="s">
        <v>72</v>
      </c>
      <c r="K407" s="91">
        <v>177.85</v>
      </c>
      <c r="L407" s="122" t="str">
        <f>VLOOKUP(K407,Liste!$L$2:$O$34,4,1)</f>
        <v>GSMR_30/31</v>
      </c>
      <c r="M407" s="133" t="s">
        <v>36</v>
      </c>
      <c r="N407" s="180" t="s">
        <v>37</v>
      </c>
      <c r="O407" s="125" t="s">
        <v>937</v>
      </c>
      <c r="P407" s="119"/>
      <c r="Q407" s="94" t="s">
        <v>39</v>
      </c>
      <c r="R407" s="124" t="s">
        <v>833</v>
      </c>
      <c r="S407" s="91" t="s">
        <v>890</v>
      </c>
      <c r="T407" s="94" t="s">
        <v>56</v>
      </c>
      <c r="U407" s="94" t="s">
        <v>572</v>
      </c>
      <c r="V407" s="94" t="s">
        <v>51</v>
      </c>
      <c r="W407" s="94" t="s">
        <v>43</v>
      </c>
      <c r="X407" s="124" t="s">
        <v>52</v>
      </c>
      <c r="Y407" s="124" t="s">
        <v>622</v>
      </c>
      <c r="Z407" s="91"/>
      <c r="AA407" s="91" t="s">
        <v>810</v>
      </c>
      <c r="AB407" s="91"/>
      <c r="AC407" s="91"/>
      <c r="AD407" s="91"/>
      <c r="AE407" s="91"/>
      <c r="AF407" s="91"/>
      <c r="AG407" s="91"/>
      <c r="AH407" s="91"/>
    </row>
    <row r="408" spans="1:34" s="1" customFormat="1" ht="45">
      <c r="A408" s="120">
        <v>407</v>
      </c>
      <c r="B408" s="120" t="b">
        <f t="shared" ca="1" si="6"/>
        <v>0</v>
      </c>
      <c r="C408" s="121">
        <v>45496</v>
      </c>
      <c r="D408" s="137" t="s">
        <v>938</v>
      </c>
      <c r="E408" s="94">
        <v>2033</v>
      </c>
      <c r="F408" s="142">
        <v>1201</v>
      </c>
      <c r="G408" s="94" t="s">
        <v>34</v>
      </c>
      <c r="H408" s="94">
        <v>7206</v>
      </c>
      <c r="I408" s="91"/>
      <c r="J408" s="94" t="s">
        <v>35</v>
      </c>
      <c r="K408" s="152">
        <v>6.13</v>
      </c>
      <c r="L408" s="122" t="str">
        <f>VLOOKUP(K408,Liste!$L$2:$O$34,4,1)</f>
        <v>GSMR_02/03</v>
      </c>
      <c r="M408" s="133" t="s">
        <v>36</v>
      </c>
      <c r="N408" s="180" t="s">
        <v>37</v>
      </c>
      <c r="O408" s="125" t="s">
        <v>939</v>
      </c>
      <c r="P408" s="119"/>
      <c r="Q408" s="94" t="s">
        <v>39</v>
      </c>
      <c r="R408" s="124" t="s">
        <v>768</v>
      </c>
      <c r="S408" s="91" t="s">
        <v>940</v>
      </c>
      <c r="T408" s="94" t="s">
        <v>93</v>
      </c>
      <c r="U408" s="94" t="s">
        <v>108</v>
      </c>
      <c r="V408" s="94" t="s">
        <v>51</v>
      </c>
      <c r="W408" s="94" t="s">
        <v>51</v>
      </c>
      <c r="X408" s="124" t="s">
        <v>52</v>
      </c>
      <c r="Y408" s="124" t="s">
        <v>622</v>
      </c>
      <c r="Z408" s="91"/>
      <c r="AA408" s="91" t="s">
        <v>810</v>
      </c>
      <c r="AB408" s="91"/>
      <c r="AC408" s="91"/>
      <c r="AD408" s="91"/>
      <c r="AE408" s="91"/>
      <c r="AF408" s="91"/>
      <c r="AG408" s="91"/>
      <c r="AH408" s="91"/>
    </row>
    <row r="409" spans="1:34" s="1" customFormat="1" ht="45">
      <c r="A409" s="120">
        <v>408</v>
      </c>
      <c r="B409" s="120" t="b">
        <f t="shared" ca="1" si="6"/>
        <v>0</v>
      </c>
      <c r="C409" s="121">
        <v>45496</v>
      </c>
      <c r="D409" s="137" t="s">
        <v>941</v>
      </c>
      <c r="E409" s="94">
        <v>2049</v>
      </c>
      <c r="F409" s="142">
        <v>1210</v>
      </c>
      <c r="G409" s="94" t="s">
        <v>34</v>
      </c>
      <c r="H409" s="94">
        <v>1048</v>
      </c>
      <c r="I409" s="91"/>
      <c r="J409" s="94" t="s">
        <v>35</v>
      </c>
      <c r="K409" s="91">
        <v>109.495</v>
      </c>
      <c r="L409" s="122" t="str">
        <f>VLOOKUP(K409,Liste!$L$2:$O$34,4,1)</f>
        <v>GSMR_19/20</v>
      </c>
      <c r="M409" s="133" t="s">
        <v>36</v>
      </c>
      <c r="N409" s="180" t="s">
        <v>37</v>
      </c>
      <c r="O409" s="125" t="s">
        <v>942</v>
      </c>
      <c r="P409" s="126"/>
      <c r="Q409" s="94" t="s">
        <v>54</v>
      </c>
      <c r="R409" s="124" t="s">
        <v>836</v>
      </c>
      <c r="S409" s="91" t="s">
        <v>943</v>
      </c>
      <c r="T409" s="94" t="s">
        <v>93</v>
      </c>
      <c r="U409" s="94" t="s">
        <v>102</v>
      </c>
      <c r="V409" s="94" t="s">
        <v>43</v>
      </c>
      <c r="W409" s="94" t="s">
        <v>51</v>
      </c>
      <c r="X409" s="124" t="s">
        <v>52</v>
      </c>
      <c r="Y409" s="124" t="s">
        <v>622</v>
      </c>
      <c r="Z409" s="91"/>
      <c r="AA409" s="91" t="s">
        <v>778</v>
      </c>
      <c r="AB409" s="91"/>
      <c r="AC409" s="91"/>
      <c r="AD409" s="91"/>
      <c r="AE409" s="91"/>
      <c r="AF409" s="91"/>
      <c r="AG409" s="91"/>
      <c r="AH409" s="91"/>
    </row>
    <row r="410" spans="1:34" s="1" customFormat="1" ht="45">
      <c r="A410" s="120">
        <v>409</v>
      </c>
      <c r="B410" s="120" t="b">
        <f t="shared" ca="1" si="6"/>
        <v>0</v>
      </c>
      <c r="C410" s="121">
        <v>45496</v>
      </c>
      <c r="D410" s="137" t="s">
        <v>944</v>
      </c>
      <c r="E410" s="94">
        <v>2061</v>
      </c>
      <c r="F410" s="142">
        <v>1207</v>
      </c>
      <c r="G410" s="94" t="s">
        <v>34</v>
      </c>
      <c r="H410" s="94">
        <v>1046</v>
      </c>
      <c r="I410" s="91"/>
      <c r="J410" s="94" t="s">
        <v>35</v>
      </c>
      <c r="K410" s="91">
        <v>108.206</v>
      </c>
      <c r="L410" s="122" t="str">
        <f>VLOOKUP(K410,Liste!$L$2:$O$34,4,1)</f>
        <v>GSMR_19/20</v>
      </c>
      <c r="M410" s="133" t="s">
        <v>36</v>
      </c>
      <c r="N410" s="180" t="s">
        <v>37</v>
      </c>
      <c r="O410" s="125" t="s">
        <v>945</v>
      </c>
      <c r="P410" s="126"/>
      <c r="Q410" s="94" t="s">
        <v>54</v>
      </c>
      <c r="R410" s="124" t="s">
        <v>836</v>
      </c>
      <c r="S410" s="91" t="s">
        <v>897</v>
      </c>
      <c r="T410" s="94" t="s">
        <v>56</v>
      </c>
      <c r="U410" s="94" t="s">
        <v>97</v>
      </c>
      <c r="V410" s="94" t="s">
        <v>51</v>
      </c>
      <c r="W410" s="94" t="s">
        <v>51</v>
      </c>
      <c r="X410" s="124" t="s">
        <v>52</v>
      </c>
      <c r="Y410" s="124" t="s">
        <v>946</v>
      </c>
      <c r="Z410" s="91"/>
      <c r="AA410" s="91" t="s">
        <v>772</v>
      </c>
      <c r="AB410" s="91"/>
      <c r="AC410" s="91"/>
      <c r="AD410" s="91"/>
      <c r="AE410" s="91"/>
      <c r="AF410" s="91"/>
      <c r="AG410" s="91"/>
      <c r="AH410" s="91"/>
    </row>
    <row r="411" spans="1:34" s="1" customFormat="1" ht="45">
      <c r="A411" s="120">
        <v>410</v>
      </c>
      <c r="B411" s="120" t="b">
        <f t="shared" ca="1" si="6"/>
        <v>0</v>
      </c>
      <c r="C411" s="121">
        <v>45496</v>
      </c>
      <c r="D411" s="137" t="s">
        <v>947</v>
      </c>
      <c r="E411" s="94">
        <v>2061</v>
      </c>
      <c r="F411" s="142">
        <v>1210</v>
      </c>
      <c r="G411" s="94" t="s">
        <v>71</v>
      </c>
      <c r="H411" s="94">
        <v>1072</v>
      </c>
      <c r="I411" s="91"/>
      <c r="J411" s="94" t="s">
        <v>72</v>
      </c>
      <c r="K411" s="91">
        <v>198.98400000000001</v>
      </c>
      <c r="L411" s="122" t="str">
        <f>VLOOKUP(K411,Liste!$L$2:$O$34,4,1)</f>
        <v>GSMR_33/RAC</v>
      </c>
      <c r="M411" s="133" t="s">
        <v>36</v>
      </c>
      <c r="N411" s="180" t="s">
        <v>37</v>
      </c>
      <c r="O411" s="125" t="s">
        <v>948</v>
      </c>
      <c r="P411" s="119"/>
      <c r="Q411" s="94" t="s">
        <v>39</v>
      </c>
      <c r="R411" s="124" t="s">
        <v>833</v>
      </c>
      <c r="S411" s="91" t="s">
        <v>949</v>
      </c>
      <c r="T411" s="94" t="s">
        <v>69</v>
      </c>
      <c r="U411" s="94" t="s">
        <v>408</v>
      </c>
      <c r="V411" s="94" t="s">
        <v>51</v>
      </c>
      <c r="W411" s="94" t="s">
        <v>51</v>
      </c>
      <c r="X411" s="124" t="s">
        <v>52</v>
      </c>
      <c r="Y411" s="124" t="s">
        <v>950</v>
      </c>
      <c r="Z411" s="91"/>
      <c r="AA411" s="91" t="s">
        <v>772</v>
      </c>
      <c r="AB411" s="91"/>
      <c r="AC411" s="91"/>
      <c r="AD411" s="91"/>
      <c r="AE411" s="91"/>
      <c r="AF411" s="91"/>
      <c r="AG411" s="91"/>
      <c r="AH411" s="91"/>
    </row>
    <row r="412" spans="1:34" s="1" customFormat="1" ht="45">
      <c r="A412" s="120">
        <v>411</v>
      </c>
      <c r="B412" s="120" t="b">
        <f t="shared" ca="1" si="6"/>
        <v>0</v>
      </c>
      <c r="C412" s="121">
        <v>45496</v>
      </c>
      <c r="D412" s="137" t="s">
        <v>951</v>
      </c>
      <c r="E412" s="94">
        <v>2061</v>
      </c>
      <c r="F412" s="142">
        <v>1210</v>
      </c>
      <c r="G412" s="94" t="s">
        <v>71</v>
      </c>
      <c r="H412" s="94">
        <v>1072</v>
      </c>
      <c r="I412" s="91"/>
      <c r="J412" s="94" t="s">
        <v>72</v>
      </c>
      <c r="K412" s="152">
        <v>7.3209999999999997</v>
      </c>
      <c r="L412" s="122" t="str">
        <f>VLOOKUP(K412,Liste!$L$2:$O$34,4,1)</f>
        <v>GSMR_02/03</v>
      </c>
      <c r="M412" s="133" t="s">
        <v>36</v>
      </c>
      <c r="N412" s="181" t="s">
        <v>58</v>
      </c>
      <c r="O412" s="125" t="s">
        <v>952</v>
      </c>
      <c r="P412" s="119"/>
      <c r="Q412" s="94" t="s">
        <v>39</v>
      </c>
      <c r="R412" s="124" t="s">
        <v>768</v>
      </c>
      <c r="S412" s="91" t="s">
        <v>953</v>
      </c>
      <c r="T412" s="94" t="s">
        <v>78</v>
      </c>
      <c r="U412" s="94" t="s">
        <v>339</v>
      </c>
      <c r="V412" s="94" t="s">
        <v>51</v>
      </c>
      <c r="W412" s="94" t="s">
        <v>51</v>
      </c>
      <c r="X412" s="124" t="s">
        <v>52</v>
      </c>
      <c r="Y412" s="124" t="s">
        <v>946</v>
      </c>
      <c r="Z412" s="91"/>
      <c r="AA412" s="91" t="s">
        <v>772</v>
      </c>
      <c r="AB412" s="91"/>
      <c r="AC412" s="91"/>
      <c r="AD412" s="91"/>
      <c r="AE412" s="91"/>
      <c r="AF412" s="91"/>
      <c r="AG412" s="91"/>
      <c r="AH412" s="91"/>
    </row>
    <row r="413" spans="1:34" s="1" customFormat="1" ht="45">
      <c r="A413" s="120">
        <v>412</v>
      </c>
      <c r="B413" s="120" t="b">
        <f t="shared" ca="1" si="6"/>
        <v>0</v>
      </c>
      <c r="C413" s="121">
        <v>45497</v>
      </c>
      <c r="D413" s="137" t="s">
        <v>954</v>
      </c>
      <c r="E413" s="94">
        <v>2005</v>
      </c>
      <c r="F413" s="142">
        <v>1205</v>
      </c>
      <c r="G413" s="94" t="s">
        <v>34</v>
      </c>
      <c r="H413" s="94">
        <v>7218</v>
      </c>
      <c r="I413" s="91"/>
      <c r="J413" s="94" t="s">
        <v>35</v>
      </c>
      <c r="K413" s="91">
        <v>73.588999999999999</v>
      </c>
      <c r="L413" s="122" t="str">
        <f>VLOOKUP(K413,Liste!$L$2:$O$34,4,1)</f>
        <v>GSMR_13/14</v>
      </c>
      <c r="M413" s="133" t="s">
        <v>36</v>
      </c>
      <c r="N413" s="180" t="s">
        <v>37</v>
      </c>
      <c r="O413" s="125" t="s">
        <v>955</v>
      </c>
      <c r="P413" s="126"/>
      <c r="Q413" s="94" t="s">
        <v>54</v>
      </c>
      <c r="R413" s="124" t="s">
        <v>848</v>
      </c>
      <c r="S413" s="91" t="s">
        <v>956</v>
      </c>
      <c r="T413" s="94" t="s">
        <v>93</v>
      </c>
      <c r="U413" s="94" t="s">
        <v>97</v>
      </c>
      <c r="V413" s="94" t="s">
        <v>51</v>
      </c>
      <c r="W413" s="94" t="s">
        <v>51</v>
      </c>
      <c r="X413" s="124" t="s">
        <v>52</v>
      </c>
      <c r="Y413" s="124" t="s">
        <v>946</v>
      </c>
      <c r="Z413" s="91"/>
      <c r="AA413" s="91" t="s">
        <v>772</v>
      </c>
      <c r="AB413" s="91"/>
      <c r="AC413" s="91"/>
      <c r="AD413" s="91"/>
      <c r="AE413" s="91"/>
      <c r="AF413" s="91"/>
      <c r="AG413" s="91"/>
      <c r="AH413" s="91"/>
    </row>
    <row r="414" spans="1:34" s="1" customFormat="1" ht="45">
      <c r="A414" s="120">
        <v>413</v>
      </c>
      <c r="B414" s="120" t="b">
        <f t="shared" ca="1" si="6"/>
        <v>0</v>
      </c>
      <c r="C414" s="121">
        <v>45497</v>
      </c>
      <c r="D414" s="137" t="s">
        <v>957</v>
      </c>
      <c r="E414" s="94">
        <v>2017</v>
      </c>
      <c r="F414" s="142">
        <v>1202</v>
      </c>
      <c r="G414" s="94" t="s">
        <v>34</v>
      </c>
      <c r="H414" s="94">
        <v>1043</v>
      </c>
      <c r="I414" s="91"/>
      <c r="J414" s="94" t="s">
        <v>35</v>
      </c>
      <c r="K414" s="91">
        <v>73.585999999999999</v>
      </c>
      <c r="L414" s="122" t="str">
        <f>VLOOKUP(K414,Liste!$L$2:$O$34,4,1)</f>
        <v>GSMR_13/14</v>
      </c>
      <c r="M414" s="133" t="s">
        <v>36</v>
      </c>
      <c r="N414" s="180" t="s">
        <v>37</v>
      </c>
      <c r="O414" s="125" t="s">
        <v>958</v>
      </c>
      <c r="P414" s="119"/>
      <c r="Q414" s="94" t="s">
        <v>39</v>
      </c>
      <c r="R414" s="124" t="s">
        <v>833</v>
      </c>
      <c r="S414" s="91" t="s">
        <v>928</v>
      </c>
      <c r="T414" s="94" t="s">
        <v>56</v>
      </c>
      <c r="U414" s="94" t="s">
        <v>50</v>
      </c>
      <c r="V414" s="94" t="s">
        <v>51</v>
      </c>
      <c r="W414" s="94" t="s">
        <v>51</v>
      </c>
      <c r="X414" s="124" t="s">
        <v>52</v>
      </c>
      <c r="Y414" s="124" t="s">
        <v>946</v>
      </c>
      <c r="Z414" s="91"/>
      <c r="AA414" s="91" t="s">
        <v>959</v>
      </c>
      <c r="AB414" s="91"/>
      <c r="AC414" s="91"/>
      <c r="AD414" s="91"/>
      <c r="AE414" s="91"/>
      <c r="AF414" s="91"/>
      <c r="AG414" s="91"/>
      <c r="AH414" s="91"/>
    </row>
    <row r="415" spans="1:34" s="1" customFormat="1" ht="45">
      <c r="A415" s="120">
        <v>414</v>
      </c>
      <c r="B415" s="120" t="b">
        <f t="shared" ca="1" si="6"/>
        <v>0</v>
      </c>
      <c r="C415" s="121">
        <v>45497</v>
      </c>
      <c r="D415" s="137" t="s">
        <v>960</v>
      </c>
      <c r="E415" s="94">
        <v>2017</v>
      </c>
      <c r="F415" s="142">
        <v>1202</v>
      </c>
      <c r="G415" s="94" t="s">
        <v>34</v>
      </c>
      <c r="H415" s="94">
        <v>1042</v>
      </c>
      <c r="I415" s="91"/>
      <c r="J415" s="94" t="s">
        <v>35</v>
      </c>
      <c r="K415" s="91">
        <v>172.83600000000001</v>
      </c>
      <c r="L415" s="122" t="str">
        <f>VLOOKUP(K415,Liste!$L$2:$O$34,4,1)</f>
        <v>GSMR_29/30</v>
      </c>
      <c r="M415" s="133" t="s">
        <v>36</v>
      </c>
      <c r="N415" s="180" t="s">
        <v>37</v>
      </c>
      <c r="O415" s="125" t="s">
        <v>961</v>
      </c>
      <c r="P415" s="119"/>
      <c r="Q415" s="94" t="s">
        <v>39</v>
      </c>
      <c r="R415" s="124" t="s">
        <v>833</v>
      </c>
      <c r="S415" s="91" t="s">
        <v>962</v>
      </c>
      <c r="T415" s="94" t="s">
        <v>69</v>
      </c>
      <c r="U415" s="94" t="s">
        <v>250</v>
      </c>
      <c r="V415" s="94" t="s">
        <v>43</v>
      </c>
      <c r="W415" s="94" t="s">
        <v>51</v>
      </c>
      <c r="X415" s="124" t="s">
        <v>52</v>
      </c>
      <c r="Y415" s="124" t="s">
        <v>946</v>
      </c>
      <c r="Z415" s="91"/>
      <c r="AA415" s="91" t="s">
        <v>802</v>
      </c>
      <c r="AB415" s="91"/>
      <c r="AC415" s="91"/>
      <c r="AD415" s="91"/>
      <c r="AE415" s="91"/>
      <c r="AF415" s="91"/>
      <c r="AG415" s="91"/>
      <c r="AH415" s="91"/>
    </row>
    <row r="416" spans="1:34" s="1" customFormat="1" ht="45">
      <c r="A416" s="120">
        <v>415</v>
      </c>
      <c r="B416" s="120" t="b">
        <f t="shared" ca="1" si="6"/>
        <v>0</v>
      </c>
      <c r="C416" s="121">
        <v>45497</v>
      </c>
      <c r="D416" s="137" t="s">
        <v>963</v>
      </c>
      <c r="E416" s="94">
        <v>1022</v>
      </c>
      <c r="F416" s="142">
        <v>1203</v>
      </c>
      <c r="G416" s="94" t="s">
        <v>71</v>
      </c>
      <c r="H416" s="94">
        <v>1027</v>
      </c>
      <c r="I416" s="91"/>
      <c r="J416" s="94" t="s">
        <v>72</v>
      </c>
      <c r="K416" s="91">
        <v>11.22</v>
      </c>
      <c r="L416" s="122" t="str">
        <f>VLOOKUP(K416,Liste!$L$2:$O$34,4,1)</f>
        <v>GSMR_03/04</v>
      </c>
      <c r="M416" s="133" t="s">
        <v>36</v>
      </c>
      <c r="N416" s="180" t="s">
        <v>37</v>
      </c>
      <c r="O416" s="125" t="s">
        <v>964</v>
      </c>
      <c r="P416" s="119"/>
      <c r="Q416" s="94" t="s">
        <v>39</v>
      </c>
      <c r="R416" s="124" t="s">
        <v>833</v>
      </c>
      <c r="S416" s="91" t="s">
        <v>965</v>
      </c>
      <c r="T416" s="94" t="s">
        <v>69</v>
      </c>
      <c r="U416" s="94" t="s">
        <v>120</v>
      </c>
      <c r="V416" s="94" t="s">
        <v>51</v>
      </c>
      <c r="W416" s="94" t="s">
        <v>51</v>
      </c>
      <c r="X416" s="124" t="s">
        <v>52</v>
      </c>
      <c r="Y416" s="124" t="s">
        <v>946</v>
      </c>
      <c r="Z416" s="91"/>
      <c r="AA416" s="91" t="s">
        <v>810</v>
      </c>
      <c r="AB416" s="91"/>
      <c r="AC416" s="91"/>
      <c r="AD416" s="91"/>
      <c r="AE416" s="91"/>
      <c r="AF416" s="91"/>
      <c r="AG416" s="91"/>
      <c r="AH416" s="91"/>
    </row>
    <row r="417" spans="1:34" s="1" customFormat="1" ht="45">
      <c r="A417" s="120">
        <v>416</v>
      </c>
      <c r="B417" s="120" t="b">
        <f t="shared" ca="1" si="6"/>
        <v>0</v>
      </c>
      <c r="C417" s="121">
        <v>45497</v>
      </c>
      <c r="D417" s="137">
        <v>0.83922453703703703</v>
      </c>
      <c r="E417" s="94">
        <v>2057</v>
      </c>
      <c r="F417" s="142">
        <v>1206</v>
      </c>
      <c r="G417" s="94" t="s">
        <v>34</v>
      </c>
      <c r="H417" s="94">
        <v>1055</v>
      </c>
      <c r="I417" s="91"/>
      <c r="J417" s="94" t="s">
        <v>35</v>
      </c>
      <c r="K417" s="91">
        <v>14.99</v>
      </c>
      <c r="L417" s="122" t="str">
        <f>VLOOKUP(K417,Liste!$L$2:$O$34,4,1)</f>
        <v>GSMR_03/04</v>
      </c>
      <c r="M417" s="133" t="s">
        <v>36</v>
      </c>
      <c r="N417" s="180" t="s">
        <v>37</v>
      </c>
      <c r="O417" s="125" t="s">
        <v>966</v>
      </c>
      <c r="P417" s="119"/>
      <c r="Q417" s="94" t="s">
        <v>39</v>
      </c>
      <c r="R417" s="124" t="s">
        <v>833</v>
      </c>
      <c r="S417" s="91" t="s">
        <v>967</v>
      </c>
      <c r="T417" s="94" t="s">
        <v>69</v>
      </c>
      <c r="U417" s="94" t="s">
        <v>120</v>
      </c>
      <c r="V417" s="94" t="s">
        <v>51</v>
      </c>
      <c r="W417" s="94" t="s">
        <v>51</v>
      </c>
      <c r="X417" s="124" t="s">
        <v>52</v>
      </c>
      <c r="Y417" s="124" t="s">
        <v>946</v>
      </c>
      <c r="Z417" s="91"/>
      <c r="AA417" s="91" t="s">
        <v>778</v>
      </c>
      <c r="AB417" s="91"/>
      <c r="AC417" s="91"/>
      <c r="AD417" s="91"/>
      <c r="AE417" s="91"/>
      <c r="AF417" s="91"/>
      <c r="AG417" s="91"/>
      <c r="AH417" s="91"/>
    </row>
    <row r="418" spans="1:34" s="1" customFormat="1" ht="45">
      <c r="A418" s="120">
        <v>417</v>
      </c>
      <c r="B418" s="120" t="b">
        <f t="shared" ca="1" si="6"/>
        <v>0</v>
      </c>
      <c r="C418" s="121">
        <v>45497</v>
      </c>
      <c r="D418" s="137">
        <v>0.86099537037037033</v>
      </c>
      <c r="E418" s="94">
        <v>1053</v>
      </c>
      <c r="F418" s="142">
        <v>1205</v>
      </c>
      <c r="G418" s="94" t="s">
        <v>71</v>
      </c>
      <c r="H418" s="94">
        <v>1034</v>
      </c>
      <c r="I418" s="91"/>
      <c r="J418" s="94" t="s">
        <v>72</v>
      </c>
      <c r="K418" s="91">
        <v>179.089</v>
      </c>
      <c r="L418" s="122" t="str">
        <f>VLOOKUP(K418,Liste!$L$2:$O$34,4,1)</f>
        <v>GSMR_30/31</v>
      </c>
      <c r="M418" s="133" t="s">
        <v>36</v>
      </c>
      <c r="N418" s="180" t="s">
        <v>37</v>
      </c>
      <c r="O418" s="125" t="s">
        <v>968</v>
      </c>
      <c r="P418" s="126"/>
      <c r="Q418" s="94" t="s">
        <v>54</v>
      </c>
      <c r="R418" s="124" t="s">
        <v>848</v>
      </c>
      <c r="S418" s="91" t="s">
        <v>969</v>
      </c>
      <c r="T418" s="94" t="s">
        <v>56</v>
      </c>
      <c r="U418" s="94" t="s">
        <v>140</v>
      </c>
      <c r="V418" s="94" t="s">
        <v>51</v>
      </c>
      <c r="W418" s="94" t="s">
        <v>51</v>
      </c>
      <c r="X418" s="124" t="s">
        <v>52</v>
      </c>
      <c r="Y418" s="124" t="s">
        <v>946</v>
      </c>
      <c r="Z418" s="91"/>
      <c r="AA418" s="91" t="s">
        <v>778</v>
      </c>
      <c r="AB418" s="91"/>
      <c r="AC418" s="91"/>
      <c r="AD418" s="91"/>
      <c r="AE418" s="91"/>
      <c r="AF418" s="91"/>
      <c r="AG418" s="91"/>
      <c r="AH418" s="91"/>
    </row>
    <row r="419" spans="1:34" s="1" customFormat="1" ht="45">
      <c r="A419" s="120">
        <v>418</v>
      </c>
      <c r="B419" s="120" t="b">
        <f t="shared" ca="1" si="6"/>
        <v>0</v>
      </c>
      <c r="C419" s="121">
        <v>45497</v>
      </c>
      <c r="D419" s="137">
        <v>0.89871527777777782</v>
      </c>
      <c r="E419" s="94">
        <v>2061</v>
      </c>
      <c r="F419" s="142">
        <v>1203</v>
      </c>
      <c r="G419" s="94" t="s">
        <v>71</v>
      </c>
      <c r="H419" s="94">
        <v>1024</v>
      </c>
      <c r="I419" s="91"/>
      <c r="J419" s="94" t="s">
        <v>72</v>
      </c>
      <c r="K419" s="91">
        <v>140.65899999999999</v>
      </c>
      <c r="L419" s="122" t="str">
        <f>VLOOKUP(K419,Liste!$L$2:$O$34,4,1)</f>
        <v>GSMR_24/25</v>
      </c>
      <c r="M419" s="133" t="s">
        <v>36</v>
      </c>
      <c r="N419" s="180" t="s">
        <v>37</v>
      </c>
      <c r="O419" s="125" t="s">
        <v>970</v>
      </c>
      <c r="P419" s="126"/>
      <c r="Q419" s="94" t="s">
        <v>54</v>
      </c>
      <c r="R419" s="124" t="s">
        <v>848</v>
      </c>
      <c r="S419" s="91" t="s">
        <v>971</v>
      </c>
      <c r="T419" s="94" t="s">
        <v>116</v>
      </c>
      <c r="U419" s="94" t="s">
        <v>339</v>
      </c>
      <c r="V419" s="94" t="s">
        <v>51</v>
      </c>
      <c r="W419" s="94" t="s">
        <v>51</v>
      </c>
      <c r="X419" s="124" t="s">
        <v>52</v>
      </c>
      <c r="Y419" s="124" t="s">
        <v>946</v>
      </c>
      <c r="Z419" s="91"/>
      <c r="AA419" s="91" t="s">
        <v>772</v>
      </c>
      <c r="AB419" s="91"/>
      <c r="AC419" s="91"/>
      <c r="AD419" s="91"/>
      <c r="AE419" s="91"/>
      <c r="AF419" s="91"/>
      <c r="AG419" s="91"/>
      <c r="AH419" s="91"/>
    </row>
    <row r="420" spans="1:34" s="1" customFormat="1" ht="45">
      <c r="A420" s="120">
        <v>419</v>
      </c>
      <c r="B420" s="120" t="b">
        <f t="shared" ca="1" si="6"/>
        <v>0</v>
      </c>
      <c r="C420" s="121">
        <v>45497</v>
      </c>
      <c r="D420" s="137">
        <v>0.90407407407407403</v>
      </c>
      <c r="E420" s="94">
        <v>1058</v>
      </c>
      <c r="F420" s="142">
        <v>1204</v>
      </c>
      <c r="G420" s="94" t="s">
        <v>71</v>
      </c>
      <c r="H420" s="94">
        <v>1031</v>
      </c>
      <c r="I420" s="91"/>
      <c r="J420" s="94" t="s">
        <v>72</v>
      </c>
      <c r="K420" s="91">
        <v>127.815</v>
      </c>
      <c r="L420" s="122" t="str">
        <f>VLOOKUP(K420,Liste!$L$2:$O$34,4,1)</f>
        <v>GSMR_22/23</v>
      </c>
      <c r="M420" s="133" t="s">
        <v>36</v>
      </c>
      <c r="N420" s="180" t="s">
        <v>37</v>
      </c>
      <c r="O420" s="125" t="s">
        <v>972</v>
      </c>
      <c r="P420" s="126"/>
      <c r="Q420" s="94" t="s">
        <v>54</v>
      </c>
      <c r="R420" s="124" t="s">
        <v>848</v>
      </c>
      <c r="S420" s="91" t="s">
        <v>973</v>
      </c>
      <c r="T420" s="94" t="s">
        <v>56</v>
      </c>
      <c r="U420" s="94" t="s">
        <v>223</v>
      </c>
      <c r="V420" s="94" t="s">
        <v>51</v>
      </c>
      <c r="W420" s="94" t="s">
        <v>51</v>
      </c>
      <c r="X420" s="124" t="s">
        <v>52</v>
      </c>
      <c r="Y420" s="124" t="s">
        <v>946</v>
      </c>
      <c r="Z420" s="91"/>
      <c r="AA420" s="91" t="s">
        <v>772</v>
      </c>
      <c r="AB420" s="91"/>
      <c r="AC420" s="91"/>
      <c r="AD420" s="91"/>
      <c r="AE420" s="91"/>
      <c r="AF420" s="91"/>
      <c r="AG420" s="91"/>
      <c r="AH420" s="91"/>
    </row>
    <row r="421" spans="1:34" s="1" customFormat="1" ht="45">
      <c r="A421" s="120">
        <v>420</v>
      </c>
      <c r="B421" s="120" t="b">
        <f t="shared" ca="1" si="6"/>
        <v>0</v>
      </c>
      <c r="C421" s="121">
        <v>45497</v>
      </c>
      <c r="D421" s="137">
        <v>0.95030092592592597</v>
      </c>
      <c r="E421" s="94">
        <v>1061</v>
      </c>
      <c r="F421" s="142">
        <v>1208</v>
      </c>
      <c r="G421" s="94" t="s">
        <v>71</v>
      </c>
      <c r="H421" s="94">
        <v>1044</v>
      </c>
      <c r="I421" s="91"/>
      <c r="J421" s="94" t="s">
        <v>72</v>
      </c>
      <c r="K421" s="91">
        <v>97.619</v>
      </c>
      <c r="L421" s="122" t="str">
        <f>VLOOKUP(K421,Liste!$L$2:$O$34,4,1)</f>
        <v>GSMR_17/18</v>
      </c>
      <c r="M421" s="133" t="s">
        <v>36</v>
      </c>
      <c r="N421" s="180" t="s">
        <v>37</v>
      </c>
      <c r="O421" s="125" t="s">
        <v>974</v>
      </c>
      <c r="P421" s="119"/>
      <c r="Q421" s="94" t="s">
        <v>39</v>
      </c>
      <c r="R421" s="124" t="s">
        <v>833</v>
      </c>
      <c r="S421" s="91" t="s">
        <v>975</v>
      </c>
      <c r="T421" s="94" t="s">
        <v>69</v>
      </c>
      <c r="U421" s="94" t="s">
        <v>75</v>
      </c>
      <c r="V421" s="94" t="s">
        <v>51</v>
      </c>
      <c r="W421" s="94" t="s">
        <v>51</v>
      </c>
      <c r="X421" s="124" t="s">
        <v>52</v>
      </c>
      <c r="Y421" s="124" t="s">
        <v>946</v>
      </c>
      <c r="Z421" s="91"/>
      <c r="AA421" s="91" t="s">
        <v>772</v>
      </c>
      <c r="AB421" s="91"/>
      <c r="AC421" s="91"/>
      <c r="AD421" s="91"/>
      <c r="AE421" s="91"/>
      <c r="AF421" s="91"/>
      <c r="AG421" s="91"/>
      <c r="AH421" s="91"/>
    </row>
    <row r="422" spans="1:34" s="1" customFormat="1" ht="45">
      <c r="A422" s="120">
        <v>421</v>
      </c>
      <c r="B422" s="120" t="b">
        <f t="shared" ca="1" si="6"/>
        <v>0</v>
      </c>
      <c r="C422" s="121">
        <v>45498</v>
      </c>
      <c r="D422" s="137">
        <v>0.40406249999999999</v>
      </c>
      <c r="E422" s="94">
        <v>1010</v>
      </c>
      <c r="F422" s="142">
        <v>1206</v>
      </c>
      <c r="G422" s="94" t="s">
        <v>71</v>
      </c>
      <c r="H422" s="94">
        <v>1041</v>
      </c>
      <c r="I422" s="91"/>
      <c r="J422" s="94" t="s">
        <v>72</v>
      </c>
      <c r="K422" s="91">
        <v>131.78899999999999</v>
      </c>
      <c r="L422" s="122" t="str">
        <f>VLOOKUP(K422,Liste!$L$2:$O$34,4,1)</f>
        <v>GSMR_23/24</v>
      </c>
      <c r="M422" s="133" t="s">
        <v>36</v>
      </c>
      <c r="N422" s="180" t="s">
        <v>37</v>
      </c>
      <c r="O422" s="125" t="s">
        <v>976</v>
      </c>
      <c r="P422" s="119"/>
      <c r="Q422" s="94" t="s">
        <v>39</v>
      </c>
      <c r="R422" s="124" t="s">
        <v>833</v>
      </c>
      <c r="S422" s="91" t="s">
        <v>977</v>
      </c>
      <c r="T422" s="94" t="s">
        <v>69</v>
      </c>
      <c r="U422" s="94" t="s">
        <v>156</v>
      </c>
      <c r="V422" s="94" t="s">
        <v>51</v>
      </c>
      <c r="W422" s="94" t="s">
        <v>51</v>
      </c>
      <c r="X422" s="124" t="s">
        <v>52</v>
      </c>
      <c r="Y422" s="124" t="s">
        <v>946</v>
      </c>
      <c r="Z422" s="91"/>
      <c r="AA422" s="91" t="s">
        <v>959</v>
      </c>
      <c r="AB422" s="91"/>
      <c r="AC422" s="91"/>
      <c r="AD422" s="91"/>
      <c r="AE422" s="91"/>
      <c r="AF422" s="91"/>
      <c r="AG422" s="91"/>
      <c r="AH422" s="91"/>
    </row>
    <row r="423" spans="1:34" s="1" customFormat="1" ht="45">
      <c r="A423" s="120">
        <v>422</v>
      </c>
      <c r="B423" s="120" t="b">
        <f t="shared" ca="1" si="6"/>
        <v>0</v>
      </c>
      <c r="C423" s="121">
        <v>45498</v>
      </c>
      <c r="D423" s="137">
        <v>0.42303240740740738</v>
      </c>
      <c r="E423" s="94">
        <v>1010</v>
      </c>
      <c r="F423" s="142">
        <v>1206</v>
      </c>
      <c r="G423" s="94" t="s">
        <v>71</v>
      </c>
      <c r="H423" s="94">
        <v>1040</v>
      </c>
      <c r="I423" s="91"/>
      <c r="J423" s="94" t="s">
        <v>72</v>
      </c>
      <c r="K423" s="152">
        <v>7.3209999999999997</v>
      </c>
      <c r="L423" s="122" t="str">
        <f>VLOOKUP(K423,Liste!$L$2:$O$34,4,1)</f>
        <v>GSMR_02/03</v>
      </c>
      <c r="M423" s="133" t="s">
        <v>36</v>
      </c>
      <c r="N423" s="180" t="s">
        <v>37</v>
      </c>
      <c r="O423" s="125" t="s">
        <v>978</v>
      </c>
      <c r="P423" s="119"/>
      <c r="Q423" s="94" t="s">
        <v>39</v>
      </c>
      <c r="R423" s="124" t="s">
        <v>768</v>
      </c>
      <c r="S423" s="91" t="s">
        <v>979</v>
      </c>
      <c r="T423" s="94" t="s">
        <v>56</v>
      </c>
      <c r="U423" s="94" t="s">
        <v>230</v>
      </c>
      <c r="V423" s="94" t="s">
        <v>51</v>
      </c>
      <c r="W423" s="94" t="s">
        <v>51</v>
      </c>
      <c r="X423" s="124" t="s">
        <v>52</v>
      </c>
      <c r="Y423" s="124" t="s">
        <v>946</v>
      </c>
      <c r="Z423" s="91"/>
      <c r="AA423" s="91" t="s">
        <v>802</v>
      </c>
      <c r="AB423" s="91"/>
      <c r="AC423" s="91"/>
      <c r="AD423" s="91"/>
      <c r="AE423" s="91"/>
      <c r="AF423" s="91"/>
      <c r="AG423" s="91"/>
      <c r="AH423" s="91"/>
    </row>
    <row r="424" spans="1:34" s="1" customFormat="1" ht="45">
      <c r="A424" s="120">
        <v>423</v>
      </c>
      <c r="B424" s="120" t="b">
        <f t="shared" ca="1" si="6"/>
        <v>0</v>
      </c>
      <c r="C424" s="121">
        <v>45498</v>
      </c>
      <c r="D424" s="137">
        <v>0.74687499999999996</v>
      </c>
      <c r="E424" s="94">
        <v>1042</v>
      </c>
      <c r="F424" s="142">
        <v>1201</v>
      </c>
      <c r="G424" s="94" t="s">
        <v>71</v>
      </c>
      <c r="H424" s="94">
        <v>1061</v>
      </c>
      <c r="I424" s="91"/>
      <c r="J424" s="94" t="s">
        <v>72</v>
      </c>
      <c r="K424" s="91">
        <v>83.084000000000003</v>
      </c>
      <c r="L424" s="122" t="str">
        <f>VLOOKUP(K424,Liste!$L$2:$O$34,4,1)</f>
        <v>GSMR_15/16</v>
      </c>
      <c r="M424" s="133" t="s">
        <v>36</v>
      </c>
      <c r="N424" s="180" t="s">
        <v>37</v>
      </c>
      <c r="O424" s="125" t="s">
        <v>980</v>
      </c>
      <c r="P424" s="119"/>
      <c r="Q424" s="94" t="s">
        <v>39</v>
      </c>
      <c r="R424" s="124" t="s">
        <v>833</v>
      </c>
      <c r="S424" s="91" t="s">
        <v>981</v>
      </c>
      <c r="T424" s="94" t="s">
        <v>69</v>
      </c>
      <c r="U424" s="94" t="s">
        <v>197</v>
      </c>
      <c r="V424" s="94" t="s">
        <v>51</v>
      </c>
      <c r="W424" s="94" t="s">
        <v>51</v>
      </c>
      <c r="X424" s="124" t="s">
        <v>52</v>
      </c>
      <c r="Y424" s="124" t="s">
        <v>946</v>
      </c>
      <c r="Z424" s="91"/>
      <c r="AA424" s="91" t="s">
        <v>778</v>
      </c>
      <c r="AB424" s="91"/>
      <c r="AC424" s="91"/>
      <c r="AD424" s="91"/>
      <c r="AE424" s="91"/>
      <c r="AF424" s="91"/>
      <c r="AG424" s="91"/>
      <c r="AH424" s="91"/>
    </row>
    <row r="425" spans="1:34" s="1" customFormat="1" ht="45">
      <c r="A425" s="120">
        <v>424</v>
      </c>
      <c r="B425" s="120" t="b">
        <f t="shared" ca="1" si="6"/>
        <v>0</v>
      </c>
      <c r="C425" s="121">
        <v>45498</v>
      </c>
      <c r="D425" s="137">
        <v>0.77493055555555557</v>
      </c>
      <c r="E425" s="94">
        <v>1045</v>
      </c>
      <c r="F425" s="142">
        <v>1204</v>
      </c>
      <c r="G425" s="94" t="s">
        <v>71</v>
      </c>
      <c r="H425" s="94">
        <v>1031</v>
      </c>
      <c r="I425" s="91"/>
      <c r="J425" s="94" t="s">
        <v>72</v>
      </c>
      <c r="K425" s="91">
        <v>177.85</v>
      </c>
      <c r="L425" s="122" t="str">
        <f>VLOOKUP(K425,Liste!$L$2:$O$34,4,1)</f>
        <v>GSMR_30/31</v>
      </c>
      <c r="M425" s="133" t="s">
        <v>36</v>
      </c>
      <c r="N425" s="180" t="s">
        <v>37</v>
      </c>
      <c r="O425" s="125" t="s">
        <v>982</v>
      </c>
      <c r="P425" s="126"/>
      <c r="Q425" s="94" t="s">
        <v>54</v>
      </c>
      <c r="R425" s="124" t="s">
        <v>848</v>
      </c>
      <c r="S425" s="91" t="s">
        <v>983</v>
      </c>
      <c r="T425" s="94" t="s">
        <v>56</v>
      </c>
      <c r="U425" s="94" t="s">
        <v>449</v>
      </c>
      <c r="V425" s="94" t="s">
        <v>43</v>
      </c>
      <c r="W425" s="94" t="s">
        <v>51</v>
      </c>
      <c r="X425" s="124" t="s">
        <v>52</v>
      </c>
      <c r="Y425" s="124" t="s">
        <v>946</v>
      </c>
      <c r="Z425" s="91"/>
      <c r="AA425" s="91" t="s">
        <v>778</v>
      </c>
      <c r="AB425" s="91"/>
      <c r="AC425" s="91"/>
      <c r="AD425" s="91"/>
      <c r="AE425" s="91"/>
      <c r="AF425" s="91"/>
      <c r="AG425" s="91"/>
      <c r="AH425" s="91"/>
    </row>
    <row r="426" spans="1:34" s="1" customFormat="1" ht="45">
      <c r="A426" s="120">
        <v>425</v>
      </c>
      <c r="B426" s="120" t="b">
        <f t="shared" ca="1" si="6"/>
        <v>0</v>
      </c>
      <c r="C426" s="121">
        <v>45499</v>
      </c>
      <c r="D426" s="137" t="s">
        <v>984</v>
      </c>
      <c r="E426" s="94">
        <v>1081</v>
      </c>
      <c r="F426" s="142">
        <v>1204</v>
      </c>
      <c r="G426" s="94" t="s">
        <v>71</v>
      </c>
      <c r="H426" s="94">
        <v>1031</v>
      </c>
      <c r="I426" s="91"/>
      <c r="J426" s="94" t="s">
        <v>72</v>
      </c>
      <c r="K426" s="91">
        <v>149.01400000000001</v>
      </c>
      <c r="L426" s="122" t="str">
        <f>VLOOKUP(K426,Liste!$L$2:$O$34,4,1)</f>
        <v>GSMR_25/26</v>
      </c>
      <c r="M426" s="133" t="s">
        <v>36</v>
      </c>
      <c r="N426" s="180" t="s">
        <v>37</v>
      </c>
      <c r="O426" s="125" t="s">
        <v>985</v>
      </c>
      <c r="P426" s="127"/>
      <c r="Q426" s="91" t="s">
        <v>531</v>
      </c>
      <c r="R426" s="94" t="s">
        <v>986</v>
      </c>
      <c r="S426" s="91" t="s">
        <v>987</v>
      </c>
      <c r="T426" s="94" t="s">
        <v>69</v>
      </c>
      <c r="U426" s="94" t="s">
        <v>112</v>
      </c>
      <c r="V426" s="94" t="s">
        <v>51</v>
      </c>
      <c r="W426" s="94" t="s">
        <v>51</v>
      </c>
      <c r="X426" s="124" t="s">
        <v>52</v>
      </c>
      <c r="Y426" s="124" t="s">
        <v>946</v>
      </c>
      <c r="Z426" s="91"/>
      <c r="AA426" s="91" t="s">
        <v>772</v>
      </c>
      <c r="AB426" s="91"/>
      <c r="AC426" s="91"/>
      <c r="AD426" s="91"/>
      <c r="AE426" s="91"/>
      <c r="AF426" s="91"/>
      <c r="AG426" s="91"/>
      <c r="AH426" s="91"/>
    </row>
    <row r="427" spans="1:34" s="1" customFormat="1" ht="45">
      <c r="A427" s="120">
        <v>426</v>
      </c>
      <c r="B427" s="120" t="b">
        <f t="shared" ca="1" si="6"/>
        <v>0</v>
      </c>
      <c r="C427" s="121">
        <v>45499</v>
      </c>
      <c r="D427" s="137" t="s">
        <v>988</v>
      </c>
      <c r="E427" s="94">
        <v>2025</v>
      </c>
      <c r="F427" s="142">
        <v>1205</v>
      </c>
      <c r="G427" s="94" t="s">
        <v>34</v>
      </c>
      <c r="H427" s="94">
        <v>7217</v>
      </c>
      <c r="I427" s="91"/>
      <c r="J427" s="94" t="s">
        <v>35</v>
      </c>
      <c r="K427" s="152">
        <v>6.13</v>
      </c>
      <c r="L427" s="122" t="str">
        <f>VLOOKUP(K427,Liste!$L$2:$O$34,4,1)</f>
        <v>GSMR_02/03</v>
      </c>
      <c r="M427" s="133" t="s">
        <v>36</v>
      </c>
      <c r="N427" s="180" t="s">
        <v>37</v>
      </c>
      <c r="O427" s="125" t="s">
        <v>989</v>
      </c>
      <c r="P427" s="127"/>
      <c r="Q427" s="91" t="s">
        <v>531</v>
      </c>
      <c r="R427" s="94" t="s">
        <v>768</v>
      </c>
      <c r="S427" s="91" t="s">
        <v>926</v>
      </c>
      <c r="T427" s="94" t="s">
        <v>41</v>
      </c>
      <c r="U427" s="94" t="s">
        <v>197</v>
      </c>
      <c r="V427" s="94" t="s">
        <v>51</v>
      </c>
      <c r="W427" s="94" t="s">
        <v>51</v>
      </c>
      <c r="X427" s="124" t="s">
        <v>52</v>
      </c>
      <c r="Y427" s="124" t="s">
        <v>946</v>
      </c>
      <c r="Z427" s="91"/>
      <c r="AA427" s="91" t="s">
        <v>802</v>
      </c>
      <c r="AB427" s="91"/>
      <c r="AC427" s="91"/>
      <c r="AD427" s="91"/>
      <c r="AE427" s="91"/>
      <c r="AF427" s="91"/>
      <c r="AG427" s="91"/>
      <c r="AH427" s="91"/>
    </row>
    <row r="428" spans="1:34" s="1" customFormat="1" ht="45">
      <c r="A428" s="120">
        <v>427</v>
      </c>
      <c r="B428" s="120" t="b">
        <f t="shared" ca="1" si="6"/>
        <v>0</v>
      </c>
      <c r="C428" s="121">
        <v>45499</v>
      </c>
      <c r="D428" s="137" t="s">
        <v>990</v>
      </c>
      <c r="E428" s="94">
        <v>2049</v>
      </c>
      <c r="F428" s="142">
        <v>1205</v>
      </c>
      <c r="G428" s="94" t="s">
        <v>34</v>
      </c>
      <c r="H428" s="94">
        <v>7217</v>
      </c>
      <c r="I428" s="91"/>
      <c r="J428" s="94" t="s">
        <v>35</v>
      </c>
      <c r="K428" s="152">
        <v>6.13</v>
      </c>
      <c r="L428" s="122" t="str">
        <f>VLOOKUP(K428,Liste!$L$2:$O$34,4,1)</f>
        <v>GSMR_02/03</v>
      </c>
      <c r="M428" s="133" t="s">
        <v>36</v>
      </c>
      <c r="N428" s="181" t="s">
        <v>58</v>
      </c>
      <c r="O428" s="125" t="s">
        <v>991</v>
      </c>
      <c r="P428" s="127"/>
      <c r="Q428" s="91" t="s">
        <v>531</v>
      </c>
      <c r="R428" s="94" t="s">
        <v>768</v>
      </c>
      <c r="S428" s="91" t="s">
        <v>992</v>
      </c>
      <c r="T428" s="94" t="s">
        <v>56</v>
      </c>
      <c r="U428" s="94" t="s">
        <v>408</v>
      </c>
      <c r="V428" s="94" t="s">
        <v>51</v>
      </c>
      <c r="W428" s="94" t="s">
        <v>51</v>
      </c>
      <c r="X428" s="124" t="s">
        <v>52</v>
      </c>
      <c r="Y428" s="124" t="s">
        <v>946</v>
      </c>
      <c r="Z428" s="91"/>
      <c r="AA428" s="91" t="s">
        <v>754</v>
      </c>
      <c r="AB428" s="91"/>
      <c r="AC428" s="91"/>
      <c r="AD428" s="91"/>
      <c r="AE428" s="91"/>
      <c r="AF428" s="91"/>
      <c r="AG428" s="91"/>
      <c r="AH428" s="91"/>
    </row>
    <row r="429" spans="1:34" s="1" customFormat="1" ht="45">
      <c r="A429" s="120">
        <v>428</v>
      </c>
      <c r="B429" s="120" t="b">
        <f t="shared" ca="1" si="6"/>
        <v>0</v>
      </c>
      <c r="C429" s="121">
        <v>45499</v>
      </c>
      <c r="D429" s="137" t="s">
        <v>993</v>
      </c>
      <c r="E429" s="94">
        <v>2053</v>
      </c>
      <c r="F429" s="142">
        <v>1202</v>
      </c>
      <c r="G429" s="94" t="s">
        <v>34</v>
      </c>
      <c r="H429" s="94">
        <v>1042</v>
      </c>
      <c r="I429" s="91"/>
      <c r="J429" s="94" t="s">
        <v>35</v>
      </c>
      <c r="K429" s="91">
        <v>109.495</v>
      </c>
      <c r="L429" s="122" t="str">
        <f>VLOOKUP(K429,Liste!$L$2:$O$34,4,1)</f>
        <v>GSMR_19/20</v>
      </c>
      <c r="M429" s="133" t="s">
        <v>36</v>
      </c>
      <c r="N429" s="180" t="s">
        <v>37</v>
      </c>
      <c r="O429" s="125" t="s">
        <v>994</v>
      </c>
      <c r="P429" s="126"/>
      <c r="Q429" s="94" t="s">
        <v>54</v>
      </c>
      <c r="R429" s="94" t="s">
        <v>848</v>
      </c>
      <c r="S429" s="91" t="s">
        <v>995</v>
      </c>
      <c r="T429" s="94" t="s">
        <v>93</v>
      </c>
      <c r="U429" s="94" t="s">
        <v>82</v>
      </c>
      <c r="V429" s="94" t="s">
        <v>43</v>
      </c>
      <c r="W429" s="94" t="s">
        <v>51</v>
      </c>
      <c r="X429" s="124" t="s">
        <v>52</v>
      </c>
      <c r="Y429" s="124" t="s">
        <v>946</v>
      </c>
      <c r="Z429" s="91"/>
      <c r="AA429" s="91" t="s">
        <v>754</v>
      </c>
      <c r="AB429" s="91"/>
      <c r="AC429" s="91"/>
      <c r="AD429" s="91"/>
      <c r="AE429" s="91"/>
      <c r="AF429" s="91"/>
      <c r="AG429" s="91"/>
      <c r="AH429" s="91"/>
    </row>
    <row r="430" spans="1:34" s="1" customFormat="1" ht="45">
      <c r="A430" s="120">
        <v>429</v>
      </c>
      <c r="B430" s="120" t="b">
        <f t="shared" ca="1" si="6"/>
        <v>0</v>
      </c>
      <c r="C430" s="121">
        <v>45499</v>
      </c>
      <c r="D430" s="137" t="s">
        <v>996</v>
      </c>
      <c r="E430" s="94">
        <v>1061</v>
      </c>
      <c r="F430" s="142">
        <v>1205</v>
      </c>
      <c r="G430" s="94" t="s">
        <v>71</v>
      </c>
      <c r="H430" s="94">
        <v>1035</v>
      </c>
      <c r="I430" s="91"/>
      <c r="J430" s="94" t="s">
        <v>72</v>
      </c>
      <c r="K430" s="91">
        <v>122.536</v>
      </c>
      <c r="L430" s="122" t="str">
        <f>VLOOKUP(K430,Liste!$L$2:$O$34,4,1)</f>
        <v>GSMR_21/22</v>
      </c>
      <c r="M430" s="133" t="s">
        <v>36</v>
      </c>
      <c r="N430" s="180" t="s">
        <v>37</v>
      </c>
      <c r="O430" s="125" t="s">
        <v>997</v>
      </c>
      <c r="P430" s="127"/>
      <c r="Q430" s="91" t="s">
        <v>531</v>
      </c>
      <c r="R430" s="94" t="s">
        <v>833</v>
      </c>
      <c r="S430" s="91" t="s">
        <v>998</v>
      </c>
      <c r="T430" s="94" t="s">
        <v>78</v>
      </c>
      <c r="U430" s="94" t="s">
        <v>50</v>
      </c>
      <c r="V430" s="94" t="s">
        <v>51</v>
      </c>
      <c r="W430" s="94" t="s">
        <v>51</v>
      </c>
      <c r="X430" s="124" t="s">
        <v>52</v>
      </c>
      <c r="Y430" s="124" t="s">
        <v>946</v>
      </c>
      <c r="Z430" s="91"/>
      <c r="AA430" s="91" t="s">
        <v>772</v>
      </c>
      <c r="AB430" s="91"/>
      <c r="AC430" s="91"/>
      <c r="AD430" s="91"/>
      <c r="AE430" s="91"/>
      <c r="AF430" s="91"/>
      <c r="AG430" s="91"/>
      <c r="AH430" s="91"/>
    </row>
    <row r="431" spans="1:34" s="1" customFormat="1" ht="45">
      <c r="A431" s="120">
        <v>430</v>
      </c>
      <c r="B431" s="120" t="b">
        <f t="shared" ca="1" si="6"/>
        <v>0</v>
      </c>
      <c r="C431" s="121">
        <v>45500</v>
      </c>
      <c r="D431" s="137">
        <v>0.31246527777777777</v>
      </c>
      <c r="E431" s="94">
        <v>2005</v>
      </c>
      <c r="F431" s="142">
        <v>1205</v>
      </c>
      <c r="G431" s="94" t="s">
        <v>34</v>
      </c>
      <c r="H431" s="94">
        <v>7218</v>
      </c>
      <c r="I431" s="91"/>
      <c r="J431" s="94" t="s">
        <v>35</v>
      </c>
      <c r="K431" s="91">
        <v>118.562</v>
      </c>
      <c r="L431" s="122" t="str">
        <f>VLOOKUP(K431,Liste!$L$2:$O$34,4,1)</f>
        <v>GSMR_20/21</v>
      </c>
      <c r="M431" s="133" t="s">
        <v>36</v>
      </c>
      <c r="N431" s="181" t="s">
        <v>58</v>
      </c>
      <c r="O431" s="125" t="s">
        <v>999</v>
      </c>
      <c r="P431" s="126"/>
      <c r="Q431" s="124" t="s">
        <v>150</v>
      </c>
      <c r="R431" s="94" t="s">
        <v>816</v>
      </c>
      <c r="S431" s="91" t="s">
        <v>1000</v>
      </c>
      <c r="T431" s="94" t="s">
        <v>101</v>
      </c>
      <c r="U431" s="94" t="s">
        <v>82</v>
      </c>
      <c r="V431" s="94" t="s">
        <v>51</v>
      </c>
      <c r="W431" s="94" t="s">
        <v>51</v>
      </c>
      <c r="X431" s="124" t="s">
        <v>52</v>
      </c>
      <c r="Y431" s="124" t="s">
        <v>946</v>
      </c>
      <c r="Z431" s="91"/>
      <c r="AA431" s="91" t="s">
        <v>772</v>
      </c>
      <c r="AB431" s="91"/>
      <c r="AC431" s="91"/>
      <c r="AD431" s="91"/>
      <c r="AE431" s="91"/>
      <c r="AF431" s="91"/>
      <c r="AG431" s="91"/>
      <c r="AH431" s="91"/>
    </row>
    <row r="432" spans="1:34" s="1" customFormat="1" ht="45">
      <c r="A432" s="120">
        <v>431</v>
      </c>
      <c r="B432" s="120" t="b">
        <f t="shared" ca="1" si="6"/>
        <v>0</v>
      </c>
      <c r="C432" s="121">
        <v>45500</v>
      </c>
      <c r="D432" s="137">
        <v>0.41995370370370372</v>
      </c>
      <c r="E432" s="94">
        <v>2017</v>
      </c>
      <c r="F432" s="142">
        <v>1202</v>
      </c>
      <c r="G432" s="94" t="s">
        <v>34</v>
      </c>
      <c r="H432" s="94">
        <v>1042</v>
      </c>
      <c r="I432" s="91"/>
      <c r="J432" s="94" t="s">
        <v>35</v>
      </c>
      <c r="K432" s="152">
        <v>6.13</v>
      </c>
      <c r="L432" s="122" t="str">
        <f>VLOOKUP(K432,Liste!$L$2:$O$34,4,1)</f>
        <v>GSMR_02/03</v>
      </c>
      <c r="M432" s="133" t="s">
        <v>36</v>
      </c>
      <c r="N432" s="180" t="s">
        <v>37</v>
      </c>
      <c r="O432" s="125" t="s">
        <v>1001</v>
      </c>
      <c r="P432" s="127"/>
      <c r="Q432" s="91" t="s">
        <v>531</v>
      </c>
      <c r="R432" s="94" t="s">
        <v>768</v>
      </c>
      <c r="S432" s="91" t="s">
        <v>861</v>
      </c>
      <c r="T432" s="94" t="s">
        <v>41</v>
      </c>
      <c r="U432" s="94" t="s">
        <v>57</v>
      </c>
      <c r="V432" s="94" t="s">
        <v>51</v>
      </c>
      <c r="W432" s="94" t="s">
        <v>51</v>
      </c>
      <c r="X432" s="124" t="s">
        <v>52</v>
      </c>
      <c r="Y432" s="124" t="s">
        <v>946</v>
      </c>
      <c r="Z432" s="91"/>
      <c r="AA432" s="91" t="s">
        <v>802</v>
      </c>
      <c r="AB432" s="91"/>
      <c r="AC432" s="91"/>
      <c r="AD432" s="91"/>
      <c r="AE432" s="91"/>
      <c r="AF432" s="91"/>
      <c r="AG432" s="91"/>
      <c r="AH432" s="91"/>
    </row>
    <row r="433" spans="1:34" s="1" customFormat="1" ht="45">
      <c r="A433" s="120">
        <v>432</v>
      </c>
      <c r="B433" s="120" t="b">
        <f t="shared" ca="1" si="6"/>
        <v>0</v>
      </c>
      <c r="C433" s="121">
        <v>45500</v>
      </c>
      <c r="D433" s="137">
        <v>0.83401620370370366</v>
      </c>
      <c r="E433" s="94">
        <v>1049</v>
      </c>
      <c r="F433" s="142">
        <v>1204</v>
      </c>
      <c r="G433" s="94" t="s">
        <v>71</v>
      </c>
      <c r="H433" s="94">
        <v>1031</v>
      </c>
      <c r="I433" s="91"/>
      <c r="J433" s="94" t="s">
        <v>72</v>
      </c>
      <c r="K433" s="91">
        <v>17.59</v>
      </c>
      <c r="L433" s="122" t="str">
        <f>VLOOKUP(K433,Liste!$L$2:$O$34,4,1)</f>
        <v>GSMR_04/05</v>
      </c>
      <c r="M433" s="133" t="s">
        <v>36</v>
      </c>
      <c r="N433" s="180" t="s">
        <v>37</v>
      </c>
      <c r="O433" s="125" t="s">
        <v>1002</v>
      </c>
      <c r="P433" s="126"/>
      <c r="Q433" s="124" t="s">
        <v>150</v>
      </c>
      <c r="R433" s="94" t="s">
        <v>816</v>
      </c>
      <c r="S433" s="91" t="s">
        <v>1003</v>
      </c>
      <c r="T433" s="94" t="s">
        <v>69</v>
      </c>
      <c r="U433" s="94" t="s">
        <v>120</v>
      </c>
      <c r="V433" s="94" t="s">
        <v>51</v>
      </c>
      <c r="W433" s="94" t="s">
        <v>51</v>
      </c>
      <c r="X433" s="124" t="s">
        <v>52</v>
      </c>
      <c r="Y433" s="124" t="s">
        <v>946</v>
      </c>
      <c r="Z433" s="91"/>
      <c r="AA433" s="91" t="s">
        <v>754</v>
      </c>
      <c r="AB433" s="91"/>
      <c r="AC433" s="91"/>
      <c r="AD433" s="91"/>
      <c r="AE433" s="91"/>
      <c r="AF433" s="91"/>
      <c r="AG433" s="91"/>
      <c r="AH433" s="91"/>
    </row>
    <row r="434" spans="1:34" s="1" customFormat="1" ht="45">
      <c r="A434" s="120">
        <v>433</v>
      </c>
      <c r="B434" s="120" t="b">
        <f t="shared" ca="1" si="6"/>
        <v>0</v>
      </c>
      <c r="C434" s="121">
        <v>45501</v>
      </c>
      <c r="D434" s="137">
        <v>0.38150462962962961</v>
      </c>
      <c r="E434" s="94">
        <v>2013</v>
      </c>
      <c r="F434" s="142">
        <v>1204</v>
      </c>
      <c r="G434" s="94" t="s">
        <v>34</v>
      </c>
      <c r="H434" s="94">
        <v>1052</v>
      </c>
      <c r="I434" s="91"/>
      <c r="J434" s="94" t="s">
        <v>35</v>
      </c>
      <c r="K434" s="91">
        <v>17.59</v>
      </c>
      <c r="L434" s="122" t="str">
        <f>VLOOKUP(K434,Liste!$L$2:$O$34,4,1)</f>
        <v>GSMR_04/05</v>
      </c>
      <c r="M434" s="133" t="s">
        <v>36</v>
      </c>
      <c r="N434" s="180" t="s">
        <v>37</v>
      </c>
      <c r="O434" s="125" t="s">
        <v>1004</v>
      </c>
      <c r="P434" s="126"/>
      <c r="Q434" s="124" t="s">
        <v>150</v>
      </c>
      <c r="R434" s="94" t="s">
        <v>816</v>
      </c>
      <c r="S434" s="91" t="s">
        <v>1005</v>
      </c>
      <c r="T434" s="94" t="s">
        <v>69</v>
      </c>
      <c r="U434" s="94" t="s">
        <v>120</v>
      </c>
      <c r="V434" s="94" t="s">
        <v>51</v>
      </c>
      <c r="W434" s="94" t="s">
        <v>51</v>
      </c>
      <c r="X434" s="124" t="s">
        <v>52</v>
      </c>
      <c r="Y434" s="124" t="s">
        <v>946</v>
      </c>
      <c r="Z434" s="91"/>
      <c r="AA434" s="91" t="s">
        <v>778</v>
      </c>
      <c r="AB434" s="91"/>
      <c r="AC434" s="91"/>
      <c r="AD434" s="91"/>
      <c r="AE434" s="91"/>
      <c r="AF434" s="91"/>
      <c r="AG434" s="91"/>
      <c r="AH434" s="91"/>
    </row>
    <row r="435" spans="1:34" s="1" customFormat="1" ht="45">
      <c r="A435" s="120">
        <v>434</v>
      </c>
      <c r="B435" s="120" t="b">
        <f t="shared" ca="1" si="6"/>
        <v>0</v>
      </c>
      <c r="C435" s="121">
        <v>45501</v>
      </c>
      <c r="D435" s="137">
        <v>0.73783564814814817</v>
      </c>
      <c r="E435" s="94">
        <v>1041</v>
      </c>
      <c r="F435" s="142">
        <v>1203</v>
      </c>
      <c r="G435" s="94" t="s">
        <v>71</v>
      </c>
      <c r="H435" s="94">
        <v>1027</v>
      </c>
      <c r="I435" s="91"/>
      <c r="J435" s="94" t="s">
        <v>72</v>
      </c>
      <c r="K435" s="91">
        <v>110.783</v>
      </c>
      <c r="L435" s="122" t="str">
        <f>VLOOKUP(K435,Liste!$L$2:$O$34,4,1)</f>
        <v>GSMR_19/20</v>
      </c>
      <c r="M435" s="133" t="s">
        <v>36</v>
      </c>
      <c r="N435" s="180" t="s">
        <v>37</v>
      </c>
      <c r="O435" s="125" t="s">
        <v>1006</v>
      </c>
      <c r="P435" s="126"/>
      <c r="Q435" s="94" t="s">
        <v>54</v>
      </c>
      <c r="R435" s="94" t="s">
        <v>848</v>
      </c>
      <c r="S435" s="91" t="s">
        <v>1007</v>
      </c>
      <c r="T435" s="94" t="s">
        <v>69</v>
      </c>
      <c r="U435" s="94" t="s">
        <v>97</v>
      </c>
      <c r="V435" s="94" t="s">
        <v>51</v>
      </c>
      <c r="W435" s="94" t="s">
        <v>51</v>
      </c>
      <c r="X435" s="124" t="s">
        <v>52</v>
      </c>
      <c r="Y435" s="124" t="s">
        <v>946</v>
      </c>
      <c r="Z435" s="91"/>
      <c r="AA435" s="91" t="s">
        <v>754</v>
      </c>
      <c r="AB435" s="91"/>
      <c r="AC435" s="91"/>
      <c r="AD435" s="91"/>
      <c r="AE435" s="91"/>
      <c r="AF435" s="91"/>
      <c r="AG435" s="91"/>
      <c r="AH435" s="91"/>
    </row>
    <row r="436" spans="1:34" s="1" customFormat="1" ht="45">
      <c r="A436" s="120">
        <v>435</v>
      </c>
      <c r="B436" s="120" t="b">
        <f t="shared" ca="1" si="6"/>
        <v>0</v>
      </c>
      <c r="C436" s="121">
        <v>45501</v>
      </c>
      <c r="D436" s="137">
        <v>0.75325231481481481</v>
      </c>
      <c r="E436" s="94">
        <v>1041</v>
      </c>
      <c r="F436" s="142">
        <v>1203</v>
      </c>
      <c r="G436" s="91" t="s">
        <v>71</v>
      </c>
      <c r="H436" s="94">
        <v>1026</v>
      </c>
      <c r="I436" s="91"/>
      <c r="J436" s="94" t="s">
        <v>72</v>
      </c>
      <c r="K436" s="152">
        <v>7.3209999999999997</v>
      </c>
      <c r="L436" s="122" t="str">
        <f>VLOOKUP(K436,Liste!$L$2:$O$34,4,1)</f>
        <v>GSMR_02/03</v>
      </c>
      <c r="M436" s="133" t="s">
        <v>36</v>
      </c>
      <c r="N436" s="180" t="s">
        <v>37</v>
      </c>
      <c r="O436" s="125" t="s">
        <v>1008</v>
      </c>
      <c r="P436" s="127"/>
      <c r="Q436" s="91" t="s">
        <v>531</v>
      </c>
      <c r="R436" s="94" t="s">
        <v>768</v>
      </c>
      <c r="S436" s="91" t="s">
        <v>868</v>
      </c>
      <c r="T436" s="94" t="s">
        <v>93</v>
      </c>
      <c r="U436" s="94" t="s">
        <v>408</v>
      </c>
      <c r="V436" s="94" t="s">
        <v>51</v>
      </c>
      <c r="W436" s="94" t="s">
        <v>51</v>
      </c>
      <c r="X436" s="124" t="s">
        <v>52</v>
      </c>
      <c r="Y436" s="124" t="s">
        <v>946</v>
      </c>
      <c r="Z436" s="91"/>
      <c r="AA436" s="91" t="s">
        <v>754</v>
      </c>
      <c r="AB436" s="91"/>
      <c r="AC436" s="91"/>
      <c r="AD436" s="91"/>
      <c r="AE436" s="91"/>
      <c r="AF436" s="91"/>
      <c r="AG436" s="91"/>
      <c r="AH436" s="91"/>
    </row>
    <row r="437" spans="1:34" s="1" customFormat="1" ht="45">
      <c r="A437" s="120">
        <v>436</v>
      </c>
      <c r="B437" s="120" t="b">
        <f t="shared" ca="1" si="6"/>
        <v>0</v>
      </c>
      <c r="C437" s="121">
        <v>45501</v>
      </c>
      <c r="D437" s="137">
        <v>0.73918981481481483</v>
      </c>
      <c r="E437" s="94">
        <v>2045</v>
      </c>
      <c r="F437" s="142">
        <v>1205</v>
      </c>
      <c r="G437" s="94" t="s">
        <v>34</v>
      </c>
      <c r="H437" s="94">
        <v>7218</v>
      </c>
      <c r="I437" s="91"/>
      <c r="J437" s="94" t="s">
        <v>35</v>
      </c>
      <c r="K437" s="91">
        <v>179.149</v>
      </c>
      <c r="L437" s="122" t="str">
        <f>VLOOKUP(K437,Liste!$L$2:$O$34,4,1)</f>
        <v>GSMR_30/31</v>
      </c>
      <c r="M437" s="133" t="s">
        <v>36</v>
      </c>
      <c r="N437" s="180" t="s">
        <v>37</v>
      </c>
      <c r="O437" s="125" t="s">
        <v>1009</v>
      </c>
      <c r="P437" s="126"/>
      <c r="Q437" s="124" t="s">
        <v>150</v>
      </c>
      <c r="R437" s="94" t="s">
        <v>816</v>
      </c>
      <c r="S437" s="91" t="s">
        <v>1010</v>
      </c>
      <c r="T437" s="94" t="s">
        <v>69</v>
      </c>
      <c r="U437" s="94" t="s">
        <v>250</v>
      </c>
      <c r="V437" s="94" t="s">
        <v>51</v>
      </c>
      <c r="W437" s="94" t="s">
        <v>51</v>
      </c>
      <c r="X437" s="124" t="s">
        <v>52</v>
      </c>
      <c r="Y437" s="124" t="s">
        <v>946</v>
      </c>
      <c r="Z437" s="91"/>
      <c r="AA437" s="91" t="s">
        <v>754</v>
      </c>
      <c r="AB437" s="91"/>
      <c r="AC437" s="91"/>
      <c r="AD437" s="91"/>
      <c r="AE437" s="91"/>
      <c r="AF437" s="91"/>
      <c r="AG437" s="91"/>
      <c r="AH437" s="91"/>
    </row>
    <row r="438" spans="1:34" s="1" customFormat="1" ht="45">
      <c r="A438" s="120">
        <v>437</v>
      </c>
      <c r="B438" s="120" t="b">
        <f t="shared" ca="1" si="6"/>
        <v>0</v>
      </c>
      <c r="C438" s="121">
        <v>45501</v>
      </c>
      <c r="D438" s="137">
        <v>0.92075231481481479</v>
      </c>
      <c r="E438" s="94">
        <v>10081</v>
      </c>
      <c r="F438" s="142">
        <v>1211</v>
      </c>
      <c r="G438" s="94" t="s">
        <v>34</v>
      </c>
      <c r="H438" s="94">
        <v>1028</v>
      </c>
      <c r="I438" s="91"/>
      <c r="J438" s="94" t="s">
        <v>35</v>
      </c>
      <c r="K438" s="152">
        <v>6.13</v>
      </c>
      <c r="L438" s="122" t="str">
        <f>VLOOKUP(K438,Liste!$L$2:$O$34,4,1)</f>
        <v>GSMR_02/03</v>
      </c>
      <c r="M438" s="133" t="s">
        <v>36</v>
      </c>
      <c r="N438" s="181" t="s">
        <v>58</v>
      </c>
      <c r="O438" s="125" t="s">
        <v>1011</v>
      </c>
      <c r="P438" s="127"/>
      <c r="Q438" s="91" t="s">
        <v>531</v>
      </c>
      <c r="R438" s="94" t="s">
        <v>768</v>
      </c>
      <c r="S438" s="91" t="s">
        <v>1012</v>
      </c>
      <c r="T438" s="94" t="s">
        <v>93</v>
      </c>
      <c r="U438" s="94" t="s">
        <v>408</v>
      </c>
      <c r="V438" s="94" t="s">
        <v>51</v>
      </c>
      <c r="W438" s="94" t="s">
        <v>51</v>
      </c>
      <c r="X438" s="124" t="s">
        <v>52</v>
      </c>
      <c r="Y438" s="124" t="s">
        <v>946</v>
      </c>
      <c r="Z438" s="91"/>
      <c r="AA438" s="91" t="s">
        <v>793</v>
      </c>
      <c r="AB438" s="91"/>
      <c r="AC438" s="91"/>
      <c r="AD438" s="91"/>
      <c r="AE438" s="91"/>
      <c r="AF438" s="91"/>
      <c r="AG438" s="91"/>
      <c r="AH438" s="91"/>
    </row>
    <row r="439" spans="1:34" s="1" customFormat="1" ht="45">
      <c r="A439" s="120">
        <v>438</v>
      </c>
      <c r="B439" s="120" t="b">
        <f t="shared" ca="1" si="6"/>
        <v>0</v>
      </c>
      <c r="C439" s="121">
        <v>45502</v>
      </c>
      <c r="D439" s="137">
        <v>0.19104166666666667</v>
      </c>
      <c r="E439" s="94">
        <v>2081</v>
      </c>
      <c r="F439" s="142">
        <v>1203</v>
      </c>
      <c r="G439" s="94" t="s">
        <v>34</v>
      </c>
      <c r="H439" s="94">
        <v>2028</v>
      </c>
      <c r="I439" s="91"/>
      <c r="J439" s="94" t="s">
        <v>35</v>
      </c>
      <c r="K439" s="91">
        <v>79.281999999999996</v>
      </c>
      <c r="L439" s="122" t="str">
        <f>VLOOKUP(K439,Liste!$L$2:$O$34,4,1)</f>
        <v>GSMR_14/15</v>
      </c>
      <c r="M439" s="133" t="s">
        <v>36</v>
      </c>
      <c r="N439" s="180" t="s">
        <v>37</v>
      </c>
      <c r="O439" s="125" t="s">
        <v>1013</v>
      </c>
      <c r="P439" s="127"/>
      <c r="Q439" s="91" t="s">
        <v>105</v>
      </c>
      <c r="R439" s="94" t="s">
        <v>816</v>
      </c>
      <c r="S439" s="91" t="s">
        <v>1014</v>
      </c>
      <c r="T439" s="94" t="s">
        <v>69</v>
      </c>
      <c r="U439" s="94" t="s">
        <v>120</v>
      </c>
      <c r="V439" s="94" t="s">
        <v>51</v>
      </c>
      <c r="W439" s="94" t="s">
        <v>51</v>
      </c>
      <c r="X439" s="124" t="s">
        <v>52</v>
      </c>
      <c r="Y439" s="124" t="s">
        <v>946</v>
      </c>
      <c r="Z439" s="91"/>
      <c r="AA439" s="91" t="s">
        <v>793</v>
      </c>
      <c r="AB439" s="91"/>
      <c r="AC439" s="91"/>
      <c r="AD439" s="91"/>
      <c r="AE439" s="91"/>
      <c r="AF439" s="91"/>
      <c r="AG439" s="91"/>
      <c r="AH439" s="91"/>
    </row>
    <row r="440" spans="1:34" s="1" customFormat="1" ht="45">
      <c r="A440" s="120">
        <v>439</v>
      </c>
      <c r="B440" s="120" t="b">
        <f t="shared" ca="1" si="6"/>
        <v>0</v>
      </c>
      <c r="C440" s="121">
        <v>45502</v>
      </c>
      <c r="D440" s="137">
        <v>0.25707175925925924</v>
      </c>
      <c r="E440" s="94">
        <v>1081</v>
      </c>
      <c r="F440" s="142">
        <v>1203</v>
      </c>
      <c r="G440" s="94" t="s">
        <v>71</v>
      </c>
      <c r="H440" s="94">
        <v>1026</v>
      </c>
      <c r="I440" s="91"/>
      <c r="J440" s="94" t="s">
        <v>72</v>
      </c>
      <c r="K440" s="91">
        <v>152.488</v>
      </c>
      <c r="L440" s="122" t="str">
        <f>VLOOKUP(K440,Liste!$L$2:$O$34,4,1)</f>
        <v>GSMR_26/27</v>
      </c>
      <c r="M440" s="133" t="s">
        <v>36</v>
      </c>
      <c r="N440" s="180" t="s">
        <v>37</v>
      </c>
      <c r="O440" s="125" t="s">
        <v>1015</v>
      </c>
      <c r="P440" s="127"/>
      <c r="Q440" s="91" t="s">
        <v>531</v>
      </c>
      <c r="R440" s="94" t="s">
        <v>1016</v>
      </c>
      <c r="S440" s="91" t="s">
        <v>1017</v>
      </c>
      <c r="T440" s="94" t="s">
        <v>56</v>
      </c>
      <c r="U440" s="94" t="s">
        <v>230</v>
      </c>
      <c r="V440" s="94" t="s">
        <v>43</v>
      </c>
      <c r="W440" s="94" t="s">
        <v>51</v>
      </c>
      <c r="X440" s="124" t="s">
        <v>52</v>
      </c>
      <c r="Y440" s="124" t="s">
        <v>946</v>
      </c>
      <c r="Z440" s="91"/>
      <c r="AA440" s="91" t="s">
        <v>959</v>
      </c>
      <c r="AB440" s="91"/>
      <c r="AC440" s="91"/>
      <c r="AD440" s="91"/>
      <c r="AE440" s="91"/>
      <c r="AF440" s="91"/>
      <c r="AG440" s="91"/>
      <c r="AH440" s="91"/>
    </row>
    <row r="441" spans="1:34" s="1" customFormat="1" ht="45">
      <c r="A441" s="120">
        <v>440</v>
      </c>
      <c r="B441" s="120" t="b">
        <f t="shared" ca="1" si="6"/>
        <v>0</v>
      </c>
      <c r="C441" s="121">
        <v>45502</v>
      </c>
      <c r="D441" s="137">
        <v>0.70771990740740742</v>
      </c>
      <c r="E441" s="94">
        <v>1037</v>
      </c>
      <c r="F441" s="142">
        <v>1209</v>
      </c>
      <c r="G441" s="94" t="s">
        <v>71</v>
      </c>
      <c r="H441" s="94">
        <v>1033</v>
      </c>
      <c r="I441" s="91"/>
      <c r="J441" s="94" t="s">
        <v>72</v>
      </c>
      <c r="K441" s="91">
        <v>30.015999999999998</v>
      </c>
      <c r="L441" s="122" t="str">
        <f>VLOOKUP(K441,Liste!$L$2:$O$34,4,1)</f>
        <v>GSMR_06/07</v>
      </c>
      <c r="M441" s="133" t="s">
        <v>36</v>
      </c>
      <c r="N441" s="181" t="s">
        <v>58</v>
      </c>
      <c r="O441" s="125" t="s">
        <v>1018</v>
      </c>
      <c r="P441" s="126"/>
      <c r="Q441" s="124" t="s">
        <v>47</v>
      </c>
      <c r="R441" s="94" t="s">
        <v>808</v>
      </c>
      <c r="S441" s="91" t="s">
        <v>1019</v>
      </c>
      <c r="T441" s="94" t="s">
        <v>69</v>
      </c>
      <c r="U441" s="94" t="s">
        <v>120</v>
      </c>
      <c r="V441" s="94" t="s">
        <v>51</v>
      </c>
      <c r="W441" s="94" t="s">
        <v>51</v>
      </c>
      <c r="X441" s="124" t="s">
        <v>52</v>
      </c>
      <c r="Y441" s="124" t="s">
        <v>950</v>
      </c>
      <c r="Z441" s="91"/>
      <c r="AA441" s="91" t="s">
        <v>754</v>
      </c>
      <c r="AB441" s="91"/>
      <c r="AC441" s="91"/>
      <c r="AD441" s="91"/>
      <c r="AE441" s="91"/>
      <c r="AF441" s="91"/>
      <c r="AG441" s="91"/>
      <c r="AH441" s="91"/>
    </row>
    <row r="442" spans="1:34" s="1" customFormat="1" ht="45">
      <c r="A442" s="120">
        <v>441</v>
      </c>
      <c r="B442" s="120" t="b">
        <f t="shared" ca="1" si="6"/>
        <v>0</v>
      </c>
      <c r="C442" s="121">
        <v>45502</v>
      </c>
      <c r="D442" s="137">
        <v>0.73776620370370372</v>
      </c>
      <c r="E442" s="94">
        <v>1041</v>
      </c>
      <c r="F442" s="142">
        <v>1208</v>
      </c>
      <c r="G442" s="94" t="s">
        <v>71</v>
      </c>
      <c r="H442" s="94">
        <v>1045</v>
      </c>
      <c r="I442" s="91"/>
      <c r="J442" s="94" t="s">
        <v>72</v>
      </c>
      <c r="K442" s="91">
        <v>130.48400000000001</v>
      </c>
      <c r="L442" s="122" t="str">
        <f>VLOOKUP(K442,Liste!$L$2:$O$34,4,1)</f>
        <v>GSMR_23/24</v>
      </c>
      <c r="M442" s="133" t="s">
        <v>36</v>
      </c>
      <c r="N442" s="180" t="s">
        <v>37</v>
      </c>
      <c r="O442" s="125" t="s">
        <v>1020</v>
      </c>
      <c r="P442" s="126"/>
      <c r="Q442" s="124" t="s">
        <v>150</v>
      </c>
      <c r="R442" s="94" t="s">
        <v>816</v>
      </c>
      <c r="S442" s="91" t="s">
        <v>1021</v>
      </c>
      <c r="T442" s="94" t="s">
        <v>69</v>
      </c>
      <c r="U442" s="94" t="s">
        <v>120</v>
      </c>
      <c r="V442" s="94" t="s">
        <v>51</v>
      </c>
      <c r="W442" s="94" t="s">
        <v>51</v>
      </c>
      <c r="X442" s="124" t="s">
        <v>52</v>
      </c>
      <c r="Y442" s="124" t="s">
        <v>946</v>
      </c>
      <c r="Z442" s="91"/>
      <c r="AA442" s="91" t="s">
        <v>754</v>
      </c>
      <c r="AB442" s="91"/>
      <c r="AC442" s="91"/>
      <c r="AD442" s="91"/>
      <c r="AE442" s="91"/>
      <c r="AF442" s="91"/>
      <c r="AG442" s="91"/>
      <c r="AH442" s="91"/>
    </row>
    <row r="443" spans="1:34" s="1" customFormat="1" ht="45">
      <c r="A443" s="120">
        <v>442</v>
      </c>
      <c r="B443" s="120" t="b">
        <f t="shared" ca="1" si="6"/>
        <v>0</v>
      </c>
      <c r="C443" s="121">
        <v>45502</v>
      </c>
      <c r="D443" s="137">
        <v>0.83840277777777783</v>
      </c>
      <c r="E443" s="94">
        <v>1049</v>
      </c>
      <c r="F443" s="142">
        <v>1210</v>
      </c>
      <c r="G443" s="94" t="s">
        <v>71</v>
      </c>
      <c r="H443" s="94">
        <v>1020</v>
      </c>
      <c r="I443" s="91"/>
      <c r="J443" s="94" t="s">
        <v>72</v>
      </c>
      <c r="K443" s="91">
        <v>10.125</v>
      </c>
      <c r="L443" s="122" t="str">
        <f>VLOOKUP(K443,Liste!$L$2:$O$34,4,1)</f>
        <v>GSMR_03/04</v>
      </c>
      <c r="M443" s="133" t="s">
        <v>36</v>
      </c>
      <c r="N443" s="181" t="s">
        <v>58</v>
      </c>
      <c r="O443" s="125" t="s">
        <v>1022</v>
      </c>
      <c r="P443" s="126"/>
      <c r="Q443" s="124" t="s">
        <v>47</v>
      </c>
      <c r="R443" s="94" t="s">
        <v>1023</v>
      </c>
      <c r="S443" s="91" t="s">
        <v>1024</v>
      </c>
      <c r="T443" s="94" t="s">
        <v>78</v>
      </c>
      <c r="U443" s="94" t="s">
        <v>230</v>
      </c>
      <c r="V443" s="94" t="s">
        <v>51</v>
      </c>
      <c r="W443" s="94" t="s">
        <v>51</v>
      </c>
      <c r="X443" s="124" t="s">
        <v>52</v>
      </c>
      <c r="Y443" s="124" t="s">
        <v>950</v>
      </c>
      <c r="Z443" s="91"/>
      <c r="AA443" s="91" t="s">
        <v>754</v>
      </c>
      <c r="AB443" s="91"/>
      <c r="AC443" s="91"/>
      <c r="AD443" s="91"/>
      <c r="AE443" s="91"/>
      <c r="AF443" s="91"/>
      <c r="AG443" s="91"/>
      <c r="AH443" s="91"/>
    </row>
    <row r="444" spans="1:34" s="1" customFormat="1" ht="45">
      <c r="A444" s="120">
        <v>443</v>
      </c>
      <c r="B444" s="120" t="b">
        <f t="shared" ca="1" si="6"/>
        <v>0</v>
      </c>
      <c r="C444" s="121">
        <v>45503</v>
      </c>
      <c r="D444" s="137">
        <v>0.37925925925925924</v>
      </c>
      <c r="E444" s="94">
        <v>1005</v>
      </c>
      <c r="F444" s="142">
        <v>1206</v>
      </c>
      <c r="G444" s="94" t="s">
        <v>71</v>
      </c>
      <c r="H444" s="94">
        <v>1040</v>
      </c>
      <c r="I444" s="91"/>
      <c r="J444" s="94" t="s">
        <v>72</v>
      </c>
      <c r="K444" s="152">
        <v>7.3209999999999997</v>
      </c>
      <c r="L444" s="122" t="str">
        <f>VLOOKUP(K444,Liste!$L$2:$O$34,4,1)</f>
        <v>GSMR_02/03</v>
      </c>
      <c r="M444" s="133" t="s">
        <v>36</v>
      </c>
      <c r="N444" s="180" t="s">
        <v>37</v>
      </c>
      <c r="O444" s="125" t="s">
        <v>1025</v>
      </c>
      <c r="P444" s="127"/>
      <c r="Q444" s="91" t="s">
        <v>531</v>
      </c>
      <c r="R444" s="94" t="s">
        <v>768</v>
      </c>
      <c r="S444" s="91" t="s">
        <v>1024</v>
      </c>
      <c r="T444" s="94" t="s">
        <v>56</v>
      </c>
      <c r="U444" s="94" t="s">
        <v>90</v>
      </c>
      <c r="V444" s="94" t="s">
        <v>43</v>
      </c>
      <c r="W444" s="94" t="s">
        <v>51</v>
      </c>
      <c r="X444" s="124" t="s">
        <v>52</v>
      </c>
      <c r="Y444" s="124" t="s">
        <v>946</v>
      </c>
      <c r="Z444" s="91"/>
      <c r="AA444" s="91" t="s">
        <v>778</v>
      </c>
      <c r="AB444" s="91"/>
      <c r="AC444" s="91"/>
      <c r="AD444" s="91"/>
      <c r="AE444" s="91"/>
      <c r="AF444" s="91"/>
      <c r="AG444" s="91"/>
      <c r="AH444" s="91"/>
    </row>
    <row r="445" spans="1:34" s="1" customFormat="1" ht="120">
      <c r="A445" s="120">
        <v>444</v>
      </c>
      <c r="B445" s="120" t="b">
        <f t="shared" ca="1" si="6"/>
        <v>0</v>
      </c>
      <c r="C445" s="121">
        <v>45503</v>
      </c>
      <c r="D445" s="137">
        <v>0.69644675925925925</v>
      </c>
      <c r="E445" s="94">
        <v>1037</v>
      </c>
      <c r="F445" s="142">
        <v>1202</v>
      </c>
      <c r="G445" s="94" t="s">
        <v>71</v>
      </c>
      <c r="H445" s="94">
        <v>1023</v>
      </c>
      <c r="I445" s="91"/>
      <c r="J445" s="94" t="s">
        <v>72</v>
      </c>
      <c r="K445" s="91">
        <v>108.206</v>
      </c>
      <c r="L445" s="122" t="str">
        <f>VLOOKUP(K445,Liste!$L$2:$O$34,4,1)</f>
        <v>GSMR_19/20</v>
      </c>
      <c r="M445" s="133" t="s">
        <v>36</v>
      </c>
      <c r="N445" s="181" t="s">
        <v>58</v>
      </c>
      <c r="O445" s="125" t="s">
        <v>1026</v>
      </c>
      <c r="P445" s="126"/>
      <c r="Q445" s="94" t="s">
        <v>54</v>
      </c>
      <c r="R445" s="94" t="s">
        <v>1027</v>
      </c>
      <c r="S445" s="91" t="s">
        <v>1028</v>
      </c>
      <c r="T445" s="94" t="s">
        <v>69</v>
      </c>
      <c r="U445" s="94" t="s">
        <v>425</v>
      </c>
      <c r="V445" s="94" t="s">
        <v>51</v>
      </c>
      <c r="W445" s="94" t="s">
        <v>51</v>
      </c>
      <c r="X445" s="124" t="s">
        <v>52</v>
      </c>
      <c r="Y445" s="124" t="s">
        <v>946</v>
      </c>
      <c r="Z445" s="91"/>
      <c r="AA445" s="91" t="s">
        <v>754</v>
      </c>
      <c r="AB445" s="91"/>
      <c r="AC445" s="91"/>
      <c r="AD445" s="91"/>
      <c r="AE445" s="91"/>
      <c r="AF445" s="91"/>
      <c r="AG445" s="91"/>
      <c r="AH445" s="91"/>
    </row>
    <row r="446" spans="1:34" s="1" customFormat="1" ht="90">
      <c r="A446" s="120">
        <v>445</v>
      </c>
      <c r="B446" s="120" t="b">
        <f t="shared" ca="1" si="6"/>
        <v>0</v>
      </c>
      <c r="C446" s="121">
        <v>45503</v>
      </c>
      <c r="D446" s="137">
        <v>0.71194444444444449</v>
      </c>
      <c r="E446" s="94">
        <v>1037</v>
      </c>
      <c r="F446" s="142">
        <v>1202</v>
      </c>
      <c r="G446" s="94" t="s">
        <v>71</v>
      </c>
      <c r="H446" s="94">
        <v>1023</v>
      </c>
      <c r="I446" s="91"/>
      <c r="J446" s="94" t="s">
        <v>72</v>
      </c>
      <c r="K446" s="91">
        <v>67.828999999999994</v>
      </c>
      <c r="L446" s="122" t="str">
        <f>VLOOKUP(K446,Liste!$L$2:$O$34,4,1)</f>
        <v>GSMR_12/13</v>
      </c>
      <c r="M446" s="133" t="s">
        <v>36</v>
      </c>
      <c r="N446" s="181" t="s">
        <v>58</v>
      </c>
      <c r="O446" s="125" t="s">
        <v>1029</v>
      </c>
      <c r="P446" s="126"/>
      <c r="Q446" s="124" t="s">
        <v>150</v>
      </c>
      <c r="R446" s="94" t="s">
        <v>816</v>
      </c>
      <c r="S446" s="91" t="s">
        <v>1030</v>
      </c>
      <c r="T446" s="94" t="s">
        <v>69</v>
      </c>
      <c r="U446" s="94" t="s">
        <v>120</v>
      </c>
      <c r="V446" s="94" t="s">
        <v>51</v>
      </c>
      <c r="W446" s="94" t="s">
        <v>51</v>
      </c>
      <c r="X446" s="124" t="s">
        <v>52</v>
      </c>
      <c r="Y446" s="124" t="s">
        <v>946</v>
      </c>
      <c r="Z446" s="91"/>
      <c r="AA446" s="91" t="s">
        <v>754</v>
      </c>
      <c r="AB446" s="91"/>
      <c r="AC446" s="91"/>
      <c r="AD446" s="91"/>
      <c r="AE446" s="91"/>
      <c r="AF446" s="91"/>
      <c r="AG446" s="91"/>
      <c r="AH446" s="91"/>
    </row>
    <row r="447" spans="1:34" s="1" customFormat="1" ht="45">
      <c r="A447" s="120">
        <v>446</v>
      </c>
      <c r="B447" s="120" t="b">
        <f t="shared" ca="1" si="6"/>
        <v>0</v>
      </c>
      <c r="C447" s="121">
        <v>45503</v>
      </c>
      <c r="D447" s="137">
        <v>0.83693287037037034</v>
      </c>
      <c r="E447" s="94">
        <v>2057</v>
      </c>
      <c r="F447" s="142">
        <v>1209</v>
      </c>
      <c r="G447" s="94" t="s">
        <v>34</v>
      </c>
      <c r="H447" s="94">
        <v>7208</v>
      </c>
      <c r="I447" s="91"/>
      <c r="J447" s="94" t="s">
        <v>35</v>
      </c>
      <c r="K447" s="152">
        <v>6.13</v>
      </c>
      <c r="L447" s="122" t="str">
        <f>VLOOKUP(K447,Liste!$L$2:$O$34,4,1)</f>
        <v>GSMR_02/03</v>
      </c>
      <c r="M447" s="133" t="s">
        <v>36</v>
      </c>
      <c r="N447" s="181" t="s">
        <v>58</v>
      </c>
      <c r="O447" s="125" t="s">
        <v>1031</v>
      </c>
      <c r="P447" s="127"/>
      <c r="Q447" s="91" t="s">
        <v>531</v>
      </c>
      <c r="R447" s="94" t="s">
        <v>1032</v>
      </c>
      <c r="S447" s="91" t="s">
        <v>1033</v>
      </c>
      <c r="T447" s="94" t="s">
        <v>209</v>
      </c>
      <c r="U447" s="94" t="s">
        <v>156</v>
      </c>
      <c r="V447" s="94" t="s">
        <v>51</v>
      </c>
      <c r="W447" s="94" t="s">
        <v>51</v>
      </c>
      <c r="X447" s="124" t="s">
        <v>52</v>
      </c>
      <c r="Y447" s="124" t="s">
        <v>946</v>
      </c>
      <c r="Z447" s="91"/>
      <c r="AA447" s="91" t="s">
        <v>754</v>
      </c>
      <c r="AB447" s="91"/>
      <c r="AC447" s="91"/>
      <c r="AD447" s="91"/>
      <c r="AE447" s="91"/>
      <c r="AF447" s="91"/>
      <c r="AG447" s="91"/>
      <c r="AH447" s="91"/>
    </row>
    <row r="448" spans="1:34" s="1" customFormat="1" ht="90">
      <c r="A448" s="120">
        <v>447</v>
      </c>
      <c r="B448" s="120" t="b">
        <f t="shared" ca="1" si="6"/>
        <v>0</v>
      </c>
      <c r="C448" s="121">
        <v>45503</v>
      </c>
      <c r="D448" s="137">
        <v>0.95740740740740737</v>
      </c>
      <c r="E448" s="94">
        <v>1062</v>
      </c>
      <c r="F448" s="142">
        <v>1202</v>
      </c>
      <c r="G448" s="94" t="s">
        <v>71</v>
      </c>
      <c r="H448" s="94">
        <v>1023</v>
      </c>
      <c r="I448" s="91"/>
      <c r="J448" s="94" t="s">
        <v>72</v>
      </c>
      <c r="K448" s="91">
        <v>26.739000000000001</v>
      </c>
      <c r="L448" s="122" t="str">
        <f>VLOOKUP(K448,Liste!$L$2:$O$34,4,1)</f>
        <v>GSMR_05/06</v>
      </c>
      <c r="M448" s="133" t="s">
        <v>36</v>
      </c>
      <c r="N448" s="181" t="s">
        <v>58</v>
      </c>
      <c r="O448" s="125" t="s">
        <v>1034</v>
      </c>
      <c r="P448" s="126"/>
      <c r="Q448" s="94" t="s">
        <v>54</v>
      </c>
      <c r="R448" s="94" t="s">
        <v>848</v>
      </c>
      <c r="S448" s="91" t="s">
        <v>1035</v>
      </c>
      <c r="T448" s="94" t="s">
        <v>56</v>
      </c>
      <c r="U448" s="94" t="s">
        <v>307</v>
      </c>
      <c r="V448" s="94" t="s">
        <v>51</v>
      </c>
      <c r="W448" s="94" t="s">
        <v>51</v>
      </c>
      <c r="X448" s="124" t="s">
        <v>52</v>
      </c>
      <c r="Y448" s="124" t="s">
        <v>946</v>
      </c>
      <c r="Z448" s="91"/>
      <c r="AA448" s="91" t="s">
        <v>793</v>
      </c>
      <c r="AB448" s="91"/>
      <c r="AC448" s="91"/>
      <c r="AD448" s="91"/>
      <c r="AE448" s="91"/>
      <c r="AF448" s="91"/>
      <c r="AG448" s="91"/>
      <c r="AH448" s="91"/>
    </row>
    <row r="449" spans="1:34" s="1" customFormat="1" ht="45">
      <c r="A449" s="120">
        <v>448</v>
      </c>
      <c r="B449" s="120" t="b">
        <f t="shared" ca="1" si="6"/>
        <v>0</v>
      </c>
      <c r="C449" s="121">
        <v>45504</v>
      </c>
      <c r="D449" s="137">
        <v>0.31869212962962962</v>
      </c>
      <c r="E449" s="94">
        <v>1001</v>
      </c>
      <c r="F449" s="142">
        <v>1208</v>
      </c>
      <c r="G449" s="94" t="s">
        <v>71</v>
      </c>
      <c r="H449" s="94">
        <v>1045</v>
      </c>
      <c r="I449" s="91"/>
      <c r="J449" s="94" t="s">
        <v>72</v>
      </c>
      <c r="K449" s="91">
        <v>129.18</v>
      </c>
      <c r="L449" s="122" t="str">
        <f>VLOOKUP(K449,Liste!$L$2:$O$34,4,1)</f>
        <v>GSMR_23/24</v>
      </c>
      <c r="M449" s="133" t="s">
        <v>36</v>
      </c>
      <c r="N449" s="180" t="s">
        <v>37</v>
      </c>
      <c r="O449" s="125" t="s">
        <v>1036</v>
      </c>
      <c r="P449" s="126"/>
      <c r="Q449" s="124" t="s">
        <v>150</v>
      </c>
      <c r="R449" s="94" t="s">
        <v>1037</v>
      </c>
      <c r="S449" s="91" t="s">
        <v>1038</v>
      </c>
      <c r="T449" s="94" t="s">
        <v>69</v>
      </c>
      <c r="U449" s="94" t="s">
        <v>120</v>
      </c>
      <c r="V449" s="94" t="s">
        <v>51</v>
      </c>
      <c r="W449" s="94" t="s">
        <v>51</v>
      </c>
      <c r="X449" s="124" t="s">
        <v>52</v>
      </c>
      <c r="Y449" s="124" t="s">
        <v>946</v>
      </c>
      <c r="Z449" s="91"/>
      <c r="AA449" s="91" t="s">
        <v>959</v>
      </c>
      <c r="AB449" s="91"/>
      <c r="AC449" s="91"/>
      <c r="AD449" s="91"/>
      <c r="AE449" s="91"/>
      <c r="AF449" s="91"/>
      <c r="AG449" s="91"/>
      <c r="AH449" s="91"/>
    </row>
    <row r="450" spans="1:34" s="1" customFormat="1" ht="45">
      <c r="A450" s="120">
        <v>449</v>
      </c>
      <c r="B450" s="120" t="b">
        <f t="shared" ref="B450:B513" ca="1" si="7">AND(C450&gt;=TODAY()-7, C450&lt;=TODAY()-1)</f>
        <v>0</v>
      </c>
      <c r="C450" s="121">
        <v>45504</v>
      </c>
      <c r="D450" s="137">
        <v>0.78366898148148145</v>
      </c>
      <c r="E450" s="94">
        <v>1046</v>
      </c>
      <c r="F450" s="142">
        <v>1205</v>
      </c>
      <c r="G450" s="94" t="s">
        <v>71</v>
      </c>
      <c r="H450" s="94">
        <v>1035</v>
      </c>
      <c r="I450" s="91"/>
      <c r="J450" s="94" t="s">
        <v>72</v>
      </c>
      <c r="K450" s="91">
        <v>94.953999999999994</v>
      </c>
      <c r="L450" s="122" t="str">
        <f>VLOOKUP(K450,Liste!$L$2:$O$34,4,1)</f>
        <v>GSMR_17/18</v>
      </c>
      <c r="M450" s="133" t="s">
        <v>36</v>
      </c>
      <c r="N450" s="180" t="s">
        <v>37</v>
      </c>
      <c r="O450" s="125" t="s">
        <v>1039</v>
      </c>
      <c r="P450" s="127"/>
      <c r="Q450" s="91" t="s">
        <v>531</v>
      </c>
      <c r="R450" s="94" t="s">
        <v>1040</v>
      </c>
      <c r="S450" s="91" t="s">
        <v>1041</v>
      </c>
      <c r="T450" s="94" t="s">
        <v>56</v>
      </c>
      <c r="U450" s="94" t="s">
        <v>214</v>
      </c>
      <c r="V450" s="94" t="s">
        <v>51</v>
      </c>
      <c r="W450" s="94" t="s">
        <v>51</v>
      </c>
      <c r="X450" s="124" t="s">
        <v>52</v>
      </c>
      <c r="Y450" s="124" t="s">
        <v>1042</v>
      </c>
      <c r="Z450" s="91"/>
      <c r="AA450" s="91" t="s">
        <v>772</v>
      </c>
      <c r="AB450" s="91"/>
      <c r="AC450" s="91"/>
      <c r="AD450" s="91"/>
      <c r="AE450" s="91"/>
      <c r="AF450" s="91"/>
      <c r="AG450" s="91"/>
      <c r="AH450" s="91"/>
    </row>
    <row r="451" spans="1:34" s="1" customFormat="1" ht="45">
      <c r="A451" s="120">
        <v>450</v>
      </c>
      <c r="B451" s="120" t="b">
        <f t="shared" ca="1" si="7"/>
        <v>0</v>
      </c>
      <c r="C451" s="121">
        <v>45504</v>
      </c>
      <c r="D451" s="137">
        <v>0.83247685185185183</v>
      </c>
      <c r="E451" s="94">
        <v>1049</v>
      </c>
      <c r="F451" s="142">
        <v>1206</v>
      </c>
      <c r="G451" s="94" t="s">
        <v>71</v>
      </c>
      <c r="H451" s="94">
        <v>1049</v>
      </c>
      <c r="I451" s="91"/>
      <c r="J451" s="94" t="s">
        <v>72</v>
      </c>
      <c r="K451" s="91">
        <v>32.625999999999998</v>
      </c>
      <c r="L451" s="122" t="str">
        <f>VLOOKUP(K451,Liste!$L$2:$O$34,4,1)</f>
        <v>GSMR_06/07</v>
      </c>
      <c r="M451" s="133" t="s">
        <v>36</v>
      </c>
      <c r="N451" s="180" t="s">
        <v>37</v>
      </c>
      <c r="O451" s="125" t="s">
        <v>1043</v>
      </c>
      <c r="P451" s="127"/>
      <c r="Q451" s="91" t="s">
        <v>531</v>
      </c>
      <c r="R451" s="94" t="s">
        <v>768</v>
      </c>
      <c r="S451" s="91" t="s">
        <v>1019</v>
      </c>
      <c r="T451" s="94" t="s">
        <v>69</v>
      </c>
      <c r="U451" s="94" t="s">
        <v>137</v>
      </c>
      <c r="V451" s="94" t="s">
        <v>51</v>
      </c>
      <c r="W451" s="94" t="s">
        <v>51</v>
      </c>
      <c r="X451" s="124" t="s">
        <v>52</v>
      </c>
      <c r="Y451" s="124" t="s">
        <v>622</v>
      </c>
      <c r="Z451" s="91"/>
      <c r="AA451" s="91" t="s">
        <v>772</v>
      </c>
      <c r="AB451" s="91"/>
      <c r="AC451" s="91"/>
      <c r="AD451" s="91"/>
      <c r="AE451" s="91"/>
      <c r="AF451" s="91"/>
      <c r="AG451" s="91"/>
      <c r="AH451" s="91"/>
    </row>
    <row r="452" spans="1:34" s="1" customFormat="1" ht="45">
      <c r="A452" s="120">
        <v>451</v>
      </c>
      <c r="B452" s="120" t="b">
        <f t="shared" ca="1" si="7"/>
        <v>0</v>
      </c>
      <c r="C452" s="121">
        <v>45504</v>
      </c>
      <c r="D452" s="137">
        <v>0.83664351851851848</v>
      </c>
      <c r="E452" s="94">
        <v>2057</v>
      </c>
      <c r="F452" s="142">
        <v>1204</v>
      </c>
      <c r="G452" s="94" t="s">
        <v>34</v>
      </c>
      <c r="H452" s="94">
        <v>1052</v>
      </c>
      <c r="I452" s="91"/>
      <c r="J452" s="94" t="s">
        <v>35</v>
      </c>
      <c r="K452" s="152">
        <v>6.13</v>
      </c>
      <c r="L452" s="122" t="str">
        <f>VLOOKUP(K452,Liste!$L$2:$O$34,4,1)</f>
        <v>GSMR_02/03</v>
      </c>
      <c r="M452" s="133" t="s">
        <v>36</v>
      </c>
      <c r="N452" s="180" t="s">
        <v>37</v>
      </c>
      <c r="O452" s="125" t="s">
        <v>1044</v>
      </c>
      <c r="P452" s="127"/>
      <c r="Q452" s="91" t="s">
        <v>531</v>
      </c>
      <c r="R452" s="94" t="s">
        <v>768</v>
      </c>
      <c r="S452" s="91" t="s">
        <v>1033</v>
      </c>
      <c r="T452" s="94" t="s">
        <v>56</v>
      </c>
      <c r="U452" s="94" t="s">
        <v>408</v>
      </c>
      <c r="V452" s="94" t="s">
        <v>51</v>
      </c>
      <c r="W452" s="94" t="s">
        <v>51</v>
      </c>
      <c r="X452" s="124" t="s">
        <v>52</v>
      </c>
      <c r="Y452" s="124" t="s">
        <v>1045</v>
      </c>
      <c r="Z452" s="91"/>
      <c r="AA452" s="91" t="s">
        <v>772</v>
      </c>
      <c r="AB452" s="91"/>
      <c r="AC452" s="91"/>
      <c r="AD452" s="91"/>
      <c r="AE452" s="91"/>
      <c r="AF452" s="91"/>
      <c r="AG452" s="91"/>
      <c r="AH452" s="91"/>
    </row>
    <row r="453" spans="1:34" s="1" customFormat="1" ht="45">
      <c r="A453" s="120">
        <v>452</v>
      </c>
      <c r="B453" s="120" t="b">
        <f t="shared" ca="1" si="7"/>
        <v>0</v>
      </c>
      <c r="C453" s="121">
        <v>45505</v>
      </c>
      <c r="D453" s="137">
        <v>0.36096064814814816</v>
      </c>
      <c r="E453" s="94">
        <v>1005</v>
      </c>
      <c r="F453" s="142">
        <v>1203</v>
      </c>
      <c r="G453" s="94" t="s">
        <v>71</v>
      </c>
      <c r="H453" s="94">
        <v>1027</v>
      </c>
      <c r="I453" s="91"/>
      <c r="J453" s="94" t="s">
        <v>72</v>
      </c>
      <c r="K453" s="91">
        <v>127.815</v>
      </c>
      <c r="L453" s="122" t="str">
        <f>VLOOKUP(K453,Liste!$L$2:$O$34,4,1)</f>
        <v>GSMR_22/23</v>
      </c>
      <c r="M453" s="133" t="s">
        <v>36</v>
      </c>
      <c r="N453" s="180" t="s">
        <v>37</v>
      </c>
      <c r="O453" s="125" t="s">
        <v>1046</v>
      </c>
      <c r="P453" s="127"/>
      <c r="Q453" s="91" t="s">
        <v>531</v>
      </c>
      <c r="R453" s="94" t="s">
        <v>1032</v>
      </c>
      <c r="S453" s="91" t="s">
        <v>1047</v>
      </c>
      <c r="T453" s="94" t="s">
        <v>56</v>
      </c>
      <c r="U453" s="94" t="s">
        <v>94</v>
      </c>
      <c r="V453" s="94" t="s">
        <v>51</v>
      </c>
      <c r="W453" s="94" t="s">
        <v>51</v>
      </c>
      <c r="X453" s="124" t="s">
        <v>52</v>
      </c>
      <c r="Y453" s="124" t="s">
        <v>1042</v>
      </c>
      <c r="Z453" s="91"/>
      <c r="AA453" s="91" t="s">
        <v>802</v>
      </c>
      <c r="AB453" s="91"/>
      <c r="AC453" s="91"/>
      <c r="AD453" s="91"/>
      <c r="AE453" s="91"/>
      <c r="AF453" s="91"/>
      <c r="AG453" s="91"/>
      <c r="AH453" s="91"/>
    </row>
    <row r="454" spans="1:34" s="1" customFormat="1" ht="45">
      <c r="A454" s="120">
        <v>453</v>
      </c>
      <c r="B454" s="120" t="b">
        <f t="shared" ca="1" si="7"/>
        <v>0</v>
      </c>
      <c r="C454" s="121">
        <v>45505</v>
      </c>
      <c r="D454" s="137" t="s">
        <v>1048</v>
      </c>
      <c r="E454" s="94">
        <v>1005</v>
      </c>
      <c r="F454" s="142">
        <v>1203</v>
      </c>
      <c r="G454" s="94" t="s">
        <v>71</v>
      </c>
      <c r="H454" s="94">
        <v>1026</v>
      </c>
      <c r="I454" s="91"/>
      <c r="J454" s="94" t="s">
        <v>72</v>
      </c>
      <c r="K454" s="152">
        <v>7.3209999999999997</v>
      </c>
      <c r="L454" s="122" t="str">
        <f>VLOOKUP(K454,Liste!$L$2:$O$34,4,1)</f>
        <v>GSMR_02/03</v>
      </c>
      <c r="M454" s="133" t="s">
        <v>36</v>
      </c>
      <c r="N454" s="181" t="s">
        <v>58</v>
      </c>
      <c r="O454" s="125" t="s">
        <v>1049</v>
      </c>
      <c r="P454" s="127"/>
      <c r="Q454" s="91" t="s">
        <v>531</v>
      </c>
      <c r="R454" s="94" t="s">
        <v>1032</v>
      </c>
      <c r="S454" s="91" t="s">
        <v>1050</v>
      </c>
      <c r="T454" s="94" t="s">
        <v>56</v>
      </c>
      <c r="U454" s="94" t="s">
        <v>75</v>
      </c>
      <c r="V454" s="94" t="s">
        <v>43</v>
      </c>
      <c r="W454" s="94" t="s">
        <v>51</v>
      </c>
      <c r="X454" s="124" t="s">
        <v>52</v>
      </c>
      <c r="Y454" s="124" t="s">
        <v>622</v>
      </c>
      <c r="Z454" s="91"/>
      <c r="AA454" s="91" t="s">
        <v>959</v>
      </c>
      <c r="AB454" s="91"/>
      <c r="AC454" s="91"/>
      <c r="AD454" s="91"/>
      <c r="AE454" s="91"/>
      <c r="AF454" s="91"/>
      <c r="AG454" s="91"/>
      <c r="AH454" s="91"/>
    </row>
    <row r="455" spans="1:34" s="1" customFormat="1" ht="45">
      <c r="A455" s="120">
        <v>454</v>
      </c>
      <c r="B455" s="120" t="b">
        <f t="shared" ca="1" si="7"/>
        <v>0</v>
      </c>
      <c r="C455" s="121">
        <v>45505</v>
      </c>
      <c r="D455" s="137">
        <v>0.40615740740740741</v>
      </c>
      <c r="E455" s="94">
        <v>2013</v>
      </c>
      <c r="F455" s="142">
        <v>1208</v>
      </c>
      <c r="G455" s="94" t="s">
        <v>34</v>
      </c>
      <c r="H455" s="94">
        <v>1037</v>
      </c>
      <c r="I455" s="91"/>
      <c r="J455" s="94" t="s">
        <v>35</v>
      </c>
      <c r="K455" s="91">
        <v>185.82499999999999</v>
      </c>
      <c r="L455" s="122" t="str">
        <f>VLOOKUP(K455,Liste!$L$2:$O$34,4,1)</f>
        <v>GSMR_32/33</v>
      </c>
      <c r="M455" s="133" t="s">
        <v>36</v>
      </c>
      <c r="N455" s="181" t="s">
        <v>58</v>
      </c>
      <c r="O455" s="125" t="s">
        <v>1051</v>
      </c>
      <c r="P455" s="127"/>
      <c r="Q455" s="91" t="s">
        <v>531</v>
      </c>
      <c r="R455" s="94" t="s">
        <v>1032</v>
      </c>
      <c r="S455" s="91" t="s">
        <v>1052</v>
      </c>
      <c r="T455" s="94" t="s">
        <v>69</v>
      </c>
      <c r="U455" s="94" t="s">
        <v>1053</v>
      </c>
      <c r="V455" s="94" t="s">
        <v>51</v>
      </c>
      <c r="W455" s="94" t="s">
        <v>51</v>
      </c>
      <c r="X455" s="124" t="s">
        <v>52</v>
      </c>
      <c r="Y455" s="124" t="s">
        <v>1042</v>
      </c>
      <c r="Z455" s="91"/>
      <c r="AA455" s="91" t="s">
        <v>959</v>
      </c>
      <c r="AB455" s="91"/>
      <c r="AC455" s="91"/>
      <c r="AD455" s="91"/>
      <c r="AE455" s="91"/>
      <c r="AF455" s="91"/>
      <c r="AG455" s="91"/>
      <c r="AH455" s="91"/>
    </row>
    <row r="456" spans="1:34" s="1" customFormat="1" ht="45">
      <c r="A456" s="120">
        <v>455</v>
      </c>
      <c r="B456" s="120" t="b">
        <f t="shared" ca="1" si="7"/>
        <v>0</v>
      </c>
      <c r="C456" s="121">
        <v>45505</v>
      </c>
      <c r="D456" s="137">
        <v>0.50388888888888894</v>
      </c>
      <c r="E456" s="94">
        <v>2025</v>
      </c>
      <c r="F456" s="142">
        <v>1209</v>
      </c>
      <c r="G456" s="94" t="s">
        <v>34</v>
      </c>
      <c r="H456" s="94">
        <v>7208</v>
      </c>
      <c r="I456" s="91"/>
      <c r="J456" s="94" t="s">
        <v>35</v>
      </c>
      <c r="K456" s="152">
        <v>6.13</v>
      </c>
      <c r="L456" s="122" t="str">
        <f>VLOOKUP(K456,Liste!$L$2:$O$34,4,1)</f>
        <v>GSMR_02/03</v>
      </c>
      <c r="M456" s="133" t="s">
        <v>36</v>
      </c>
      <c r="N456" s="181" t="s">
        <v>58</v>
      </c>
      <c r="O456" s="125" t="s">
        <v>1054</v>
      </c>
      <c r="P456" s="127"/>
      <c r="Q456" s="91" t="s">
        <v>531</v>
      </c>
      <c r="R456" s="94" t="s">
        <v>1032</v>
      </c>
      <c r="S456" s="91" t="s">
        <v>1055</v>
      </c>
      <c r="T456" s="94" t="s">
        <v>93</v>
      </c>
      <c r="U456" s="94" t="s">
        <v>1056</v>
      </c>
      <c r="V456" s="94" t="s">
        <v>43</v>
      </c>
      <c r="W456" s="94" t="s">
        <v>51</v>
      </c>
      <c r="X456" s="124" t="s">
        <v>52</v>
      </c>
      <c r="Y456" s="124" t="s">
        <v>622</v>
      </c>
      <c r="Z456" s="91"/>
      <c r="AA456" s="91" t="s">
        <v>802</v>
      </c>
      <c r="AB456" s="91"/>
      <c r="AC456" s="91"/>
      <c r="AD456" s="91"/>
      <c r="AE456" s="91"/>
      <c r="AF456" s="91"/>
      <c r="AG456" s="91"/>
      <c r="AH456" s="91"/>
    </row>
    <row r="457" spans="1:34" s="1" customFormat="1" ht="45">
      <c r="A457" s="120">
        <v>456</v>
      </c>
      <c r="B457" s="120" t="b">
        <f t="shared" ca="1" si="7"/>
        <v>0</v>
      </c>
      <c r="C457" s="121">
        <v>45505</v>
      </c>
      <c r="D457" s="137">
        <v>0.54664351851851856</v>
      </c>
      <c r="E457" s="94">
        <v>2021</v>
      </c>
      <c r="F457" s="142">
        <v>1206</v>
      </c>
      <c r="G457" s="94" t="s">
        <v>71</v>
      </c>
      <c r="H457" s="94">
        <v>1041</v>
      </c>
      <c r="I457" s="91"/>
      <c r="J457" s="94" t="s">
        <v>72</v>
      </c>
      <c r="K457" s="152">
        <v>7.3209999999999997</v>
      </c>
      <c r="L457" s="122" t="str">
        <f>VLOOKUP(K457,Liste!$L$2:$O$34,4,1)</f>
        <v>GSMR_02/03</v>
      </c>
      <c r="M457" s="133" t="s">
        <v>36</v>
      </c>
      <c r="N457" s="181" t="s">
        <v>58</v>
      </c>
      <c r="O457" s="125" t="s">
        <v>1057</v>
      </c>
      <c r="P457" s="127"/>
      <c r="Q457" s="91" t="s">
        <v>531</v>
      </c>
      <c r="R457" s="94" t="s">
        <v>1032</v>
      </c>
      <c r="S457" s="91" t="s">
        <v>1058</v>
      </c>
      <c r="T457" s="94" t="s">
        <v>69</v>
      </c>
      <c r="U457" s="94" t="s">
        <v>1059</v>
      </c>
      <c r="V457" s="94" t="s">
        <v>51</v>
      </c>
      <c r="W457" s="94" t="s">
        <v>51</v>
      </c>
      <c r="X457" s="124" t="s">
        <v>52</v>
      </c>
      <c r="Y457" s="124" t="s">
        <v>622</v>
      </c>
      <c r="Z457" s="91"/>
      <c r="AA457" s="91" t="s">
        <v>959</v>
      </c>
      <c r="AB457" s="91"/>
      <c r="AC457" s="91"/>
      <c r="AD457" s="91"/>
      <c r="AE457" s="91"/>
      <c r="AF457" s="91"/>
      <c r="AG457" s="91"/>
      <c r="AH457" s="91"/>
    </row>
    <row r="458" spans="1:34" s="1" customFormat="1" ht="45">
      <c r="A458" s="120">
        <v>457</v>
      </c>
      <c r="B458" s="120" t="b">
        <f t="shared" ca="1" si="7"/>
        <v>0</v>
      </c>
      <c r="C458" s="121">
        <v>45505</v>
      </c>
      <c r="D458" s="137">
        <v>0.89476851851851846</v>
      </c>
      <c r="E458" s="94">
        <v>2061</v>
      </c>
      <c r="F458" s="142">
        <v>1208</v>
      </c>
      <c r="G458" s="94" t="s">
        <v>34</v>
      </c>
      <c r="H458" s="94">
        <v>1036</v>
      </c>
      <c r="I458" s="91"/>
      <c r="J458" s="94" t="s">
        <v>35</v>
      </c>
      <c r="K458" s="91">
        <v>109.495</v>
      </c>
      <c r="L458" s="122" t="str">
        <f>VLOOKUP(K458,Liste!$L$2:$O$34,4,1)</f>
        <v>GSMR_19/20</v>
      </c>
      <c r="M458" s="133" t="s">
        <v>36</v>
      </c>
      <c r="N458" s="180" t="s">
        <v>37</v>
      </c>
      <c r="O458" s="125" t="s">
        <v>1060</v>
      </c>
      <c r="P458" s="126"/>
      <c r="Q458" s="94" t="s">
        <v>54</v>
      </c>
      <c r="R458" s="94" t="s">
        <v>1032</v>
      </c>
      <c r="S458" s="91" t="s">
        <v>1061</v>
      </c>
      <c r="T458" s="94" t="s">
        <v>116</v>
      </c>
      <c r="U458" s="94" t="s">
        <v>1062</v>
      </c>
      <c r="V458" s="94" t="s">
        <v>51</v>
      </c>
      <c r="W458" s="94" t="s">
        <v>51</v>
      </c>
      <c r="X458" s="124" t="s">
        <v>52</v>
      </c>
      <c r="Y458" s="124" t="s">
        <v>727</v>
      </c>
      <c r="Z458" s="91"/>
      <c r="AA458" s="91" t="s">
        <v>793</v>
      </c>
      <c r="AB458" s="91"/>
      <c r="AC458" s="91"/>
      <c r="AD458" s="91"/>
      <c r="AE458" s="91"/>
      <c r="AF458" s="91"/>
      <c r="AG458" s="91"/>
      <c r="AH458" s="91"/>
    </row>
    <row r="459" spans="1:34" s="1" customFormat="1" ht="45">
      <c r="A459" s="120">
        <v>458</v>
      </c>
      <c r="B459" s="120" t="b">
        <f t="shared" ca="1" si="7"/>
        <v>0</v>
      </c>
      <c r="C459" s="121">
        <v>45506</v>
      </c>
      <c r="D459" s="137">
        <v>0.67045138888888889</v>
      </c>
      <c r="E459" s="94">
        <v>1034</v>
      </c>
      <c r="F459" s="142">
        <v>1203</v>
      </c>
      <c r="G459" s="94" t="s">
        <v>71</v>
      </c>
      <c r="H459" s="94">
        <v>1027</v>
      </c>
      <c r="I459" s="91"/>
      <c r="J459" s="94" t="s">
        <v>72</v>
      </c>
      <c r="K459" s="152">
        <v>7.3209999999999997</v>
      </c>
      <c r="L459" s="122" t="str">
        <f>VLOOKUP(K459,Liste!$L$2:$O$34,4,1)</f>
        <v>GSMR_02/03</v>
      </c>
      <c r="M459" s="133" t="s">
        <v>36</v>
      </c>
      <c r="N459" s="181" t="s">
        <v>58</v>
      </c>
      <c r="O459" s="125" t="s">
        <v>1063</v>
      </c>
      <c r="P459" s="119"/>
      <c r="Q459" s="94" t="s">
        <v>531</v>
      </c>
      <c r="R459" s="94" t="s">
        <v>1032</v>
      </c>
      <c r="S459" s="91" t="s">
        <v>1058</v>
      </c>
      <c r="T459" s="94" t="s">
        <v>69</v>
      </c>
      <c r="U459" s="94" t="s">
        <v>1064</v>
      </c>
      <c r="V459" s="94" t="s">
        <v>51</v>
      </c>
      <c r="W459" s="94" t="s">
        <v>51</v>
      </c>
      <c r="X459" s="124" t="s">
        <v>52</v>
      </c>
      <c r="Y459" s="124" t="s">
        <v>622</v>
      </c>
      <c r="Z459" s="91"/>
      <c r="AA459" s="91" t="s">
        <v>772</v>
      </c>
      <c r="AB459" s="91"/>
      <c r="AC459" s="91"/>
      <c r="AD459" s="91"/>
      <c r="AE459" s="91"/>
      <c r="AF459" s="91"/>
      <c r="AG459" s="91"/>
      <c r="AH459" s="91"/>
    </row>
    <row r="460" spans="1:34" s="1" customFormat="1" ht="45">
      <c r="A460" s="120">
        <v>459</v>
      </c>
      <c r="B460" s="120" t="b">
        <f t="shared" ca="1" si="7"/>
        <v>0</v>
      </c>
      <c r="C460" s="121">
        <v>45506</v>
      </c>
      <c r="D460" s="137">
        <v>0.87938657407407406</v>
      </c>
      <c r="E460" s="94">
        <v>1053</v>
      </c>
      <c r="F460" s="142">
        <v>1205</v>
      </c>
      <c r="G460" s="94" t="s">
        <v>71</v>
      </c>
      <c r="H460" s="94">
        <v>1034</v>
      </c>
      <c r="I460" s="91"/>
      <c r="J460" s="94" t="s">
        <v>72</v>
      </c>
      <c r="K460" s="91">
        <v>25.85</v>
      </c>
      <c r="L460" s="122" t="str">
        <f>VLOOKUP(K460,Liste!$L$2:$O$34,4,1)</f>
        <v>GSMR_05/06</v>
      </c>
      <c r="M460" s="133" t="s">
        <v>36</v>
      </c>
      <c r="N460" s="180" t="s">
        <v>37</v>
      </c>
      <c r="O460" s="125" t="s">
        <v>1065</v>
      </c>
      <c r="P460" s="119"/>
      <c r="Q460" s="94" t="s">
        <v>531</v>
      </c>
      <c r="R460" s="94" t="s">
        <v>833</v>
      </c>
      <c r="S460" s="91" t="s">
        <v>1066</v>
      </c>
      <c r="T460" s="94" t="s">
        <v>56</v>
      </c>
      <c r="U460" s="94" t="s">
        <v>1067</v>
      </c>
      <c r="V460" s="94" t="s">
        <v>51</v>
      </c>
      <c r="W460" s="94" t="s">
        <v>51</v>
      </c>
      <c r="X460" s="124" t="s">
        <v>52</v>
      </c>
      <c r="Y460" s="124" t="s">
        <v>1042</v>
      </c>
      <c r="Z460" s="91"/>
      <c r="AA460" s="91" t="s">
        <v>778</v>
      </c>
      <c r="AB460" s="91"/>
      <c r="AC460" s="91"/>
      <c r="AD460" s="91"/>
      <c r="AE460" s="91"/>
      <c r="AF460" s="91"/>
      <c r="AG460" s="91"/>
      <c r="AH460" s="91"/>
    </row>
    <row r="461" spans="1:34" s="1" customFormat="1" ht="45">
      <c r="A461" s="120">
        <v>460</v>
      </c>
      <c r="B461" s="120" t="b">
        <f t="shared" ca="1" si="7"/>
        <v>0</v>
      </c>
      <c r="C461" s="121">
        <v>45506</v>
      </c>
      <c r="D461" s="137">
        <v>0.91711805555555559</v>
      </c>
      <c r="E461" s="94">
        <v>1057</v>
      </c>
      <c r="F461" s="142">
        <v>1203</v>
      </c>
      <c r="G461" s="94" t="s">
        <v>71</v>
      </c>
      <c r="H461" s="94">
        <v>1027</v>
      </c>
      <c r="I461" s="91"/>
      <c r="J461" s="94" t="s">
        <v>72</v>
      </c>
      <c r="K461" s="91">
        <v>26.739000000000001</v>
      </c>
      <c r="L461" s="122" t="str">
        <f>VLOOKUP(K461,Liste!$L$2:$O$34,4,1)</f>
        <v>GSMR_05/06</v>
      </c>
      <c r="M461" s="133" t="s">
        <v>36</v>
      </c>
      <c r="N461" s="181" t="s">
        <v>58</v>
      </c>
      <c r="O461" s="125" t="s">
        <v>1068</v>
      </c>
      <c r="P461" s="119"/>
      <c r="Q461" s="94" t="s">
        <v>531</v>
      </c>
      <c r="R461" s="94" t="s">
        <v>833</v>
      </c>
      <c r="S461" s="91" t="s">
        <v>1069</v>
      </c>
      <c r="T461" s="94" t="s">
        <v>56</v>
      </c>
      <c r="U461" s="94" t="s">
        <v>1070</v>
      </c>
      <c r="V461" s="94" t="s">
        <v>51</v>
      </c>
      <c r="W461" s="94" t="s">
        <v>51</v>
      </c>
      <c r="X461" s="124" t="s">
        <v>52</v>
      </c>
      <c r="Y461" s="124" t="s">
        <v>622</v>
      </c>
      <c r="Z461" s="91"/>
      <c r="AA461" s="91" t="s">
        <v>778</v>
      </c>
      <c r="AB461" s="91"/>
      <c r="AC461" s="91"/>
      <c r="AD461" s="91"/>
      <c r="AE461" s="91"/>
      <c r="AF461" s="91"/>
      <c r="AG461" s="91"/>
      <c r="AH461" s="91"/>
    </row>
    <row r="462" spans="1:34" s="1" customFormat="1" ht="45">
      <c r="A462" s="120">
        <v>461</v>
      </c>
      <c r="B462" s="120" t="b">
        <f t="shared" ca="1" si="7"/>
        <v>0</v>
      </c>
      <c r="C462" s="121">
        <v>45507</v>
      </c>
      <c r="D462" s="137">
        <v>0.37140046296296297</v>
      </c>
      <c r="E462" s="94">
        <v>1005</v>
      </c>
      <c r="F462" s="142">
        <v>1208</v>
      </c>
      <c r="G462" s="94" t="s">
        <v>71</v>
      </c>
      <c r="H462" s="94">
        <v>1044</v>
      </c>
      <c r="I462" s="91"/>
      <c r="J462" s="94" t="s">
        <v>72</v>
      </c>
      <c r="K462" s="91">
        <v>56.555</v>
      </c>
      <c r="L462" s="122" t="str">
        <f>VLOOKUP(K462,Liste!$L$2:$O$34,4,1)</f>
        <v>GSMR_10/11</v>
      </c>
      <c r="M462" s="133" t="s">
        <v>36</v>
      </c>
      <c r="N462" s="181" t="s">
        <v>58</v>
      </c>
      <c r="O462" s="125" t="s">
        <v>1071</v>
      </c>
      <c r="P462" s="119"/>
      <c r="Q462" s="94" t="s">
        <v>105</v>
      </c>
      <c r="R462" s="94" t="s">
        <v>1072</v>
      </c>
      <c r="S462" s="91" t="s">
        <v>1073</v>
      </c>
      <c r="T462" s="94" t="s">
        <v>101</v>
      </c>
      <c r="U462" s="94" t="s">
        <v>120</v>
      </c>
      <c r="V462" s="94" t="s">
        <v>51</v>
      </c>
      <c r="W462" s="94" t="s">
        <v>51</v>
      </c>
      <c r="X462" s="124" t="s">
        <v>52</v>
      </c>
      <c r="Y462" s="124" t="s">
        <v>1042</v>
      </c>
      <c r="Z462" s="91"/>
      <c r="AA462" s="91" t="s">
        <v>959</v>
      </c>
      <c r="AB462" s="91"/>
      <c r="AC462" s="91"/>
      <c r="AD462" s="91"/>
      <c r="AE462" s="91"/>
      <c r="AF462" s="91"/>
      <c r="AG462" s="91"/>
      <c r="AH462" s="91"/>
    </row>
    <row r="463" spans="1:34" s="1" customFormat="1" ht="45">
      <c r="A463" s="120">
        <v>462</v>
      </c>
      <c r="B463" s="120" t="b">
        <f t="shared" ca="1" si="7"/>
        <v>0</v>
      </c>
      <c r="C463" s="121">
        <v>45507</v>
      </c>
      <c r="D463" s="137">
        <v>0.5869212962962963</v>
      </c>
      <c r="E463" s="94">
        <v>2033</v>
      </c>
      <c r="F463" s="142">
        <v>1206</v>
      </c>
      <c r="G463" s="94" t="s">
        <v>34</v>
      </c>
      <c r="H463" s="94">
        <v>1054</v>
      </c>
      <c r="I463" s="91"/>
      <c r="J463" s="94" t="s">
        <v>35</v>
      </c>
      <c r="K463" s="152">
        <v>6.13</v>
      </c>
      <c r="L463" s="122" t="str">
        <f>VLOOKUP(K463,Liste!$L$2:$O$34,4,1)</f>
        <v>GSMR_02/03</v>
      </c>
      <c r="M463" s="133" t="s">
        <v>36</v>
      </c>
      <c r="N463" s="180" t="s">
        <v>37</v>
      </c>
      <c r="O463" s="125" t="s">
        <v>1074</v>
      </c>
      <c r="P463" s="119"/>
      <c r="Q463" s="94" t="s">
        <v>531</v>
      </c>
      <c r="R463" s="94" t="s">
        <v>1032</v>
      </c>
      <c r="S463" s="91" t="s">
        <v>1075</v>
      </c>
      <c r="T463" s="94" t="s">
        <v>93</v>
      </c>
      <c r="U463" s="94" t="s">
        <v>57</v>
      </c>
      <c r="V463" s="94" t="s">
        <v>43</v>
      </c>
      <c r="W463" s="94" t="s">
        <v>51</v>
      </c>
      <c r="X463" s="124" t="s">
        <v>52</v>
      </c>
      <c r="Y463" s="124" t="s">
        <v>622</v>
      </c>
      <c r="Z463" s="91"/>
      <c r="AA463" s="91" t="s">
        <v>772</v>
      </c>
      <c r="AB463" s="91"/>
      <c r="AC463" s="91"/>
      <c r="AD463" s="91"/>
      <c r="AE463" s="91"/>
      <c r="AF463" s="91"/>
      <c r="AG463" s="91"/>
      <c r="AH463" s="91"/>
    </row>
    <row r="464" spans="1:34" s="1" customFormat="1" ht="45">
      <c r="A464" s="120">
        <v>463</v>
      </c>
      <c r="B464" s="120" t="b">
        <f t="shared" ca="1" si="7"/>
        <v>0</v>
      </c>
      <c r="C464" s="121">
        <v>45507</v>
      </c>
      <c r="D464" s="137">
        <v>0.66814814814814816</v>
      </c>
      <c r="E464" s="94">
        <v>1033</v>
      </c>
      <c r="F464" s="142">
        <v>1207</v>
      </c>
      <c r="G464" s="94" t="s">
        <v>71</v>
      </c>
      <c r="H464" s="94">
        <v>1007</v>
      </c>
      <c r="I464" s="91"/>
      <c r="J464" s="94" t="s">
        <v>72</v>
      </c>
      <c r="K464" s="91">
        <v>25.91</v>
      </c>
      <c r="L464" s="122" t="str">
        <f>VLOOKUP(K464,Liste!$L$2:$O$34,4,1)</f>
        <v>GSMR_05/06</v>
      </c>
      <c r="M464" s="133" t="s">
        <v>36</v>
      </c>
      <c r="N464" s="180" t="s">
        <v>37</v>
      </c>
      <c r="O464" s="125" t="s">
        <v>1076</v>
      </c>
      <c r="P464" s="126"/>
      <c r="Q464" s="124" t="s">
        <v>47</v>
      </c>
      <c r="R464" s="94" t="s">
        <v>808</v>
      </c>
      <c r="S464" s="91" t="s">
        <v>1069</v>
      </c>
      <c r="T464" s="94" t="s">
        <v>93</v>
      </c>
      <c r="U464" s="94" t="s">
        <v>1077</v>
      </c>
      <c r="V464" s="94" t="s">
        <v>51</v>
      </c>
      <c r="W464" s="94" t="s">
        <v>51</v>
      </c>
      <c r="X464" s="124" t="s">
        <v>400</v>
      </c>
      <c r="Y464" s="124" t="s">
        <v>622</v>
      </c>
      <c r="Z464" s="91"/>
      <c r="AA464" s="91" t="s">
        <v>772</v>
      </c>
      <c r="AB464" s="91"/>
      <c r="AC464" s="91"/>
      <c r="AD464" s="91"/>
      <c r="AE464" s="91"/>
      <c r="AF464" s="91"/>
      <c r="AG464" s="91"/>
      <c r="AH464" s="91"/>
    </row>
    <row r="465" spans="1:34" s="1" customFormat="1" ht="45">
      <c r="A465" s="120">
        <v>464</v>
      </c>
      <c r="B465" s="120" t="b">
        <f t="shared" ca="1" si="7"/>
        <v>0</v>
      </c>
      <c r="C465" s="121">
        <v>45507</v>
      </c>
      <c r="D465" s="137">
        <v>0.84825231481481478</v>
      </c>
      <c r="E465" s="94">
        <v>2057</v>
      </c>
      <c r="F465" s="142">
        <v>1211</v>
      </c>
      <c r="G465" s="94" t="s">
        <v>34</v>
      </c>
      <c r="H465" s="94">
        <v>1028</v>
      </c>
      <c r="I465" s="91"/>
      <c r="J465" s="94" t="s">
        <v>35</v>
      </c>
      <c r="K465" s="91">
        <v>74.712999999999994</v>
      </c>
      <c r="L465" s="122" t="str">
        <f>VLOOKUP(K465,Liste!$L$2:$O$34,4,1)</f>
        <v>GSMR_13/14</v>
      </c>
      <c r="M465" s="133" t="s">
        <v>36</v>
      </c>
      <c r="N465" s="180" t="s">
        <v>37</v>
      </c>
      <c r="O465" s="125" t="s">
        <v>1078</v>
      </c>
      <c r="P465" s="119"/>
      <c r="Q465" s="94" t="s">
        <v>531</v>
      </c>
      <c r="R465" s="94" t="s">
        <v>1079</v>
      </c>
      <c r="S465" s="91" t="s">
        <v>1080</v>
      </c>
      <c r="T465" s="94" t="s">
        <v>56</v>
      </c>
      <c r="U465" s="94" t="s">
        <v>339</v>
      </c>
      <c r="V465" s="94" t="s">
        <v>51</v>
      </c>
      <c r="W465" s="94" t="s">
        <v>51</v>
      </c>
      <c r="X465" s="124" t="s">
        <v>52</v>
      </c>
      <c r="Y465" s="124" t="s">
        <v>622</v>
      </c>
      <c r="Z465" s="91"/>
      <c r="AA465" s="91" t="s">
        <v>778</v>
      </c>
      <c r="AB465" s="91"/>
      <c r="AC465" s="91"/>
      <c r="AD465" s="91"/>
      <c r="AE465" s="91"/>
      <c r="AF465" s="91"/>
      <c r="AG465" s="91"/>
      <c r="AH465" s="91"/>
    </row>
    <row r="466" spans="1:34" s="1" customFormat="1" ht="45">
      <c r="A466" s="120">
        <v>465</v>
      </c>
      <c r="B466" s="120" t="b">
        <f t="shared" ca="1" si="7"/>
        <v>0</v>
      </c>
      <c r="C466" s="121">
        <v>45507</v>
      </c>
      <c r="D466" s="137">
        <v>0.89512731481481478</v>
      </c>
      <c r="E466" s="94">
        <v>2049</v>
      </c>
      <c r="F466" s="142">
        <v>1203</v>
      </c>
      <c r="G466" s="94" t="s">
        <v>34</v>
      </c>
      <c r="H466" s="94">
        <v>1025</v>
      </c>
      <c r="I466" s="91"/>
      <c r="J466" s="94" t="s">
        <v>35</v>
      </c>
      <c r="K466" s="91">
        <v>114.607</v>
      </c>
      <c r="L466" s="122" t="str">
        <f>VLOOKUP(K466,Liste!$L$2:$O$34,4,1)</f>
        <v>GSMR_20/21</v>
      </c>
      <c r="M466" s="133" t="s">
        <v>36</v>
      </c>
      <c r="N466" s="180" t="s">
        <v>37</v>
      </c>
      <c r="O466" s="125" t="s">
        <v>1081</v>
      </c>
      <c r="P466" s="126"/>
      <c r="Q466" s="94" t="s">
        <v>54</v>
      </c>
      <c r="R466" s="94" t="s">
        <v>1082</v>
      </c>
      <c r="S466" s="91" t="s">
        <v>1083</v>
      </c>
      <c r="T466" s="94" t="s">
        <v>69</v>
      </c>
      <c r="U466" s="94" t="s">
        <v>120</v>
      </c>
      <c r="V466" s="94" t="s">
        <v>51</v>
      </c>
      <c r="W466" s="94" t="s">
        <v>51</v>
      </c>
      <c r="X466" s="124" t="s">
        <v>52</v>
      </c>
      <c r="Y466" s="124" t="s">
        <v>622</v>
      </c>
      <c r="Z466" s="91"/>
      <c r="AA466" s="91" t="s">
        <v>778</v>
      </c>
      <c r="AB466" s="91"/>
      <c r="AC466" s="91"/>
      <c r="AD466" s="91"/>
      <c r="AE466" s="91"/>
      <c r="AF466" s="91"/>
      <c r="AG466" s="91"/>
      <c r="AH466" s="91"/>
    </row>
    <row r="467" spans="1:34" s="1" customFormat="1" ht="45">
      <c r="A467" s="120">
        <v>466</v>
      </c>
      <c r="B467" s="120" t="b">
        <f t="shared" ca="1" si="7"/>
        <v>0</v>
      </c>
      <c r="C467" s="121">
        <v>45508</v>
      </c>
      <c r="D467" s="137">
        <v>0.49055555555555558</v>
      </c>
      <c r="E467" s="94">
        <v>1017</v>
      </c>
      <c r="F467" s="142">
        <v>1201</v>
      </c>
      <c r="G467" s="94" t="s">
        <v>71</v>
      </c>
      <c r="H467" s="94">
        <v>1061</v>
      </c>
      <c r="I467" s="91"/>
      <c r="J467" s="94" t="s">
        <v>72</v>
      </c>
      <c r="K467" s="91">
        <v>92.561000000000007</v>
      </c>
      <c r="L467" s="122" t="str">
        <f>VLOOKUP(K467,Liste!$L$2:$O$34,4,1)</f>
        <v>GSMR_16/17</v>
      </c>
      <c r="M467" s="133" t="s">
        <v>36</v>
      </c>
      <c r="N467" s="181" t="s">
        <v>58</v>
      </c>
      <c r="O467" s="125" t="s">
        <v>1084</v>
      </c>
      <c r="P467" s="126"/>
      <c r="Q467" s="124" t="s">
        <v>47</v>
      </c>
      <c r="R467" s="94" t="s">
        <v>1085</v>
      </c>
      <c r="S467" s="91" t="s">
        <v>1086</v>
      </c>
      <c r="T467" s="94" t="s">
        <v>41</v>
      </c>
      <c r="U467" s="94" t="s">
        <v>183</v>
      </c>
      <c r="V467" s="94" t="s">
        <v>51</v>
      </c>
      <c r="W467" s="94" t="s">
        <v>51</v>
      </c>
      <c r="X467" s="124" t="s">
        <v>52</v>
      </c>
      <c r="Y467" s="124" t="s">
        <v>622</v>
      </c>
      <c r="Z467" s="91"/>
      <c r="AA467" s="91" t="s">
        <v>754</v>
      </c>
      <c r="AB467" s="91"/>
      <c r="AC467" s="91"/>
      <c r="AD467" s="91"/>
      <c r="AE467" s="91"/>
      <c r="AF467" s="91"/>
      <c r="AG467" s="91"/>
      <c r="AH467" s="91"/>
    </row>
    <row r="468" spans="1:34" s="1" customFormat="1" ht="45">
      <c r="A468" s="120">
        <v>467</v>
      </c>
      <c r="B468" s="120" t="b">
        <f t="shared" ca="1" si="7"/>
        <v>0</v>
      </c>
      <c r="C468" s="121">
        <v>45508</v>
      </c>
      <c r="D468" s="137">
        <v>0.56828703703703709</v>
      </c>
      <c r="E468" s="94">
        <v>1025</v>
      </c>
      <c r="F468" s="142">
        <v>1206</v>
      </c>
      <c r="G468" s="94" t="s">
        <v>71</v>
      </c>
      <c r="H468" s="94">
        <v>1041</v>
      </c>
      <c r="I468" s="91"/>
      <c r="J468" s="94" t="s">
        <v>72</v>
      </c>
      <c r="K468" s="91">
        <v>130.48400000000001</v>
      </c>
      <c r="L468" s="122" t="str">
        <f>VLOOKUP(K468,Liste!$L$2:$O$34,4,1)</f>
        <v>GSMR_23/24</v>
      </c>
      <c r="M468" s="133" t="s">
        <v>36</v>
      </c>
      <c r="N468" s="180" t="s">
        <v>37</v>
      </c>
      <c r="O468" s="125" t="s">
        <v>1087</v>
      </c>
      <c r="P468" s="119"/>
      <c r="Q468" s="94" t="s">
        <v>531</v>
      </c>
      <c r="R468" s="94" t="s">
        <v>1088</v>
      </c>
      <c r="S468" s="91" t="s">
        <v>1089</v>
      </c>
      <c r="T468" s="94" t="s">
        <v>69</v>
      </c>
      <c r="U468" s="94" t="s">
        <v>120</v>
      </c>
      <c r="V468" s="94" t="s">
        <v>51</v>
      </c>
      <c r="W468" s="94" t="s">
        <v>51</v>
      </c>
      <c r="X468" s="124" t="s">
        <v>52</v>
      </c>
      <c r="Y468" s="124" t="s">
        <v>622</v>
      </c>
      <c r="Z468" s="91"/>
      <c r="AA468" s="91" t="s">
        <v>754</v>
      </c>
      <c r="AB468" s="91"/>
      <c r="AC468" s="91"/>
      <c r="AD468" s="91"/>
      <c r="AE468" s="91"/>
      <c r="AF468" s="91"/>
      <c r="AG468" s="91"/>
      <c r="AH468" s="91"/>
    </row>
    <row r="469" spans="1:34" s="1" customFormat="1" ht="45">
      <c r="A469" s="120">
        <v>468</v>
      </c>
      <c r="B469" s="120" t="b">
        <f t="shared" ca="1" si="7"/>
        <v>0</v>
      </c>
      <c r="C469" s="121">
        <v>45508</v>
      </c>
      <c r="D469" s="137">
        <v>0.68680555555555556</v>
      </c>
      <c r="E469" s="94">
        <v>1038</v>
      </c>
      <c r="F469" s="142">
        <v>1205</v>
      </c>
      <c r="G469" s="94" t="s">
        <v>71</v>
      </c>
      <c r="H469" s="94">
        <v>1034</v>
      </c>
      <c r="I469" s="91"/>
      <c r="J469" s="94" t="s">
        <v>72</v>
      </c>
      <c r="K469" s="91">
        <v>177.85</v>
      </c>
      <c r="L469" s="122" t="str">
        <f>VLOOKUP(K469,Liste!$L$2:$O$34,4,1)</f>
        <v>GSMR_30/31</v>
      </c>
      <c r="M469" s="133" t="s">
        <v>36</v>
      </c>
      <c r="N469" s="180" t="s">
        <v>37</v>
      </c>
      <c r="O469" s="125" t="s">
        <v>1090</v>
      </c>
      <c r="P469" s="126"/>
      <c r="Q469" s="94" t="s">
        <v>54</v>
      </c>
      <c r="R469" s="94" t="s">
        <v>1091</v>
      </c>
      <c r="S469" s="91" t="s">
        <v>1092</v>
      </c>
      <c r="T469" s="94" t="s">
        <v>69</v>
      </c>
      <c r="U469" s="94" t="s">
        <v>234</v>
      </c>
      <c r="V469" s="94" t="s">
        <v>51</v>
      </c>
      <c r="W469" s="94" t="s">
        <v>51</v>
      </c>
      <c r="X469" s="124" t="s">
        <v>52</v>
      </c>
      <c r="Y469" s="124" t="s">
        <v>622</v>
      </c>
      <c r="Z469" s="91"/>
      <c r="AA469" s="91" t="s">
        <v>772</v>
      </c>
      <c r="AB469" s="91"/>
      <c r="AC469" s="91"/>
      <c r="AD469" s="91"/>
      <c r="AE469" s="91"/>
      <c r="AF469" s="91"/>
      <c r="AG469" s="91"/>
      <c r="AH469" s="91"/>
    </row>
    <row r="470" spans="1:34" s="1" customFormat="1" ht="45">
      <c r="A470" s="120">
        <v>469</v>
      </c>
      <c r="B470" s="120" t="b">
        <f t="shared" ca="1" si="7"/>
        <v>0</v>
      </c>
      <c r="C470" s="121">
        <v>45508</v>
      </c>
      <c r="D470" s="137">
        <v>0.69182870370370375</v>
      </c>
      <c r="E470" s="94">
        <v>1038</v>
      </c>
      <c r="F470" s="142">
        <v>1205</v>
      </c>
      <c r="G470" s="94" t="s">
        <v>71</v>
      </c>
      <c r="H470" s="94">
        <v>1034</v>
      </c>
      <c r="I470" s="91"/>
      <c r="J470" s="94" t="s">
        <v>72</v>
      </c>
      <c r="K470" s="91">
        <v>152.488</v>
      </c>
      <c r="L470" s="122" t="str">
        <f>VLOOKUP(K470,Liste!$L$2:$O$34,4,1)</f>
        <v>GSMR_26/27</v>
      </c>
      <c r="M470" s="133" t="s">
        <v>36</v>
      </c>
      <c r="N470" s="180" t="s">
        <v>37</v>
      </c>
      <c r="O470" s="125" t="s">
        <v>1093</v>
      </c>
      <c r="P470" s="119"/>
      <c r="Q470" s="94" t="s">
        <v>531</v>
      </c>
      <c r="R470" s="94" t="s">
        <v>848</v>
      </c>
      <c r="S470" s="91" t="s">
        <v>1094</v>
      </c>
      <c r="T470" s="94" t="s">
        <v>56</v>
      </c>
      <c r="U470" s="94" t="s">
        <v>108</v>
      </c>
      <c r="V470" s="94" t="s">
        <v>51</v>
      </c>
      <c r="W470" s="94" t="s">
        <v>51</v>
      </c>
      <c r="X470" s="124" t="s">
        <v>52</v>
      </c>
      <c r="Y470" s="124" t="s">
        <v>622</v>
      </c>
      <c r="Z470" s="91"/>
      <c r="AA470" s="91" t="s">
        <v>772</v>
      </c>
      <c r="AB470" s="91"/>
      <c r="AC470" s="91"/>
      <c r="AD470" s="91"/>
      <c r="AE470" s="91"/>
      <c r="AF470" s="91"/>
      <c r="AG470" s="91"/>
      <c r="AH470" s="91"/>
    </row>
    <row r="471" spans="1:34" s="1" customFormat="1" ht="45">
      <c r="A471" s="120">
        <v>470</v>
      </c>
      <c r="B471" s="120" t="b">
        <f t="shared" ca="1" si="7"/>
        <v>0</v>
      </c>
      <c r="C471" s="121">
        <v>45508</v>
      </c>
      <c r="D471" s="137">
        <v>0.79274305555555558</v>
      </c>
      <c r="E471" s="94">
        <v>1046</v>
      </c>
      <c r="F471" s="142">
        <v>1209</v>
      </c>
      <c r="G471" s="94" t="s">
        <v>71</v>
      </c>
      <c r="H471" s="94">
        <v>1033</v>
      </c>
      <c r="I471" s="91"/>
      <c r="J471" s="94" t="s">
        <v>72</v>
      </c>
      <c r="K471" s="91">
        <v>25.85</v>
      </c>
      <c r="L471" s="122" t="str">
        <f>VLOOKUP(K471,Liste!$L$2:$O$34,4,1)</f>
        <v>GSMR_05/06</v>
      </c>
      <c r="M471" s="133" t="s">
        <v>36</v>
      </c>
      <c r="N471" s="180" t="s">
        <v>37</v>
      </c>
      <c r="O471" s="125" t="s">
        <v>1095</v>
      </c>
      <c r="P471" s="126"/>
      <c r="Q471" s="94" t="s">
        <v>54</v>
      </c>
      <c r="R471" s="94" t="s">
        <v>1096</v>
      </c>
      <c r="S471" s="91" t="s">
        <v>1097</v>
      </c>
      <c r="T471" s="94" t="s">
        <v>56</v>
      </c>
      <c r="U471" s="94" t="s">
        <v>366</v>
      </c>
      <c r="V471" s="94" t="s">
        <v>51</v>
      </c>
      <c r="W471" s="94" t="s">
        <v>51</v>
      </c>
      <c r="X471" s="124" t="s">
        <v>52</v>
      </c>
      <c r="Y471" s="124" t="s">
        <v>622</v>
      </c>
      <c r="Z471" s="91"/>
      <c r="AA471" s="91" t="s">
        <v>772</v>
      </c>
      <c r="AB471" s="91"/>
      <c r="AC471" s="91"/>
      <c r="AD471" s="91"/>
      <c r="AE471" s="91"/>
      <c r="AF471" s="91"/>
      <c r="AG471" s="91"/>
      <c r="AH471" s="91"/>
    </row>
    <row r="472" spans="1:34" s="1" customFormat="1" ht="45">
      <c r="A472" s="120">
        <v>471</v>
      </c>
      <c r="B472" s="120" t="b">
        <f t="shared" ca="1" si="7"/>
        <v>0</v>
      </c>
      <c r="C472" s="121">
        <v>45508</v>
      </c>
      <c r="D472" s="137">
        <v>0.82570601851851855</v>
      </c>
      <c r="E472" s="94">
        <v>15576</v>
      </c>
      <c r="F472" s="142">
        <v>1205</v>
      </c>
      <c r="G472" s="94" t="s">
        <v>71</v>
      </c>
      <c r="H472" s="94">
        <v>1034</v>
      </c>
      <c r="I472" s="91"/>
      <c r="J472" s="94" t="s">
        <v>72</v>
      </c>
      <c r="K472" s="91">
        <v>177.85</v>
      </c>
      <c r="L472" s="122" t="str">
        <f>VLOOKUP(K472,Liste!$L$2:$O$34,4,1)</f>
        <v>GSMR_30/31</v>
      </c>
      <c r="M472" s="133" t="s">
        <v>36</v>
      </c>
      <c r="N472" s="180" t="s">
        <v>37</v>
      </c>
      <c r="O472" s="125" t="s">
        <v>1098</v>
      </c>
      <c r="P472" s="126"/>
      <c r="Q472" s="94" t="s">
        <v>54</v>
      </c>
      <c r="R472" s="94" t="s">
        <v>1091</v>
      </c>
      <c r="S472" s="91" t="s">
        <v>1099</v>
      </c>
      <c r="T472" s="94" t="s">
        <v>69</v>
      </c>
      <c r="U472" s="94" t="s">
        <v>166</v>
      </c>
      <c r="V472" s="94" t="s">
        <v>51</v>
      </c>
      <c r="W472" s="94" t="s">
        <v>51</v>
      </c>
      <c r="X472" s="124" t="s">
        <v>52</v>
      </c>
      <c r="Y472" s="124" t="s">
        <v>622</v>
      </c>
      <c r="Z472" s="91"/>
      <c r="AA472" s="91" t="s">
        <v>772</v>
      </c>
      <c r="AB472" s="91"/>
      <c r="AC472" s="91"/>
      <c r="AD472" s="91"/>
      <c r="AE472" s="91"/>
      <c r="AF472" s="91"/>
      <c r="AG472" s="91"/>
      <c r="AH472" s="91"/>
    </row>
    <row r="473" spans="1:34" s="1" customFormat="1" ht="45">
      <c r="A473" s="120">
        <v>472</v>
      </c>
      <c r="B473" s="120" t="b">
        <f t="shared" ca="1" si="7"/>
        <v>0</v>
      </c>
      <c r="C473" s="121">
        <v>45508</v>
      </c>
      <c r="D473" s="137">
        <v>0.84818287037037032</v>
      </c>
      <c r="E473" s="94">
        <v>15576</v>
      </c>
      <c r="F473" s="142">
        <v>1205</v>
      </c>
      <c r="G473" s="94" t="s">
        <v>71</v>
      </c>
      <c r="H473" s="94">
        <v>1035</v>
      </c>
      <c r="I473" s="91"/>
      <c r="J473" s="94" t="s">
        <v>72</v>
      </c>
      <c r="K473" s="91">
        <v>26.739000000000001</v>
      </c>
      <c r="L473" s="122" t="str">
        <f>VLOOKUP(K473,Liste!$L$2:$O$34,4,1)</f>
        <v>GSMR_05/06</v>
      </c>
      <c r="M473" s="133" t="s">
        <v>36</v>
      </c>
      <c r="N473" s="181" t="s">
        <v>58</v>
      </c>
      <c r="O473" s="125" t="s">
        <v>1100</v>
      </c>
      <c r="P473" s="126"/>
      <c r="Q473" s="124" t="s">
        <v>47</v>
      </c>
      <c r="R473" s="94" t="s">
        <v>1101</v>
      </c>
      <c r="S473" s="91" t="s">
        <v>1102</v>
      </c>
      <c r="T473" s="94" t="s">
        <v>56</v>
      </c>
      <c r="U473" s="94" t="s">
        <v>359</v>
      </c>
      <c r="V473" s="94" t="s">
        <v>51</v>
      </c>
      <c r="W473" s="94" t="s">
        <v>51</v>
      </c>
      <c r="X473" s="124" t="s">
        <v>52</v>
      </c>
      <c r="Y473" s="124" t="s">
        <v>622</v>
      </c>
      <c r="Z473" s="91"/>
      <c r="AA473" s="91" t="s">
        <v>772</v>
      </c>
      <c r="AB473" s="91"/>
      <c r="AC473" s="91"/>
      <c r="AD473" s="91"/>
      <c r="AE473" s="91"/>
      <c r="AF473" s="91"/>
      <c r="AG473" s="91"/>
      <c r="AH473" s="91"/>
    </row>
    <row r="474" spans="1:34" s="1" customFormat="1" ht="45">
      <c r="A474" s="120">
        <v>473</v>
      </c>
      <c r="B474" s="120" t="b">
        <f t="shared" ca="1" si="7"/>
        <v>0</v>
      </c>
      <c r="C474" s="121">
        <v>45508</v>
      </c>
      <c r="D474" s="137">
        <v>0.85533564814814811</v>
      </c>
      <c r="E474" s="94">
        <v>1053</v>
      </c>
      <c r="F474" s="142">
        <v>1203</v>
      </c>
      <c r="G474" s="94" t="s">
        <v>71</v>
      </c>
      <c r="H474" s="94">
        <v>1027</v>
      </c>
      <c r="I474" s="91"/>
      <c r="J474" s="94" t="s">
        <v>72</v>
      </c>
      <c r="K474" s="91">
        <v>176.61199999999999</v>
      </c>
      <c r="L474" s="122" t="str">
        <f>VLOOKUP(K474,Liste!$L$2:$O$34,4,1)</f>
        <v>GSMR_30/31</v>
      </c>
      <c r="M474" s="133" t="s">
        <v>36</v>
      </c>
      <c r="N474" s="180" t="s">
        <v>37</v>
      </c>
      <c r="O474" s="125" t="s">
        <v>1103</v>
      </c>
      <c r="P474" s="126"/>
      <c r="Q474" s="94" t="s">
        <v>54</v>
      </c>
      <c r="R474" s="94" t="s">
        <v>1091</v>
      </c>
      <c r="S474" s="91" t="s">
        <v>1104</v>
      </c>
      <c r="T474" s="94" t="s">
        <v>56</v>
      </c>
      <c r="U474" s="94" t="s">
        <v>318</v>
      </c>
      <c r="V474" s="94" t="s">
        <v>43</v>
      </c>
      <c r="W474" s="94" t="s">
        <v>51</v>
      </c>
      <c r="X474" s="124" t="s">
        <v>52</v>
      </c>
      <c r="Y474" s="124" t="s">
        <v>622</v>
      </c>
      <c r="Z474" s="91"/>
      <c r="AA474" s="91" t="s">
        <v>778</v>
      </c>
      <c r="AB474" s="91"/>
      <c r="AC474" s="91"/>
      <c r="AD474" s="91"/>
      <c r="AE474" s="91"/>
      <c r="AF474" s="91"/>
      <c r="AG474" s="91"/>
      <c r="AH474" s="91"/>
    </row>
    <row r="475" spans="1:34" s="1" customFormat="1" ht="75">
      <c r="A475" s="120">
        <v>474</v>
      </c>
      <c r="B475" s="120" t="b">
        <f t="shared" ca="1" si="7"/>
        <v>0</v>
      </c>
      <c r="C475" s="121">
        <v>45508</v>
      </c>
      <c r="D475" s="137">
        <v>0.85855324074074069</v>
      </c>
      <c r="E475" s="94">
        <v>15576</v>
      </c>
      <c r="F475" s="142">
        <v>1205</v>
      </c>
      <c r="G475" s="94" t="s">
        <v>71</v>
      </c>
      <c r="H475" s="94">
        <v>1035</v>
      </c>
      <c r="I475" s="91"/>
      <c r="J475" s="94" t="s">
        <v>72</v>
      </c>
      <c r="K475" s="91">
        <v>12.496</v>
      </c>
      <c r="L475" s="122" t="str">
        <f>VLOOKUP(K475,Liste!$L$2:$O$34,4,1)</f>
        <v>GSMR_03/04</v>
      </c>
      <c r="M475" s="133" t="s">
        <v>36</v>
      </c>
      <c r="N475" s="180" t="s">
        <v>37</v>
      </c>
      <c r="O475" s="125" t="s">
        <v>1105</v>
      </c>
      <c r="P475" s="126"/>
      <c r="Q475" s="124" t="s">
        <v>47</v>
      </c>
      <c r="R475" s="94" t="s">
        <v>1106</v>
      </c>
      <c r="S475" s="91" t="s">
        <v>1107</v>
      </c>
      <c r="T475" s="94" t="s">
        <v>101</v>
      </c>
      <c r="U475" s="94" t="s">
        <v>914</v>
      </c>
      <c r="V475" s="94" t="s">
        <v>51</v>
      </c>
      <c r="W475" s="94" t="s">
        <v>51</v>
      </c>
      <c r="X475" s="124" t="s">
        <v>52</v>
      </c>
      <c r="Y475" s="124" t="s">
        <v>622</v>
      </c>
      <c r="Z475" s="91"/>
      <c r="AA475" s="91" t="s">
        <v>778</v>
      </c>
      <c r="AB475" s="91"/>
      <c r="AC475" s="91"/>
      <c r="AD475" s="91"/>
      <c r="AE475" s="91"/>
      <c r="AF475" s="91"/>
      <c r="AG475" s="91"/>
      <c r="AH475" s="91"/>
    </row>
    <row r="476" spans="1:34" s="1" customFormat="1" ht="45">
      <c r="A476" s="120">
        <v>475</v>
      </c>
      <c r="B476" s="120" t="b">
        <f t="shared" ca="1" si="7"/>
        <v>0</v>
      </c>
      <c r="C476" s="121">
        <v>45509</v>
      </c>
      <c r="D476" s="137">
        <v>0.26961805555555557</v>
      </c>
      <c r="E476" s="94">
        <v>2001</v>
      </c>
      <c r="F476" s="142">
        <v>1201</v>
      </c>
      <c r="G476" s="94" t="s">
        <v>34</v>
      </c>
      <c r="H476" s="94">
        <v>7206</v>
      </c>
      <c r="I476" s="91"/>
      <c r="J476" s="94" t="s">
        <v>35</v>
      </c>
      <c r="K476" s="91">
        <v>110.843</v>
      </c>
      <c r="L476" s="122" t="str">
        <f>VLOOKUP(K476,Liste!$L$2:$O$34,4,1)</f>
        <v>GSMR_19/20</v>
      </c>
      <c r="M476" s="133" t="s">
        <v>36</v>
      </c>
      <c r="N476" s="180" t="s">
        <v>37</v>
      </c>
      <c r="O476" s="125" t="s">
        <v>1108</v>
      </c>
      <c r="P476" s="126"/>
      <c r="Q476" s="124" t="s">
        <v>47</v>
      </c>
      <c r="R476" s="94" t="s">
        <v>1109</v>
      </c>
      <c r="S476" s="91" t="s">
        <v>1110</v>
      </c>
      <c r="T476" s="94" t="s">
        <v>69</v>
      </c>
      <c r="U476" s="94" t="s">
        <v>120</v>
      </c>
      <c r="V476" s="94" t="s">
        <v>51</v>
      </c>
      <c r="W476" s="94" t="s">
        <v>51</v>
      </c>
      <c r="X476" s="124" t="s">
        <v>52</v>
      </c>
      <c r="Y476" s="124" t="s">
        <v>622</v>
      </c>
      <c r="Z476" s="91"/>
      <c r="AA476" s="91" t="s">
        <v>778</v>
      </c>
      <c r="AB476" s="91"/>
      <c r="AC476" s="91"/>
      <c r="AD476" s="91"/>
      <c r="AE476" s="91"/>
      <c r="AF476" s="91"/>
      <c r="AG476" s="91"/>
      <c r="AH476" s="91"/>
    </row>
    <row r="477" spans="1:34" s="1" customFormat="1" ht="45">
      <c r="A477" s="120">
        <v>476</v>
      </c>
      <c r="B477" s="120" t="b">
        <f t="shared" ca="1" si="7"/>
        <v>0</v>
      </c>
      <c r="C477" s="121">
        <v>45509</v>
      </c>
      <c r="D477" s="137">
        <v>0.29541666666666666</v>
      </c>
      <c r="E477" s="94">
        <v>2005</v>
      </c>
      <c r="F477" s="142">
        <v>1208</v>
      </c>
      <c r="G477" s="94" t="s">
        <v>34</v>
      </c>
      <c r="H477" s="94">
        <v>1037</v>
      </c>
      <c r="I477" s="91"/>
      <c r="J477" s="94" t="s">
        <v>35</v>
      </c>
      <c r="K477" s="152">
        <v>6.13</v>
      </c>
      <c r="L477" s="122" t="str">
        <f>VLOOKUP(K477,Liste!$L$2:$O$34,4,1)</f>
        <v>GSMR_02/03</v>
      </c>
      <c r="M477" s="133" t="s">
        <v>36</v>
      </c>
      <c r="N477" s="181" t="s">
        <v>58</v>
      </c>
      <c r="O477" s="125" t="s">
        <v>1111</v>
      </c>
      <c r="P477" s="127"/>
      <c r="Q477" s="91" t="s">
        <v>531</v>
      </c>
      <c r="R477" s="94" t="s">
        <v>1032</v>
      </c>
      <c r="S477" s="91" t="s">
        <v>1112</v>
      </c>
      <c r="T477" s="94" t="s">
        <v>69</v>
      </c>
      <c r="U477" s="94" t="s">
        <v>140</v>
      </c>
      <c r="V477" s="94" t="s">
        <v>51</v>
      </c>
      <c r="W477" s="94" t="s">
        <v>51</v>
      </c>
      <c r="X477" s="124" t="s">
        <v>52</v>
      </c>
      <c r="Y477" s="124" t="s">
        <v>622</v>
      </c>
      <c r="Z477" s="91"/>
      <c r="AA477" s="91" t="s">
        <v>754</v>
      </c>
      <c r="AB477" s="91"/>
      <c r="AC477" s="91"/>
      <c r="AD477" s="91"/>
      <c r="AE477" s="91"/>
      <c r="AF477" s="91"/>
      <c r="AG477" s="91"/>
      <c r="AH477" s="91"/>
    </row>
    <row r="478" spans="1:34" s="1" customFormat="1" ht="45">
      <c r="A478" s="120">
        <v>477</v>
      </c>
      <c r="B478" s="120" t="b">
        <f t="shared" ca="1" si="7"/>
        <v>0</v>
      </c>
      <c r="C478" s="121">
        <v>45509</v>
      </c>
      <c r="D478" s="137">
        <v>0.73864583333333333</v>
      </c>
      <c r="E478" s="94">
        <v>1041</v>
      </c>
      <c r="F478" s="142">
        <v>1210</v>
      </c>
      <c r="G478" s="94" t="s">
        <v>71</v>
      </c>
      <c r="H478" s="94">
        <v>1072</v>
      </c>
      <c r="I478" s="91"/>
      <c r="J478" s="94" t="s">
        <v>72</v>
      </c>
      <c r="K478" s="91">
        <v>104.253</v>
      </c>
      <c r="L478" s="122" t="str">
        <f>VLOOKUP(K478,Liste!$L$2:$O$34,4,1)</f>
        <v>GSMR_18/19</v>
      </c>
      <c r="M478" s="133" t="s">
        <v>36</v>
      </c>
      <c r="N478" s="180" t="s">
        <v>37</v>
      </c>
      <c r="O478" s="125" t="s">
        <v>1113</v>
      </c>
      <c r="P478" s="126"/>
      <c r="Q478" s="94" t="s">
        <v>54</v>
      </c>
      <c r="R478" s="94" t="s">
        <v>1114</v>
      </c>
      <c r="S478" s="91" t="s">
        <v>1115</v>
      </c>
      <c r="T478" s="94" t="s">
        <v>78</v>
      </c>
      <c r="U478" s="94" t="s">
        <v>250</v>
      </c>
      <c r="V478" s="94" t="s">
        <v>51</v>
      </c>
      <c r="W478" s="94" t="s">
        <v>51</v>
      </c>
      <c r="X478" s="124" t="s">
        <v>52</v>
      </c>
      <c r="Y478" s="124" t="s">
        <v>622</v>
      </c>
      <c r="Z478" s="91"/>
      <c r="AA478" s="91" t="s">
        <v>959</v>
      </c>
      <c r="AB478" s="91"/>
      <c r="AC478" s="91"/>
      <c r="AD478" s="91"/>
      <c r="AE478" s="91"/>
      <c r="AF478" s="91"/>
      <c r="AG478" s="91"/>
      <c r="AH478" s="91"/>
    </row>
    <row r="479" spans="1:34" s="1" customFormat="1" ht="45">
      <c r="A479" s="120">
        <v>478</v>
      </c>
      <c r="B479" s="120" t="b">
        <f t="shared" ca="1" si="7"/>
        <v>0</v>
      </c>
      <c r="C479" s="121">
        <v>45510</v>
      </c>
      <c r="D479" s="137">
        <v>0.37043981481481481</v>
      </c>
      <c r="E479" s="94">
        <v>1005</v>
      </c>
      <c r="F479" s="142">
        <v>1211</v>
      </c>
      <c r="G479" s="94" t="s">
        <v>71</v>
      </c>
      <c r="H479" s="94">
        <v>3063</v>
      </c>
      <c r="I479" s="91"/>
      <c r="J479" s="94" t="s">
        <v>72</v>
      </c>
      <c r="K479" s="91">
        <v>59.758000000000003</v>
      </c>
      <c r="L479" s="122" t="str">
        <f>VLOOKUP(K479,Liste!$L$2:$O$34,4,1)</f>
        <v>GSMR_10/11</v>
      </c>
      <c r="M479" s="133" t="s">
        <v>36</v>
      </c>
      <c r="N479" s="180" t="s">
        <v>37</v>
      </c>
      <c r="O479" s="125" t="s">
        <v>1116</v>
      </c>
      <c r="P479" s="126"/>
      <c r="Q479" s="94" t="s">
        <v>54</v>
      </c>
      <c r="R479" s="94" t="s">
        <v>1091</v>
      </c>
      <c r="S479" s="91" t="s">
        <v>1117</v>
      </c>
      <c r="T479" s="94" t="s">
        <v>69</v>
      </c>
      <c r="U479" s="94" t="s">
        <v>57</v>
      </c>
      <c r="V479" s="94" t="s">
        <v>51</v>
      </c>
      <c r="W479" s="94" t="s">
        <v>51</v>
      </c>
      <c r="X479" s="124" t="s">
        <v>52</v>
      </c>
      <c r="Y479" s="124" t="s">
        <v>622</v>
      </c>
      <c r="Z479" s="91"/>
      <c r="AA479" s="91" t="s">
        <v>1118</v>
      </c>
      <c r="AB479" s="91"/>
      <c r="AC479" s="91"/>
      <c r="AD479" s="91"/>
      <c r="AE479" s="91"/>
      <c r="AF479" s="91"/>
      <c r="AG479" s="91"/>
      <c r="AH479" s="91"/>
    </row>
    <row r="480" spans="1:34" s="1" customFormat="1" ht="45">
      <c r="A480" s="120">
        <v>479</v>
      </c>
      <c r="B480" s="120" t="b">
        <f t="shared" ca="1" si="7"/>
        <v>0</v>
      </c>
      <c r="C480" s="121">
        <v>45510</v>
      </c>
      <c r="D480" s="137">
        <v>0.62853009259259263</v>
      </c>
      <c r="E480" s="94">
        <v>2037</v>
      </c>
      <c r="F480" s="142">
        <v>1210</v>
      </c>
      <c r="G480" s="94" t="s">
        <v>34</v>
      </c>
      <c r="H480" s="94">
        <v>1048</v>
      </c>
      <c r="I480" s="91"/>
      <c r="J480" s="94" t="s">
        <v>35</v>
      </c>
      <c r="K480" s="152">
        <v>6.13</v>
      </c>
      <c r="L480" s="122" t="str">
        <f>VLOOKUP(K480,Liste!$L$2:$O$34,4,1)</f>
        <v>GSMR_02/03</v>
      </c>
      <c r="M480" s="133" t="s">
        <v>36</v>
      </c>
      <c r="N480" s="181" t="s">
        <v>58</v>
      </c>
      <c r="O480" s="125" t="s">
        <v>1119</v>
      </c>
      <c r="P480" s="127"/>
      <c r="Q480" s="91" t="s">
        <v>531</v>
      </c>
      <c r="R480" s="94" t="s">
        <v>1032</v>
      </c>
      <c r="S480" s="91" t="s">
        <v>1120</v>
      </c>
      <c r="T480" s="94" t="s">
        <v>116</v>
      </c>
      <c r="U480" s="94" t="s">
        <v>183</v>
      </c>
      <c r="V480" s="94" t="s">
        <v>51</v>
      </c>
      <c r="W480" s="94" t="s">
        <v>51</v>
      </c>
      <c r="X480" s="124" t="s">
        <v>52</v>
      </c>
      <c r="Y480" s="124" t="s">
        <v>1045</v>
      </c>
      <c r="Z480" s="91"/>
      <c r="AA480" s="91" t="s">
        <v>959</v>
      </c>
      <c r="AB480" s="91"/>
      <c r="AC480" s="91"/>
      <c r="AD480" s="91"/>
      <c r="AE480" s="91"/>
      <c r="AF480" s="91"/>
      <c r="AG480" s="91"/>
      <c r="AH480" s="91"/>
    </row>
    <row r="481" spans="1:34" s="1" customFormat="1" ht="45">
      <c r="A481" s="120">
        <v>480</v>
      </c>
      <c r="B481" s="120" t="b">
        <f t="shared" ca="1" si="7"/>
        <v>0</v>
      </c>
      <c r="C481" s="121">
        <v>45510</v>
      </c>
      <c r="D481" s="137">
        <v>0.7119212962962963</v>
      </c>
      <c r="E481" s="94">
        <v>2045</v>
      </c>
      <c r="F481" s="142">
        <v>1201</v>
      </c>
      <c r="G481" s="94" t="s">
        <v>34</v>
      </c>
      <c r="H481" s="94">
        <v>7206</v>
      </c>
      <c r="I481" s="91"/>
      <c r="J481" s="94" t="s">
        <v>35</v>
      </c>
      <c r="K481" s="152">
        <v>6.13</v>
      </c>
      <c r="L481" s="122" t="str">
        <f>VLOOKUP(K481,Liste!$L$2:$O$34,4,1)</f>
        <v>GSMR_02/03</v>
      </c>
      <c r="M481" s="133" t="s">
        <v>36</v>
      </c>
      <c r="N481" s="180" t="s">
        <v>37</v>
      </c>
      <c r="O481" s="125" t="s">
        <v>1121</v>
      </c>
      <c r="P481" s="127"/>
      <c r="Q481" s="91" t="s">
        <v>531</v>
      </c>
      <c r="R481" s="94" t="s">
        <v>1032</v>
      </c>
      <c r="S481" s="91" t="s">
        <v>1122</v>
      </c>
      <c r="T481" s="94" t="s">
        <v>116</v>
      </c>
      <c r="U481" s="94" t="s">
        <v>108</v>
      </c>
      <c r="V481" s="94" t="s">
        <v>51</v>
      </c>
      <c r="W481" s="94" t="s">
        <v>51</v>
      </c>
      <c r="X481" s="124" t="s">
        <v>52</v>
      </c>
      <c r="Y481" s="124" t="s">
        <v>622</v>
      </c>
      <c r="Z481" s="91"/>
      <c r="AA481" s="91" t="s">
        <v>959</v>
      </c>
      <c r="AB481" s="91"/>
      <c r="AC481" s="91"/>
      <c r="AD481" s="91"/>
      <c r="AE481" s="91"/>
      <c r="AF481" s="91"/>
      <c r="AG481" s="91"/>
      <c r="AH481" s="91"/>
    </row>
    <row r="482" spans="1:34" s="1" customFormat="1" ht="45">
      <c r="A482" s="120">
        <v>481</v>
      </c>
      <c r="B482" s="120" t="b">
        <f t="shared" ca="1" si="7"/>
        <v>0</v>
      </c>
      <c r="C482" s="121">
        <v>45511</v>
      </c>
      <c r="D482" s="137">
        <v>0.68600694444444443</v>
      </c>
      <c r="E482" s="94">
        <v>2041</v>
      </c>
      <c r="F482" s="142">
        <v>1203</v>
      </c>
      <c r="G482" s="94" t="s">
        <v>34</v>
      </c>
      <c r="H482" s="94">
        <v>1025</v>
      </c>
      <c r="I482" s="91"/>
      <c r="J482" s="94" t="s">
        <v>35</v>
      </c>
      <c r="K482" s="91">
        <v>108.206</v>
      </c>
      <c r="L482" s="122" t="str">
        <f>VLOOKUP(K482,Liste!$L$2:$O$34,4,1)</f>
        <v>GSMR_19/20</v>
      </c>
      <c r="M482" s="133" t="s">
        <v>36</v>
      </c>
      <c r="N482" s="180" t="s">
        <v>37</v>
      </c>
      <c r="O482" s="125" t="s">
        <v>1123</v>
      </c>
      <c r="P482" s="126"/>
      <c r="Q482" s="94" t="s">
        <v>54</v>
      </c>
      <c r="R482" s="94" t="s">
        <v>1114</v>
      </c>
      <c r="S482" s="91" t="s">
        <v>1124</v>
      </c>
      <c r="T482" s="94" t="s">
        <v>93</v>
      </c>
      <c r="U482" s="94" t="s">
        <v>112</v>
      </c>
      <c r="V482" s="94" t="s">
        <v>51</v>
      </c>
      <c r="W482" s="94" t="s">
        <v>51</v>
      </c>
      <c r="X482" s="124" t="s">
        <v>52</v>
      </c>
      <c r="Y482" s="124" t="s">
        <v>1045</v>
      </c>
      <c r="Z482" s="91"/>
      <c r="AA482" s="91" t="s">
        <v>959</v>
      </c>
      <c r="AB482" s="91"/>
      <c r="AC482" s="91"/>
      <c r="AD482" s="91"/>
      <c r="AE482" s="91"/>
      <c r="AF482" s="91"/>
      <c r="AG482" s="91"/>
      <c r="AH482" s="91"/>
    </row>
    <row r="483" spans="1:34" s="1" customFormat="1" ht="45">
      <c r="A483" s="120">
        <v>482</v>
      </c>
      <c r="B483" s="120" t="b">
        <f t="shared" ca="1" si="7"/>
        <v>0</v>
      </c>
      <c r="C483" s="121">
        <v>45511</v>
      </c>
      <c r="D483" s="137">
        <v>0.69440972222222219</v>
      </c>
      <c r="E483" s="94">
        <v>2041</v>
      </c>
      <c r="F483" s="142">
        <v>1203</v>
      </c>
      <c r="G483" s="94" t="s">
        <v>34</v>
      </c>
      <c r="H483" s="94">
        <v>1024</v>
      </c>
      <c r="I483" s="91"/>
      <c r="J483" s="94" t="s">
        <v>35</v>
      </c>
      <c r="K483" s="91">
        <v>164.066</v>
      </c>
      <c r="L483" s="122" t="str">
        <f>VLOOKUP(K483,Liste!$L$2:$O$34,4,1)</f>
        <v>GSMR_28/29</v>
      </c>
      <c r="M483" s="133" t="s">
        <v>36</v>
      </c>
      <c r="N483" s="180" t="s">
        <v>37</v>
      </c>
      <c r="O483" s="125" t="s">
        <v>1125</v>
      </c>
      <c r="P483" s="126"/>
      <c r="Q483" s="94" t="s">
        <v>54</v>
      </c>
      <c r="R483" s="94" t="s">
        <v>848</v>
      </c>
      <c r="S483" s="91" t="s">
        <v>1126</v>
      </c>
      <c r="T483" s="94" t="s">
        <v>69</v>
      </c>
      <c r="U483" s="94" t="s">
        <v>120</v>
      </c>
      <c r="V483" s="94" t="s">
        <v>51</v>
      </c>
      <c r="W483" s="94" t="s">
        <v>43</v>
      </c>
      <c r="X483" s="124" t="s">
        <v>52</v>
      </c>
      <c r="Y483" s="124" t="s">
        <v>622</v>
      </c>
      <c r="Z483" s="91"/>
      <c r="AA483" s="91" t="s">
        <v>959</v>
      </c>
      <c r="AB483" s="91"/>
      <c r="AC483" s="91"/>
      <c r="AD483" s="91"/>
      <c r="AE483" s="91"/>
      <c r="AF483" s="91"/>
      <c r="AG483" s="91"/>
      <c r="AH483" s="91"/>
    </row>
    <row r="484" spans="1:34" s="1" customFormat="1" ht="45">
      <c r="A484" s="120">
        <v>483</v>
      </c>
      <c r="B484" s="120" t="b">
        <f t="shared" ca="1" si="7"/>
        <v>0</v>
      </c>
      <c r="C484" s="121">
        <v>45511</v>
      </c>
      <c r="D484" s="137">
        <v>0.8482291666666667</v>
      </c>
      <c r="E484" s="94">
        <v>2057</v>
      </c>
      <c r="F484" s="142">
        <v>1207</v>
      </c>
      <c r="G484" s="94" t="s">
        <v>34</v>
      </c>
      <c r="H484" s="94">
        <v>1047</v>
      </c>
      <c r="I484" s="91"/>
      <c r="J484" s="94" t="s">
        <v>35</v>
      </c>
      <c r="K484" s="91">
        <v>73.585999999999999</v>
      </c>
      <c r="L484" s="122" t="str">
        <f>VLOOKUP(K484,Liste!$L$2:$O$34,4,1)</f>
        <v>GSMR_13/14</v>
      </c>
      <c r="M484" s="133" t="s">
        <v>36</v>
      </c>
      <c r="N484" s="180" t="s">
        <v>37</v>
      </c>
      <c r="O484" s="125" t="s">
        <v>1127</v>
      </c>
      <c r="P484" s="127"/>
      <c r="Q484" s="91" t="s">
        <v>531</v>
      </c>
      <c r="R484" s="94" t="s">
        <v>848</v>
      </c>
      <c r="S484" s="91" t="s">
        <v>1128</v>
      </c>
      <c r="T484" s="94" t="s">
        <v>101</v>
      </c>
      <c r="U484" s="94" t="s">
        <v>425</v>
      </c>
      <c r="V484" s="94" t="s">
        <v>51</v>
      </c>
      <c r="W484" s="94" t="s">
        <v>51</v>
      </c>
      <c r="X484" s="124" t="s">
        <v>52</v>
      </c>
      <c r="Y484" s="124" t="s">
        <v>622</v>
      </c>
      <c r="Z484" s="91"/>
      <c r="AA484" s="91" t="s">
        <v>754</v>
      </c>
      <c r="AB484" s="91"/>
      <c r="AC484" s="91"/>
      <c r="AD484" s="91"/>
      <c r="AE484" s="91"/>
      <c r="AF484" s="91"/>
      <c r="AG484" s="91"/>
      <c r="AH484" s="91"/>
    </row>
    <row r="485" spans="1:34" s="1" customFormat="1" ht="45">
      <c r="A485" s="120">
        <v>484</v>
      </c>
      <c r="B485" s="120" t="b">
        <f t="shared" ca="1" si="7"/>
        <v>0</v>
      </c>
      <c r="C485" s="121">
        <v>45512</v>
      </c>
      <c r="D485" s="137">
        <v>0.33657407407407408</v>
      </c>
      <c r="E485" s="94">
        <v>1001</v>
      </c>
      <c r="F485" s="142">
        <v>1202</v>
      </c>
      <c r="G485" s="94" t="s">
        <v>71</v>
      </c>
      <c r="H485" s="94">
        <v>1048</v>
      </c>
      <c r="I485" s="91"/>
      <c r="J485" s="94" t="s">
        <v>72</v>
      </c>
      <c r="K485" s="152">
        <v>8.9700000000000006</v>
      </c>
      <c r="L485" s="122" t="str">
        <f>VLOOKUP(K485,Liste!$L$2:$O$34,4,1)</f>
        <v>GSMR_02/03</v>
      </c>
      <c r="M485" s="133" t="s">
        <v>36</v>
      </c>
      <c r="N485" s="181" t="s">
        <v>58</v>
      </c>
      <c r="O485" s="125" t="s">
        <v>1129</v>
      </c>
      <c r="P485" s="126"/>
      <c r="Q485" s="124" t="s">
        <v>150</v>
      </c>
      <c r="R485" s="94" t="s">
        <v>1130</v>
      </c>
      <c r="S485" s="91" t="s">
        <v>1131</v>
      </c>
      <c r="T485" s="94" t="s">
        <v>41</v>
      </c>
      <c r="U485" s="94" t="s">
        <v>79</v>
      </c>
      <c r="V485" s="94" t="s">
        <v>51</v>
      </c>
      <c r="W485" s="94" t="s">
        <v>51</v>
      </c>
      <c r="X485" s="124" t="s">
        <v>52</v>
      </c>
      <c r="Y485" s="124" t="s">
        <v>1045</v>
      </c>
      <c r="Z485" s="91"/>
      <c r="AA485" s="91" t="s">
        <v>802</v>
      </c>
      <c r="AB485" s="91"/>
      <c r="AC485" s="91"/>
      <c r="AD485" s="91"/>
      <c r="AE485" s="91"/>
      <c r="AF485" s="91"/>
      <c r="AG485" s="91"/>
      <c r="AH485" s="91"/>
    </row>
    <row r="486" spans="1:34" s="1" customFormat="1" ht="45">
      <c r="A486" s="120">
        <v>485</v>
      </c>
      <c r="B486" s="120" t="b">
        <f t="shared" ca="1" si="7"/>
        <v>0</v>
      </c>
      <c r="C486" s="121">
        <v>45512</v>
      </c>
      <c r="D486" s="137">
        <v>0.77495370370370376</v>
      </c>
      <c r="E486" s="94">
        <v>2049</v>
      </c>
      <c r="F486" s="142">
        <v>1204</v>
      </c>
      <c r="G486" s="94" t="s">
        <v>34</v>
      </c>
      <c r="H486" s="94">
        <v>1049</v>
      </c>
      <c r="I486" s="91"/>
      <c r="J486" s="94" t="s">
        <v>35</v>
      </c>
      <c r="K486" s="91">
        <v>144.32599999999999</v>
      </c>
      <c r="L486" s="122" t="str">
        <f>VLOOKUP(K486,Liste!$L$2:$O$34,4,1)</f>
        <v>GSMR_25/26</v>
      </c>
      <c r="M486" s="133" t="s">
        <v>36</v>
      </c>
      <c r="N486" s="181" t="s">
        <v>58</v>
      </c>
      <c r="O486" s="125" t="s">
        <v>1132</v>
      </c>
      <c r="P486" s="126"/>
      <c r="Q486" s="94" t="s">
        <v>54</v>
      </c>
      <c r="R486" s="94" t="s">
        <v>848</v>
      </c>
      <c r="S486" s="91" t="s">
        <v>1133</v>
      </c>
      <c r="T486" s="94" t="s">
        <v>78</v>
      </c>
      <c r="U486" s="94" t="s">
        <v>79</v>
      </c>
      <c r="V486" s="94" t="s">
        <v>51</v>
      </c>
      <c r="W486" s="94" t="s">
        <v>51</v>
      </c>
      <c r="X486" s="124" t="s">
        <v>52</v>
      </c>
      <c r="Y486" s="124" t="s">
        <v>622</v>
      </c>
      <c r="Z486" s="91"/>
      <c r="AA486" s="91" t="s">
        <v>959</v>
      </c>
      <c r="AB486" s="91"/>
      <c r="AC486" s="91"/>
      <c r="AD486" s="91"/>
      <c r="AE486" s="91"/>
      <c r="AF486" s="91"/>
      <c r="AG486" s="91"/>
      <c r="AH486" s="91"/>
    </row>
    <row r="487" spans="1:34" s="1" customFormat="1" ht="45">
      <c r="A487" s="120">
        <v>486</v>
      </c>
      <c r="B487" s="120" t="b">
        <f t="shared" ca="1" si="7"/>
        <v>0</v>
      </c>
      <c r="C487" s="121">
        <v>45512</v>
      </c>
      <c r="D487" s="137">
        <v>0.34475694444444444</v>
      </c>
      <c r="E487" s="94">
        <v>2009</v>
      </c>
      <c r="F487" s="142">
        <v>1211</v>
      </c>
      <c r="G487" s="94" t="s">
        <v>34</v>
      </c>
      <c r="H487" s="94">
        <v>1028</v>
      </c>
      <c r="I487" s="91"/>
      <c r="J487" s="94" t="s">
        <v>35</v>
      </c>
      <c r="K487" s="91">
        <v>49.784999999999997</v>
      </c>
      <c r="L487" s="122" t="str">
        <f>VLOOKUP(K487,Liste!$L$2:$O$34,4,1)</f>
        <v>GSMR_09/10</v>
      </c>
      <c r="M487" s="133" t="s">
        <v>36</v>
      </c>
      <c r="N487" s="180" t="s">
        <v>37</v>
      </c>
      <c r="O487" s="125" t="s">
        <v>1134</v>
      </c>
      <c r="P487" s="127"/>
      <c r="Q487" s="91" t="s">
        <v>39</v>
      </c>
      <c r="R487" s="94" t="s">
        <v>833</v>
      </c>
      <c r="S487" s="91" t="s">
        <v>1135</v>
      </c>
      <c r="T487" s="94" t="s">
        <v>69</v>
      </c>
      <c r="U487" s="94" t="s">
        <v>120</v>
      </c>
      <c r="V487" s="94" t="s">
        <v>51</v>
      </c>
      <c r="W487" s="94" t="s">
        <v>51</v>
      </c>
      <c r="X487" s="124" t="s">
        <v>52</v>
      </c>
      <c r="Y487" s="124" t="s">
        <v>622</v>
      </c>
      <c r="Z487" s="91"/>
      <c r="AA487" s="91" t="s">
        <v>754</v>
      </c>
      <c r="AB487" s="91"/>
      <c r="AC487" s="91"/>
      <c r="AD487" s="91"/>
      <c r="AE487" s="91"/>
      <c r="AF487" s="91"/>
      <c r="AG487" s="91"/>
      <c r="AH487" s="91"/>
    </row>
    <row r="488" spans="1:34" s="1" customFormat="1" ht="45">
      <c r="A488" s="120">
        <v>487</v>
      </c>
      <c r="B488" s="120" t="b">
        <f t="shared" ca="1" si="7"/>
        <v>0</v>
      </c>
      <c r="C488" s="121">
        <v>45513</v>
      </c>
      <c r="D488" s="137">
        <v>0.62857638888888889</v>
      </c>
      <c r="E488" s="94">
        <v>2037</v>
      </c>
      <c r="F488" s="142">
        <v>1207</v>
      </c>
      <c r="G488" s="94" t="s">
        <v>34</v>
      </c>
      <c r="H488" s="94">
        <v>1046</v>
      </c>
      <c r="I488" s="91"/>
      <c r="J488" s="94" t="s">
        <v>35</v>
      </c>
      <c r="K488" s="152">
        <v>6.13</v>
      </c>
      <c r="L488" s="122" t="str">
        <f>VLOOKUP(K488,Liste!$L$2:$O$34,4,1)</f>
        <v>GSMR_02/03</v>
      </c>
      <c r="M488" s="133" t="s">
        <v>36</v>
      </c>
      <c r="N488" s="180" t="s">
        <v>37</v>
      </c>
      <c r="O488" s="125" t="s">
        <v>1136</v>
      </c>
      <c r="P488" s="127"/>
      <c r="Q488" s="91" t="s">
        <v>39</v>
      </c>
      <c r="R488" s="94" t="s">
        <v>1032</v>
      </c>
      <c r="S488" s="91" t="s">
        <v>1120</v>
      </c>
      <c r="T488" s="94" t="s">
        <v>56</v>
      </c>
      <c r="U488" s="94" t="s">
        <v>57</v>
      </c>
      <c r="V488" s="94" t="s">
        <v>51</v>
      </c>
      <c r="W488" s="94" t="s">
        <v>51</v>
      </c>
      <c r="X488" s="124" t="s">
        <v>52</v>
      </c>
      <c r="Y488" s="124" t="s">
        <v>622</v>
      </c>
      <c r="Z488" s="91"/>
      <c r="AA488" s="91" t="s">
        <v>959</v>
      </c>
      <c r="AB488" s="91"/>
      <c r="AC488" s="91"/>
      <c r="AD488" s="91"/>
      <c r="AE488" s="91"/>
      <c r="AF488" s="91"/>
      <c r="AG488" s="91"/>
      <c r="AH488" s="91"/>
    </row>
    <row r="489" spans="1:34" s="1" customFormat="1" ht="45">
      <c r="A489" s="120">
        <v>488</v>
      </c>
      <c r="B489" s="120" t="b">
        <f t="shared" ca="1" si="7"/>
        <v>0</v>
      </c>
      <c r="C489" s="121">
        <v>45513</v>
      </c>
      <c r="D489" s="137">
        <v>0.63684027777777774</v>
      </c>
      <c r="E489" s="94">
        <v>2037</v>
      </c>
      <c r="F489" s="142">
        <v>1207</v>
      </c>
      <c r="G489" s="94" t="s">
        <v>34</v>
      </c>
      <c r="H489" s="94">
        <v>1047</v>
      </c>
      <c r="I489" s="91"/>
      <c r="J489" s="94" t="s">
        <v>35</v>
      </c>
      <c r="K489" s="91">
        <v>44.47</v>
      </c>
      <c r="L489" s="122" t="str">
        <f>VLOOKUP(K489,Liste!$L$2:$O$34,4,1)</f>
        <v>GSMR_08/09</v>
      </c>
      <c r="M489" s="133" t="s">
        <v>36</v>
      </c>
      <c r="N489" s="181" t="s">
        <v>58</v>
      </c>
      <c r="O489" s="125" t="s">
        <v>1137</v>
      </c>
      <c r="P489" s="126"/>
      <c r="Q489" s="94" t="s">
        <v>54</v>
      </c>
      <c r="R489" s="94" t="s">
        <v>848</v>
      </c>
      <c r="S489" s="91" t="s">
        <v>1138</v>
      </c>
      <c r="T489" s="94" t="s">
        <v>69</v>
      </c>
      <c r="U489" s="94" t="s">
        <v>318</v>
      </c>
      <c r="V489" s="94" t="s">
        <v>43</v>
      </c>
      <c r="W489" s="94" t="s">
        <v>51</v>
      </c>
      <c r="X489" s="124" t="s">
        <v>52</v>
      </c>
      <c r="Y489" s="124" t="s">
        <v>622</v>
      </c>
      <c r="Z489" s="91"/>
      <c r="AA489" s="91" t="s">
        <v>959</v>
      </c>
      <c r="AB489" s="91"/>
      <c r="AC489" s="91"/>
      <c r="AD489" s="91"/>
      <c r="AE489" s="91"/>
      <c r="AF489" s="91"/>
      <c r="AG489" s="91"/>
      <c r="AH489" s="91"/>
    </row>
    <row r="490" spans="1:34" s="1" customFormat="1" ht="45">
      <c r="A490" s="120">
        <v>489</v>
      </c>
      <c r="B490" s="120" t="b">
        <f t="shared" ca="1" si="7"/>
        <v>0</v>
      </c>
      <c r="C490" s="121">
        <v>45513</v>
      </c>
      <c r="D490" s="137">
        <v>0.9310532407407407</v>
      </c>
      <c r="E490" s="94">
        <v>1057</v>
      </c>
      <c r="F490" s="142">
        <v>1206</v>
      </c>
      <c r="G490" s="94" t="s">
        <v>71</v>
      </c>
      <c r="H490" s="94">
        <v>1041</v>
      </c>
      <c r="I490" s="91"/>
      <c r="J490" s="94" t="s">
        <v>72</v>
      </c>
      <c r="K490" s="91">
        <v>35.259</v>
      </c>
      <c r="L490" s="122" t="str">
        <f>VLOOKUP(K490,Liste!$L$2:$O$34,4,1)</f>
        <v>GSMR_06/07</v>
      </c>
      <c r="M490" s="133" t="s">
        <v>36</v>
      </c>
      <c r="N490" s="180" t="s">
        <v>37</v>
      </c>
      <c r="O490" s="125" t="s">
        <v>1139</v>
      </c>
      <c r="P490" s="127"/>
      <c r="Q490" s="91" t="s">
        <v>531</v>
      </c>
      <c r="R490" s="94" t="s">
        <v>848</v>
      </c>
      <c r="S490" s="91" t="s">
        <v>1140</v>
      </c>
      <c r="T490" s="94" t="s">
        <v>69</v>
      </c>
      <c r="U490" s="94" t="s">
        <v>197</v>
      </c>
      <c r="V490" s="94" t="s">
        <v>51</v>
      </c>
      <c r="W490" s="94" t="s">
        <v>51</v>
      </c>
      <c r="X490" s="124" t="s">
        <v>52</v>
      </c>
      <c r="Y490" s="124" t="s">
        <v>622</v>
      </c>
      <c r="Z490" s="91"/>
      <c r="AA490" s="91" t="s">
        <v>754</v>
      </c>
      <c r="AB490" s="91"/>
      <c r="AC490" s="91"/>
      <c r="AD490" s="91"/>
      <c r="AE490" s="91"/>
      <c r="AF490" s="91"/>
      <c r="AG490" s="91"/>
      <c r="AH490" s="91"/>
    </row>
    <row r="491" spans="1:34" s="1" customFormat="1" ht="45">
      <c r="A491" s="120">
        <v>490</v>
      </c>
      <c r="B491" s="120" t="b">
        <f t="shared" ca="1" si="7"/>
        <v>0</v>
      </c>
      <c r="C491" s="121">
        <v>45514</v>
      </c>
      <c r="D491" s="137">
        <v>0.47712962962962963</v>
      </c>
      <c r="E491" s="94">
        <v>2021</v>
      </c>
      <c r="F491" s="142">
        <v>1206</v>
      </c>
      <c r="G491" s="94" t="s">
        <v>34</v>
      </c>
      <c r="H491" s="94">
        <v>1055</v>
      </c>
      <c r="I491" s="91"/>
      <c r="J491" s="94" t="s">
        <v>35</v>
      </c>
      <c r="K491" s="91">
        <v>98.981999999999999</v>
      </c>
      <c r="L491" s="122" t="str">
        <f>VLOOKUP(K491,Liste!$L$2:$O$34,4,1)</f>
        <v>GSMR_17/18</v>
      </c>
      <c r="M491" s="133" t="s">
        <v>36</v>
      </c>
      <c r="N491" s="180" t="s">
        <v>37</v>
      </c>
      <c r="O491" s="125" t="s">
        <v>1141</v>
      </c>
      <c r="P491" s="127"/>
      <c r="Q491" s="91" t="s">
        <v>531</v>
      </c>
      <c r="R491" s="94" t="s">
        <v>848</v>
      </c>
      <c r="S491" s="91" t="s">
        <v>1142</v>
      </c>
      <c r="T491" s="94" t="s">
        <v>101</v>
      </c>
      <c r="U491" s="94" t="s">
        <v>120</v>
      </c>
      <c r="V491" s="94" t="s">
        <v>51</v>
      </c>
      <c r="W491" s="94" t="s">
        <v>51</v>
      </c>
      <c r="X491" s="124" t="s">
        <v>52</v>
      </c>
      <c r="Y491" s="124" t="s">
        <v>622</v>
      </c>
      <c r="Z491" s="91"/>
      <c r="AA491" s="91" t="s">
        <v>959</v>
      </c>
      <c r="AB491" s="91"/>
      <c r="AC491" s="91"/>
      <c r="AD491" s="91"/>
      <c r="AE491" s="91"/>
      <c r="AF491" s="91"/>
      <c r="AG491" s="91"/>
      <c r="AH491" s="91"/>
    </row>
    <row r="492" spans="1:34" s="1" customFormat="1" ht="45">
      <c r="A492" s="120">
        <v>491</v>
      </c>
      <c r="B492" s="120" t="b">
        <f t="shared" ca="1" si="7"/>
        <v>0</v>
      </c>
      <c r="C492" s="121">
        <v>45514</v>
      </c>
      <c r="D492" s="137">
        <v>0.58680555555555558</v>
      </c>
      <c r="E492" s="94">
        <v>2033</v>
      </c>
      <c r="F492" s="142">
        <v>1201</v>
      </c>
      <c r="G492" s="94" t="s">
        <v>34</v>
      </c>
      <c r="H492" s="94">
        <v>7206</v>
      </c>
      <c r="I492" s="91"/>
      <c r="J492" s="94" t="s">
        <v>35</v>
      </c>
      <c r="K492" s="152">
        <v>6.13</v>
      </c>
      <c r="L492" s="122" t="str">
        <f>VLOOKUP(K492,Liste!$L$2:$O$34,4,1)</f>
        <v>GSMR_02/03</v>
      </c>
      <c r="M492" s="133" t="s">
        <v>36</v>
      </c>
      <c r="N492" s="181" t="s">
        <v>58</v>
      </c>
      <c r="O492" s="125" t="s">
        <v>1143</v>
      </c>
      <c r="P492" s="127"/>
      <c r="Q492" s="91" t="s">
        <v>531</v>
      </c>
      <c r="R492" s="94" t="s">
        <v>1032</v>
      </c>
      <c r="S492" s="91" t="s">
        <v>1144</v>
      </c>
      <c r="T492" s="94" t="s">
        <v>56</v>
      </c>
      <c r="U492" s="94" t="s">
        <v>862</v>
      </c>
      <c r="V492" s="94" t="s">
        <v>51</v>
      </c>
      <c r="W492" s="94" t="s">
        <v>51</v>
      </c>
      <c r="X492" s="124" t="s">
        <v>52</v>
      </c>
      <c r="Y492" s="124" t="s">
        <v>622</v>
      </c>
      <c r="Z492" s="91"/>
      <c r="AA492" s="91" t="s">
        <v>778</v>
      </c>
      <c r="AB492" s="91"/>
      <c r="AC492" s="91"/>
      <c r="AD492" s="91"/>
      <c r="AE492" s="91"/>
      <c r="AF492" s="91"/>
      <c r="AG492" s="91"/>
      <c r="AH492" s="91"/>
    </row>
    <row r="493" spans="1:34" s="1" customFormat="1" ht="45">
      <c r="A493" s="120">
        <v>492</v>
      </c>
      <c r="B493" s="120" t="b">
        <f t="shared" ca="1" si="7"/>
        <v>0</v>
      </c>
      <c r="C493" s="121">
        <v>45514</v>
      </c>
      <c r="D493" s="137">
        <v>0.71424768518518522</v>
      </c>
      <c r="E493" s="94">
        <v>2045</v>
      </c>
      <c r="F493" s="142">
        <v>1206</v>
      </c>
      <c r="G493" s="94" t="s">
        <v>34</v>
      </c>
      <c r="H493" s="94" t="s">
        <v>1145</v>
      </c>
      <c r="I493" s="91"/>
      <c r="J493" s="94" t="s">
        <v>35</v>
      </c>
      <c r="K493" s="91">
        <v>11.28</v>
      </c>
      <c r="L493" s="122" t="str">
        <f>VLOOKUP(K493,Liste!$L$2:$O$34,4,1)</f>
        <v>GSMR_03/04</v>
      </c>
      <c r="M493" s="133" t="s">
        <v>36</v>
      </c>
      <c r="N493" s="180" t="s">
        <v>37</v>
      </c>
      <c r="O493" s="125" t="s">
        <v>1146</v>
      </c>
      <c r="P493" s="127"/>
      <c r="Q493" s="91" t="s">
        <v>531</v>
      </c>
      <c r="R493" s="94" t="s">
        <v>848</v>
      </c>
      <c r="S493" s="91" t="s">
        <v>1147</v>
      </c>
      <c r="T493" s="94" t="s">
        <v>69</v>
      </c>
      <c r="U493" s="94" t="s">
        <v>1148</v>
      </c>
      <c r="V493" s="94" t="s">
        <v>51</v>
      </c>
      <c r="W493" s="94" t="s">
        <v>51</v>
      </c>
      <c r="X493" s="124" t="s">
        <v>52</v>
      </c>
      <c r="Y493" s="124" t="s">
        <v>622</v>
      </c>
      <c r="Z493" s="91"/>
      <c r="AA493" s="91" t="s">
        <v>778</v>
      </c>
      <c r="AB493" s="91"/>
      <c r="AC493" s="91"/>
      <c r="AD493" s="91"/>
      <c r="AE493" s="91"/>
      <c r="AF493" s="91"/>
      <c r="AG493" s="91"/>
      <c r="AH493" s="91"/>
    </row>
    <row r="494" spans="1:34" s="1" customFormat="1" ht="45">
      <c r="A494" s="120">
        <v>493</v>
      </c>
      <c r="B494" s="120" t="b">
        <f t="shared" ca="1" si="7"/>
        <v>0</v>
      </c>
      <c r="C494" s="121">
        <v>45514</v>
      </c>
      <c r="D494" s="137">
        <v>0.74515046296296295</v>
      </c>
      <c r="E494" s="94">
        <v>1042</v>
      </c>
      <c r="F494" s="142">
        <v>1211</v>
      </c>
      <c r="G494" s="94" t="s">
        <v>71</v>
      </c>
      <c r="H494" s="94">
        <v>3062</v>
      </c>
      <c r="I494" s="91"/>
      <c r="J494" s="94" t="s">
        <v>72</v>
      </c>
      <c r="K494" s="91">
        <v>64.387</v>
      </c>
      <c r="L494" s="122" t="str">
        <f>VLOOKUP(K494,Liste!$L$2:$O$34,4,1)</f>
        <v>GSMR_11/12</v>
      </c>
      <c r="M494" s="133" t="s">
        <v>36</v>
      </c>
      <c r="N494" s="180" t="s">
        <v>37</v>
      </c>
      <c r="O494" s="125" t="s">
        <v>1149</v>
      </c>
      <c r="P494" s="117"/>
      <c r="Q494" s="118" t="s">
        <v>531</v>
      </c>
      <c r="R494" s="94" t="s">
        <v>1150</v>
      </c>
      <c r="S494" s="91" t="s">
        <v>1151</v>
      </c>
      <c r="T494" s="94" t="s">
        <v>101</v>
      </c>
      <c r="U494" s="94" t="s">
        <v>1152</v>
      </c>
      <c r="V494" s="94" t="s">
        <v>51</v>
      </c>
      <c r="W494" s="94" t="s">
        <v>51</v>
      </c>
      <c r="X494" s="124" t="s">
        <v>52</v>
      </c>
      <c r="Y494" s="124" t="s">
        <v>622</v>
      </c>
      <c r="Z494" s="91"/>
      <c r="AA494" s="91" t="s">
        <v>778</v>
      </c>
      <c r="AB494" s="91"/>
      <c r="AC494" s="91"/>
      <c r="AD494" s="91"/>
      <c r="AE494" s="91"/>
      <c r="AF494" s="91"/>
      <c r="AG494" s="91"/>
      <c r="AH494" s="91"/>
    </row>
    <row r="495" spans="1:34" s="1" customFormat="1" ht="45">
      <c r="A495" s="120">
        <v>494</v>
      </c>
      <c r="B495" s="120" t="b">
        <f t="shared" ca="1" si="7"/>
        <v>0</v>
      </c>
      <c r="C495" s="121">
        <v>45514</v>
      </c>
      <c r="D495" s="137">
        <v>0.7719907407407407</v>
      </c>
      <c r="E495" s="94">
        <v>1045</v>
      </c>
      <c r="F495" s="142">
        <v>1210</v>
      </c>
      <c r="G495" s="94" t="s">
        <v>71</v>
      </c>
      <c r="H495" s="94">
        <v>1020</v>
      </c>
      <c r="I495" s="91"/>
      <c r="J495" s="94" t="s">
        <v>72</v>
      </c>
      <c r="K495" s="91">
        <v>177.85</v>
      </c>
      <c r="L495" s="122" t="str">
        <f>VLOOKUP(K495,Liste!$L$2:$O$34,4,1)</f>
        <v>GSMR_30/31</v>
      </c>
      <c r="M495" s="133" t="s">
        <v>36</v>
      </c>
      <c r="N495" s="180" t="s">
        <v>37</v>
      </c>
      <c r="O495" s="125" t="s">
        <v>1153</v>
      </c>
      <c r="P495" s="126"/>
      <c r="Q495" s="94" t="s">
        <v>54</v>
      </c>
      <c r="R495" s="94" t="s">
        <v>1154</v>
      </c>
      <c r="S495" s="91" t="s">
        <v>1155</v>
      </c>
      <c r="T495" s="94" t="s">
        <v>56</v>
      </c>
      <c r="U495" s="94" t="s">
        <v>668</v>
      </c>
      <c r="V495" s="94" t="s">
        <v>51</v>
      </c>
      <c r="W495" s="94" t="s">
        <v>51</v>
      </c>
      <c r="X495" s="124" t="s">
        <v>52</v>
      </c>
      <c r="Y495" s="124" t="s">
        <v>622</v>
      </c>
      <c r="Z495" s="91"/>
      <c r="AA495" s="91" t="s">
        <v>778</v>
      </c>
      <c r="AB495" s="91"/>
      <c r="AC495" s="91"/>
      <c r="AD495" s="91"/>
      <c r="AE495" s="91"/>
      <c r="AF495" s="91"/>
      <c r="AG495" s="91"/>
      <c r="AH495" s="91"/>
    </row>
    <row r="496" spans="1:34" s="1" customFormat="1" ht="45">
      <c r="A496" s="120">
        <v>495</v>
      </c>
      <c r="B496" s="120" t="b">
        <f t="shared" ca="1" si="7"/>
        <v>0</v>
      </c>
      <c r="C496" s="121">
        <v>45514</v>
      </c>
      <c r="D496" s="137">
        <v>0.68644675925925924</v>
      </c>
      <c r="E496" s="94">
        <v>1037</v>
      </c>
      <c r="F496" s="142">
        <v>1209</v>
      </c>
      <c r="G496" s="94" t="s">
        <v>71</v>
      </c>
      <c r="H496" s="94">
        <v>1033</v>
      </c>
      <c r="I496" s="91"/>
      <c r="J496" s="94" t="s">
        <v>72</v>
      </c>
      <c r="K496" s="91">
        <v>177.85</v>
      </c>
      <c r="L496" s="122" t="str">
        <f>VLOOKUP(K496,Liste!$L$2:$O$34,4,1)</f>
        <v>GSMR_30/31</v>
      </c>
      <c r="M496" s="133" t="s">
        <v>36</v>
      </c>
      <c r="N496" s="180" t="s">
        <v>37</v>
      </c>
      <c r="O496" s="125" t="s">
        <v>1156</v>
      </c>
      <c r="P496" s="126"/>
      <c r="Q496" s="94" t="s">
        <v>54</v>
      </c>
      <c r="R496" s="94" t="s">
        <v>1154</v>
      </c>
      <c r="S496" s="91" t="s">
        <v>1157</v>
      </c>
      <c r="T496" s="94" t="s">
        <v>78</v>
      </c>
      <c r="U496" s="94" t="s">
        <v>646</v>
      </c>
      <c r="V496" s="94" t="s">
        <v>51</v>
      </c>
      <c r="W496" s="94" t="s">
        <v>51</v>
      </c>
      <c r="X496" s="124" t="s">
        <v>52</v>
      </c>
      <c r="Y496" s="124" t="s">
        <v>622</v>
      </c>
      <c r="Z496" s="91"/>
      <c r="AA496" s="91" t="s">
        <v>754</v>
      </c>
      <c r="AB496" s="91"/>
      <c r="AC496" s="91"/>
      <c r="AD496" s="91"/>
      <c r="AE496" s="91"/>
      <c r="AF496" s="91"/>
      <c r="AG496" s="91"/>
      <c r="AH496" s="91"/>
    </row>
    <row r="497" spans="1:34" s="1" customFormat="1" ht="45">
      <c r="A497" s="120">
        <v>496</v>
      </c>
      <c r="B497" s="120" t="b">
        <f t="shared" ca="1" si="7"/>
        <v>0</v>
      </c>
      <c r="C497" s="121">
        <v>45515</v>
      </c>
      <c r="D497" s="137">
        <v>0.30087962962962961</v>
      </c>
      <c r="E497" s="94">
        <v>2005</v>
      </c>
      <c r="F497" s="142">
        <v>1207</v>
      </c>
      <c r="G497" s="94" t="s">
        <v>34</v>
      </c>
      <c r="H497" s="94">
        <v>1047</v>
      </c>
      <c r="I497" s="91"/>
      <c r="J497" s="94" t="s">
        <v>35</v>
      </c>
      <c r="K497" s="91">
        <v>33.960999999999999</v>
      </c>
      <c r="L497" s="122" t="str">
        <f>VLOOKUP(K497,Liste!$L$2:$O$34,4,1)</f>
        <v>GSMR_06/07</v>
      </c>
      <c r="M497" s="133" t="s">
        <v>36</v>
      </c>
      <c r="N497" s="180" t="s">
        <v>37</v>
      </c>
      <c r="O497" s="125" t="s">
        <v>1158</v>
      </c>
      <c r="P497" s="127"/>
      <c r="Q497" s="91" t="s">
        <v>531</v>
      </c>
      <c r="R497" s="94" t="s">
        <v>848</v>
      </c>
      <c r="S497" s="91" t="s">
        <v>1159</v>
      </c>
      <c r="T497" s="94" t="s">
        <v>69</v>
      </c>
      <c r="U497" s="94" t="s">
        <v>901</v>
      </c>
      <c r="V497" s="94" t="s">
        <v>51</v>
      </c>
      <c r="W497" s="94" t="s">
        <v>51</v>
      </c>
      <c r="X497" s="124" t="s">
        <v>52</v>
      </c>
      <c r="Y497" s="124" t="s">
        <v>622</v>
      </c>
      <c r="Z497" s="91"/>
      <c r="AA497" s="91" t="s">
        <v>754</v>
      </c>
      <c r="AB497" s="91"/>
      <c r="AC497" s="91"/>
      <c r="AD497" s="91"/>
      <c r="AE497" s="91"/>
      <c r="AF497" s="91"/>
      <c r="AG497" s="91"/>
      <c r="AH497" s="91"/>
    </row>
    <row r="498" spans="1:34" s="1" customFormat="1" ht="45">
      <c r="A498" s="120">
        <v>497</v>
      </c>
      <c r="B498" s="120" t="b">
        <f t="shared" ca="1" si="7"/>
        <v>0</v>
      </c>
      <c r="C498" s="121">
        <v>45515</v>
      </c>
      <c r="D498" s="137">
        <v>0.58687500000000004</v>
      </c>
      <c r="E498" s="94">
        <v>2033</v>
      </c>
      <c r="F498" s="142">
        <v>1204</v>
      </c>
      <c r="G498" s="94" t="s">
        <v>34</v>
      </c>
      <c r="H498" s="94">
        <v>1052</v>
      </c>
      <c r="I498" s="91"/>
      <c r="J498" s="94" t="s">
        <v>35</v>
      </c>
      <c r="K498" s="152">
        <v>6.13</v>
      </c>
      <c r="L498" s="122" t="str">
        <f>VLOOKUP(K498,Liste!$L$2:$O$34,4,1)</f>
        <v>GSMR_02/03</v>
      </c>
      <c r="M498" s="133" t="s">
        <v>36</v>
      </c>
      <c r="N498" s="181" t="s">
        <v>58</v>
      </c>
      <c r="O498" s="125" t="s">
        <v>1160</v>
      </c>
      <c r="P498" s="127"/>
      <c r="Q498" s="91" t="s">
        <v>531</v>
      </c>
      <c r="R498" s="94" t="s">
        <v>1032</v>
      </c>
      <c r="S498" s="91" t="s">
        <v>1161</v>
      </c>
      <c r="T498" s="94" t="s">
        <v>116</v>
      </c>
      <c r="U498" s="94" t="s">
        <v>873</v>
      </c>
      <c r="V498" s="94" t="s">
        <v>43</v>
      </c>
      <c r="W498" s="94" t="s">
        <v>51</v>
      </c>
      <c r="X498" s="124" t="s">
        <v>52</v>
      </c>
      <c r="Y498" s="124" t="s">
        <v>622</v>
      </c>
      <c r="Z498" s="91"/>
      <c r="AA498" s="91" t="s">
        <v>778</v>
      </c>
      <c r="AB498" s="91"/>
      <c r="AC498" s="91"/>
      <c r="AD498" s="91"/>
      <c r="AE498" s="91"/>
      <c r="AF498" s="91"/>
      <c r="AG498" s="91"/>
      <c r="AH498" s="91"/>
    </row>
    <row r="499" spans="1:34" s="1" customFormat="1" ht="45">
      <c r="A499" s="120">
        <v>498</v>
      </c>
      <c r="B499" s="120" t="b">
        <f t="shared" ca="1" si="7"/>
        <v>0</v>
      </c>
      <c r="C499" s="121">
        <v>45515</v>
      </c>
      <c r="D499" s="137">
        <v>0.62851851851851848</v>
      </c>
      <c r="E499" s="94">
        <v>2037</v>
      </c>
      <c r="F499" s="142">
        <v>1208</v>
      </c>
      <c r="G499" s="94" t="s">
        <v>34</v>
      </c>
      <c r="H499" s="94">
        <v>1036</v>
      </c>
      <c r="I499" s="91"/>
      <c r="J499" s="94" t="s">
        <v>35</v>
      </c>
      <c r="K499" s="152">
        <v>6.13</v>
      </c>
      <c r="L499" s="122" t="str">
        <f>VLOOKUP(K499,Liste!$L$2:$O$34,4,1)</f>
        <v>GSMR_02/03</v>
      </c>
      <c r="M499" s="133" t="s">
        <v>36</v>
      </c>
      <c r="N499" s="181" t="s">
        <v>58</v>
      </c>
      <c r="O499" s="125" t="s">
        <v>1162</v>
      </c>
      <c r="P499" s="127"/>
      <c r="Q499" s="91" t="s">
        <v>531</v>
      </c>
      <c r="R499" s="94" t="s">
        <v>1032</v>
      </c>
      <c r="S499" s="91" t="s">
        <v>1161</v>
      </c>
      <c r="T499" s="94" t="s">
        <v>93</v>
      </c>
      <c r="U499" s="94" t="s">
        <v>1163</v>
      </c>
      <c r="V499" s="94" t="s">
        <v>51</v>
      </c>
      <c r="W499" s="94" t="s">
        <v>51</v>
      </c>
      <c r="X499" s="124" t="s">
        <v>52</v>
      </c>
      <c r="Y499" s="124" t="s">
        <v>622</v>
      </c>
      <c r="Z499" s="91"/>
      <c r="AA499" s="91" t="s">
        <v>778</v>
      </c>
      <c r="AB499" s="91"/>
      <c r="AC499" s="91"/>
      <c r="AD499" s="91"/>
      <c r="AE499" s="91"/>
      <c r="AF499" s="91"/>
      <c r="AG499" s="91"/>
      <c r="AH499" s="91"/>
    </row>
    <row r="500" spans="1:34" s="1" customFormat="1" ht="45">
      <c r="A500" s="120">
        <v>499</v>
      </c>
      <c r="B500" s="120" t="b">
        <f t="shared" ca="1" si="7"/>
        <v>0</v>
      </c>
      <c r="C500" s="121">
        <v>45515</v>
      </c>
      <c r="D500" s="137">
        <v>0.63914351851851847</v>
      </c>
      <c r="E500" s="94">
        <v>2037</v>
      </c>
      <c r="F500" s="142">
        <v>1208</v>
      </c>
      <c r="G500" s="94" t="s">
        <v>34</v>
      </c>
      <c r="H500" s="94">
        <v>1037</v>
      </c>
      <c r="I500" s="91"/>
      <c r="J500" s="94" t="s">
        <v>35</v>
      </c>
      <c r="K500" s="91">
        <v>59.817999999999998</v>
      </c>
      <c r="L500" s="122" t="str">
        <f>VLOOKUP(K500,Liste!$L$2:$O$34,4,1)</f>
        <v>GSMR_10/11</v>
      </c>
      <c r="M500" s="133" t="s">
        <v>36</v>
      </c>
      <c r="N500" s="180" t="s">
        <v>37</v>
      </c>
      <c r="O500" s="125" t="s">
        <v>1164</v>
      </c>
      <c r="P500" s="127"/>
      <c r="Q500" s="91" t="s">
        <v>531</v>
      </c>
      <c r="R500" s="94" t="s">
        <v>1165</v>
      </c>
      <c r="S500" s="91" t="s">
        <v>1166</v>
      </c>
      <c r="T500" s="94" t="s">
        <v>78</v>
      </c>
      <c r="U500" s="94" t="s">
        <v>1167</v>
      </c>
      <c r="V500" s="94" t="s">
        <v>51</v>
      </c>
      <c r="W500" s="94" t="s">
        <v>51</v>
      </c>
      <c r="X500" s="124" t="s">
        <v>52</v>
      </c>
      <c r="Y500" s="124" t="s">
        <v>622</v>
      </c>
      <c r="Z500" s="91"/>
      <c r="AA500" s="91" t="s">
        <v>778</v>
      </c>
      <c r="AB500" s="91"/>
      <c r="AC500" s="91"/>
      <c r="AD500" s="91"/>
      <c r="AE500" s="91"/>
      <c r="AF500" s="91"/>
      <c r="AG500" s="91"/>
      <c r="AH500" s="91"/>
    </row>
    <row r="501" spans="1:34" s="1" customFormat="1" ht="45">
      <c r="A501" s="120">
        <v>500</v>
      </c>
      <c r="B501" s="120" t="b">
        <f t="shared" ca="1" si="7"/>
        <v>0</v>
      </c>
      <c r="C501" s="121">
        <v>45515</v>
      </c>
      <c r="D501" s="137">
        <v>0.67031249999999998</v>
      </c>
      <c r="E501" s="94">
        <v>2041</v>
      </c>
      <c r="F501" s="142">
        <v>1202</v>
      </c>
      <c r="G501" s="94" t="s">
        <v>34</v>
      </c>
      <c r="H501" s="94">
        <v>1040</v>
      </c>
      <c r="I501" s="91"/>
      <c r="J501" s="94" t="s">
        <v>35</v>
      </c>
      <c r="K501" s="152">
        <v>6.13</v>
      </c>
      <c r="L501" s="122" t="str">
        <f>VLOOKUP(K501,Liste!$L$2:$O$34,4,1)</f>
        <v>GSMR_02/03</v>
      </c>
      <c r="M501" s="133" t="s">
        <v>36</v>
      </c>
      <c r="N501" s="181" t="s">
        <v>58</v>
      </c>
      <c r="O501" s="125" t="s">
        <v>1168</v>
      </c>
      <c r="P501" s="127"/>
      <c r="Q501" s="91" t="s">
        <v>531</v>
      </c>
      <c r="R501" s="94" t="s">
        <v>1032</v>
      </c>
      <c r="S501" s="91" t="s">
        <v>1169</v>
      </c>
      <c r="T501" s="94" t="s">
        <v>41</v>
      </c>
      <c r="U501" s="94" t="s">
        <v>862</v>
      </c>
      <c r="V501" s="94" t="s">
        <v>43</v>
      </c>
      <c r="W501" s="94" t="s">
        <v>51</v>
      </c>
      <c r="X501" s="124" t="s">
        <v>52</v>
      </c>
      <c r="Y501" s="124" t="s">
        <v>622</v>
      </c>
      <c r="Z501" s="91"/>
      <c r="AA501" s="91" t="s">
        <v>778</v>
      </c>
      <c r="AB501" s="91"/>
      <c r="AC501" s="91"/>
      <c r="AD501" s="91"/>
      <c r="AE501" s="91"/>
      <c r="AF501" s="91"/>
      <c r="AG501" s="91"/>
      <c r="AH501" s="91"/>
    </row>
    <row r="502" spans="1:34" s="1" customFormat="1" ht="45">
      <c r="A502" s="120">
        <v>501</v>
      </c>
      <c r="B502" s="120" t="b">
        <f t="shared" ca="1" si="7"/>
        <v>0</v>
      </c>
      <c r="C502" s="121">
        <v>45515</v>
      </c>
      <c r="D502" s="137">
        <v>0.79982638888888891</v>
      </c>
      <c r="E502" s="94">
        <v>2053</v>
      </c>
      <c r="F502" s="142">
        <v>1203</v>
      </c>
      <c r="G502" s="94" t="s">
        <v>34</v>
      </c>
      <c r="H502" s="94">
        <v>1025</v>
      </c>
      <c r="I502" s="91"/>
      <c r="J502" s="94" t="s">
        <v>35</v>
      </c>
      <c r="K502" s="91">
        <v>21.55</v>
      </c>
      <c r="L502" s="122" t="str">
        <f>VLOOKUP(K502,Liste!$L$2:$O$34,4,1)</f>
        <v>GSMR_04/05</v>
      </c>
      <c r="M502" s="133" t="s">
        <v>36</v>
      </c>
      <c r="N502" s="181" t="s">
        <v>58</v>
      </c>
      <c r="O502" s="125" t="s">
        <v>1170</v>
      </c>
      <c r="P502" s="127"/>
      <c r="Q502" s="91" t="s">
        <v>531</v>
      </c>
      <c r="R502" s="94" t="s">
        <v>1171</v>
      </c>
      <c r="S502" s="91" t="s">
        <v>1172</v>
      </c>
      <c r="T502" s="94" t="s">
        <v>69</v>
      </c>
      <c r="U502" s="94" t="s">
        <v>873</v>
      </c>
      <c r="V502" s="94" t="s">
        <v>51</v>
      </c>
      <c r="W502" s="94" t="s">
        <v>51</v>
      </c>
      <c r="X502" s="124" t="s">
        <v>52</v>
      </c>
      <c r="Y502" s="124" t="s">
        <v>622</v>
      </c>
      <c r="Z502" s="91"/>
      <c r="AA502" s="91" t="s">
        <v>778</v>
      </c>
      <c r="AB502" s="91"/>
      <c r="AC502" s="91"/>
      <c r="AD502" s="91"/>
      <c r="AE502" s="91"/>
      <c r="AF502" s="91"/>
      <c r="AG502" s="91"/>
      <c r="AH502" s="91"/>
    </row>
    <row r="503" spans="1:34" s="1" customFormat="1" ht="60">
      <c r="A503" s="120">
        <v>502</v>
      </c>
      <c r="B503" s="120" t="b">
        <f t="shared" ca="1" si="7"/>
        <v>0</v>
      </c>
      <c r="C503" s="121">
        <v>45515</v>
      </c>
      <c r="D503" s="137">
        <v>0.89149305555555558</v>
      </c>
      <c r="E503" s="94">
        <v>2061</v>
      </c>
      <c r="F503" s="142">
        <v>1208</v>
      </c>
      <c r="G503" s="94" t="s">
        <v>34</v>
      </c>
      <c r="H503" s="94">
        <v>1037</v>
      </c>
      <c r="I503" s="91"/>
      <c r="J503" s="94" t="s">
        <v>35</v>
      </c>
      <c r="K503" s="91">
        <v>88.911000000000001</v>
      </c>
      <c r="L503" s="122" t="str">
        <f>VLOOKUP(K503,Liste!$L$2:$O$34,4,1)</f>
        <v>GSMR_16/17</v>
      </c>
      <c r="M503" s="133" t="s">
        <v>36</v>
      </c>
      <c r="N503" s="180" t="s">
        <v>37</v>
      </c>
      <c r="O503" s="125" t="s">
        <v>1173</v>
      </c>
      <c r="P503" s="127"/>
      <c r="Q503" s="91" t="s">
        <v>531</v>
      </c>
      <c r="R503" s="94" t="s">
        <v>1165</v>
      </c>
      <c r="S503" s="91" t="s">
        <v>1174</v>
      </c>
      <c r="T503" s="94" t="s">
        <v>69</v>
      </c>
      <c r="U503" s="94" t="s">
        <v>1175</v>
      </c>
      <c r="V503" s="94" t="s">
        <v>51</v>
      </c>
      <c r="W503" s="94" t="s">
        <v>51</v>
      </c>
      <c r="X503" s="124" t="s">
        <v>52</v>
      </c>
      <c r="Y503" s="124" t="s">
        <v>622</v>
      </c>
      <c r="Z503" s="91"/>
      <c r="AA503" s="91" t="s">
        <v>754</v>
      </c>
      <c r="AB503" s="91"/>
      <c r="AC503" s="91"/>
      <c r="AD503" s="91"/>
      <c r="AE503" s="91"/>
      <c r="AF503" s="91"/>
      <c r="AG503" s="91"/>
      <c r="AH503" s="91"/>
    </row>
    <row r="504" spans="1:34" s="1" customFormat="1" ht="45">
      <c r="A504" s="120">
        <v>503</v>
      </c>
      <c r="B504" s="120" t="b">
        <f t="shared" ca="1" si="7"/>
        <v>0</v>
      </c>
      <c r="C504" s="121">
        <v>45516</v>
      </c>
      <c r="D504" s="137">
        <v>0.44841435185185186</v>
      </c>
      <c r="E504" s="94">
        <v>1013</v>
      </c>
      <c r="F504" s="142">
        <v>1207</v>
      </c>
      <c r="G504" s="94" t="s">
        <v>71</v>
      </c>
      <c r="H504" s="94">
        <v>1008</v>
      </c>
      <c r="I504" s="91"/>
      <c r="J504" s="94" t="s">
        <v>72</v>
      </c>
      <c r="K504" s="91">
        <v>93.757999999999996</v>
      </c>
      <c r="L504" s="122" t="str">
        <f>VLOOKUP(K504,Liste!$L$2:$O$34,4,1)</f>
        <v>GSMR_17/18</v>
      </c>
      <c r="M504" s="133" t="s">
        <v>36</v>
      </c>
      <c r="N504" s="181" t="s">
        <v>58</v>
      </c>
      <c r="O504" s="125" t="s">
        <v>1176</v>
      </c>
      <c r="P504" s="127"/>
      <c r="Q504" s="91" t="s">
        <v>105</v>
      </c>
      <c r="R504" s="94" t="s">
        <v>1177</v>
      </c>
      <c r="S504" s="91" t="s">
        <v>1178</v>
      </c>
      <c r="T504" s="94" t="s">
        <v>69</v>
      </c>
      <c r="U504" s="94" t="s">
        <v>183</v>
      </c>
      <c r="V504" s="94" t="s">
        <v>51</v>
      </c>
      <c r="W504" s="94" t="s">
        <v>43</v>
      </c>
      <c r="X504" s="124" t="s">
        <v>52</v>
      </c>
      <c r="Y504" s="124" t="s">
        <v>622</v>
      </c>
      <c r="Z504" s="91"/>
      <c r="AA504" s="91" t="s">
        <v>959</v>
      </c>
      <c r="AB504" s="91"/>
      <c r="AC504" s="91"/>
      <c r="AD504" s="91"/>
      <c r="AE504" s="91"/>
      <c r="AF504" s="91"/>
      <c r="AG504" s="91"/>
      <c r="AH504" s="91"/>
    </row>
    <row r="505" spans="1:34" s="1" customFormat="1" ht="45">
      <c r="A505" s="120">
        <v>504</v>
      </c>
      <c r="B505" s="120" t="b">
        <f t="shared" ca="1" si="7"/>
        <v>0</v>
      </c>
      <c r="C505" s="121">
        <v>45516</v>
      </c>
      <c r="D505" s="137">
        <v>0.71189814814814811</v>
      </c>
      <c r="E505" s="94">
        <v>2045</v>
      </c>
      <c r="F505" s="142">
        <v>1204</v>
      </c>
      <c r="G505" s="94" t="s">
        <v>34</v>
      </c>
      <c r="H505" s="94">
        <v>1052</v>
      </c>
      <c r="I505" s="91"/>
      <c r="J505" s="94" t="s">
        <v>35</v>
      </c>
      <c r="K505" s="152">
        <v>4.7069999999999999</v>
      </c>
      <c r="L505" s="122" t="str">
        <f>VLOOKUP(K505,Liste!$L$2:$O$34,4,1)</f>
        <v>GSMR_02/03</v>
      </c>
      <c r="M505" s="133" t="s">
        <v>36</v>
      </c>
      <c r="N505" s="181" t="s">
        <v>58</v>
      </c>
      <c r="O505" s="125" t="s">
        <v>1179</v>
      </c>
      <c r="P505" s="127"/>
      <c r="Q505" s="91" t="s">
        <v>531</v>
      </c>
      <c r="R505" s="94" t="s">
        <v>1032</v>
      </c>
      <c r="S505" s="91" t="s">
        <v>1180</v>
      </c>
      <c r="T505" s="94" t="s">
        <v>69</v>
      </c>
      <c r="U505" s="94" t="s">
        <v>120</v>
      </c>
      <c r="V505" s="94" t="s">
        <v>43</v>
      </c>
      <c r="W505" s="94" t="s">
        <v>51</v>
      </c>
      <c r="X505" s="124" t="s">
        <v>52</v>
      </c>
      <c r="Y505" s="124" t="s">
        <v>622</v>
      </c>
      <c r="Z505" s="91"/>
      <c r="AA505" s="91" t="s">
        <v>1118</v>
      </c>
      <c r="AB505" s="91"/>
      <c r="AC505" s="91"/>
      <c r="AD505" s="91"/>
      <c r="AE505" s="91"/>
      <c r="AF505" s="91"/>
      <c r="AG505" s="91"/>
      <c r="AH505" s="91"/>
    </row>
    <row r="506" spans="1:34" s="1" customFormat="1" ht="45">
      <c r="A506" s="120">
        <v>505</v>
      </c>
      <c r="B506" s="120" t="b">
        <f t="shared" ca="1" si="7"/>
        <v>0</v>
      </c>
      <c r="C506" s="121">
        <v>45516</v>
      </c>
      <c r="D506" s="137">
        <v>0.75362268518518516</v>
      </c>
      <c r="E506" s="94">
        <v>2049</v>
      </c>
      <c r="F506" s="142">
        <v>1207</v>
      </c>
      <c r="G506" s="94" t="s">
        <v>34</v>
      </c>
      <c r="H506" s="94">
        <v>1046</v>
      </c>
      <c r="I506" s="91"/>
      <c r="J506" s="94" t="s">
        <v>35</v>
      </c>
      <c r="K506" s="152">
        <v>6.13</v>
      </c>
      <c r="L506" s="122" t="str">
        <f>VLOOKUP(K506,Liste!$L$2:$O$34,4,1)</f>
        <v>GSMR_02/03</v>
      </c>
      <c r="M506" s="133" t="s">
        <v>36</v>
      </c>
      <c r="N506" s="180" t="s">
        <v>37</v>
      </c>
      <c r="O506" s="125" t="s">
        <v>1181</v>
      </c>
      <c r="P506" s="127"/>
      <c r="Q506" s="91" t="s">
        <v>531</v>
      </c>
      <c r="R506" s="94" t="s">
        <v>1032</v>
      </c>
      <c r="S506" s="91" t="s">
        <v>1182</v>
      </c>
      <c r="T506" s="94" t="s">
        <v>116</v>
      </c>
      <c r="U506" s="94" t="s">
        <v>57</v>
      </c>
      <c r="V506" s="94" t="s">
        <v>51</v>
      </c>
      <c r="W506" s="94" t="s">
        <v>51</v>
      </c>
      <c r="X506" s="124" t="s">
        <v>52</v>
      </c>
      <c r="Y506" s="124" t="s">
        <v>622</v>
      </c>
      <c r="Z506" s="91"/>
      <c r="AA506" s="91" t="s">
        <v>1183</v>
      </c>
      <c r="AB506" s="91"/>
      <c r="AC506" s="91"/>
      <c r="AD506" s="91"/>
      <c r="AE506" s="91"/>
      <c r="AF506" s="91"/>
      <c r="AG506" s="91"/>
      <c r="AH506" s="91"/>
    </row>
    <row r="507" spans="1:34" s="1" customFormat="1" ht="45">
      <c r="A507" s="120">
        <v>506</v>
      </c>
      <c r="B507" s="120" t="b">
        <f t="shared" ca="1" si="7"/>
        <v>0</v>
      </c>
      <c r="C507" s="121">
        <v>45516</v>
      </c>
      <c r="D507" s="137">
        <v>0.81747685185185182</v>
      </c>
      <c r="E507" s="94">
        <v>1049</v>
      </c>
      <c r="F507" s="142">
        <v>1202</v>
      </c>
      <c r="G507" s="94" t="s">
        <v>71</v>
      </c>
      <c r="H507" s="94">
        <v>1022</v>
      </c>
      <c r="I507" s="91"/>
      <c r="J507" s="94" t="s">
        <v>72</v>
      </c>
      <c r="K507" s="91">
        <v>135.52500000000001</v>
      </c>
      <c r="L507" s="122" t="str">
        <f>VLOOKUP(K507,Liste!$L$2:$O$34,4,1)</f>
        <v>GSMR_23/24</v>
      </c>
      <c r="M507" s="133" t="s">
        <v>36</v>
      </c>
      <c r="N507" s="180" t="s">
        <v>37</v>
      </c>
      <c r="O507" s="125" t="s">
        <v>1184</v>
      </c>
      <c r="P507" s="127"/>
      <c r="Q507" s="91" t="s">
        <v>531</v>
      </c>
      <c r="R507" s="94" t="s">
        <v>1165</v>
      </c>
      <c r="S507" s="91" t="s">
        <v>1185</v>
      </c>
      <c r="T507" s="94" t="s">
        <v>69</v>
      </c>
      <c r="U507" s="94" t="s">
        <v>408</v>
      </c>
      <c r="V507" s="94" t="s">
        <v>51</v>
      </c>
      <c r="W507" s="94" t="s">
        <v>51</v>
      </c>
      <c r="X507" s="124" t="s">
        <v>52</v>
      </c>
      <c r="Y507" s="124" t="s">
        <v>622</v>
      </c>
      <c r="Z507" s="91"/>
      <c r="AA507" s="91" t="s">
        <v>1183</v>
      </c>
      <c r="AB507" s="91"/>
      <c r="AC507" s="91"/>
      <c r="AD507" s="91"/>
      <c r="AE507" s="91"/>
      <c r="AF507" s="91"/>
      <c r="AG507" s="91"/>
      <c r="AH507" s="91"/>
    </row>
    <row r="508" spans="1:34" s="1" customFormat="1" ht="45">
      <c r="A508" s="120">
        <v>507</v>
      </c>
      <c r="B508" s="120" t="b">
        <f t="shared" ca="1" si="7"/>
        <v>0</v>
      </c>
      <c r="C508" s="121">
        <v>45516</v>
      </c>
      <c r="D508" s="137">
        <v>0.88043981481481481</v>
      </c>
      <c r="E508" s="94">
        <v>1054</v>
      </c>
      <c r="F508" s="142">
        <v>1210</v>
      </c>
      <c r="G508" s="94" t="s">
        <v>71</v>
      </c>
      <c r="H508" s="94">
        <v>1072</v>
      </c>
      <c r="I508" s="91"/>
      <c r="J508" s="94" t="s">
        <v>72</v>
      </c>
      <c r="K508" s="91">
        <v>48.426000000000002</v>
      </c>
      <c r="L508" s="122" t="str">
        <f>VLOOKUP(K508,Liste!$L$2:$O$34,4,1)</f>
        <v>GSMR_08/09</v>
      </c>
      <c r="M508" s="133" t="s">
        <v>36</v>
      </c>
      <c r="N508" s="180" t="s">
        <v>37</v>
      </c>
      <c r="O508" s="125" t="s">
        <v>1186</v>
      </c>
      <c r="P508" s="127"/>
      <c r="Q508" s="91" t="s">
        <v>531</v>
      </c>
      <c r="R508" s="94" t="s">
        <v>1165</v>
      </c>
      <c r="S508" s="91" t="s">
        <v>1187</v>
      </c>
      <c r="T508" s="94" t="s">
        <v>56</v>
      </c>
      <c r="U508" s="94" t="s">
        <v>226</v>
      </c>
      <c r="V508" s="94" t="s">
        <v>51</v>
      </c>
      <c r="W508" s="94" t="s">
        <v>51</v>
      </c>
      <c r="X508" s="124" t="s">
        <v>52</v>
      </c>
      <c r="Y508" s="124" t="s">
        <v>622</v>
      </c>
      <c r="Z508" s="91"/>
      <c r="AA508" s="91" t="s">
        <v>772</v>
      </c>
      <c r="AB508" s="91"/>
      <c r="AC508" s="91"/>
      <c r="AD508" s="91"/>
      <c r="AE508" s="91"/>
      <c r="AF508" s="91"/>
      <c r="AG508" s="91"/>
      <c r="AH508" s="91"/>
    </row>
    <row r="509" spans="1:34" s="1" customFormat="1" ht="45">
      <c r="A509" s="120">
        <v>508</v>
      </c>
      <c r="B509" s="120" t="b">
        <f t="shared" ca="1" si="7"/>
        <v>0</v>
      </c>
      <c r="C509" s="121">
        <v>45516</v>
      </c>
      <c r="D509" s="137">
        <v>0.84983796296296299</v>
      </c>
      <c r="E509" s="94">
        <v>1053</v>
      </c>
      <c r="F509" s="142">
        <v>1210</v>
      </c>
      <c r="G509" s="94" t="s">
        <v>71</v>
      </c>
      <c r="H509" s="94">
        <v>1072</v>
      </c>
      <c r="I509" s="91"/>
      <c r="J509" s="94" t="s">
        <v>72</v>
      </c>
      <c r="K509" s="91">
        <v>205.125</v>
      </c>
      <c r="L509" s="122" t="str">
        <f>VLOOKUP(K509,Liste!$L$2:$O$34,4,1)</f>
        <v>GSMR_33/RAC</v>
      </c>
      <c r="M509" s="133" t="s">
        <v>36</v>
      </c>
      <c r="N509" s="180" t="s">
        <v>37</v>
      </c>
      <c r="O509" s="125" t="s">
        <v>1188</v>
      </c>
      <c r="P509" s="127"/>
      <c r="Q509" s="91" t="s">
        <v>531</v>
      </c>
      <c r="R509" s="94" t="s">
        <v>1165</v>
      </c>
      <c r="S509" s="91" t="s">
        <v>1189</v>
      </c>
      <c r="T509" s="94" t="s">
        <v>69</v>
      </c>
      <c r="U509" s="94" t="s">
        <v>57</v>
      </c>
      <c r="V509" s="94" t="s">
        <v>51</v>
      </c>
      <c r="W509" s="94" t="s">
        <v>51</v>
      </c>
      <c r="X509" s="124" t="s">
        <v>52</v>
      </c>
      <c r="Y509" s="124" t="s">
        <v>622</v>
      </c>
      <c r="Z509" s="91"/>
      <c r="AA509" s="91" t="s">
        <v>772</v>
      </c>
      <c r="AB509" s="91"/>
      <c r="AC509" s="91"/>
      <c r="AD509" s="91"/>
      <c r="AE509" s="91"/>
      <c r="AF509" s="91"/>
      <c r="AG509" s="91"/>
      <c r="AH509" s="91"/>
    </row>
    <row r="510" spans="1:34" s="1" customFormat="1" ht="45">
      <c r="A510" s="120">
        <v>509</v>
      </c>
      <c r="B510" s="120" t="b">
        <f t="shared" ca="1" si="7"/>
        <v>0</v>
      </c>
      <c r="C510" s="121">
        <v>45516</v>
      </c>
      <c r="D510" s="137">
        <v>0.85046296296296298</v>
      </c>
      <c r="E510" s="94">
        <v>1053</v>
      </c>
      <c r="F510" s="142">
        <v>1210</v>
      </c>
      <c r="G510" s="94" t="s">
        <v>71</v>
      </c>
      <c r="H510" s="94">
        <v>1072</v>
      </c>
      <c r="I510" s="91"/>
      <c r="J510" s="94" t="s">
        <v>72</v>
      </c>
      <c r="K510" s="91">
        <v>198.98400000000001</v>
      </c>
      <c r="L510" s="122" t="str">
        <f>VLOOKUP(K510,Liste!$L$2:$O$34,4,1)</f>
        <v>GSMR_33/RAC</v>
      </c>
      <c r="M510" s="133" t="s">
        <v>36</v>
      </c>
      <c r="N510" s="181" t="s">
        <v>58</v>
      </c>
      <c r="O510" s="125" t="s">
        <v>1190</v>
      </c>
      <c r="P510" s="126"/>
      <c r="Q510" s="94" t="s">
        <v>54</v>
      </c>
      <c r="R510" s="94" t="s">
        <v>1191</v>
      </c>
      <c r="S510" s="91" t="s">
        <v>1189</v>
      </c>
      <c r="T510" s="94" t="s">
        <v>69</v>
      </c>
      <c r="U510" s="94" t="s">
        <v>57</v>
      </c>
      <c r="V510" s="94" t="s">
        <v>51</v>
      </c>
      <c r="W510" s="94" t="s">
        <v>51</v>
      </c>
      <c r="X510" s="124" t="s">
        <v>52</v>
      </c>
      <c r="Y510" s="124" t="s">
        <v>1045</v>
      </c>
      <c r="Z510" s="91"/>
      <c r="AA510" s="91" t="s">
        <v>745</v>
      </c>
      <c r="AB510" s="91"/>
      <c r="AC510" s="91"/>
      <c r="AD510" s="91"/>
      <c r="AE510" s="91"/>
      <c r="AF510" s="91"/>
      <c r="AG510" s="91"/>
      <c r="AH510" s="91"/>
    </row>
    <row r="511" spans="1:34" s="1" customFormat="1" ht="45">
      <c r="A511" s="120">
        <v>510</v>
      </c>
      <c r="B511" s="120" t="b">
        <f t="shared" ca="1" si="7"/>
        <v>0</v>
      </c>
      <c r="C511" s="121">
        <v>45517</v>
      </c>
      <c r="D511" s="137">
        <v>0.17828703703703705</v>
      </c>
      <c r="E511" s="94">
        <v>2081</v>
      </c>
      <c r="F511" s="142">
        <v>1204</v>
      </c>
      <c r="G511" s="94" t="s">
        <v>34</v>
      </c>
      <c r="H511" s="94">
        <v>1053</v>
      </c>
      <c r="I511" s="91"/>
      <c r="J511" s="94" t="s">
        <v>35</v>
      </c>
      <c r="K511" s="91">
        <v>33.960999999999999</v>
      </c>
      <c r="L511" s="122" t="str">
        <f>VLOOKUP(K511,Liste!$L$2:$O$34,4,1)</f>
        <v>GSMR_06/07</v>
      </c>
      <c r="M511" s="133" t="s">
        <v>36</v>
      </c>
      <c r="N511" s="180" t="s">
        <v>37</v>
      </c>
      <c r="O511" s="125" t="s">
        <v>1192</v>
      </c>
      <c r="P511" s="127"/>
      <c r="Q511" s="91" t="s">
        <v>531</v>
      </c>
      <c r="R511" s="94" t="s">
        <v>1165</v>
      </c>
      <c r="S511" s="91" t="s">
        <v>1193</v>
      </c>
      <c r="T511" s="94" t="s">
        <v>69</v>
      </c>
      <c r="U511" s="94" t="s">
        <v>120</v>
      </c>
      <c r="V511" s="94" t="s">
        <v>51</v>
      </c>
      <c r="W511" s="94" t="s">
        <v>51</v>
      </c>
      <c r="X511" s="124" t="s">
        <v>52</v>
      </c>
      <c r="Y511" s="124" t="s">
        <v>622</v>
      </c>
      <c r="Z511" s="91"/>
      <c r="AA511" s="91" t="s">
        <v>772</v>
      </c>
      <c r="AB511" s="91"/>
      <c r="AC511" s="91"/>
      <c r="AD511" s="91"/>
      <c r="AE511" s="91"/>
      <c r="AF511" s="91"/>
      <c r="AG511" s="91"/>
      <c r="AH511" s="91"/>
    </row>
    <row r="512" spans="1:34" s="1" customFormat="1" ht="45">
      <c r="A512" s="120">
        <v>511</v>
      </c>
      <c r="B512" s="120" t="b">
        <f t="shared" ca="1" si="7"/>
        <v>0</v>
      </c>
      <c r="C512" s="121">
        <v>45517</v>
      </c>
      <c r="D512" s="137">
        <v>0.356875</v>
      </c>
      <c r="E512" s="94">
        <v>2009</v>
      </c>
      <c r="F512" s="142">
        <v>1211</v>
      </c>
      <c r="G512" s="94" t="s">
        <v>34</v>
      </c>
      <c r="H512" s="94">
        <v>1028</v>
      </c>
      <c r="I512" s="91"/>
      <c r="J512" s="94" t="s">
        <v>35</v>
      </c>
      <c r="K512" s="91">
        <v>138.30199999999999</v>
      </c>
      <c r="L512" s="122" t="str">
        <f>VLOOKUP(K512,Liste!$L$2:$O$34,4,1)</f>
        <v>GSMR_24/25</v>
      </c>
      <c r="M512" s="133" t="s">
        <v>36</v>
      </c>
      <c r="N512" s="180" t="s">
        <v>37</v>
      </c>
      <c r="O512" s="125" t="s">
        <v>1194</v>
      </c>
      <c r="P512" s="127"/>
      <c r="Q512" s="91" t="s">
        <v>531</v>
      </c>
      <c r="R512" s="94" t="s">
        <v>1165</v>
      </c>
      <c r="S512" s="91" t="s">
        <v>1195</v>
      </c>
      <c r="T512" s="94" t="s">
        <v>101</v>
      </c>
      <c r="U512" s="94" t="s">
        <v>82</v>
      </c>
      <c r="V512" s="94" t="s">
        <v>51</v>
      </c>
      <c r="W512" s="94" t="s">
        <v>51</v>
      </c>
      <c r="X512" s="124" t="s">
        <v>52</v>
      </c>
      <c r="Y512" s="124" t="s">
        <v>622</v>
      </c>
      <c r="Z512" s="91"/>
      <c r="AA512" s="91" t="s">
        <v>1183</v>
      </c>
      <c r="AB512" s="91"/>
      <c r="AC512" s="91"/>
      <c r="AD512" s="91"/>
      <c r="AE512" s="91"/>
      <c r="AF512" s="91"/>
      <c r="AG512" s="91"/>
      <c r="AH512" s="91"/>
    </row>
    <row r="513" spans="1:34" s="1" customFormat="1" ht="45">
      <c r="A513" s="120">
        <v>512</v>
      </c>
      <c r="B513" s="120" t="b">
        <f t="shared" ca="1" si="7"/>
        <v>0</v>
      </c>
      <c r="C513" s="121">
        <v>45517</v>
      </c>
      <c r="D513" s="137">
        <v>0.65394675925925927</v>
      </c>
      <c r="E513" s="94">
        <v>1033</v>
      </c>
      <c r="F513" s="142">
        <v>1209</v>
      </c>
      <c r="G513" s="94" t="s">
        <v>71</v>
      </c>
      <c r="H513" s="94">
        <v>1032</v>
      </c>
      <c r="I513" s="91"/>
      <c r="J513" s="94" t="s">
        <v>72</v>
      </c>
      <c r="K513" s="91">
        <v>122.536</v>
      </c>
      <c r="L513" s="122" t="str">
        <f>VLOOKUP(K513,Liste!$L$2:$O$34,4,1)</f>
        <v>GSMR_21/22</v>
      </c>
      <c r="M513" s="133" t="s">
        <v>36</v>
      </c>
      <c r="N513" s="180" t="s">
        <v>37</v>
      </c>
      <c r="O513" s="125" t="s">
        <v>1196</v>
      </c>
      <c r="P513" s="127"/>
      <c r="Q513" s="91" t="s">
        <v>531</v>
      </c>
      <c r="R513" s="94" t="s">
        <v>1165</v>
      </c>
      <c r="S513" s="91" t="s">
        <v>1197</v>
      </c>
      <c r="T513" s="94" t="s">
        <v>41</v>
      </c>
      <c r="U513" s="94" t="s">
        <v>57</v>
      </c>
      <c r="V513" s="94" t="s">
        <v>51</v>
      </c>
      <c r="W513" s="94" t="s">
        <v>43</v>
      </c>
      <c r="X513" s="124" t="s">
        <v>52</v>
      </c>
      <c r="Y513" s="124" t="s">
        <v>622</v>
      </c>
      <c r="Z513" s="91"/>
      <c r="AA513" s="91" t="s">
        <v>959</v>
      </c>
      <c r="AB513" s="91"/>
      <c r="AC513" s="91"/>
      <c r="AD513" s="91"/>
      <c r="AE513" s="91"/>
      <c r="AF513" s="91"/>
      <c r="AG513" s="91"/>
      <c r="AH513" s="91"/>
    </row>
    <row r="514" spans="1:34" s="1" customFormat="1" ht="45">
      <c r="A514" s="120">
        <v>513</v>
      </c>
      <c r="B514" s="120" t="b">
        <f t="shared" ref="B514:B577" ca="1" si="8">AND(C514&gt;=TODAY()-7, C514&lt;=TODAY()-1)</f>
        <v>0</v>
      </c>
      <c r="C514" s="121">
        <v>45517</v>
      </c>
      <c r="D514" s="137">
        <v>0.66204861111111113</v>
      </c>
      <c r="E514" s="94">
        <v>1033</v>
      </c>
      <c r="F514" s="142">
        <v>1209</v>
      </c>
      <c r="G514" s="94" t="s">
        <v>71</v>
      </c>
      <c r="H514" s="94">
        <v>1032</v>
      </c>
      <c r="I514" s="91"/>
      <c r="J514" s="94" t="s">
        <v>72</v>
      </c>
      <c r="K514" s="91">
        <v>75.84</v>
      </c>
      <c r="L514" s="122" t="str">
        <f>VLOOKUP(K514,Liste!$L$2:$O$34,4,1)</f>
        <v>GSMR_13/14</v>
      </c>
      <c r="M514" s="133" t="s">
        <v>36</v>
      </c>
      <c r="N514" s="180" t="s">
        <v>37</v>
      </c>
      <c r="O514" s="125" t="s">
        <v>1198</v>
      </c>
      <c r="P514" s="127"/>
      <c r="Q514" s="91" t="s">
        <v>531</v>
      </c>
      <c r="R514" s="94" t="s">
        <v>1165</v>
      </c>
      <c r="S514" s="91" t="s">
        <v>1199</v>
      </c>
      <c r="T514" s="94" t="s">
        <v>69</v>
      </c>
      <c r="U514" s="94" t="s">
        <v>250</v>
      </c>
      <c r="V514" s="94" t="s">
        <v>51</v>
      </c>
      <c r="W514" s="94" t="s">
        <v>51</v>
      </c>
      <c r="X514" s="124" t="s">
        <v>52</v>
      </c>
      <c r="Y514" s="124" t="s">
        <v>622</v>
      </c>
      <c r="Z514" s="91"/>
      <c r="AA514" s="91" t="s">
        <v>959</v>
      </c>
      <c r="AB514" s="91"/>
      <c r="AC514" s="91"/>
      <c r="AD514" s="91"/>
      <c r="AE514" s="91"/>
      <c r="AF514" s="91"/>
      <c r="AG514" s="91"/>
      <c r="AH514" s="91"/>
    </row>
    <row r="515" spans="1:34" s="1" customFormat="1" ht="45">
      <c r="A515" s="120">
        <v>514</v>
      </c>
      <c r="B515" s="120" t="b">
        <f t="shared" ca="1" si="8"/>
        <v>0</v>
      </c>
      <c r="C515" s="121">
        <v>45517</v>
      </c>
      <c r="D515" s="137">
        <v>0.67539351851851848</v>
      </c>
      <c r="E515" s="94">
        <v>1033</v>
      </c>
      <c r="F515" s="142">
        <v>1209</v>
      </c>
      <c r="G515" s="94" t="s">
        <v>71</v>
      </c>
      <c r="H515" s="94">
        <v>1032</v>
      </c>
      <c r="I515" s="91"/>
      <c r="J515" s="94" t="s">
        <v>72</v>
      </c>
      <c r="K515" s="152">
        <v>7.3209999999999997</v>
      </c>
      <c r="L515" s="122" t="str">
        <f>VLOOKUP(K515,Liste!$L$2:$O$34,4,1)</f>
        <v>GSMR_02/03</v>
      </c>
      <c r="M515" s="133" t="s">
        <v>36</v>
      </c>
      <c r="N515" s="181" t="s">
        <v>58</v>
      </c>
      <c r="O515" s="125" t="s">
        <v>1200</v>
      </c>
      <c r="P515" s="127"/>
      <c r="Q515" s="91" t="s">
        <v>531</v>
      </c>
      <c r="R515" s="94" t="s">
        <v>1032</v>
      </c>
      <c r="S515" s="91" t="s">
        <v>1201</v>
      </c>
      <c r="T515" s="94" t="s">
        <v>93</v>
      </c>
      <c r="U515" s="94" t="s">
        <v>197</v>
      </c>
      <c r="V515" s="94" t="s">
        <v>43</v>
      </c>
      <c r="W515" s="94" t="s">
        <v>43</v>
      </c>
      <c r="X515" s="124" t="s">
        <v>52</v>
      </c>
      <c r="Y515" s="124" t="s">
        <v>622</v>
      </c>
      <c r="Z515" s="91"/>
      <c r="AA515" s="91" t="s">
        <v>959</v>
      </c>
      <c r="AB515" s="91"/>
      <c r="AC515" s="91"/>
      <c r="AD515" s="91"/>
      <c r="AE515" s="91"/>
      <c r="AF515" s="91"/>
      <c r="AG515" s="91"/>
      <c r="AH515" s="91"/>
    </row>
    <row r="516" spans="1:34" s="1" customFormat="1" ht="45">
      <c r="A516" s="120">
        <v>515</v>
      </c>
      <c r="B516" s="120" t="b">
        <f t="shared" ca="1" si="8"/>
        <v>0</v>
      </c>
      <c r="C516" s="121">
        <v>45517</v>
      </c>
      <c r="D516" s="137">
        <v>0.7378703703703704</v>
      </c>
      <c r="E516" s="94">
        <v>2045</v>
      </c>
      <c r="F516" s="142">
        <v>1203</v>
      </c>
      <c r="G516" s="94" t="s">
        <v>34</v>
      </c>
      <c r="H516" s="94">
        <v>1024</v>
      </c>
      <c r="I516" s="91"/>
      <c r="J516" s="94" t="s">
        <v>35</v>
      </c>
      <c r="K516" s="91">
        <v>172.83600000000001</v>
      </c>
      <c r="L516" s="122" t="str">
        <f>VLOOKUP(K516,Liste!$L$2:$O$34,4,1)</f>
        <v>GSMR_29/30</v>
      </c>
      <c r="M516" s="133" t="s">
        <v>36</v>
      </c>
      <c r="N516" s="180" t="s">
        <v>37</v>
      </c>
      <c r="O516" s="125" t="s">
        <v>1202</v>
      </c>
      <c r="P516" s="127"/>
      <c r="Q516" s="91" t="s">
        <v>531</v>
      </c>
      <c r="R516" s="94" t="s">
        <v>1165</v>
      </c>
      <c r="S516" s="91" t="s">
        <v>1203</v>
      </c>
      <c r="T516" s="94" t="s">
        <v>69</v>
      </c>
      <c r="U516" s="94" t="s">
        <v>108</v>
      </c>
      <c r="V516" s="94" t="s">
        <v>51</v>
      </c>
      <c r="W516" s="94" t="s">
        <v>51</v>
      </c>
      <c r="X516" s="124" t="s">
        <v>52</v>
      </c>
      <c r="Y516" s="124" t="s">
        <v>622</v>
      </c>
      <c r="Z516" s="91"/>
      <c r="AA516" s="91" t="s">
        <v>959</v>
      </c>
      <c r="AB516" s="91"/>
      <c r="AC516" s="91"/>
      <c r="AD516" s="91"/>
      <c r="AE516" s="91"/>
      <c r="AF516" s="91"/>
      <c r="AG516" s="91"/>
      <c r="AH516" s="91"/>
    </row>
    <row r="517" spans="1:34" s="1" customFormat="1" ht="45">
      <c r="A517" s="120">
        <v>516</v>
      </c>
      <c r="B517" s="120" t="b">
        <f t="shared" ca="1" si="8"/>
        <v>0</v>
      </c>
      <c r="C517" s="121">
        <v>45519</v>
      </c>
      <c r="D517" s="137">
        <v>0.3571064814814815</v>
      </c>
      <c r="E517" s="94">
        <v>1005</v>
      </c>
      <c r="F517" s="142">
        <v>1206</v>
      </c>
      <c r="G517" s="94" t="s">
        <v>71</v>
      </c>
      <c r="H517" s="94">
        <v>1040</v>
      </c>
      <c r="I517" s="91"/>
      <c r="J517" s="94" t="s">
        <v>72</v>
      </c>
      <c r="K517" s="91">
        <v>155.96199999999999</v>
      </c>
      <c r="L517" s="122" t="str">
        <f>VLOOKUP(K517,Liste!$L$2:$O$34,4,1)</f>
        <v>GSMR_26/27</v>
      </c>
      <c r="M517" s="133" t="s">
        <v>36</v>
      </c>
      <c r="N517" s="180" t="s">
        <v>37</v>
      </c>
      <c r="O517" s="125" t="s">
        <v>1204</v>
      </c>
      <c r="P517" s="127"/>
      <c r="Q517" s="91" t="s">
        <v>531</v>
      </c>
      <c r="R517" s="94" t="s">
        <v>1165</v>
      </c>
      <c r="S517" s="91" t="s">
        <v>1205</v>
      </c>
      <c r="T517" s="94" t="s">
        <v>69</v>
      </c>
      <c r="U517" s="94" t="s">
        <v>205</v>
      </c>
      <c r="V517" s="94" t="s">
        <v>51</v>
      </c>
      <c r="W517" s="94" t="s">
        <v>51</v>
      </c>
      <c r="X517" s="124" t="s">
        <v>52</v>
      </c>
      <c r="Y517" s="124" t="s">
        <v>622</v>
      </c>
      <c r="Z517" s="91"/>
      <c r="AA517" s="91" t="s">
        <v>1118</v>
      </c>
      <c r="AB517" s="91"/>
      <c r="AC517" s="91"/>
      <c r="AD517" s="91"/>
      <c r="AE517" s="91"/>
      <c r="AF517" s="91"/>
      <c r="AG517" s="91"/>
      <c r="AH517" s="91"/>
    </row>
    <row r="518" spans="1:34" s="1" customFormat="1" ht="45">
      <c r="A518" s="120">
        <v>517</v>
      </c>
      <c r="B518" s="120" t="b">
        <f t="shared" ca="1" si="8"/>
        <v>0</v>
      </c>
      <c r="C518" s="121">
        <v>45519</v>
      </c>
      <c r="D518" s="137">
        <v>0.62856481481481485</v>
      </c>
      <c r="E518" s="94">
        <v>2037</v>
      </c>
      <c r="F518" s="142">
        <v>1208</v>
      </c>
      <c r="G518" s="94" t="s">
        <v>34</v>
      </c>
      <c r="H518" s="94">
        <v>1036</v>
      </c>
      <c r="I518" s="91"/>
      <c r="J518" s="94" t="s">
        <v>35</v>
      </c>
      <c r="K518" s="152">
        <v>6.13</v>
      </c>
      <c r="L518" s="122" t="str">
        <f>VLOOKUP(K518,Liste!$L$2:$O$34,4,1)</f>
        <v>GSMR_02/03</v>
      </c>
      <c r="M518" s="133" t="s">
        <v>36</v>
      </c>
      <c r="N518" s="181" t="s">
        <v>58</v>
      </c>
      <c r="O518" s="125" t="s">
        <v>1206</v>
      </c>
      <c r="P518" s="127"/>
      <c r="Q518" s="91" t="s">
        <v>531</v>
      </c>
      <c r="R518" s="94" t="s">
        <v>1032</v>
      </c>
      <c r="S518" s="91" t="s">
        <v>1207</v>
      </c>
      <c r="T518" s="94" t="s">
        <v>56</v>
      </c>
      <c r="U518" s="94" t="s">
        <v>108</v>
      </c>
      <c r="V518" s="94" t="s">
        <v>51</v>
      </c>
      <c r="W518" s="94" t="s">
        <v>51</v>
      </c>
      <c r="X518" s="124" t="s">
        <v>52</v>
      </c>
      <c r="Y518" s="124" t="s">
        <v>1045</v>
      </c>
      <c r="Z518" s="91"/>
      <c r="AA518" s="91" t="s">
        <v>959</v>
      </c>
      <c r="AB518" s="91"/>
      <c r="AC518" s="91"/>
      <c r="AD518" s="91"/>
      <c r="AE518" s="91"/>
      <c r="AF518" s="91"/>
      <c r="AG518" s="91"/>
      <c r="AH518" s="91"/>
    </row>
    <row r="519" spans="1:34" s="1" customFormat="1" ht="45">
      <c r="A519" s="120">
        <v>518</v>
      </c>
      <c r="B519" s="120" t="b">
        <f t="shared" ca="1" si="8"/>
        <v>0</v>
      </c>
      <c r="C519" s="121">
        <v>45519</v>
      </c>
      <c r="D519" s="137">
        <v>0.72880787037037043</v>
      </c>
      <c r="E519" s="94">
        <v>2045</v>
      </c>
      <c r="F519" s="142">
        <v>1209</v>
      </c>
      <c r="G519" s="94" t="s">
        <v>34</v>
      </c>
      <c r="H519" s="94">
        <v>7208</v>
      </c>
      <c r="I519" s="91"/>
      <c r="J519" s="94" t="s">
        <v>35</v>
      </c>
      <c r="K519" s="91">
        <v>108.206</v>
      </c>
      <c r="L519" s="122" t="str">
        <f>VLOOKUP(K519,Liste!$L$2:$O$34,4,1)</f>
        <v>GSMR_19/20</v>
      </c>
      <c r="M519" s="133" t="s">
        <v>36</v>
      </c>
      <c r="N519" s="181" t="s">
        <v>58</v>
      </c>
      <c r="O519" s="125" t="s">
        <v>1208</v>
      </c>
      <c r="P519" s="126"/>
      <c r="Q519" s="94" t="s">
        <v>54</v>
      </c>
      <c r="R519" s="94" t="s">
        <v>1091</v>
      </c>
      <c r="S519" s="91" t="s">
        <v>1209</v>
      </c>
      <c r="T519" s="94" t="s">
        <v>56</v>
      </c>
      <c r="U519" s="94" t="s">
        <v>108</v>
      </c>
      <c r="V519" s="94" t="s">
        <v>51</v>
      </c>
      <c r="W519" s="94" t="s">
        <v>51</v>
      </c>
      <c r="X519" s="124" t="s">
        <v>52</v>
      </c>
      <c r="Y519" s="124" t="s">
        <v>1045</v>
      </c>
      <c r="Z519" s="91"/>
      <c r="AA519" s="91" t="s">
        <v>959</v>
      </c>
      <c r="AB519" s="91"/>
      <c r="AC519" s="91"/>
      <c r="AD519" s="91"/>
      <c r="AE519" s="91"/>
      <c r="AF519" s="91"/>
      <c r="AG519" s="91"/>
      <c r="AH519" s="91"/>
    </row>
    <row r="520" spans="1:34" s="1" customFormat="1" ht="45">
      <c r="A520" s="120">
        <v>519</v>
      </c>
      <c r="B520" s="120" t="b">
        <f t="shared" ca="1" si="8"/>
        <v>0</v>
      </c>
      <c r="C520" s="121">
        <v>45519</v>
      </c>
      <c r="D520" s="137">
        <v>0.82378472222222221</v>
      </c>
      <c r="E520" s="94">
        <v>1050</v>
      </c>
      <c r="F520" s="142">
        <v>1208</v>
      </c>
      <c r="G520" s="94" t="s">
        <v>71</v>
      </c>
      <c r="H520" s="94">
        <v>1045</v>
      </c>
      <c r="I520" s="91"/>
      <c r="J520" s="94" t="s">
        <v>72</v>
      </c>
      <c r="K520" s="91">
        <v>93.757999999999996</v>
      </c>
      <c r="L520" s="122" t="str">
        <f>VLOOKUP(K520,Liste!$L$2:$O$34,4,1)</f>
        <v>GSMR_17/18</v>
      </c>
      <c r="M520" s="133" t="s">
        <v>36</v>
      </c>
      <c r="N520" s="181" t="s">
        <v>58</v>
      </c>
      <c r="O520" s="125" t="s">
        <v>1210</v>
      </c>
      <c r="P520" s="126"/>
      <c r="Q520" s="94" t="s">
        <v>54</v>
      </c>
      <c r="R520" s="94" t="s">
        <v>848</v>
      </c>
      <c r="S520" s="91" t="s">
        <v>1211</v>
      </c>
      <c r="T520" s="94" t="s">
        <v>69</v>
      </c>
      <c r="U520" s="94" t="s">
        <v>120</v>
      </c>
      <c r="V520" s="94" t="s">
        <v>51</v>
      </c>
      <c r="W520" s="94" t="s">
        <v>51</v>
      </c>
      <c r="X520" s="124" t="s">
        <v>52</v>
      </c>
      <c r="Y520" s="124" t="s">
        <v>622</v>
      </c>
      <c r="Z520" s="91"/>
      <c r="AA520" s="91" t="s">
        <v>959</v>
      </c>
      <c r="AB520" s="91"/>
      <c r="AC520" s="91"/>
      <c r="AD520" s="91"/>
      <c r="AE520" s="91"/>
      <c r="AF520" s="91"/>
      <c r="AG520" s="91"/>
      <c r="AH520" s="91"/>
    </row>
    <row r="521" spans="1:34" s="1" customFormat="1" ht="45">
      <c r="A521" s="120">
        <v>520</v>
      </c>
      <c r="B521" s="120" t="b">
        <f t="shared" ca="1" si="8"/>
        <v>0</v>
      </c>
      <c r="C521" s="121">
        <v>45520</v>
      </c>
      <c r="D521" s="137">
        <v>0.19148148148148147</v>
      </c>
      <c r="E521" s="94">
        <v>2082</v>
      </c>
      <c r="F521" s="142">
        <v>1204</v>
      </c>
      <c r="G521" s="94" t="s">
        <v>71</v>
      </c>
      <c r="H521" s="94">
        <v>1052</v>
      </c>
      <c r="I521" s="91"/>
      <c r="J521" s="94" t="s">
        <v>72</v>
      </c>
      <c r="K521" s="91">
        <v>79.281999999999996</v>
      </c>
      <c r="L521" s="122" t="str">
        <f>VLOOKUP(K521,Liste!$L$2:$O$34,4,1)</f>
        <v>GSMR_14/15</v>
      </c>
      <c r="M521" s="133" t="s">
        <v>36</v>
      </c>
      <c r="N521" s="180" t="s">
        <v>37</v>
      </c>
      <c r="O521" s="125" t="s">
        <v>1212</v>
      </c>
      <c r="P521" s="119"/>
      <c r="Q521" s="94" t="s">
        <v>531</v>
      </c>
      <c r="R521" s="94" t="s">
        <v>1032</v>
      </c>
      <c r="S521" s="91" t="s">
        <v>1213</v>
      </c>
      <c r="T521" s="94" t="s">
        <v>69</v>
      </c>
      <c r="U521" s="94" t="s">
        <v>120</v>
      </c>
      <c r="V521" s="94" t="s">
        <v>51</v>
      </c>
      <c r="W521" s="94" t="s">
        <v>51</v>
      </c>
      <c r="X521" s="124" t="s">
        <v>52</v>
      </c>
      <c r="Y521" s="124" t="s">
        <v>622</v>
      </c>
      <c r="Z521" s="91"/>
      <c r="AA521" s="91" t="s">
        <v>745</v>
      </c>
      <c r="AB521" s="91"/>
      <c r="AC521" s="91"/>
      <c r="AD521" s="91"/>
      <c r="AE521" s="91"/>
      <c r="AF521" s="91"/>
      <c r="AG521" s="91"/>
      <c r="AH521" s="91"/>
    </row>
    <row r="522" spans="1:34" s="1" customFormat="1" ht="60">
      <c r="A522" s="120">
        <v>521</v>
      </c>
      <c r="B522" s="120" t="b">
        <f t="shared" ca="1" si="8"/>
        <v>0</v>
      </c>
      <c r="C522" s="121">
        <v>45520</v>
      </c>
      <c r="D522" s="137">
        <v>0.31202546296296296</v>
      </c>
      <c r="E522" s="94">
        <v>1001</v>
      </c>
      <c r="F522" s="142">
        <v>1202</v>
      </c>
      <c r="G522" s="94" t="s">
        <v>71</v>
      </c>
      <c r="H522" s="94">
        <v>1022</v>
      </c>
      <c r="I522" s="91"/>
      <c r="J522" s="94" t="s">
        <v>72</v>
      </c>
      <c r="K522" s="91">
        <v>177.85</v>
      </c>
      <c r="L522" s="122" t="str">
        <f>VLOOKUP(K522,Liste!$L$2:$O$34,4,1)</f>
        <v>GSMR_30/31</v>
      </c>
      <c r="M522" s="133" t="s">
        <v>36</v>
      </c>
      <c r="N522" s="180" t="s">
        <v>37</v>
      </c>
      <c r="O522" s="125" t="s">
        <v>1214</v>
      </c>
      <c r="P522" s="126"/>
      <c r="Q522" s="124" t="s">
        <v>47</v>
      </c>
      <c r="R522" s="94" t="s">
        <v>1215</v>
      </c>
      <c r="S522" s="91" t="s">
        <v>1216</v>
      </c>
      <c r="T522" s="94" t="s">
        <v>41</v>
      </c>
      <c r="U522" s="94" t="s">
        <v>230</v>
      </c>
      <c r="V522" s="94" t="s">
        <v>51</v>
      </c>
      <c r="W522" s="94" t="s">
        <v>51</v>
      </c>
      <c r="X522" s="124" t="s">
        <v>52</v>
      </c>
      <c r="Y522" s="124" t="s">
        <v>622</v>
      </c>
      <c r="Z522" s="91"/>
      <c r="AA522" s="91" t="s">
        <v>745</v>
      </c>
      <c r="AB522" s="91"/>
      <c r="AC522" s="91"/>
      <c r="AD522" s="91"/>
      <c r="AE522" s="91"/>
      <c r="AF522" s="91"/>
      <c r="AG522" s="91"/>
      <c r="AH522" s="91"/>
    </row>
    <row r="523" spans="1:34" s="1" customFormat="1" ht="45">
      <c r="A523" s="120">
        <v>522</v>
      </c>
      <c r="B523" s="120" t="b">
        <f t="shared" ca="1" si="8"/>
        <v>0</v>
      </c>
      <c r="C523" s="121">
        <v>45520</v>
      </c>
      <c r="D523" s="137">
        <v>0.8155324074074074</v>
      </c>
      <c r="E523" s="94">
        <v>1049</v>
      </c>
      <c r="F523" s="142">
        <v>1209</v>
      </c>
      <c r="G523" s="94" t="s">
        <v>71</v>
      </c>
      <c r="H523" s="94">
        <v>1033</v>
      </c>
      <c r="I523" s="91"/>
      <c r="J523" s="94" t="s">
        <v>72</v>
      </c>
      <c r="K523" s="91">
        <v>177.85</v>
      </c>
      <c r="L523" s="122" t="str">
        <f>VLOOKUP(K523,Liste!$L$2:$O$34,4,1)</f>
        <v>GSMR_30/31</v>
      </c>
      <c r="M523" s="133" t="s">
        <v>36</v>
      </c>
      <c r="N523" s="180" t="s">
        <v>37</v>
      </c>
      <c r="O523" s="125" t="s">
        <v>1217</v>
      </c>
      <c r="P523" s="126"/>
      <c r="Q523" s="124" t="s">
        <v>47</v>
      </c>
      <c r="R523" s="94" t="s">
        <v>1215</v>
      </c>
      <c r="S523" s="91" t="s">
        <v>1218</v>
      </c>
      <c r="T523" s="94" t="s">
        <v>209</v>
      </c>
      <c r="U523" s="94" t="s">
        <v>137</v>
      </c>
      <c r="V523" s="94" t="s">
        <v>51</v>
      </c>
      <c r="W523" s="94" t="s">
        <v>51</v>
      </c>
      <c r="X523" s="124" t="s">
        <v>52</v>
      </c>
      <c r="Y523" s="124" t="s">
        <v>622</v>
      </c>
      <c r="Z523" s="91"/>
      <c r="AA523" s="91" t="s">
        <v>959</v>
      </c>
      <c r="AB523" s="91"/>
      <c r="AC523" s="91"/>
      <c r="AD523" s="91"/>
      <c r="AE523" s="91"/>
      <c r="AF523" s="91"/>
      <c r="AG523" s="91"/>
      <c r="AH523" s="91"/>
    </row>
    <row r="524" spans="1:34" s="1" customFormat="1" ht="45">
      <c r="A524" s="120">
        <v>523</v>
      </c>
      <c r="B524" s="120" t="b">
        <f t="shared" ca="1" si="8"/>
        <v>0</v>
      </c>
      <c r="C524" s="121">
        <v>45520</v>
      </c>
      <c r="D524" s="137">
        <v>0.93883101851851847</v>
      </c>
      <c r="E524" s="94">
        <v>1062</v>
      </c>
      <c r="F524" s="142">
        <v>1207</v>
      </c>
      <c r="G524" s="94" t="s">
        <v>71</v>
      </c>
      <c r="H524" s="94">
        <v>1007</v>
      </c>
      <c r="I524" s="91"/>
      <c r="J524" s="94" t="s">
        <v>72</v>
      </c>
      <c r="K524" s="91">
        <v>177.85</v>
      </c>
      <c r="L524" s="122" t="str">
        <f>VLOOKUP(K524,Liste!$L$2:$O$34,4,1)</f>
        <v>GSMR_30/31</v>
      </c>
      <c r="M524" s="133" t="s">
        <v>36</v>
      </c>
      <c r="N524" s="180" t="s">
        <v>37</v>
      </c>
      <c r="O524" s="125" t="s">
        <v>1219</v>
      </c>
      <c r="P524" s="126"/>
      <c r="Q524" s="124" t="s">
        <v>47</v>
      </c>
      <c r="R524" s="94" t="s">
        <v>1215</v>
      </c>
      <c r="S524" s="91" t="s">
        <v>1220</v>
      </c>
      <c r="T524" s="94" t="s">
        <v>56</v>
      </c>
      <c r="U524" s="94" t="s">
        <v>318</v>
      </c>
      <c r="V524" s="94" t="s">
        <v>51</v>
      </c>
      <c r="W524" s="94" t="s">
        <v>51</v>
      </c>
      <c r="X524" s="124" t="s">
        <v>52</v>
      </c>
      <c r="Y524" s="124" t="s">
        <v>622</v>
      </c>
      <c r="Z524" s="91"/>
      <c r="AA524" s="91" t="s">
        <v>772</v>
      </c>
      <c r="AB524" s="91"/>
      <c r="AC524" s="91"/>
      <c r="AD524" s="91"/>
      <c r="AE524" s="91"/>
      <c r="AF524" s="91"/>
      <c r="AG524" s="91"/>
      <c r="AH524" s="91"/>
    </row>
    <row r="525" spans="1:34" s="1" customFormat="1" ht="45">
      <c r="A525" s="120">
        <v>524</v>
      </c>
      <c r="B525" s="120" t="b">
        <f t="shared" ca="1" si="8"/>
        <v>0</v>
      </c>
      <c r="C525" s="121">
        <v>45521</v>
      </c>
      <c r="D525" s="137">
        <v>0.3527777777777778</v>
      </c>
      <c r="E525" s="94">
        <v>2009</v>
      </c>
      <c r="F525" s="142">
        <v>1201</v>
      </c>
      <c r="G525" s="94" t="s">
        <v>34</v>
      </c>
      <c r="H525" s="94">
        <v>7198</v>
      </c>
      <c r="I525" s="91"/>
      <c r="J525" s="94" t="s">
        <v>35</v>
      </c>
      <c r="K525" s="91">
        <v>109.495</v>
      </c>
      <c r="L525" s="122" t="str">
        <f>VLOOKUP(K525,Liste!$L$2:$O$34,4,1)</f>
        <v>GSMR_19/20</v>
      </c>
      <c r="M525" s="133" t="s">
        <v>36</v>
      </c>
      <c r="N525" s="180" t="s">
        <v>37</v>
      </c>
      <c r="O525" s="125" t="s">
        <v>1221</v>
      </c>
      <c r="P525" s="119"/>
      <c r="Q525" s="94" t="s">
        <v>531</v>
      </c>
      <c r="R525" s="94" t="s">
        <v>1222</v>
      </c>
      <c r="S525" s="91" t="s">
        <v>1223</v>
      </c>
      <c r="T525" s="94" t="s">
        <v>69</v>
      </c>
      <c r="U525" s="94" t="s">
        <v>108</v>
      </c>
      <c r="V525" s="94" t="s">
        <v>51</v>
      </c>
      <c r="W525" s="94" t="s">
        <v>51</v>
      </c>
      <c r="X525" s="124" t="s">
        <v>52</v>
      </c>
      <c r="Y525" s="124" t="s">
        <v>622</v>
      </c>
      <c r="Z525" s="91"/>
      <c r="AA525" s="91" t="s">
        <v>959</v>
      </c>
      <c r="AB525" s="91"/>
      <c r="AC525" s="91"/>
      <c r="AD525" s="91"/>
      <c r="AE525" s="91"/>
      <c r="AF525" s="91"/>
      <c r="AG525" s="91"/>
      <c r="AH525" s="91"/>
    </row>
    <row r="526" spans="1:34" s="1" customFormat="1" ht="45">
      <c r="A526" s="120">
        <v>525</v>
      </c>
      <c r="B526" s="120" t="b">
        <f t="shared" ca="1" si="8"/>
        <v>0</v>
      </c>
      <c r="C526" s="121">
        <v>45521</v>
      </c>
      <c r="D526" s="137">
        <v>0.72651620370370373</v>
      </c>
      <c r="E526" s="94">
        <v>2045</v>
      </c>
      <c r="F526" s="142">
        <v>1211</v>
      </c>
      <c r="G526" s="94" t="s">
        <v>34</v>
      </c>
      <c r="H526" s="94">
        <v>1028</v>
      </c>
      <c r="I526" s="91"/>
      <c r="J526" s="94" t="s">
        <v>35</v>
      </c>
      <c r="K526" s="91">
        <v>93.757999999999996</v>
      </c>
      <c r="L526" s="122" t="str">
        <f>VLOOKUP(K526,Liste!$L$2:$O$34,4,1)</f>
        <v>GSMR_17/18</v>
      </c>
      <c r="M526" s="133" t="s">
        <v>36</v>
      </c>
      <c r="N526" s="181" t="s">
        <v>58</v>
      </c>
      <c r="O526" s="125" t="s">
        <v>1224</v>
      </c>
      <c r="P526" s="126"/>
      <c r="Q526" s="94" t="s">
        <v>54</v>
      </c>
      <c r="R526" s="94" t="s">
        <v>1225</v>
      </c>
      <c r="S526" s="91" t="s">
        <v>1226</v>
      </c>
      <c r="T526" s="94" t="s">
        <v>78</v>
      </c>
      <c r="U526" s="94" t="s">
        <v>307</v>
      </c>
      <c r="V526" s="94" t="s">
        <v>43</v>
      </c>
      <c r="W526" s="94" t="s">
        <v>43</v>
      </c>
      <c r="X526" s="124" t="s">
        <v>52</v>
      </c>
      <c r="Y526" s="124" t="s">
        <v>622</v>
      </c>
      <c r="Z526" s="91"/>
      <c r="AA526" s="91" t="s">
        <v>757</v>
      </c>
      <c r="AB526" s="91"/>
      <c r="AC526" s="91"/>
      <c r="AD526" s="91"/>
      <c r="AE526" s="91"/>
      <c r="AF526" s="91"/>
      <c r="AG526" s="91"/>
      <c r="AH526" s="91"/>
    </row>
    <row r="527" spans="1:34" s="1" customFormat="1" ht="45">
      <c r="A527" s="120">
        <v>526</v>
      </c>
      <c r="B527" s="120" t="b">
        <f t="shared" ca="1" si="8"/>
        <v>0</v>
      </c>
      <c r="C527" s="121">
        <v>45522</v>
      </c>
      <c r="D527" s="137">
        <v>0.37906250000000002</v>
      </c>
      <c r="E527" s="94">
        <v>1005</v>
      </c>
      <c r="F527" s="142">
        <v>1201</v>
      </c>
      <c r="G527" s="94" t="s">
        <v>71</v>
      </c>
      <c r="H527" s="94">
        <v>1060</v>
      </c>
      <c r="I527" s="91"/>
      <c r="J527" s="94" t="s">
        <v>72</v>
      </c>
      <c r="K527" s="152">
        <v>7.3209999999999997</v>
      </c>
      <c r="L527" s="122" t="str">
        <f>VLOOKUP(K527,Liste!$L$2:$O$34,4,1)</f>
        <v>GSMR_02/03</v>
      </c>
      <c r="M527" s="133" t="s">
        <v>36</v>
      </c>
      <c r="N527" s="180" t="s">
        <v>37</v>
      </c>
      <c r="O527" s="125" t="s">
        <v>1227</v>
      </c>
      <c r="P527" s="119"/>
      <c r="Q527" s="94" t="s">
        <v>531</v>
      </c>
      <c r="R527" s="94" t="s">
        <v>1032</v>
      </c>
      <c r="S527" s="91" t="s">
        <v>1228</v>
      </c>
      <c r="T527" s="94" t="s">
        <v>56</v>
      </c>
      <c r="U527" s="94" t="s">
        <v>183</v>
      </c>
      <c r="V527" s="94" t="s">
        <v>43</v>
      </c>
      <c r="W527" s="94" t="s">
        <v>51</v>
      </c>
      <c r="X527" s="124" t="s">
        <v>52</v>
      </c>
      <c r="Y527" s="124" t="s">
        <v>622</v>
      </c>
      <c r="Z527" s="91"/>
      <c r="AA527" s="91" t="s">
        <v>778</v>
      </c>
      <c r="AB527" s="91"/>
      <c r="AC527" s="91"/>
      <c r="AD527" s="91"/>
      <c r="AE527" s="91"/>
      <c r="AF527" s="91"/>
      <c r="AG527" s="91"/>
      <c r="AH527" s="91"/>
    </row>
    <row r="528" spans="1:34" s="1" customFormat="1" ht="45">
      <c r="A528" s="120">
        <v>527</v>
      </c>
      <c r="B528" s="120" t="b">
        <f t="shared" ca="1" si="8"/>
        <v>0</v>
      </c>
      <c r="C528" s="121">
        <v>45522</v>
      </c>
      <c r="D528" s="137">
        <v>0.43681712962962965</v>
      </c>
      <c r="E528" s="94">
        <v>1013</v>
      </c>
      <c r="F528" s="142">
        <v>1209</v>
      </c>
      <c r="G528" s="94" t="s">
        <v>71</v>
      </c>
      <c r="H528" s="94">
        <v>1032</v>
      </c>
      <c r="I528" s="91"/>
      <c r="J528" s="94" t="s">
        <v>72</v>
      </c>
      <c r="K528" s="91">
        <v>182.86500000000001</v>
      </c>
      <c r="L528" s="122" t="str">
        <f>VLOOKUP(K528,Liste!$L$2:$O$34,4,1)</f>
        <v>GSMR_31/32</v>
      </c>
      <c r="M528" s="133" t="s">
        <v>36</v>
      </c>
      <c r="N528" s="181" t="s">
        <v>58</v>
      </c>
      <c r="O528" s="125" t="s">
        <v>1229</v>
      </c>
      <c r="P528" s="119"/>
      <c r="Q528" s="94" t="s">
        <v>531</v>
      </c>
      <c r="R528" s="94" t="s">
        <v>1222</v>
      </c>
      <c r="S528" s="91" t="s">
        <v>1230</v>
      </c>
      <c r="T528" s="94" t="s">
        <v>69</v>
      </c>
      <c r="U528" s="94" t="s">
        <v>120</v>
      </c>
      <c r="V528" s="94" t="s">
        <v>51</v>
      </c>
      <c r="W528" s="94" t="s">
        <v>51</v>
      </c>
      <c r="X528" s="124" t="s">
        <v>52</v>
      </c>
      <c r="Y528" s="124" t="s">
        <v>1045</v>
      </c>
      <c r="Z528" s="91"/>
      <c r="AA528" s="91" t="s">
        <v>778</v>
      </c>
      <c r="AB528" s="91"/>
      <c r="AC528" s="91"/>
      <c r="AD528" s="91"/>
      <c r="AE528" s="91"/>
      <c r="AF528" s="91"/>
      <c r="AG528" s="91"/>
      <c r="AH528" s="91"/>
    </row>
    <row r="529" spans="1:34" s="1" customFormat="1" ht="45">
      <c r="A529" s="120">
        <v>528</v>
      </c>
      <c r="B529" s="120" t="b">
        <f t="shared" ca="1" si="8"/>
        <v>0</v>
      </c>
      <c r="C529" s="121">
        <v>45522</v>
      </c>
      <c r="D529" s="137">
        <v>0.67202546296296295</v>
      </c>
      <c r="E529" s="94">
        <v>2041</v>
      </c>
      <c r="F529" s="142">
        <v>1208</v>
      </c>
      <c r="G529" s="94" t="s">
        <v>34</v>
      </c>
      <c r="H529" s="94">
        <v>1032</v>
      </c>
      <c r="I529" s="91"/>
      <c r="J529" s="94" t="s">
        <v>35</v>
      </c>
      <c r="K529" s="152">
        <v>7.3209999999999997</v>
      </c>
      <c r="L529" s="122" t="str">
        <f>VLOOKUP(K529,Liste!$L$2:$O$34,4,1)</f>
        <v>GSMR_02/03</v>
      </c>
      <c r="M529" s="133" t="s">
        <v>36</v>
      </c>
      <c r="N529" s="181" t="s">
        <v>58</v>
      </c>
      <c r="O529" s="125" t="s">
        <v>1231</v>
      </c>
      <c r="P529" s="119"/>
      <c r="Q529" s="94" t="s">
        <v>531</v>
      </c>
      <c r="R529" s="94" t="s">
        <v>1032</v>
      </c>
      <c r="S529" s="91" t="s">
        <v>1232</v>
      </c>
      <c r="T529" s="94" t="s">
        <v>56</v>
      </c>
      <c r="U529" s="94" t="s">
        <v>387</v>
      </c>
      <c r="V529" s="94" t="s">
        <v>43</v>
      </c>
      <c r="W529" s="94" t="s">
        <v>51</v>
      </c>
      <c r="X529" s="124" t="s">
        <v>52</v>
      </c>
      <c r="Y529" s="124" t="s">
        <v>622</v>
      </c>
      <c r="Z529" s="91"/>
      <c r="AA529" s="91" t="s">
        <v>757</v>
      </c>
      <c r="AB529" s="91"/>
      <c r="AC529" s="91"/>
      <c r="AD529" s="91"/>
      <c r="AE529" s="91"/>
      <c r="AF529" s="91"/>
      <c r="AG529" s="91"/>
      <c r="AH529" s="91"/>
    </row>
    <row r="530" spans="1:34" s="1" customFormat="1" ht="45">
      <c r="A530" s="120">
        <v>529</v>
      </c>
      <c r="B530" s="120" t="b">
        <f t="shared" ca="1" si="8"/>
        <v>0</v>
      </c>
      <c r="C530" s="121">
        <v>45522</v>
      </c>
      <c r="D530" s="137">
        <v>0.83406250000000004</v>
      </c>
      <c r="E530" s="94">
        <v>1050</v>
      </c>
      <c r="F530" s="142">
        <v>1207</v>
      </c>
      <c r="G530" s="94" t="s">
        <v>71</v>
      </c>
      <c r="H530" s="94">
        <v>1008</v>
      </c>
      <c r="I530" s="91"/>
      <c r="J530" s="94" t="s">
        <v>72</v>
      </c>
      <c r="K530" s="91">
        <v>25.91</v>
      </c>
      <c r="L530" s="122" t="str">
        <f>VLOOKUP(K530,Liste!$L$2:$O$34,4,1)</f>
        <v>GSMR_05/06</v>
      </c>
      <c r="M530" s="133" t="s">
        <v>36</v>
      </c>
      <c r="N530" s="181" t="s">
        <v>58</v>
      </c>
      <c r="O530" s="125" t="s">
        <v>1233</v>
      </c>
      <c r="P530" s="119"/>
      <c r="Q530" s="94" t="s">
        <v>531</v>
      </c>
      <c r="R530" s="94" t="s">
        <v>1222</v>
      </c>
      <c r="S530" s="91" t="s">
        <v>1234</v>
      </c>
      <c r="T530" s="94" t="s">
        <v>56</v>
      </c>
      <c r="U530" s="94" t="s">
        <v>359</v>
      </c>
      <c r="V530" s="94" t="s">
        <v>51</v>
      </c>
      <c r="W530" s="94" t="s">
        <v>43</v>
      </c>
      <c r="X530" s="124" t="s">
        <v>52</v>
      </c>
      <c r="Y530" s="124" t="s">
        <v>1045</v>
      </c>
      <c r="Z530" s="91"/>
      <c r="AA530" s="91" t="s">
        <v>793</v>
      </c>
      <c r="AB530" s="91"/>
      <c r="AC530" s="91"/>
      <c r="AD530" s="91"/>
      <c r="AE530" s="91"/>
      <c r="AF530" s="91"/>
      <c r="AG530" s="91"/>
      <c r="AH530" s="91"/>
    </row>
    <row r="531" spans="1:34" s="1" customFormat="1" ht="45">
      <c r="A531" s="120">
        <v>530</v>
      </c>
      <c r="B531" s="120" t="b">
        <f t="shared" ca="1" si="8"/>
        <v>0</v>
      </c>
      <c r="C531" s="121">
        <v>45522</v>
      </c>
      <c r="D531" s="137">
        <v>0.83704861111111106</v>
      </c>
      <c r="E531" s="94">
        <v>2057</v>
      </c>
      <c r="F531" s="142">
        <v>1205</v>
      </c>
      <c r="G531" s="94" t="s">
        <v>34</v>
      </c>
      <c r="H531" s="94">
        <v>1008</v>
      </c>
      <c r="I531" s="91"/>
      <c r="J531" s="94" t="s">
        <v>35</v>
      </c>
      <c r="K531" s="152">
        <v>6.13</v>
      </c>
      <c r="L531" s="122" t="str">
        <f>VLOOKUP(K531,Liste!$L$2:$O$34,4,1)</f>
        <v>GSMR_02/03</v>
      </c>
      <c r="M531" s="133" t="s">
        <v>36</v>
      </c>
      <c r="N531" s="180" t="s">
        <v>37</v>
      </c>
      <c r="O531" s="125" t="s">
        <v>1235</v>
      </c>
      <c r="P531" s="127"/>
      <c r="Q531" s="91" t="s">
        <v>531</v>
      </c>
      <c r="R531" s="94" t="s">
        <v>1032</v>
      </c>
      <c r="S531" s="91" t="s">
        <v>1228</v>
      </c>
      <c r="T531" s="94" t="s">
        <v>93</v>
      </c>
      <c r="U531" s="94" t="s">
        <v>425</v>
      </c>
      <c r="V531" s="94" t="s">
        <v>43</v>
      </c>
      <c r="W531" s="94" t="s">
        <v>51</v>
      </c>
      <c r="X531" s="124" t="s">
        <v>52</v>
      </c>
      <c r="Y531" s="124" t="s">
        <v>622</v>
      </c>
      <c r="Z531" s="91"/>
      <c r="AA531" s="91" t="s">
        <v>793</v>
      </c>
      <c r="AB531" s="91"/>
      <c r="AC531" s="91"/>
      <c r="AD531" s="91"/>
      <c r="AE531" s="91"/>
      <c r="AF531" s="91"/>
      <c r="AG531" s="91"/>
      <c r="AH531" s="91"/>
    </row>
    <row r="532" spans="1:34" s="1" customFormat="1" ht="45">
      <c r="A532" s="120">
        <v>531</v>
      </c>
      <c r="B532" s="120" t="b">
        <f t="shared" ca="1" si="8"/>
        <v>0</v>
      </c>
      <c r="C532" s="121">
        <v>45522</v>
      </c>
      <c r="D532" s="137">
        <v>0.85645833333333332</v>
      </c>
      <c r="E532" s="94">
        <v>1054</v>
      </c>
      <c r="F532" s="142">
        <v>1208</v>
      </c>
      <c r="G532" s="94" t="s">
        <v>34</v>
      </c>
      <c r="H532" s="94">
        <v>1008</v>
      </c>
      <c r="I532" s="91"/>
      <c r="J532" s="94" t="s">
        <v>35</v>
      </c>
      <c r="K532" s="91">
        <v>177.85</v>
      </c>
      <c r="L532" s="122" t="str">
        <f>VLOOKUP(K532,Liste!$L$2:$O$34,4,1)</f>
        <v>GSMR_30/31</v>
      </c>
      <c r="M532" s="133" t="s">
        <v>36</v>
      </c>
      <c r="N532" s="180" t="s">
        <v>37</v>
      </c>
      <c r="O532" s="125" t="s">
        <v>1236</v>
      </c>
      <c r="P532" s="126"/>
      <c r="Q532" s="94" t="s">
        <v>54</v>
      </c>
      <c r="R532" s="94" t="s">
        <v>1237</v>
      </c>
      <c r="S532" s="91" t="s">
        <v>1238</v>
      </c>
      <c r="T532" s="94" t="s">
        <v>56</v>
      </c>
      <c r="U532" s="94" t="s">
        <v>79</v>
      </c>
      <c r="V532" s="94" t="s">
        <v>51</v>
      </c>
      <c r="W532" s="94" t="s">
        <v>51</v>
      </c>
      <c r="X532" s="124" t="s">
        <v>52</v>
      </c>
      <c r="Y532" s="124" t="s">
        <v>622</v>
      </c>
      <c r="Z532" s="91"/>
      <c r="AA532" s="91" t="s">
        <v>793</v>
      </c>
      <c r="AB532" s="91"/>
      <c r="AC532" s="91"/>
      <c r="AD532" s="91"/>
      <c r="AE532" s="91"/>
      <c r="AF532" s="91"/>
      <c r="AG532" s="91"/>
      <c r="AH532" s="91"/>
    </row>
    <row r="533" spans="1:34" s="1" customFormat="1" ht="105">
      <c r="A533" s="120">
        <v>532</v>
      </c>
      <c r="B533" s="120" t="b">
        <f t="shared" ca="1" si="8"/>
        <v>0</v>
      </c>
      <c r="C533" s="121">
        <v>45523</v>
      </c>
      <c r="D533" s="137">
        <v>3.0439814814814813E-3</v>
      </c>
      <c r="E533" s="94">
        <v>10092</v>
      </c>
      <c r="F533" s="142">
        <v>1201</v>
      </c>
      <c r="G533" s="94" t="s">
        <v>71</v>
      </c>
      <c r="H533" s="94">
        <v>1061</v>
      </c>
      <c r="I533" s="91"/>
      <c r="J533" s="94" t="s">
        <v>72</v>
      </c>
      <c r="K533" s="91">
        <v>10.125</v>
      </c>
      <c r="L533" s="122" t="str">
        <f>VLOOKUP(K533,Liste!$L$2:$O$34,4,1)</f>
        <v>GSMR_03/04</v>
      </c>
      <c r="M533" s="133" t="s">
        <v>36</v>
      </c>
      <c r="N533" s="181" t="s">
        <v>58</v>
      </c>
      <c r="O533" s="125" t="s">
        <v>1239</v>
      </c>
      <c r="P533" s="127"/>
      <c r="Q533" s="91" t="s">
        <v>1240</v>
      </c>
      <c r="R533" s="94" t="s">
        <v>1241</v>
      </c>
      <c r="S533" s="91" t="s">
        <v>1242</v>
      </c>
      <c r="T533" s="94" t="s">
        <v>69</v>
      </c>
      <c r="U533" s="94" t="s">
        <v>108</v>
      </c>
      <c r="V533" s="94" t="s">
        <v>51</v>
      </c>
      <c r="W533" s="94" t="s">
        <v>51</v>
      </c>
      <c r="X533" s="124" t="s">
        <v>52</v>
      </c>
      <c r="Y533" s="124" t="s">
        <v>1045</v>
      </c>
      <c r="Z533" s="91"/>
      <c r="AA533" s="91" t="s">
        <v>793</v>
      </c>
      <c r="AB533" s="91"/>
      <c r="AC533" s="91"/>
      <c r="AD533" s="91"/>
      <c r="AE533" s="91"/>
      <c r="AF533" s="91"/>
      <c r="AG533" s="91"/>
      <c r="AH533" s="91"/>
    </row>
    <row r="534" spans="1:34" s="1" customFormat="1" ht="90">
      <c r="A534" s="120">
        <v>533</v>
      </c>
      <c r="B534" s="120" t="b">
        <f t="shared" ca="1" si="8"/>
        <v>0</v>
      </c>
      <c r="C534" s="121">
        <v>45523</v>
      </c>
      <c r="D534" s="137">
        <v>0.28996527777777775</v>
      </c>
      <c r="E534" s="94">
        <v>1081</v>
      </c>
      <c r="F534" s="142">
        <v>1211</v>
      </c>
      <c r="G534" s="94" t="s">
        <v>71</v>
      </c>
      <c r="H534" s="94">
        <v>3063</v>
      </c>
      <c r="I534" s="91"/>
      <c r="J534" s="94" t="s">
        <v>72</v>
      </c>
      <c r="K534" s="91">
        <v>32.625999999999998</v>
      </c>
      <c r="L534" s="122" t="str">
        <f>VLOOKUP(K534,Liste!$L$2:$O$34,4,1)</f>
        <v>GSMR_06/07</v>
      </c>
      <c r="M534" s="133" t="s">
        <v>36</v>
      </c>
      <c r="N534" s="181" t="s">
        <v>58</v>
      </c>
      <c r="O534" s="125" t="s">
        <v>1243</v>
      </c>
      <c r="P534" s="127"/>
      <c r="Q534" s="91" t="s">
        <v>531</v>
      </c>
      <c r="R534" s="94" t="s">
        <v>833</v>
      </c>
      <c r="S534" s="91" t="s">
        <v>1244</v>
      </c>
      <c r="T534" s="94" t="s">
        <v>69</v>
      </c>
      <c r="U534" s="94" t="s">
        <v>166</v>
      </c>
      <c r="V534" s="94" t="s">
        <v>43</v>
      </c>
      <c r="W534" s="94" t="s">
        <v>51</v>
      </c>
      <c r="X534" s="124" t="s">
        <v>52</v>
      </c>
      <c r="Y534" s="124" t="s">
        <v>622</v>
      </c>
      <c r="Z534" s="91"/>
      <c r="AA534" s="91" t="s">
        <v>778</v>
      </c>
      <c r="AB534" s="91"/>
      <c r="AC534" s="91"/>
      <c r="AD534" s="91"/>
      <c r="AE534" s="91"/>
      <c r="AF534" s="91"/>
      <c r="AG534" s="91"/>
      <c r="AH534" s="91"/>
    </row>
    <row r="535" spans="1:34" s="1" customFormat="1" ht="45">
      <c r="A535" s="120">
        <v>534</v>
      </c>
      <c r="B535" s="120" t="b">
        <f t="shared" ca="1" si="8"/>
        <v>0</v>
      </c>
      <c r="C535" s="121">
        <v>45523</v>
      </c>
      <c r="D535" s="137">
        <v>0.68488425925925922</v>
      </c>
      <c r="E535" s="94">
        <v>2041</v>
      </c>
      <c r="F535" s="142">
        <v>1208</v>
      </c>
      <c r="G535" s="94" t="s">
        <v>34</v>
      </c>
      <c r="H535" s="94">
        <v>1037</v>
      </c>
      <c r="I535" s="91"/>
      <c r="J535" s="94" t="s">
        <v>35</v>
      </c>
      <c r="K535" s="91">
        <v>91.364999999999995</v>
      </c>
      <c r="L535" s="122" t="str">
        <f>VLOOKUP(K535,Liste!$L$2:$O$34,4,1)</f>
        <v>GSMR_16/17</v>
      </c>
      <c r="M535" s="133" t="s">
        <v>36</v>
      </c>
      <c r="N535" s="180" t="s">
        <v>37</v>
      </c>
      <c r="O535" s="125" t="s">
        <v>1245</v>
      </c>
      <c r="P535" s="127"/>
      <c r="Q535" s="91" t="s">
        <v>531</v>
      </c>
      <c r="R535" s="94" t="s">
        <v>768</v>
      </c>
      <c r="S535" s="91" t="s">
        <v>1246</v>
      </c>
      <c r="T535" s="94" t="s">
        <v>69</v>
      </c>
      <c r="U535" s="94" t="s">
        <v>120</v>
      </c>
      <c r="V535" s="94" t="s">
        <v>51</v>
      </c>
      <c r="W535" s="94" t="s">
        <v>51</v>
      </c>
      <c r="X535" s="124" t="s">
        <v>52</v>
      </c>
      <c r="Y535" s="124" t="s">
        <v>622</v>
      </c>
      <c r="Z535" s="91"/>
      <c r="AA535" s="91" t="s">
        <v>1183</v>
      </c>
      <c r="AB535" s="91"/>
      <c r="AC535" s="91"/>
      <c r="AD535" s="91"/>
      <c r="AE535" s="91"/>
      <c r="AF535" s="91"/>
      <c r="AG535" s="91"/>
      <c r="AH535" s="91"/>
    </row>
    <row r="536" spans="1:34" s="1" customFormat="1" ht="45">
      <c r="A536" s="120">
        <v>535</v>
      </c>
      <c r="B536" s="120" t="b">
        <f t="shared" ca="1" si="8"/>
        <v>0</v>
      </c>
      <c r="C536" s="121">
        <v>45523</v>
      </c>
      <c r="D536" s="137">
        <v>0.87844907407407402</v>
      </c>
      <c r="E536" s="94">
        <v>2061</v>
      </c>
      <c r="F536" s="142">
        <v>1208</v>
      </c>
      <c r="G536" s="94" t="s">
        <v>34</v>
      </c>
      <c r="H536" s="94">
        <v>7208</v>
      </c>
      <c r="I536" s="91"/>
      <c r="J536" s="94" t="s">
        <v>35</v>
      </c>
      <c r="K536" s="152">
        <v>6.13</v>
      </c>
      <c r="L536" s="122" t="str">
        <f>VLOOKUP(K536,Liste!$L$2:$O$34,4,1)</f>
        <v>GSMR_02/03</v>
      </c>
      <c r="M536" s="133" t="s">
        <v>36</v>
      </c>
      <c r="N536" s="181" t="s">
        <v>58</v>
      </c>
      <c r="O536" s="125" t="s">
        <v>1247</v>
      </c>
      <c r="P536" s="127"/>
      <c r="Q536" s="91" t="s">
        <v>531</v>
      </c>
      <c r="R536" s="94" t="s">
        <v>1032</v>
      </c>
      <c r="S536" s="91" t="s">
        <v>1244</v>
      </c>
      <c r="T536" s="94" t="s">
        <v>56</v>
      </c>
      <c r="U536" s="94" t="s">
        <v>57</v>
      </c>
      <c r="V536" s="94" t="s">
        <v>43</v>
      </c>
      <c r="W536" s="94" t="s">
        <v>51</v>
      </c>
      <c r="X536" s="124" t="s">
        <v>52</v>
      </c>
      <c r="Y536" s="124" t="s">
        <v>622</v>
      </c>
      <c r="Z536" s="91"/>
      <c r="AA536" s="91" t="s">
        <v>793</v>
      </c>
      <c r="AB536" s="91"/>
      <c r="AC536" s="91"/>
      <c r="AD536" s="91"/>
      <c r="AE536" s="91"/>
      <c r="AF536" s="91"/>
      <c r="AG536" s="91"/>
      <c r="AH536" s="91"/>
    </row>
    <row r="537" spans="1:34" s="1" customFormat="1" ht="45">
      <c r="A537" s="120">
        <v>536</v>
      </c>
      <c r="B537" s="120" t="b">
        <f t="shared" ca="1" si="8"/>
        <v>0</v>
      </c>
      <c r="C537" s="121">
        <v>45523</v>
      </c>
      <c r="D537" s="137">
        <v>0.95329861111111114</v>
      </c>
      <c r="E537" s="94">
        <v>1062</v>
      </c>
      <c r="F537" s="142">
        <v>1203</v>
      </c>
      <c r="G537" s="94" t="s">
        <v>71</v>
      </c>
      <c r="H537" s="94">
        <v>1026</v>
      </c>
      <c r="I537" s="91"/>
      <c r="J537" s="94" t="s">
        <v>72</v>
      </c>
      <c r="K537" s="91">
        <v>57.661999999999999</v>
      </c>
      <c r="L537" s="122" t="str">
        <f>VLOOKUP(K537,Liste!$L$2:$O$34,4,1)</f>
        <v>GSMR_10/11</v>
      </c>
      <c r="M537" s="133" t="s">
        <v>36</v>
      </c>
      <c r="N537" s="181" t="s">
        <v>58</v>
      </c>
      <c r="O537" s="125" t="s">
        <v>1248</v>
      </c>
      <c r="P537" s="127"/>
      <c r="Q537" s="91" t="s">
        <v>531</v>
      </c>
      <c r="R537" s="94" t="s">
        <v>833</v>
      </c>
      <c r="S537" s="91" t="s">
        <v>1249</v>
      </c>
      <c r="T537" s="94" t="s">
        <v>69</v>
      </c>
      <c r="U537" s="94" t="s">
        <v>425</v>
      </c>
      <c r="V537" s="94" t="s">
        <v>51</v>
      </c>
      <c r="W537" s="94" t="s">
        <v>51</v>
      </c>
      <c r="X537" s="124" t="s">
        <v>52</v>
      </c>
      <c r="Y537" s="124" t="s">
        <v>622</v>
      </c>
      <c r="Z537" s="91"/>
      <c r="AA537" s="91" t="s">
        <v>793</v>
      </c>
      <c r="AB537" s="91"/>
      <c r="AC537" s="91"/>
      <c r="AD537" s="91"/>
      <c r="AE537" s="91"/>
      <c r="AF537" s="91"/>
      <c r="AG537" s="91"/>
      <c r="AH537" s="91"/>
    </row>
    <row r="538" spans="1:34" s="1" customFormat="1" ht="45">
      <c r="A538" s="120">
        <v>537</v>
      </c>
      <c r="B538" s="120" t="b">
        <f t="shared" ca="1" si="8"/>
        <v>0</v>
      </c>
      <c r="C538" s="121">
        <v>45524</v>
      </c>
      <c r="D538" s="137">
        <v>0.31570601851851854</v>
      </c>
      <c r="E538" s="94">
        <v>10076</v>
      </c>
      <c r="F538" s="142">
        <v>1202</v>
      </c>
      <c r="G538" s="94" t="s">
        <v>71</v>
      </c>
      <c r="H538" s="94">
        <v>1022</v>
      </c>
      <c r="I538" s="91"/>
      <c r="J538" s="94" t="s">
        <v>72</v>
      </c>
      <c r="K538" s="91">
        <v>78.155000000000001</v>
      </c>
      <c r="L538" s="122" t="str">
        <f>VLOOKUP(K538,Liste!$L$2:$O$34,4,1)</f>
        <v>GSMR_14/15</v>
      </c>
      <c r="M538" s="133" t="s">
        <v>36</v>
      </c>
      <c r="N538" s="180" t="s">
        <v>37</v>
      </c>
      <c r="O538" s="125" t="s">
        <v>1250</v>
      </c>
      <c r="P538" s="119"/>
      <c r="Q538" s="94" t="s">
        <v>105</v>
      </c>
      <c r="R538" s="94" t="s">
        <v>1072</v>
      </c>
      <c r="S538" s="91" t="s">
        <v>1251</v>
      </c>
      <c r="T538" s="94" t="s">
        <v>69</v>
      </c>
      <c r="U538" s="94" t="s">
        <v>120</v>
      </c>
      <c r="V538" s="94" t="s">
        <v>51</v>
      </c>
      <c r="W538" s="94" t="s">
        <v>51</v>
      </c>
      <c r="X538" s="124" t="s">
        <v>52</v>
      </c>
      <c r="Y538" s="124" t="s">
        <v>1045</v>
      </c>
      <c r="Z538" s="91"/>
      <c r="AA538" s="91" t="s">
        <v>793</v>
      </c>
      <c r="AB538" s="91"/>
      <c r="AC538" s="91"/>
      <c r="AD538" s="91"/>
      <c r="AE538" s="91"/>
      <c r="AF538" s="91"/>
      <c r="AG538" s="91"/>
      <c r="AH538" s="91"/>
    </row>
    <row r="539" spans="1:34" s="1" customFormat="1" ht="45">
      <c r="A539" s="120">
        <v>538</v>
      </c>
      <c r="B539" s="120" t="b">
        <f t="shared" ca="1" si="8"/>
        <v>0</v>
      </c>
      <c r="C539" s="121">
        <v>45524</v>
      </c>
      <c r="D539" s="137">
        <v>0.56218749999999995</v>
      </c>
      <c r="E539" s="94">
        <v>1025</v>
      </c>
      <c r="F539" s="142">
        <v>1202</v>
      </c>
      <c r="G539" s="94" t="s">
        <v>71</v>
      </c>
      <c r="H539" s="94">
        <v>1022</v>
      </c>
      <c r="I539" s="91"/>
      <c r="J539" s="94" t="s">
        <v>72</v>
      </c>
      <c r="K539" s="91">
        <v>174.07400000000001</v>
      </c>
      <c r="L539" s="122" t="str">
        <f>VLOOKUP(K539,Liste!$L$2:$O$34,4,1)</f>
        <v>GSMR_29/30</v>
      </c>
      <c r="M539" s="133" t="s">
        <v>36</v>
      </c>
      <c r="N539" s="180" t="s">
        <v>37</v>
      </c>
      <c r="O539" s="125" t="s">
        <v>1252</v>
      </c>
      <c r="P539" s="127"/>
      <c r="Q539" s="91" t="s">
        <v>531</v>
      </c>
      <c r="R539" s="94" t="s">
        <v>833</v>
      </c>
      <c r="S539" s="91" t="s">
        <v>1253</v>
      </c>
      <c r="T539" s="94" t="s">
        <v>69</v>
      </c>
      <c r="U539" s="94" t="s">
        <v>125</v>
      </c>
      <c r="V539" s="94" t="s">
        <v>43</v>
      </c>
      <c r="W539" s="94" t="s">
        <v>51</v>
      </c>
      <c r="X539" s="124" t="s">
        <v>52</v>
      </c>
      <c r="Y539" s="124" t="s">
        <v>1045</v>
      </c>
      <c r="Z539" s="91"/>
      <c r="AA539" s="91" t="s">
        <v>772</v>
      </c>
      <c r="AB539" s="91"/>
      <c r="AC539" s="91"/>
      <c r="AD539" s="91"/>
      <c r="AE539" s="91"/>
      <c r="AF539" s="91"/>
      <c r="AG539" s="91"/>
      <c r="AH539" s="91"/>
    </row>
    <row r="540" spans="1:34" s="1" customFormat="1" ht="45">
      <c r="A540" s="120">
        <v>539</v>
      </c>
      <c r="B540" s="120" t="b">
        <f t="shared" ca="1" si="8"/>
        <v>0</v>
      </c>
      <c r="C540" s="121">
        <v>45524</v>
      </c>
      <c r="D540" s="137">
        <v>0.58656249999999999</v>
      </c>
      <c r="E540" s="94">
        <v>2033</v>
      </c>
      <c r="F540" s="142">
        <v>1207</v>
      </c>
      <c r="G540" s="94" t="s">
        <v>34</v>
      </c>
      <c r="H540" s="94">
        <v>1046</v>
      </c>
      <c r="I540" s="91"/>
      <c r="J540" s="94" t="s">
        <v>35</v>
      </c>
      <c r="K540" s="152">
        <v>6.13</v>
      </c>
      <c r="L540" s="122" t="str">
        <f>VLOOKUP(K540,Liste!$L$2:$O$34,4,1)</f>
        <v>GSMR_02/03</v>
      </c>
      <c r="M540" s="133" t="s">
        <v>36</v>
      </c>
      <c r="N540" s="181" t="s">
        <v>58</v>
      </c>
      <c r="O540" s="125" t="s">
        <v>1254</v>
      </c>
      <c r="P540" s="127"/>
      <c r="Q540" s="91" t="s">
        <v>531</v>
      </c>
      <c r="R540" s="94" t="s">
        <v>1032</v>
      </c>
      <c r="S540" s="91" t="s">
        <v>1255</v>
      </c>
      <c r="T540" s="94" t="s">
        <v>116</v>
      </c>
      <c r="U540" s="94" t="s">
        <v>57</v>
      </c>
      <c r="V540" s="94" t="s">
        <v>43</v>
      </c>
      <c r="W540" s="94" t="s">
        <v>51</v>
      </c>
      <c r="X540" s="124" t="s">
        <v>52</v>
      </c>
      <c r="Y540" s="124" t="s">
        <v>622</v>
      </c>
      <c r="Z540" s="91"/>
      <c r="AA540" s="91" t="s">
        <v>772</v>
      </c>
      <c r="AB540" s="91"/>
      <c r="AC540" s="91"/>
      <c r="AD540" s="91"/>
      <c r="AE540" s="91"/>
      <c r="AF540" s="91"/>
      <c r="AG540" s="91"/>
      <c r="AH540" s="91"/>
    </row>
    <row r="541" spans="1:34" s="1" customFormat="1" ht="45">
      <c r="A541" s="120">
        <v>540</v>
      </c>
      <c r="B541" s="120" t="b">
        <f t="shared" ca="1" si="8"/>
        <v>0</v>
      </c>
      <c r="C541" s="121">
        <v>45524</v>
      </c>
      <c r="D541" s="137">
        <v>0.83642361111111108</v>
      </c>
      <c r="E541" s="94">
        <v>2057</v>
      </c>
      <c r="F541" s="142">
        <v>1207</v>
      </c>
      <c r="G541" s="94" t="s">
        <v>34</v>
      </c>
      <c r="H541" s="94">
        <v>1046</v>
      </c>
      <c r="I541" s="91"/>
      <c r="J541" s="94" t="s">
        <v>35</v>
      </c>
      <c r="K541" s="152">
        <v>6.13</v>
      </c>
      <c r="L541" s="122" t="str">
        <f>VLOOKUP(K541,Liste!$L$2:$O$34,4,1)</f>
        <v>GSMR_02/03</v>
      </c>
      <c r="M541" s="133" t="s">
        <v>36</v>
      </c>
      <c r="N541" s="180" t="s">
        <v>37</v>
      </c>
      <c r="O541" s="125" t="s">
        <v>1256</v>
      </c>
      <c r="P541" s="127"/>
      <c r="Q541" s="91" t="s">
        <v>531</v>
      </c>
      <c r="R541" s="94" t="s">
        <v>1032</v>
      </c>
      <c r="S541" s="91" t="s">
        <v>1255</v>
      </c>
      <c r="T541" s="94" t="s">
        <v>56</v>
      </c>
      <c r="U541" s="94" t="s">
        <v>387</v>
      </c>
      <c r="V541" s="94" t="s">
        <v>51</v>
      </c>
      <c r="W541" s="94" t="s">
        <v>51</v>
      </c>
      <c r="X541" s="124" t="s">
        <v>52</v>
      </c>
      <c r="Y541" s="124" t="s">
        <v>622</v>
      </c>
      <c r="Z541" s="91"/>
      <c r="AA541" s="91" t="s">
        <v>772</v>
      </c>
      <c r="AB541" s="91"/>
      <c r="AC541" s="91"/>
      <c r="AD541" s="91"/>
      <c r="AE541" s="91"/>
      <c r="AF541" s="91"/>
      <c r="AG541" s="91"/>
      <c r="AH541" s="91"/>
    </row>
    <row r="542" spans="1:34" s="1" customFormat="1" ht="45">
      <c r="A542" s="120">
        <v>541</v>
      </c>
      <c r="B542" s="120" t="b">
        <f t="shared" ca="1" si="8"/>
        <v>0</v>
      </c>
      <c r="C542" s="121">
        <v>45525</v>
      </c>
      <c r="D542" s="137">
        <v>0.37857638888888889</v>
      </c>
      <c r="E542" s="94">
        <v>1005</v>
      </c>
      <c r="F542" s="142">
        <v>1203</v>
      </c>
      <c r="G542" s="94" t="s">
        <v>71</v>
      </c>
      <c r="H542" s="94">
        <v>1027</v>
      </c>
      <c r="I542" s="91"/>
      <c r="J542" s="94" t="s">
        <v>72</v>
      </c>
      <c r="K542" s="152">
        <v>7.3209999999999997</v>
      </c>
      <c r="L542" s="122" t="str">
        <f>VLOOKUP(K542,Liste!$L$2:$O$34,4,1)</f>
        <v>GSMR_02/03</v>
      </c>
      <c r="M542" s="133" t="s">
        <v>36</v>
      </c>
      <c r="N542" s="181" t="s">
        <v>58</v>
      </c>
      <c r="O542" s="125" t="s">
        <v>1257</v>
      </c>
      <c r="P542" s="127"/>
      <c r="Q542" s="91" t="s">
        <v>531</v>
      </c>
      <c r="R542" s="94" t="s">
        <v>1032</v>
      </c>
      <c r="S542" s="91" t="s">
        <v>1258</v>
      </c>
      <c r="T542" s="94" t="s">
        <v>56</v>
      </c>
      <c r="U542" s="94" t="s">
        <v>449</v>
      </c>
      <c r="V542" s="94" t="s">
        <v>51</v>
      </c>
      <c r="W542" s="94" t="s">
        <v>51</v>
      </c>
      <c r="X542" s="124" t="s">
        <v>52</v>
      </c>
      <c r="Y542" s="124" t="s">
        <v>622</v>
      </c>
      <c r="Z542" s="91"/>
      <c r="AA542" s="91" t="s">
        <v>754</v>
      </c>
      <c r="AB542" s="91"/>
      <c r="AC542" s="91"/>
      <c r="AD542" s="91"/>
      <c r="AE542" s="91"/>
      <c r="AF542" s="91"/>
      <c r="AG542" s="91"/>
      <c r="AH542" s="91"/>
    </row>
    <row r="543" spans="1:34" s="1" customFormat="1" ht="45">
      <c r="A543" s="120">
        <v>542</v>
      </c>
      <c r="B543" s="120" t="b">
        <f t="shared" ca="1" si="8"/>
        <v>0</v>
      </c>
      <c r="C543" s="121">
        <v>45525</v>
      </c>
      <c r="D543" s="137">
        <v>0.47215277777777775</v>
      </c>
      <c r="E543" s="94">
        <v>2021</v>
      </c>
      <c r="F543" s="142">
        <v>1210</v>
      </c>
      <c r="G543" s="94" t="s">
        <v>34</v>
      </c>
      <c r="H543" s="94">
        <v>1049</v>
      </c>
      <c r="I543" s="115"/>
      <c r="J543" s="94" t="s">
        <v>35</v>
      </c>
      <c r="K543" s="91">
        <v>62.072000000000003</v>
      </c>
      <c r="L543" s="122" t="str">
        <f>VLOOKUP(K543,Liste!$L$2:$O$34,4,1)</f>
        <v>GSMR_11/12</v>
      </c>
      <c r="M543" s="133" t="s">
        <v>36</v>
      </c>
      <c r="N543" s="180" t="s">
        <v>37</v>
      </c>
      <c r="O543" s="125" t="s">
        <v>1259</v>
      </c>
      <c r="P543" s="127"/>
      <c r="Q543" s="91" t="s">
        <v>531</v>
      </c>
      <c r="R543" s="94" t="s">
        <v>833</v>
      </c>
      <c r="S543" s="91" t="s">
        <v>1260</v>
      </c>
      <c r="T543" s="94" t="s">
        <v>69</v>
      </c>
      <c r="U543" s="94" t="s">
        <v>75</v>
      </c>
      <c r="V543" s="94" t="s">
        <v>51</v>
      </c>
      <c r="W543" s="94" t="s">
        <v>51</v>
      </c>
      <c r="X543" s="124" t="s">
        <v>52</v>
      </c>
      <c r="Y543" s="124" t="s">
        <v>622</v>
      </c>
      <c r="Z543" s="91"/>
      <c r="AA543" s="91" t="s">
        <v>754</v>
      </c>
      <c r="AB543" s="91"/>
      <c r="AC543" s="91"/>
      <c r="AD543" s="91"/>
      <c r="AE543" s="91"/>
      <c r="AF543" s="91"/>
      <c r="AG543" s="91"/>
      <c r="AH543" s="91"/>
    </row>
    <row r="544" spans="1:34" s="1" customFormat="1" ht="45">
      <c r="A544" s="120">
        <v>543</v>
      </c>
      <c r="B544" s="120" t="b">
        <f t="shared" ca="1" si="8"/>
        <v>0</v>
      </c>
      <c r="C544" s="121">
        <v>45525</v>
      </c>
      <c r="D544" s="137">
        <v>0.52758101851851846</v>
      </c>
      <c r="E544" s="94">
        <v>1021</v>
      </c>
      <c r="F544" s="142">
        <v>1207</v>
      </c>
      <c r="G544" s="94" t="s">
        <v>71</v>
      </c>
      <c r="H544" s="94">
        <v>1008</v>
      </c>
      <c r="I544" s="115"/>
      <c r="J544" s="94" t="s">
        <v>72</v>
      </c>
      <c r="K544" s="91">
        <v>134.30000000000001</v>
      </c>
      <c r="L544" s="122" t="str">
        <f>VLOOKUP(K544,Liste!$L$2:$O$34,4,1)</f>
        <v>GSMR_23/24</v>
      </c>
      <c r="M544" s="133" t="s">
        <v>36</v>
      </c>
      <c r="N544" s="180" t="s">
        <v>37</v>
      </c>
      <c r="O544" s="125" t="s">
        <v>1261</v>
      </c>
      <c r="P544" s="127"/>
      <c r="Q544" s="91" t="s">
        <v>531</v>
      </c>
      <c r="R544" s="94" t="s">
        <v>1225</v>
      </c>
      <c r="S544" s="91" t="s">
        <v>1262</v>
      </c>
      <c r="T544" s="94" t="s">
        <v>209</v>
      </c>
      <c r="U544" s="94" t="s">
        <v>50</v>
      </c>
      <c r="V544" s="94" t="s">
        <v>43</v>
      </c>
      <c r="W544" s="94" t="s">
        <v>51</v>
      </c>
      <c r="X544" s="124" t="s">
        <v>52</v>
      </c>
      <c r="Y544" s="124" t="s">
        <v>622</v>
      </c>
      <c r="Z544" s="91"/>
      <c r="AA544" s="91" t="s">
        <v>754</v>
      </c>
      <c r="AB544" s="91"/>
      <c r="AC544" s="91"/>
      <c r="AD544" s="91"/>
      <c r="AE544" s="91"/>
      <c r="AF544" s="91"/>
      <c r="AG544" s="91"/>
      <c r="AH544" s="91"/>
    </row>
    <row r="545" spans="1:34" s="1" customFormat="1" ht="45">
      <c r="A545" s="120">
        <v>544</v>
      </c>
      <c r="B545" s="120" t="b">
        <f t="shared" ca="1" si="8"/>
        <v>0</v>
      </c>
      <c r="C545" s="121">
        <v>45525</v>
      </c>
      <c r="D545" s="137">
        <v>0.73310185185185184</v>
      </c>
      <c r="E545" s="94">
        <v>2045</v>
      </c>
      <c r="F545" s="142">
        <v>1210</v>
      </c>
      <c r="G545" s="94" t="s">
        <v>34</v>
      </c>
      <c r="H545" s="94">
        <v>1049</v>
      </c>
      <c r="I545" s="115"/>
      <c r="J545" s="94" t="s">
        <v>35</v>
      </c>
      <c r="K545" s="91">
        <v>138.30199999999999</v>
      </c>
      <c r="L545" s="122" t="str">
        <f>VLOOKUP(K545,Liste!$L$2:$O$34,4,1)</f>
        <v>GSMR_24/25</v>
      </c>
      <c r="M545" s="133" t="s">
        <v>36</v>
      </c>
      <c r="N545" s="180" t="s">
        <v>37</v>
      </c>
      <c r="O545" s="125" t="s">
        <v>1263</v>
      </c>
      <c r="P545" s="127"/>
      <c r="Q545" s="91" t="s">
        <v>531</v>
      </c>
      <c r="R545" s="94" t="s">
        <v>1222</v>
      </c>
      <c r="S545" s="91" t="s">
        <v>1264</v>
      </c>
      <c r="T545" s="94" t="s">
        <v>69</v>
      </c>
      <c r="U545" s="94" t="s">
        <v>339</v>
      </c>
      <c r="V545" s="94" t="s">
        <v>51</v>
      </c>
      <c r="W545" s="94" t="s">
        <v>51</v>
      </c>
      <c r="X545" s="124" t="s">
        <v>52</v>
      </c>
      <c r="Y545" s="124" t="s">
        <v>622</v>
      </c>
      <c r="Z545" s="91"/>
      <c r="AA545" s="91" t="s">
        <v>772</v>
      </c>
      <c r="AB545" s="91"/>
      <c r="AC545" s="91"/>
      <c r="AD545" s="91"/>
      <c r="AE545" s="91"/>
      <c r="AF545" s="91"/>
      <c r="AG545" s="91"/>
      <c r="AH545" s="91"/>
    </row>
    <row r="546" spans="1:34" s="1" customFormat="1" ht="45">
      <c r="A546" s="120">
        <v>545</v>
      </c>
      <c r="B546" s="120" t="b">
        <f t="shared" ca="1" si="8"/>
        <v>0</v>
      </c>
      <c r="C546" s="121">
        <v>45525</v>
      </c>
      <c r="D546" s="137">
        <v>0.81034722222222222</v>
      </c>
      <c r="E546" s="94">
        <v>1049</v>
      </c>
      <c r="F546" s="142">
        <v>1204</v>
      </c>
      <c r="G546" s="94" t="s">
        <v>71</v>
      </c>
      <c r="H546" s="94">
        <v>1048</v>
      </c>
      <c r="I546" s="115"/>
      <c r="J546" s="94" t="s">
        <v>72</v>
      </c>
      <c r="K546" s="91">
        <v>182.86500000000001</v>
      </c>
      <c r="L546" s="122" t="str">
        <f>VLOOKUP(K546,Liste!$L$2:$O$34,4,1)</f>
        <v>GSMR_31/32</v>
      </c>
      <c r="M546" s="133" t="s">
        <v>36</v>
      </c>
      <c r="N546" s="180" t="s">
        <v>37</v>
      </c>
      <c r="O546" s="125" t="s">
        <v>1265</v>
      </c>
      <c r="P546" s="119"/>
      <c r="Q546" s="94" t="s">
        <v>531</v>
      </c>
      <c r="R546" s="94" t="s">
        <v>1222</v>
      </c>
      <c r="S546" s="91" t="s">
        <v>1266</v>
      </c>
      <c r="T546" s="94" t="s">
        <v>69</v>
      </c>
      <c r="U546" s="94" t="s">
        <v>120</v>
      </c>
      <c r="V546" s="94" t="s">
        <v>51</v>
      </c>
      <c r="W546" s="94" t="s">
        <v>51</v>
      </c>
      <c r="X546" s="124" t="s">
        <v>52</v>
      </c>
      <c r="Y546" s="124" t="s">
        <v>622</v>
      </c>
      <c r="Z546" s="91"/>
      <c r="AA546" s="91" t="s">
        <v>772</v>
      </c>
      <c r="AB546" s="91"/>
      <c r="AC546" s="91"/>
      <c r="AD546" s="91"/>
      <c r="AE546" s="91"/>
      <c r="AF546" s="91"/>
      <c r="AG546" s="91"/>
      <c r="AH546" s="91"/>
    </row>
    <row r="547" spans="1:34" s="1" customFormat="1" ht="45">
      <c r="A547" s="120">
        <v>546</v>
      </c>
      <c r="B547" s="120" t="b">
        <f t="shared" ca="1" si="8"/>
        <v>0</v>
      </c>
      <c r="C547" s="121">
        <v>45525</v>
      </c>
      <c r="D547" s="137">
        <v>0.92063657407407407</v>
      </c>
      <c r="E547" s="94">
        <v>1058</v>
      </c>
      <c r="F547" s="142">
        <v>1209</v>
      </c>
      <c r="G547" s="94" t="s">
        <v>71</v>
      </c>
      <c r="H547" s="94">
        <v>1057</v>
      </c>
      <c r="I547" s="115"/>
      <c r="J547" s="94" t="s">
        <v>72</v>
      </c>
      <c r="K547" s="152">
        <v>7.3209999999999997</v>
      </c>
      <c r="L547" s="122" t="str">
        <f>VLOOKUP(K547,Liste!$L$2:$O$34,4,1)</f>
        <v>GSMR_02/03</v>
      </c>
      <c r="M547" s="133" t="s">
        <v>36</v>
      </c>
      <c r="N547" s="180" t="s">
        <v>37</v>
      </c>
      <c r="O547" s="125" t="s">
        <v>1267</v>
      </c>
      <c r="P547" s="127"/>
      <c r="Q547" s="91" t="s">
        <v>531</v>
      </c>
      <c r="R547" s="94" t="s">
        <v>1032</v>
      </c>
      <c r="S547" s="91" t="s">
        <v>1268</v>
      </c>
      <c r="T547" s="94" t="s">
        <v>116</v>
      </c>
      <c r="U547" s="94" t="s">
        <v>425</v>
      </c>
      <c r="V547" s="94" t="s">
        <v>51</v>
      </c>
      <c r="W547" s="94" t="s">
        <v>51</v>
      </c>
      <c r="X547" s="124" t="s">
        <v>52</v>
      </c>
      <c r="Y547" s="124" t="s">
        <v>622</v>
      </c>
      <c r="Z547" s="91"/>
      <c r="AA547" s="91" t="s">
        <v>793</v>
      </c>
      <c r="AB547" s="91"/>
      <c r="AC547" s="91"/>
      <c r="AD547" s="91"/>
      <c r="AE547" s="91"/>
      <c r="AF547" s="91"/>
      <c r="AG547" s="91"/>
      <c r="AH547" s="91"/>
    </row>
    <row r="548" spans="1:34" s="1" customFormat="1" ht="45">
      <c r="A548" s="120">
        <v>547</v>
      </c>
      <c r="B548" s="120" t="b">
        <f t="shared" ca="1" si="8"/>
        <v>0</v>
      </c>
      <c r="C548" s="121">
        <v>45525</v>
      </c>
      <c r="D548" s="137">
        <v>0.96119212962962963</v>
      </c>
      <c r="E548" s="94">
        <v>1062</v>
      </c>
      <c r="F548" s="142">
        <v>1202</v>
      </c>
      <c r="G548" s="94" t="s">
        <v>71</v>
      </c>
      <c r="H548" s="94">
        <v>1061</v>
      </c>
      <c r="I548" s="115"/>
      <c r="J548" s="94" t="s">
        <v>72</v>
      </c>
      <c r="K548" s="152">
        <v>8.9700000000000006</v>
      </c>
      <c r="L548" s="122" t="str">
        <f>VLOOKUP(K548,Liste!$L$2:$O$34,4,1)</f>
        <v>GSMR_02/03</v>
      </c>
      <c r="M548" s="133" t="s">
        <v>36</v>
      </c>
      <c r="N548" s="180" t="s">
        <v>37</v>
      </c>
      <c r="O548" s="125" t="s">
        <v>1269</v>
      </c>
      <c r="P548" s="126"/>
      <c r="Q548" s="124" t="s">
        <v>150</v>
      </c>
      <c r="R548" s="94" t="s">
        <v>1130</v>
      </c>
      <c r="S548" s="91" t="s">
        <v>1270</v>
      </c>
      <c r="T548" s="94" t="s">
        <v>101</v>
      </c>
      <c r="U548" s="94" t="s">
        <v>85</v>
      </c>
      <c r="V548" s="94" t="s">
        <v>51</v>
      </c>
      <c r="W548" s="94" t="s">
        <v>51</v>
      </c>
      <c r="X548" s="124" t="s">
        <v>52</v>
      </c>
      <c r="Y548" s="124" t="s">
        <v>1045</v>
      </c>
      <c r="Z548" s="91"/>
      <c r="AA548" s="91" t="s">
        <v>793</v>
      </c>
      <c r="AB548" s="91"/>
      <c r="AC548" s="91"/>
      <c r="AD548" s="91"/>
      <c r="AE548" s="91"/>
      <c r="AF548" s="91"/>
      <c r="AG548" s="91"/>
      <c r="AH548" s="91"/>
    </row>
    <row r="549" spans="1:34" s="1" customFormat="1" ht="45">
      <c r="A549" s="120">
        <v>548</v>
      </c>
      <c r="B549" s="120" t="b">
        <f t="shared" ca="1" si="8"/>
        <v>0</v>
      </c>
      <c r="C549" s="121">
        <v>45527</v>
      </c>
      <c r="D549" s="137">
        <v>1.0028587962963</v>
      </c>
      <c r="E549" s="94">
        <v>1062</v>
      </c>
      <c r="F549" s="142">
        <v>1202</v>
      </c>
      <c r="G549" s="94" t="s">
        <v>71</v>
      </c>
      <c r="H549" s="94">
        <v>1062</v>
      </c>
      <c r="I549" s="115"/>
      <c r="J549" s="94" t="s">
        <v>72</v>
      </c>
      <c r="K549" s="91">
        <v>9.9700000000000006</v>
      </c>
      <c r="L549" s="122" t="str">
        <f>VLOOKUP(K549,Liste!$L$2:$O$34,4,1)</f>
        <v>GSMR_03/04</v>
      </c>
      <c r="M549" s="133" t="s">
        <v>36</v>
      </c>
      <c r="N549" s="180" t="s">
        <v>37</v>
      </c>
      <c r="O549" s="125" t="s">
        <v>1269</v>
      </c>
      <c r="P549" s="127"/>
      <c r="Q549" s="91" t="s">
        <v>531</v>
      </c>
      <c r="R549" s="94" t="s">
        <v>1222</v>
      </c>
      <c r="S549" s="91" t="s">
        <v>1271</v>
      </c>
      <c r="T549" s="94" t="s">
        <v>78</v>
      </c>
      <c r="U549" s="94" t="s">
        <v>85</v>
      </c>
      <c r="V549" s="94" t="s">
        <v>51</v>
      </c>
      <c r="W549" s="94" t="s">
        <v>51</v>
      </c>
      <c r="X549" s="124" t="s">
        <v>52</v>
      </c>
      <c r="Y549" s="124" t="s">
        <v>1045</v>
      </c>
      <c r="Z549" s="91"/>
      <c r="AA549" s="91" t="s">
        <v>793</v>
      </c>
      <c r="AB549" s="91"/>
      <c r="AC549" s="91"/>
      <c r="AD549" s="91"/>
      <c r="AE549" s="91"/>
      <c r="AF549" s="91"/>
      <c r="AG549" s="91"/>
      <c r="AH549" s="91"/>
    </row>
    <row r="550" spans="1:34" s="1" customFormat="1" ht="45">
      <c r="A550" s="120">
        <v>549</v>
      </c>
      <c r="B550" s="120" t="b">
        <f t="shared" ca="1" si="8"/>
        <v>0</v>
      </c>
      <c r="C550" s="121">
        <v>45527</v>
      </c>
      <c r="D550" s="137">
        <v>0.65071759259259254</v>
      </c>
      <c r="E550" s="94">
        <v>2037</v>
      </c>
      <c r="F550" s="142">
        <v>1204</v>
      </c>
      <c r="G550" s="94" t="s">
        <v>34</v>
      </c>
      <c r="H550" s="94">
        <v>1052</v>
      </c>
      <c r="I550" s="91"/>
      <c r="J550" s="94" t="s">
        <v>35</v>
      </c>
      <c r="K550" s="91">
        <v>153.68600000000001</v>
      </c>
      <c r="L550" s="122" t="str">
        <f>VLOOKUP(K550,Liste!$L$2:$O$34,4,1)</f>
        <v>GSMR_26/27</v>
      </c>
      <c r="M550" s="133" t="s">
        <v>36</v>
      </c>
      <c r="N550" s="180" t="s">
        <v>37</v>
      </c>
      <c r="O550" s="125" t="s">
        <v>1272</v>
      </c>
      <c r="P550" s="127"/>
      <c r="Q550" s="91" t="s">
        <v>531</v>
      </c>
      <c r="R550" s="94" t="s">
        <v>1032</v>
      </c>
      <c r="S550" s="91" t="s">
        <v>1273</v>
      </c>
      <c r="T550" s="94" t="s">
        <v>101</v>
      </c>
      <c r="U550" s="94" t="s">
        <v>75</v>
      </c>
      <c r="V550" s="94" t="s">
        <v>51</v>
      </c>
      <c r="W550" s="94" t="s">
        <v>51</v>
      </c>
      <c r="X550" s="124" t="s">
        <v>52</v>
      </c>
      <c r="Y550" s="124" t="s">
        <v>622</v>
      </c>
      <c r="Z550" s="91"/>
      <c r="AA550" s="91" t="s">
        <v>772</v>
      </c>
      <c r="AB550" s="91"/>
      <c r="AC550" s="91"/>
      <c r="AD550" s="91"/>
      <c r="AE550" s="91"/>
      <c r="AF550" s="91"/>
      <c r="AG550" s="91"/>
      <c r="AH550" s="91"/>
    </row>
    <row r="551" spans="1:34" s="1" customFormat="1" ht="45">
      <c r="A551" s="120">
        <v>550</v>
      </c>
      <c r="B551" s="120" t="b">
        <f t="shared" ca="1" si="8"/>
        <v>0</v>
      </c>
      <c r="C551" s="121">
        <v>45527</v>
      </c>
      <c r="D551" s="137">
        <v>0.83684027777777781</v>
      </c>
      <c r="E551" s="94">
        <v>2057</v>
      </c>
      <c r="F551" s="142">
        <v>1205</v>
      </c>
      <c r="G551" s="94" t="s">
        <v>34</v>
      </c>
      <c r="H551" s="94">
        <v>7217</v>
      </c>
      <c r="I551" s="91"/>
      <c r="J551" s="94" t="s">
        <v>35</v>
      </c>
      <c r="K551" s="152">
        <v>6.13</v>
      </c>
      <c r="L551" s="122" t="str">
        <f>VLOOKUP(K551,Liste!$L$2:$O$34,4,1)</f>
        <v>GSMR_02/03</v>
      </c>
      <c r="M551" s="133" t="s">
        <v>36</v>
      </c>
      <c r="N551" s="181" t="s">
        <v>58</v>
      </c>
      <c r="O551" s="125" t="s">
        <v>1274</v>
      </c>
      <c r="P551" s="127"/>
      <c r="Q551" s="91" t="s">
        <v>531</v>
      </c>
      <c r="R551" s="94" t="s">
        <v>1032</v>
      </c>
      <c r="S551" s="91" t="s">
        <v>1275</v>
      </c>
      <c r="T551" s="94" t="s">
        <v>93</v>
      </c>
      <c r="U551" s="94" t="s">
        <v>183</v>
      </c>
      <c r="V551" s="94" t="s">
        <v>51</v>
      </c>
      <c r="W551" s="94" t="s">
        <v>51</v>
      </c>
      <c r="X551" s="124" t="s">
        <v>52</v>
      </c>
      <c r="Y551" s="124" t="s">
        <v>1045</v>
      </c>
      <c r="Z551" s="91"/>
      <c r="AA551" s="91" t="s">
        <v>772</v>
      </c>
      <c r="AB551" s="91"/>
      <c r="AC551" s="91"/>
      <c r="AD551" s="91"/>
      <c r="AE551" s="91"/>
      <c r="AF551" s="91"/>
      <c r="AG551" s="91"/>
      <c r="AH551" s="91"/>
    </row>
    <row r="552" spans="1:34" s="1" customFormat="1" ht="45">
      <c r="A552" s="120">
        <v>551</v>
      </c>
      <c r="B552" s="120" t="b">
        <f t="shared" ca="1" si="8"/>
        <v>0</v>
      </c>
      <c r="C552" s="121">
        <v>45527</v>
      </c>
      <c r="D552" s="137">
        <v>0.96108796296296295</v>
      </c>
      <c r="E552" s="94">
        <v>1061</v>
      </c>
      <c r="F552" s="142">
        <v>1201</v>
      </c>
      <c r="G552" s="94" t="s">
        <v>71</v>
      </c>
      <c r="H552" s="94">
        <v>1061</v>
      </c>
      <c r="I552" s="91"/>
      <c r="J552" s="94" t="s">
        <v>72</v>
      </c>
      <c r="K552" s="152">
        <v>7.3209999999999997</v>
      </c>
      <c r="L552" s="122" t="str">
        <f>VLOOKUP(K552,Liste!$L$2:$O$34,4,1)</f>
        <v>GSMR_02/03</v>
      </c>
      <c r="M552" s="133" t="s">
        <v>36</v>
      </c>
      <c r="N552" s="180" t="s">
        <v>37</v>
      </c>
      <c r="O552" s="125" t="s">
        <v>1276</v>
      </c>
      <c r="P552" s="127"/>
      <c r="Q552" s="91" t="s">
        <v>531</v>
      </c>
      <c r="R552" s="94" t="s">
        <v>1032</v>
      </c>
      <c r="S552" s="91" t="s">
        <v>1277</v>
      </c>
      <c r="T552" s="94" t="s">
        <v>69</v>
      </c>
      <c r="U552" s="94" t="s">
        <v>120</v>
      </c>
      <c r="V552" s="94" t="s">
        <v>51</v>
      </c>
      <c r="W552" s="94" t="s">
        <v>43</v>
      </c>
      <c r="X552" s="124" t="s">
        <v>52</v>
      </c>
      <c r="Y552" s="124" t="s">
        <v>622</v>
      </c>
      <c r="Z552" s="91"/>
      <c r="AA552" s="91" t="s">
        <v>778</v>
      </c>
      <c r="AB552" s="91"/>
      <c r="AC552" s="91"/>
      <c r="AD552" s="91"/>
      <c r="AE552" s="91"/>
      <c r="AF552" s="91"/>
      <c r="AG552" s="91"/>
      <c r="AH552" s="91"/>
    </row>
    <row r="553" spans="1:34" s="1" customFormat="1" ht="45">
      <c r="A553" s="120">
        <v>552</v>
      </c>
      <c r="B553" s="120" t="b">
        <f t="shared" ca="1" si="8"/>
        <v>0</v>
      </c>
      <c r="C553" s="121">
        <v>45528</v>
      </c>
      <c r="D553" s="137">
        <v>0.31336805555555558</v>
      </c>
      <c r="E553" s="94">
        <v>1001</v>
      </c>
      <c r="F553" s="142">
        <v>1205</v>
      </c>
      <c r="G553" s="94" t="s">
        <v>71</v>
      </c>
      <c r="H553" s="94">
        <v>1035</v>
      </c>
      <c r="I553" s="91"/>
      <c r="J553" s="94" t="s">
        <v>72</v>
      </c>
      <c r="K553" s="91">
        <v>166.529</v>
      </c>
      <c r="L553" s="122" t="str">
        <f>VLOOKUP(K553,Liste!$L$2:$O$34,4,1)</f>
        <v>GSMR_28/29</v>
      </c>
      <c r="M553" s="133" t="s">
        <v>36</v>
      </c>
      <c r="N553" s="180" t="s">
        <v>37</v>
      </c>
      <c r="O553" s="125" t="s">
        <v>1278</v>
      </c>
      <c r="P553" s="127"/>
      <c r="Q553" s="91" t="s">
        <v>531</v>
      </c>
      <c r="R553" s="94" t="s">
        <v>1222</v>
      </c>
      <c r="S553" s="91" t="s">
        <v>1279</v>
      </c>
      <c r="T553" s="94" t="s">
        <v>69</v>
      </c>
      <c r="U553" s="94" t="s">
        <v>108</v>
      </c>
      <c r="V553" s="94" t="s">
        <v>51</v>
      </c>
      <c r="W553" s="94" t="s">
        <v>51</v>
      </c>
      <c r="X553" s="124" t="s">
        <v>52</v>
      </c>
      <c r="Y553" s="124" t="s">
        <v>622</v>
      </c>
      <c r="Z553" s="91"/>
      <c r="AA553" s="91" t="s">
        <v>754</v>
      </c>
      <c r="AB553" s="91"/>
      <c r="AC553" s="91"/>
      <c r="AD553" s="91"/>
      <c r="AE553" s="91"/>
      <c r="AF553" s="91"/>
      <c r="AG553" s="91"/>
      <c r="AH553" s="91"/>
    </row>
    <row r="554" spans="1:34" s="1" customFormat="1" ht="45">
      <c r="A554" s="120">
        <v>553</v>
      </c>
      <c r="B554" s="120" t="b">
        <f t="shared" ca="1" si="8"/>
        <v>0</v>
      </c>
      <c r="C554" s="121">
        <v>45528</v>
      </c>
      <c r="D554" s="137">
        <v>0.41964120370370372</v>
      </c>
      <c r="E554" s="94">
        <v>1009</v>
      </c>
      <c r="F554" s="142">
        <v>1204</v>
      </c>
      <c r="G554" s="94" t="s">
        <v>71</v>
      </c>
      <c r="H554" s="94">
        <v>1031</v>
      </c>
      <c r="I554" s="91"/>
      <c r="J554" s="94" t="s">
        <v>72</v>
      </c>
      <c r="K554" s="152">
        <v>7.3209999999999997</v>
      </c>
      <c r="L554" s="122" t="str">
        <f>VLOOKUP(K554,Liste!$L$2:$O$34,4,1)</f>
        <v>GSMR_02/03</v>
      </c>
      <c r="M554" s="133" t="s">
        <v>36</v>
      </c>
      <c r="N554" s="180" t="s">
        <v>37</v>
      </c>
      <c r="O554" s="125" t="s">
        <v>1280</v>
      </c>
      <c r="P554" s="127"/>
      <c r="Q554" s="91" t="s">
        <v>531</v>
      </c>
      <c r="R554" s="94" t="s">
        <v>1032</v>
      </c>
      <c r="S554" s="91" t="s">
        <v>1258</v>
      </c>
      <c r="T554" s="94" t="s">
        <v>56</v>
      </c>
      <c r="U554" s="94" t="s">
        <v>226</v>
      </c>
      <c r="V554" s="94" t="s">
        <v>51</v>
      </c>
      <c r="W554" s="94" t="s">
        <v>51</v>
      </c>
      <c r="X554" s="124" t="s">
        <v>52</v>
      </c>
      <c r="Y554" s="124" t="s">
        <v>622</v>
      </c>
      <c r="Z554" s="91"/>
      <c r="AA554" s="91" t="s">
        <v>802</v>
      </c>
      <c r="AB554" s="91"/>
      <c r="AC554" s="91"/>
      <c r="AD554" s="91"/>
      <c r="AE554" s="91"/>
      <c r="AF554" s="91"/>
      <c r="AG554" s="91"/>
      <c r="AH554" s="91"/>
    </row>
    <row r="555" spans="1:34" s="1" customFormat="1" ht="45">
      <c r="A555" s="120">
        <v>554</v>
      </c>
      <c r="B555" s="120" t="b">
        <f t="shared" ca="1" si="8"/>
        <v>0</v>
      </c>
      <c r="C555" s="121">
        <v>45528</v>
      </c>
      <c r="D555" s="137">
        <v>0.51454861111111116</v>
      </c>
      <c r="E555" s="94">
        <v>2025</v>
      </c>
      <c r="F555" s="142">
        <v>1206</v>
      </c>
      <c r="G555" s="94" t="s">
        <v>34</v>
      </c>
      <c r="H555" s="94">
        <v>1055</v>
      </c>
      <c r="I555" s="91"/>
      <c r="J555" s="94" t="s">
        <v>35</v>
      </c>
      <c r="K555" s="91">
        <v>72.397999999999996</v>
      </c>
      <c r="L555" s="122" t="str">
        <f>VLOOKUP(K555,Liste!$L$2:$O$34,4,1)</f>
        <v>GSMR_13/14</v>
      </c>
      <c r="M555" s="133" t="s">
        <v>36</v>
      </c>
      <c r="N555" s="180" t="s">
        <v>37</v>
      </c>
      <c r="O555" s="125" t="s">
        <v>1281</v>
      </c>
      <c r="P555" s="127"/>
      <c r="Q555" s="91" t="s">
        <v>531</v>
      </c>
      <c r="R555" s="94" t="s">
        <v>1222</v>
      </c>
      <c r="S555" s="91" t="s">
        <v>1282</v>
      </c>
      <c r="T555" s="94" t="s">
        <v>69</v>
      </c>
      <c r="U555" s="94" t="s">
        <v>387</v>
      </c>
      <c r="V555" s="94" t="s">
        <v>51</v>
      </c>
      <c r="W555" s="94" t="s">
        <v>51</v>
      </c>
      <c r="X555" s="124" t="s">
        <v>52</v>
      </c>
      <c r="Y555" s="124" t="s">
        <v>622</v>
      </c>
      <c r="Z555" s="91"/>
      <c r="AA555" s="91" t="s">
        <v>754</v>
      </c>
      <c r="AB555" s="91"/>
      <c r="AC555" s="91"/>
      <c r="AD555" s="91"/>
      <c r="AE555" s="91"/>
      <c r="AF555" s="91"/>
      <c r="AG555" s="91"/>
      <c r="AH555" s="91"/>
    </row>
    <row r="556" spans="1:34" s="1" customFormat="1" ht="45">
      <c r="A556" s="120">
        <v>555</v>
      </c>
      <c r="B556" s="120" t="b">
        <f t="shared" ca="1" si="8"/>
        <v>0</v>
      </c>
      <c r="C556" s="121">
        <v>45528</v>
      </c>
      <c r="D556" s="137">
        <v>0.64550925925925928</v>
      </c>
      <c r="E556" s="94">
        <v>1033</v>
      </c>
      <c r="F556" s="142">
        <v>1204</v>
      </c>
      <c r="G556" s="94" t="s">
        <v>71</v>
      </c>
      <c r="H556" s="94">
        <v>1031</v>
      </c>
      <c r="I556" s="91"/>
      <c r="J556" s="94" t="s">
        <v>72</v>
      </c>
      <c r="K556" s="91">
        <v>172.61199999999999</v>
      </c>
      <c r="L556" s="122" t="str">
        <f>VLOOKUP(K556,Liste!$L$2:$O$34,4,1)</f>
        <v>GSMR_29/30</v>
      </c>
      <c r="M556" s="133" t="s">
        <v>36</v>
      </c>
      <c r="N556" s="180" t="s">
        <v>37</v>
      </c>
      <c r="O556" s="125" t="s">
        <v>1283</v>
      </c>
      <c r="P556" s="127"/>
      <c r="Q556" s="91" t="s">
        <v>531</v>
      </c>
      <c r="R556" s="94" t="s">
        <v>1222</v>
      </c>
      <c r="S556" s="91" t="s">
        <v>1284</v>
      </c>
      <c r="T556" s="94" t="s">
        <v>69</v>
      </c>
      <c r="U556" s="94" t="s">
        <v>120</v>
      </c>
      <c r="V556" s="94" t="s">
        <v>51</v>
      </c>
      <c r="W556" s="94" t="s">
        <v>51</v>
      </c>
      <c r="X556" s="124" t="s">
        <v>52</v>
      </c>
      <c r="Y556" s="124" t="s">
        <v>622</v>
      </c>
      <c r="Z556" s="91"/>
      <c r="AA556" s="91" t="s">
        <v>772</v>
      </c>
      <c r="AB556" s="91"/>
      <c r="AC556" s="91"/>
      <c r="AD556" s="91"/>
      <c r="AE556" s="91"/>
      <c r="AF556" s="91"/>
      <c r="AG556" s="91"/>
      <c r="AH556" s="91"/>
    </row>
    <row r="557" spans="1:34" s="1" customFormat="1" ht="45">
      <c r="A557" s="120">
        <v>556</v>
      </c>
      <c r="B557" s="120" t="b">
        <f t="shared" ca="1" si="8"/>
        <v>0</v>
      </c>
      <c r="C557" s="121">
        <v>45528</v>
      </c>
      <c r="D557" s="137">
        <v>0.67276620370370366</v>
      </c>
      <c r="E557" s="94">
        <v>1033</v>
      </c>
      <c r="F557" s="142">
        <v>1204</v>
      </c>
      <c r="G557" s="94" t="s">
        <v>71</v>
      </c>
      <c r="H557" s="94">
        <v>1031</v>
      </c>
      <c r="I557" s="91"/>
      <c r="J557" s="94" t="s">
        <v>72</v>
      </c>
      <c r="K557" s="152">
        <v>7.3209999999999997</v>
      </c>
      <c r="L557" s="122" t="str">
        <f>VLOOKUP(K557,Liste!$L$2:$O$34,4,1)</f>
        <v>GSMR_02/03</v>
      </c>
      <c r="M557" s="133" t="s">
        <v>36</v>
      </c>
      <c r="N557" s="180" t="s">
        <v>37</v>
      </c>
      <c r="O557" s="125" t="s">
        <v>1285</v>
      </c>
      <c r="P557" s="127"/>
      <c r="Q557" s="91" t="s">
        <v>531</v>
      </c>
      <c r="R557" s="94" t="s">
        <v>1032</v>
      </c>
      <c r="S557" s="91" t="s">
        <v>1286</v>
      </c>
      <c r="T557" s="94" t="s">
        <v>93</v>
      </c>
      <c r="U557" s="94" t="s">
        <v>183</v>
      </c>
      <c r="V557" s="94" t="s">
        <v>43</v>
      </c>
      <c r="W557" s="94" t="s">
        <v>51</v>
      </c>
      <c r="X557" s="124" t="s">
        <v>52</v>
      </c>
      <c r="Y557" s="124" t="s">
        <v>622</v>
      </c>
      <c r="Z557" s="91"/>
      <c r="AA557" s="91" t="s">
        <v>772</v>
      </c>
      <c r="AB557" s="91"/>
      <c r="AC557" s="91"/>
      <c r="AD557" s="91"/>
      <c r="AE557" s="91"/>
      <c r="AF557" s="91"/>
      <c r="AG557" s="91"/>
      <c r="AH557" s="91"/>
    </row>
    <row r="558" spans="1:34" s="1" customFormat="1" ht="45">
      <c r="A558" s="120">
        <v>557</v>
      </c>
      <c r="B558" s="120" t="b">
        <f t="shared" ca="1" si="8"/>
        <v>0</v>
      </c>
      <c r="C558" s="121">
        <v>45529</v>
      </c>
      <c r="D558" s="137">
        <v>0.71217592592592593</v>
      </c>
      <c r="E558" s="94">
        <v>2045</v>
      </c>
      <c r="F558" s="142">
        <v>1209</v>
      </c>
      <c r="G558" s="94" t="s">
        <v>34</v>
      </c>
      <c r="H558" s="94">
        <v>7208</v>
      </c>
      <c r="I558" s="91"/>
      <c r="J558" s="94" t="s">
        <v>35</v>
      </c>
      <c r="K558" s="152">
        <v>6.13</v>
      </c>
      <c r="L558" s="122" t="str">
        <f>VLOOKUP(K558,Liste!$L$2:$O$34,4,1)</f>
        <v>GSMR_02/03</v>
      </c>
      <c r="M558" s="133" t="s">
        <v>36</v>
      </c>
      <c r="N558" s="181" t="s">
        <v>58</v>
      </c>
      <c r="O558" s="125" t="s">
        <v>1287</v>
      </c>
      <c r="P558" s="127"/>
      <c r="Q558" s="91" t="s">
        <v>531</v>
      </c>
      <c r="R558" s="94" t="s">
        <v>1032</v>
      </c>
      <c r="S558" s="91" t="s">
        <v>1288</v>
      </c>
      <c r="T558" s="94" t="s">
        <v>56</v>
      </c>
      <c r="U558" s="94" t="s">
        <v>183</v>
      </c>
      <c r="V558" s="94" t="s">
        <v>51</v>
      </c>
      <c r="W558" s="94" t="s">
        <v>51</v>
      </c>
      <c r="X558" s="124" t="s">
        <v>52</v>
      </c>
      <c r="Y558" s="124" t="s">
        <v>227</v>
      </c>
      <c r="Z558" s="91"/>
      <c r="AA558" s="91" t="s">
        <v>1118</v>
      </c>
      <c r="AB558" s="91"/>
      <c r="AC558" s="91"/>
      <c r="AD558" s="91"/>
      <c r="AE558" s="91"/>
      <c r="AF558" s="91"/>
      <c r="AG558" s="91"/>
      <c r="AH558" s="91"/>
    </row>
    <row r="559" spans="1:34" s="1" customFormat="1" ht="45">
      <c r="A559" s="120">
        <v>558</v>
      </c>
      <c r="B559" s="120" t="b">
        <f t="shared" ca="1" si="8"/>
        <v>0</v>
      </c>
      <c r="C559" s="121">
        <v>45529</v>
      </c>
      <c r="D559" s="137">
        <v>0.91543981481481485</v>
      </c>
      <c r="E559" s="94">
        <v>1058</v>
      </c>
      <c r="F559" s="142">
        <v>1211</v>
      </c>
      <c r="G559" s="94" t="s">
        <v>71</v>
      </c>
      <c r="H559" s="94">
        <v>7208</v>
      </c>
      <c r="I559" s="91"/>
      <c r="J559" s="94" t="s">
        <v>72</v>
      </c>
      <c r="K559" s="91">
        <v>39.215000000000003</v>
      </c>
      <c r="L559" s="122" t="str">
        <f>VLOOKUP(K559,Liste!$L$2:$O$34,4,1)</f>
        <v>GSMR_07/08</v>
      </c>
      <c r="M559" s="133" t="s">
        <v>36</v>
      </c>
      <c r="N559" s="180" t="s">
        <v>37</v>
      </c>
      <c r="O559" s="125" t="s">
        <v>1289</v>
      </c>
      <c r="P559" s="126"/>
      <c r="Q559" s="124" t="s">
        <v>150</v>
      </c>
      <c r="R559" s="94" t="s">
        <v>816</v>
      </c>
      <c r="S559" s="91" t="s">
        <v>1290</v>
      </c>
      <c r="T559" s="94" t="s">
        <v>69</v>
      </c>
      <c r="U559" s="94" t="s">
        <v>57</v>
      </c>
      <c r="V559" s="94" t="s">
        <v>51</v>
      </c>
      <c r="W559" s="94" t="s">
        <v>51</v>
      </c>
      <c r="X559" s="124" t="s">
        <v>52</v>
      </c>
      <c r="Y559" s="124" t="s">
        <v>622</v>
      </c>
      <c r="Z559" s="91"/>
      <c r="AA559" s="91" t="s">
        <v>778</v>
      </c>
      <c r="AB559" s="91"/>
      <c r="AC559" s="91"/>
      <c r="AD559" s="91"/>
      <c r="AE559" s="91"/>
      <c r="AF559" s="91"/>
      <c r="AG559" s="91"/>
      <c r="AH559" s="91"/>
    </row>
    <row r="560" spans="1:34" s="1" customFormat="1" ht="45">
      <c r="A560" s="120">
        <v>559</v>
      </c>
      <c r="B560" s="120" t="b">
        <f t="shared" ca="1" si="8"/>
        <v>0</v>
      </c>
      <c r="C560" s="121">
        <v>45530</v>
      </c>
      <c r="D560" s="137">
        <v>5.4861111111111109E-3</v>
      </c>
      <c r="E560" s="94">
        <v>10091</v>
      </c>
      <c r="F560" s="142">
        <v>1204</v>
      </c>
      <c r="G560" s="94" t="s">
        <v>71</v>
      </c>
      <c r="H560" s="94">
        <v>1031</v>
      </c>
      <c r="I560" s="91"/>
      <c r="J560" s="94" t="s">
        <v>72</v>
      </c>
      <c r="K560" s="152">
        <v>7.3209999999999997</v>
      </c>
      <c r="L560" s="122" t="str">
        <f>VLOOKUP(K560,Liste!$L$2:$O$34,4,1)</f>
        <v>GSMR_02/03</v>
      </c>
      <c r="M560" s="133" t="s">
        <v>36</v>
      </c>
      <c r="N560" s="180" t="s">
        <v>37</v>
      </c>
      <c r="O560" s="125" t="s">
        <v>1291</v>
      </c>
      <c r="P560" s="127"/>
      <c r="Q560" s="91" t="s">
        <v>531</v>
      </c>
      <c r="R560" s="94" t="s">
        <v>1032</v>
      </c>
      <c r="S560" s="91" t="s">
        <v>1292</v>
      </c>
      <c r="T560" s="94" t="s">
        <v>101</v>
      </c>
      <c r="U560" s="94" t="s">
        <v>449</v>
      </c>
      <c r="V560" s="94" t="s">
        <v>51</v>
      </c>
      <c r="W560" s="94" t="s">
        <v>51</v>
      </c>
      <c r="X560" s="124" t="s">
        <v>52</v>
      </c>
      <c r="Y560" s="124" t="s">
        <v>622</v>
      </c>
      <c r="Z560" s="91"/>
      <c r="AA560" s="91" t="s">
        <v>778</v>
      </c>
      <c r="AB560" s="91"/>
      <c r="AC560" s="91"/>
      <c r="AD560" s="91"/>
      <c r="AE560" s="91"/>
      <c r="AF560" s="91"/>
      <c r="AG560" s="91"/>
      <c r="AH560" s="91"/>
    </row>
    <row r="561" spans="1:34" s="1" customFormat="1" ht="45">
      <c r="A561" s="120">
        <v>560</v>
      </c>
      <c r="B561" s="120" t="b">
        <f t="shared" ca="1" si="8"/>
        <v>0</v>
      </c>
      <c r="C561" s="121">
        <v>45531</v>
      </c>
      <c r="D561" s="137">
        <v>0.3112152777777778</v>
      </c>
      <c r="E561" s="94">
        <v>2005</v>
      </c>
      <c r="F561" s="142">
        <v>1204</v>
      </c>
      <c r="G561" s="94" t="s">
        <v>34</v>
      </c>
      <c r="H561" s="94">
        <v>1053</v>
      </c>
      <c r="I561" s="91"/>
      <c r="J561" s="94" t="s">
        <v>35</v>
      </c>
      <c r="K561" s="91">
        <v>102.91800000000001</v>
      </c>
      <c r="L561" s="122" t="str">
        <f>VLOOKUP(K561,Liste!$L$2:$O$34,4,1)</f>
        <v>GSMR_18/19</v>
      </c>
      <c r="M561" s="133" t="s">
        <v>36</v>
      </c>
      <c r="N561" s="122" t="s">
        <v>37</v>
      </c>
      <c r="O561" s="125" t="s">
        <v>1293</v>
      </c>
      <c r="P561" s="126"/>
      <c r="Q561" s="124" t="s">
        <v>150</v>
      </c>
      <c r="R561" s="94" t="s">
        <v>816</v>
      </c>
      <c r="S561" s="91" t="s">
        <v>1294</v>
      </c>
      <c r="T561" s="94" t="s">
        <v>101</v>
      </c>
      <c r="U561" s="94" t="s">
        <v>425</v>
      </c>
      <c r="V561" s="94" t="s">
        <v>51</v>
      </c>
      <c r="W561" s="94" t="s">
        <v>51</v>
      </c>
      <c r="X561" s="124" t="s">
        <v>52</v>
      </c>
      <c r="Y561" s="124" t="s">
        <v>622</v>
      </c>
      <c r="Z561" s="91"/>
      <c r="AA561" s="91" t="s">
        <v>1295</v>
      </c>
      <c r="AB561" s="91"/>
      <c r="AC561" s="91"/>
      <c r="AD561" s="91"/>
      <c r="AE561" s="91"/>
      <c r="AF561" s="91"/>
      <c r="AG561" s="91"/>
      <c r="AH561" s="91"/>
    </row>
    <row r="562" spans="1:34" s="1" customFormat="1" ht="45">
      <c r="A562" s="120">
        <v>561</v>
      </c>
      <c r="B562" s="120" t="b">
        <f t="shared" ca="1" si="8"/>
        <v>0</v>
      </c>
      <c r="C562" s="121">
        <v>45531</v>
      </c>
      <c r="D562" s="137" t="s">
        <v>1296</v>
      </c>
      <c r="E562" s="94">
        <v>2013</v>
      </c>
      <c r="F562" s="142">
        <v>1208</v>
      </c>
      <c r="G562" s="94" t="s">
        <v>34</v>
      </c>
      <c r="H562" s="94">
        <v>1037</v>
      </c>
      <c r="I562" s="91"/>
      <c r="J562" s="94" t="s">
        <v>35</v>
      </c>
      <c r="K562" s="142" t="s">
        <v>1297</v>
      </c>
      <c r="L562" s="122" t="s">
        <v>1298</v>
      </c>
      <c r="M562" s="133" t="s">
        <v>36</v>
      </c>
      <c r="N562" s="122" t="s">
        <v>37</v>
      </c>
      <c r="O562" s="125" t="s">
        <v>1299</v>
      </c>
      <c r="P562" s="127"/>
      <c r="Q562" s="91" t="s">
        <v>531</v>
      </c>
      <c r="R562" s="94" t="s">
        <v>1222</v>
      </c>
      <c r="S562" s="91" t="s">
        <v>1300</v>
      </c>
      <c r="T562" s="94" t="s">
        <v>69</v>
      </c>
      <c r="U562" s="94" t="s">
        <v>57</v>
      </c>
      <c r="V562" s="94" t="s">
        <v>51</v>
      </c>
      <c r="W562" s="94" t="s">
        <v>51</v>
      </c>
      <c r="X562" s="124" t="s">
        <v>52</v>
      </c>
      <c r="Y562" s="124" t="s">
        <v>622</v>
      </c>
      <c r="Z562" s="91"/>
      <c r="AA562" s="91" t="s">
        <v>802</v>
      </c>
      <c r="AB562" s="91"/>
      <c r="AC562" s="91"/>
      <c r="AD562" s="91"/>
      <c r="AE562" s="91"/>
      <c r="AF562" s="91"/>
      <c r="AG562" s="91"/>
      <c r="AH562" s="91"/>
    </row>
    <row r="563" spans="1:34" s="1" customFormat="1" ht="45">
      <c r="A563" s="120">
        <v>562</v>
      </c>
      <c r="B563" s="120" t="b">
        <f t="shared" ca="1" si="8"/>
        <v>0</v>
      </c>
      <c r="C563" s="121">
        <v>45531</v>
      </c>
      <c r="D563" s="137" t="s">
        <v>1301</v>
      </c>
      <c r="E563" s="94">
        <v>1014</v>
      </c>
      <c r="F563" s="142" t="s">
        <v>1302</v>
      </c>
      <c r="G563" s="94" t="s">
        <v>71</v>
      </c>
      <c r="H563" s="94" t="s">
        <v>1303</v>
      </c>
      <c r="I563" s="91"/>
      <c r="J563" s="94" t="s">
        <v>72</v>
      </c>
      <c r="K563" s="91">
        <v>11.22</v>
      </c>
      <c r="L563" s="122" t="s">
        <v>413</v>
      </c>
      <c r="M563" s="133" t="s">
        <v>36</v>
      </c>
      <c r="N563" s="180" t="s">
        <v>37</v>
      </c>
      <c r="O563" s="125" t="s">
        <v>1304</v>
      </c>
      <c r="P563" s="127"/>
      <c r="Q563" s="91" t="s">
        <v>39</v>
      </c>
      <c r="R563" s="94" t="s">
        <v>833</v>
      </c>
      <c r="S563" s="91" t="s">
        <v>1305</v>
      </c>
      <c r="T563" s="94" t="s">
        <v>69</v>
      </c>
      <c r="U563" s="94" t="s">
        <v>120</v>
      </c>
      <c r="V563" s="94" t="s">
        <v>51</v>
      </c>
      <c r="W563" s="94" t="s">
        <v>51</v>
      </c>
      <c r="X563" s="124" t="s">
        <v>52</v>
      </c>
      <c r="Y563" s="124" t="s">
        <v>622</v>
      </c>
      <c r="Z563" s="91"/>
      <c r="AA563" s="91" t="s">
        <v>802</v>
      </c>
      <c r="AB563" s="91"/>
      <c r="AC563" s="91"/>
      <c r="AD563" s="91"/>
      <c r="AE563" s="91"/>
      <c r="AF563" s="91"/>
      <c r="AG563" s="91"/>
      <c r="AH563" s="91"/>
    </row>
    <row r="564" spans="1:34" s="1" customFormat="1" ht="45">
      <c r="A564" s="120">
        <v>563</v>
      </c>
      <c r="B564" s="120" t="b">
        <f t="shared" ca="1" si="8"/>
        <v>0</v>
      </c>
      <c r="C564" s="121">
        <v>45531</v>
      </c>
      <c r="D564" s="137" t="s">
        <v>1306</v>
      </c>
      <c r="E564" s="94">
        <v>2045</v>
      </c>
      <c r="F564" s="142">
        <v>1207</v>
      </c>
      <c r="G564" s="94" t="s">
        <v>34</v>
      </c>
      <c r="H564" s="94" t="s">
        <v>1307</v>
      </c>
      <c r="I564" s="91"/>
      <c r="J564" s="94" t="s">
        <v>35</v>
      </c>
      <c r="K564" s="91">
        <v>110.843</v>
      </c>
      <c r="L564" s="122" t="s">
        <v>1308</v>
      </c>
      <c r="M564" s="133" t="s">
        <v>36</v>
      </c>
      <c r="N564" s="180" t="s">
        <v>37</v>
      </c>
      <c r="O564" s="125" t="s">
        <v>1309</v>
      </c>
      <c r="P564" s="126"/>
      <c r="Q564" s="94" t="s">
        <v>54</v>
      </c>
      <c r="R564" s="94" t="s">
        <v>1310</v>
      </c>
      <c r="S564" s="91" t="s">
        <v>1311</v>
      </c>
      <c r="T564" s="94" t="s">
        <v>93</v>
      </c>
      <c r="U564" s="94" t="s">
        <v>230</v>
      </c>
      <c r="V564" s="94" t="s">
        <v>43</v>
      </c>
      <c r="W564" s="94" t="s">
        <v>51</v>
      </c>
      <c r="X564" s="124" t="s">
        <v>52</v>
      </c>
      <c r="Y564" s="124" t="s">
        <v>622</v>
      </c>
      <c r="Z564" s="91"/>
      <c r="AA564" s="91" t="s">
        <v>1118</v>
      </c>
      <c r="AB564" s="91"/>
      <c r="AC564" s="91"/>
      <c r="AD564" s="91"/>
      <c r="AE564" s="91"/>
      <c r="AF564" s="91"/>
      <c r="AG564" s="91"/>
      <c r="AH564" s="91"/>
    </row>
    <row r="565" spans="1:34" s="1" customFormat="1" ht="45">
      <c r="A565" s="120">
        <v>564</v>
      </c>
      <c r="B565" s="120" t="b">
        <f t="shared" ca="1" si="8"/>
        <v>0</v>
      </c>
      <c r="C565" s="121">
        <v>45531</v>
      </c>
      <c r="D565" s="137" t="s">
        <v>1312</v>
      </c>
      <c r="E565" s="94">
        <v>1046</v>
      </c>
      <c r="F565" s="142">
        <v>1211</v>
      </c>
      <c r="G565" s="94" t="s">
        <v>71</v>
      </c>
      <c r="H565" s="94" t="s">
        <v>1313</v>
      </c>
      <c r="I565" s="91"/>
      <c r="J565" s="94" t="s">
        <v>72</v>
      </c>
      <c r="K565" s="91">
        <v>109.495</v>
      </c>
      <c r="L565" s="122" t="s">
        <v>1314</v>
      </c>
      <c r="M565" s="133" t="s">
        <v>36</v>
      </c>
      <c r="N565" s="180" t="s">
        <v>37</v>
      </c>
      <c r="O565" s="125" t="s">
        <v>1315</v>
      </c>
      <c r="P565" s="127"/>
      <c r="Q565" s="91" t="s">
        <v>39</v>
      </c>
      <c r="R565" s="94" t="s">
        <v>833</v>
      </c>
      <c r="S565" s="91" t="s">
        <v>1316</v>
      </c>
      <c r="T565" s="94" t="s">
        <v>69</v>
      </c>
      <c r="U565" s="94" t="s">
        <v>120</v>
      </c>
      <c r="V565" s="94" t="s">
        <v>51</v>
      </c>
      <c r="W565" s="94" t="s">
        <v>51</v>
      </c>
      <c r="X565" s="124" t="s">
        <v>52</v>
      </c>
      <c r="Y565" s="124" t="s">
        <v>622</v>
      </c>
      <c r="Z565" s="91"/>
      <c r="AA565" s="91" t="s">
        <v>1118</v>
      </c>
      <c r="AB565" s="91"/>
      <c r="AC565" s="91"/>
      <c r="AD565" s="91"/>
      <c r="AE565" s="91"/>
      <c r="AF565" s="91"/>
      <c r="AG565" s="91"/>
      <c r="AH565" s="91"/>
    </row>
    <row r="566" spans="1:34" s="1" customFormat="1" ht="45">
      <c r="A566" s="120">
        <v>565</v>
      </c>
      <c r="B566" s="120" t="b">
        <f t="shared" ca="1" si="8"/>
        <v>0</v>
      </c>
      <c r="C566" s="121">
        <v>45531</v>
      </c>
      <c r="D566" s="137" t="s">
        <v>1317</v>
      </c>
      <c r="E566" s="94">
        <v>1050</v>
      </c>
      <c r="F566" s="142">
        <v>1204</v>
      </c>
      <c r="G566" s="94" t="s">
        <v>71</v>
      </c>
      <c r="H566" s="94">
        <v>1030</v>
      </c>
      <c r="I566" s="91"/>
      <c r="J566" s="94" t="s">
        <v>72</v>
      </c>
      <c r="K566" s="152">
        <v>7.3209999999999997</v>
      </c>
      <c r="L566" s="122" t="s">
        <v>790</v>
      </c>
      <c r="M566" s="133" t="s">
        <v>36</v>
      </c>
      <c r="N566" s="180" t="s">
        <v>37</v>
      </c>
      <c r="O566" s="125" t="s">
        <v>1318</v>
      </c>
      <c r="P566" s="127"/>
      <c r="Q566" s="91" t="s">
        <v>39</v>
      </c>
      <c r="R566" s="94" t="s">
        <v>1032</v>
      </c>
      <c r="S566" s="91" t="s">
        <v>1319</v>
      </c>
      <c r="T566" s="94" t="s">
        <v>56</v>
      </c>
      <c r="U566" s="94" t="s">
        <v>90</v>
      </c>
      <c r="V566" s="94" t="s">
        <v>51</v>
      </c>
      <c r="W566" s="94" t="s">
        <v>51</v>
      </c>
      <c r="X566" s="124" t="s">
        <v>52</v>
      </c>
      <c r="Y566" s="124" t="s">
        <v>622</v>
      </c>
      <c r="Z566" s="91"/>
      <c r="AA566" s="91" t="s">
        <v>1118</v>
      </c>
      <c r="AB566" s="91"/>
      <c r="AC566" s="91"/>
      <c r="AD566" s="91"/>
      <c r="AE566" s="91"/>
      <c r="AF566" s="91"/>
      <c r="AG566" s="91"/>
      <c r="AH566" s="91"/>
    </row>
    <row r="567" spans="1:34" s="1" customFormat="1" ht="45">
      <c r="A567" s="120">
        <v>566</v>
      </c>
      <c r="B567" s="120" t="b">
        <f t="shared" ca="1" si="8"/>
        <v>0</v>
      </c>
      <c r="C567" s="121">
        <v>45531</v>
      </c>
      <c r="D567" s="137" t="s">
        <v>1320</v>
      </c>
      <c r="E567" s="94">
        <v>2057</v>
      </c>
      <c r="F567" s="142">
        <v>1211</v>
      </c>
      <c r="G567" s="94" t="s">
        <v>34</v>
      </c>
      <c r="H567" s="94">
        <v>1029</v>
      </c>
      <c r="I567" s="91"/>
      <c r="J567" s="94" t="s">
        <v>35</v>
      </c>
      <c r="K567" s="91">
        <v>186.315</v>
      </c>
      <c r="L567" s="122" t="s">
        <v>1321</v>
      </c>
      <c r="M567" s="133" t="s">
        <v>36</v>
      </c>
      <c r="N567" s="180" t="s">
        <v>37</v>
      </c>
      <c r="O567" s="125" t="s">
        <v>1322</v>
      </c>
      <c r="P567" s="127"/>
      <c r="Q567" s="91" t="s">
        <v>39</v>
      </c>
      <c r="R567" s="94" t="s">
        <v>1323</v>
      </c>
      <c r="S567" s="91" t="s">
        <v>1324</v>
      </c>
      <c r="T567" s="94" t="s">
        <v>69</v>
      </c>
      <c r="U567" s="94" t="s">
        <v>85</v>
      </c>
      <c r="V567" s="94" t="s">
        <v>43</v>
      </c>
      <c r="W567" s="94" t="s">
        <v>51</v>
      </c>
      <c r="X567" s="124" t="s">
        <v>52</v>
      </c>
      <c r="Y567" s="124" t="s">
        <v>622</v>
      </c>
      <c r="Z567" s="91"/>
      <c r="AA567" s="91" t="s">
        <v>754</v>
      </c>
      <c r="AB567" s="91"/>
      <c r="AC567" s="91"/>
      <c r="AD567" s="91"/>
      <c r="AE567" s="91"/>
      <c r="AF567" s="91"/>
      <c r="AG567" s="91"/>
      <c r="AH567" s="91"/>
    </row>
    <row r="568" spans="1:34" s="1" customFormat="1" ht="45">
      <c r="A568" s="120">
        <v>567</v>
      </c>
      <c r="B568" s="120" t="b">
        <f t="shared" ca="1" si="8"/>
        <v>0</v>
      </c>
      <c r="C568" s="121">
        <v>45532</v>
      </c>
      <c r="D568" s="137">
        <v>0.45064814814814813</v>
      </c>
      <c r="E568" s="94">
        <v>1013</v>
      </c>
      <c r="F568" s="142">
        <v>1208</v>
      </c>
      <c r="G568" s="94" t="s">
        <v>71</v>
      </c>
      <c r="H568" s="94">
        <v>1045</v>
      </c>
      <c r="I568" s="94"/>
      <c r="J568" s="94" t="s">
        <v>72</v>
      </c>
      <c r="K568" s="91">
        <v>88.911000000000001</v>
      </c>
      <c r="L568" s="122" t="str">
        <f>VLOOKUP(K568,Liste!$L$2:$O$34,4,1)</f>
        <v>GSMR_16/17</v>
      </c>
      <c r="M568" s="133" t="s">
        <v>36</v>
      </c>
      <c r="N568" s="180" t="s">
        <v>37</v>
      </c>
      <c r="O568" s="125" t="s">
        <v>1325</v>
      </c>
      <c r="P568" s="127"/>
      <c r="Q568" s="91" t="s">
        <v>39</v>
      </c>
      <c r="R568" s="94" t="s">
        <v>833</v>
      </c>
      <c r="S568" s="91" t="s">
        <v>1326</v>
      </c>
      <c r="T568" s="94" t="s">
        <v>78</v>
      </c>
      <c r="U568" s="94" t="s">
        <v>425</v>
      </c>
      <c r="V568" s="94" t="s">
        <v>51</v>
      </c>
      <c r="W568" s="94" t="s">
        <v>51</v>
      </c>
      <c r="X568" s="124" t="s">
        <v>52</v>
      </c>
      <c r="Y568" s="124" t="s">
        <v>622</v>
      </c>
      <c r="Z568" s="91"/>
      <c r="AA568" s="91" t="s">
        <v>1183</v>
      </c>
      <c r="AB568" s="91"/>
      <c r="AC568" s="91"/>
      <c r="AD568" s="91"/>
      <c r="AE568" s="91"/>
      <c r="AF568" s="91"/>
      <c r="AG568" s="91"/>
      <c r="AH568" s="91"/>
    </row>
    <row r="569" spans="1:34" s="1" customFormat="1" ht="45">
      <c r="A569" s="120">
        <v>568</v>
      </c>
      <c r="B569" s="120" t="b">
        <f t="shared" ca="1" si="8"/>
        <v>0</v>
      </c>
      <c r="C569" s="121">
        <v>45532</v>
      </c>
      <c r="D569" s="137">
        <v>0.83660879629629625</v>
      </c>
      <c r="E569" s="94">
        <v>2057</v>
      </c>
      <c r="F569" s="142">
        <v>1209</v>
      </c>
      <c r="G569" s="94" t="s">
        <v>34</v>
      </c>
      <c r="H569" s="94">
        <v>7208</v>
      </c>
      <c r="I569" s="91"/>
      <c r="J569" s="94" t="s">
        <v>35</v>
      </c>
      <c r="K569" s="152">
        <v>7.3810000000000002</v>
      </c>
      <c r="L569" s="122" t="str">
        <f>VLOOKUP(K569,Liste!$L$2:$O$34,4,1)</f>
        <v>GSMR_02/03</v>
      </c>
      <c r="M569" s="133" t="s">
        <v>36</v>
      </c>
      <c r="N569" s="181" t="s">
        <v>58</v>
      </c>
      <c r="O569" s="125" t="s">
        <v>1327</v>
      </c>
      <c r="P569" s="127"/>
      <c r="Q569" s="91" t="s">
        <v>39</v>
      </c>
      <c r="R569" s="94" t="s">
        <v>1032</v>
      </c>
      <c r="S569" s="91" t="s">
        <v>1328</v>
      </c>
      <c r="T569" s="94" t="s">
        <v>56</v>
      </c>
      <c r="U569" s="94" t="s">
        <v>183</v>
      </c>
      <c r="V569" s="94" t="s">
        <v>51</v>
      </c>
      <c r="W569" s="94" t="s">
        <v>51</v>
      </c>
      <c r="X569" s="124" t="s">
        <v>52</v>
      </c>
      <c r="Y569" s="124" t="s">
        <v>622</v>
      </c>
      <c r="Z569" s="91"/>
      <c r="AA569" s="91" t="s">
        <v>1118</v>
      </c>
      <c r="AB569" s="91"/>
      <c r="AC569" s="91"/>
      <c r="AD569" s="91"/>
      <c r="AE569" s="91"/>
      <c r="AF569" s="91"/>
      <c r="AG569" s="91"/>
      <c r="AH569" s="91"/>
    </row>
    <row r="570" spans="1:34" s="1" customFormat="1" ht="45">
      <c r="A570" s="120">
        <v>569</v>
      </c>
      <c r="B570" s="120" t="b">
        <f t="shared" ca="1" si="8"/>
        <v>0</v>
      </c>
      <c r="C570" s="121">
        <v>45532</v>
      </c>
      <c r="D570" s="137">
        <v>0.88775462962962959</v>
      </c>
      <c r="E570" s="94">
        <v>2061</v>
      </c>
      <c r="F570" s="142">
        <v>1207</v>
      </c>
      <c r="G570" s="94" t="s">
        <v>34</v>
      </c>
      <c r="H570" s="94">
        <v>1047</v>
      </c>
      <c r="I570" s="91"/>
      <c r="J570" s="94" t="s">
        <v>35</v>
      </c>
      <c r="K570" s="91">
        <v>58.71</v>
      </c>
      <c r="L570" s="122" t="str">
        <f>VLOOKUP(K570,Liste!$L$2:$O$34,4,1)</f>
        <v>GSMR_10/11</v>
      </c>
      <c r="M570" s="133" t="s">
        <v>36</v>
      </c>
      <c r="N570" s="180" t="s">
        <v>37</v>
      </c>
      <c r="O570" s="125" t="s">
        <v>1329</v>
      </c>
      <c r="P570" s="127"/>
      <c r="Q570" s="91" t="s">
        <v>39</v>
      </c>
      <c r="R570" s="94" t="s">
        <v>833</v>
      </c>
      <c r="S570" s="91" t="s">
        <v>1330</v>
      </c>
      <c r="T570" s="94" t="s">
        <v>41</v>
      </c>
      <c r="U570" s="94" t="s">
        <v>572</v>
      </c>
      <c r="V570" s="94" t="s">
        <v>43</v>
      </c>
      <c r="W570" s="94" t="s">
        <v>51</v>
      </c>
      <c r="X570" s="124" t="s">
        <v>52</v>
      </c>
      <c r="Y570" s="124" t="s">
        <v>622</v>
      </c>
      <c r="Z570" s="91"/>
      <c r="AA570" s="91" t="s">
        <v>754</v>
      </c>
      <c r="AB570" s="91"/>
      <c r="AC570" s="91"/>
      <c r="AD570" s="91"/>
      <c r="AE570" s="91"/>
      <c r="AF570" s="91"/>
      <c r="AG570" s="91"/>
      <c r="AH570" s="91"/>
    </row>
    <row r="571" spans="1:34" s="1" customFormat="1" ht="45">
      <c r="A571" s="120">
        <v>570</v>
      </c>
      <c r="B571" s="120" t="b">
        <f t="shared" ca="1" si="8"/>
        <v>0</v>
      </c>
      <c r="C571" s="121">
        <v>45533</v>
      </c>
      <c r="D571" s="137">
        <v>0.42848379629629629</v>
      </c>
      <c r="E571" s="94">
        <v>2017</v>
      </c>
      <c r="F571" s="142">
        <v>1206</v>
      </c>
      <c r="G571" s="94" t="s">
        <v>34</v>
      </c>
      <c r="H571" s="94">
        <v>1055</v>
      </c>
      <c r="I571" s="91"/>
      <c r="J571" s="94" t="s">
        <v>35</v>
      </c>
      <c r="K571" s="91">
        <v>53.600999999999999</v>
      </c>
      <c r="L571" s="122" t="str">
        <f>VLOOKUP(K571,Liste!$L$2:$O$34,4,1)</f>
        <v>GSMR_09/10</v>
      </c>
      <c r="M571" s="133" t="s">
        <v>36</v>
      </c>
      <c r="N571" s="180" t="s">
        <v>37</v>
      </c>
      <c r="O571" s="125" t="s">
        <v>1331</v>
      </c>
      <c r="P571" s="119"/>
      <c r="Q571" s="94" t="s">
        <v>39</v>
      </c>
      <c r="R571" s="94" t="s">
        <v>1032</v>
      </c>
      <c r="S571" s="91" t="s">
        <v>1332</v>
      </c>
      <c r="T571" s="94" t="s">
        <v>69</v>
      </c>
      <c r="U571" s="94" t="s">
        <v>197</v>
      </c>
      <c r="V571" s="94" t="s">
        <v>51</v>
      </c>
      <c r="W571" s="94" t="s">
        <v>51</v>
      </c>
      <c r="X571" s="124" t="s">
        <v>52</v>
      </c>
      <c r="Y571" s="124" t="s">
        <v>622</v>
      </c>
      <c r="Z571" s="91"/>
      <c r="AA571" s="91" t="s">
        <v>1295</v>
      </c>
      <c r="AB571" s="91"/>
      <c r="AC571" s="91"/>
      <c r="AD571" s="91"/>
      <c r="AE571" s="91"/>
      <c r="AF571" s="91"/>
      <c r="AG571" s="91"/>
      <c r="AH571" s="91"/>
    </row>
    <row r="572" spans="1:34" s="1" customFormat="1" ht="45">
      <c r="A572" s="120">
        <v>571</v>
      </c>
      <c r="B572" s="120" t="b">
        <f t="shared" ca="1" si="8"/>
        <v>0</v>
      </c>
      <c r="C572" s="121">
        <v>45533</v>
      </c>
      <c r="D572" s="137">
        <v>0.50329861111111107</v>
      </c>
      <c r="E572" s="94">
        <v>2025</v>
      </c>
      <c r="F572" s="142">
        <v>1203</v>
      </c>
      <c r="G572" s="94" t="s">
        <v>34</v>
      </c>
      <c r="H572" s="94">
        <v>1024</v>
      </c>
      <c r="I572" s="91"/>
      <c r="J572" s="94" t="s">
        <v>35</v>
      </c>
      <c r="K572" s="152">
        <v>6.13</v>
      </c>
      <c r="L572" s="122" t="str">
        <f>VLOOKUP(K572,Liste!$L$2:$O$34,4,1)</f>
        <v>GSMR_02/03</v>
      </c>
      <c r="M572" s="133" t="s">
        <v>36</v>
      </c>
      <c r="N572" s="181" t="s">
        <v>58</v>
      </c>
      <c r="O572" s="125" t="s">
        <v>1333</v>
      </c>
      <c r="P572" s="119"/>
      <c r="Q572" s="94" t="s">
        <v>39</v>
      </c>
      <c r="R572" s="94" t="s">
        <v>1032</v>
      </c>
      <c r="S572" s="91" t="s">
        <v>1334</v>
      </c>
      <c r="T572" s="94" t="s">
        <v>56</v>
      </c>
      <c r="U572" s="94" t="s">
        <v>859</v>
      </c>
      <c r="V572" s="94" t="s">
        <v>43</v>
      </c>
      <c r="W572" s="94" t="s">
        <v>51</v>
      </c>
      <c r="X572" s="124" t="s">
        <v>52</v>
      </c>
      <c r="Y572" s="124" t="s">
        <v>622</v>
      </c>
      <c r="Z572" s="91"/>
      <c r="AA572" s="91" t="s">
        <v>802</v>
      </c>
      <c r="AB572" s="91"/>
      <c r="AC572" s="91"/>
      <c r="AD572" s="91"/>
      <c r="AE572" s="91"/>
      <c r="AF572" s="91"/>
      <c r="AG572" s="91"/>
      <c r="AH572" s="91"/>
    </row>
    <row r="573" spans="1:34" s="1" customFormat="1" ht="45">
      <c r="A573" s="120">
        <v>572</v>
      </c>
      <c r="B573" s="120" t="b">
        <f t="shared" ca="1" si="8"/>
        <v>0</v>
      </c>
      <c r="C573" s="121">
        <v>45533</v>
      </c>
      <c r="D573" s="137">
        <v>0.5465740740740741</v>
      </c>
      <c r="E573" s="94">
        <v>1021</v>
      </c>
      <c r="F573" s="142">
        <v>1204</v>
      </c>
      <c r="G573" s="94" t="s">
        <v>71</v>
      </c>
      <c r="H573" s="94">
        <v>1030</v>
      </c>
      <c r="I573" s="91"/>
      <c r="J573" s="94" t="s">
        <v>72</v>
      </c>
      <c r="K573" s="152">
        <v>7.3209999999999997</v>
      </c>
      <c r="L573" s="122" t="str">
        <f>VLOOKUP(K573,Liste!$L$2:$O$34,4,1)</f>
        <v>GSMR_02/03</v>
      </c>
      <c r="M573" s="133" t="s">
        <v>36</v>
      </c>
      <c r="N573" s="180" t="s">
        <v>37</v>
      </c>
      <c r="O573" s="125" t="s">
        <v>1335</v>
      </c>
      <c r="P573" s="119"/>
      <c r="Q573" s="94" t="s">
        <v>39</v>
      </c>
      <c r="R573" s="94" t="s">
        <v>1032</v>
      </c>
      <c r="S573" s="91" t="s">
        <v>1336</v>
      </c>
      <c r="T573" s="94" t="s">
        <v>56</v>
      </c>
      <c r="U573" s="94" t="s">
        <v>230</v>
      </c>
      <c r="V573" s="94" t="s">
        <v>51</v>
      </c>
      <c r="W573" s="94" t="s">
        <v>51</v>
      </c>
      <c r="X573" s="124" t="s">
        <v>52</v>
      </c>
      <c r="Y573" s="124" t="s">
        <v>622</v>
      </c>
      <c r="Z573" s="91"/>
      <c r="AA573" s="91" t="s">
        <v>802</v>
      </c>
      <c r="AB573" s="91"/>
      <c r="AC573" s="91"/>
      <c r="AD573" s="91"/>
      <c r="AE573" s="91"/>
      <c r="AF573" s="91"/>
      <c r="AG573" s="91"/>
      <c r="AH573" s="91"/>
    </row>
    <row r="574" spans="1:34" s="1" customFormat="1" ht="45">
      <c r="A574" s="120">
        <v>573</v>
      </c>
      <c r="B574" s="120" t="b">
        <f t="shared" ca="1" si="8"/>
        <v>0</v>
      </c>
      <c r="C574" s="121">
        <v>45533</v>
      </c>
      <c r="D574" s="137" t="s">
        <v>1337</v>
      </c>
      <c r="E574" s="94">
        <v>2037</v>
      </c>
      <c r="F574" s="142">
        <v>1205</v>
      </c>
      <c r="G574" s="94" t="s">
        <v>34</v>
      </c>
      <c r="H574" s="94">
        <v>7217</v>
      </c>
      <c r="I574" s="91"/>
      <c r="J574" s="94" t="s">
        <v>35</v>
      </c>
      <c r="K574" s="152">
        <v>6.13</v>
      </c>
      <c r="L574" s="122" t="str">
        <f>VLOOKUP(K574,Liste!$L$2:$O$34,4,1)</f>
        <v>GSMR_02/03</v>
      </c>
      <c r="M574" s="133" t="s">
        <v>36</v>
      </c>
      <c r="N574" s="181" t="s">
        <v>58</v>
      </c>
      <c r="O574" s="125" t="s">
        <v>1338</v>
      </c>
      <c r="P574" s="119"/>
      <c r="Q574" s="94" t="s">
        <v>39</v>
      </c>
      <c r="R574" s="94" t="s">
        <v>1032</v>
      </c>
      <c r="S574" s="91" t="s">
        <v>1339</v>
      </c>
      <c r="T574" s="94" t="s">
        <v>56</v>
      </c>
      <c r="U574" s="94" t="s">
        <v>183</v>
      </c>
      <c r="V574" s="94" t="s">
        <v>43</v>
      </c>
      <c r="W574" s="94" t="s">
        <v>51</v>
      </c>
      <c r="X574" s="124" t="s">
        <v>52</v>
      </c>
      <c r="Y574" s="124" t="s">
        <v>622</v>
      </c>
      <c r="Z574" s="91"/>
      <c r="AA574" s="91" t="s">
        <v>802</v>
      </c>
      <c r="AB574" s="91"/>
      <c r="AC574" s="91"/>
      <c r="AD574" s="91"/>
      <c r="AE574" s="91"/>
      <c r="AF574" s="91"/>
      <c r="AG574" s="91"/>
      <c r="AH574" s="91"/>
    </row>
    <row r="575" spans="1:34" s="1" customFormat="1" ht="45">
      <c r="A575" s="120">
        <v>574</v>
      </c>
      <c r="B575" s="120" t="b">
        <f t="shared" ca="1" si="8"/>
        <v>0</v>
      </c>
      <c r="C575" s="121">
        <v>45534</v>
      </c>
      <c r="D575" s="137">
        <v>0.79855324074074074</v>
      </c>
      <c r="E575" s="94">
        <v>1045</v>
      </c>
      <c r="F575" s="142">
        <v>1210</v>
      </c>
      <c r="G575" s="94" t="s">
        <v>71</v>
      </c>
      <c r="H575" s="94">
        <v>1020</v>
      </c>
      <c r="I575" s="91"/>
      <c r="J575" s="94" t="s">
        <v>72</v>
      </c>
      <c r="K575" s="91">
        <v>10.125</v>
      </c>
      <c r="L575" s="122" t="str">
        <f>VLOOKUP(K575,Liste!$L$2:$O$34,4,1)</f>
        <v>GSMR_03/04</v>
      </c>
      <c r="M575" s="133" t="s">
        <v>36</v>
      </c>
      <c r="N575" s="180" t="s">
        <v>37</v>
      </c>
      <c r="O575" s="125" t="s">
        <v>1340</v>
      </c>
      <c r="P575" s="126"/>
      <c r="Q575" s="124" t="s">
        <v>150</v>
      </c>
      <c r="R575" s="94" t="s">
        <v>816</v>
      </c>
      <c r="S575" s="91" t="s">
        <v>1341</v>
      </c>
      <c r="T575" s="94" t="s">
        <v>116</v>
      </c>
      <c r="U575" s="94" t="s">
        <v>172</v>
      </c>
      <c r="V575" s="94" t="s">
        <v>51</v>
      </c>
      <c r="W575" s="94" t="s">
        <v>51</v>
      </c>
      <c r="X575" s="124" t="s">
        <v>52</v>
      </c>
      <c r="Y575" s="124" t="s">
        <v>622</v>
      </c>
      <c r="Z575" s="91"/>
      <c r="AA575" s="91" t="s">
        <v>1342</v>
      </c>
      <c r="AB575" s="91"/>
      <c r="AC575" s="91"/>
      <c r="AD575" s="91"/>
      <c r="AE575" s="91"/>
      <c r="AF575" s="91"/>
      <c r="AG575" s="91"/>
      <c r="AH575" s="91"/>
    </row>
    <row r="576" spans="1:34" s="1" customFormat="1" ht="45">
      <c r="A576" s="120">
        <v>575</v>
      </c>
      <c r="B576" s="120" t="b">
        <f t="shared" ca="1" si="8"/>
        <v>0</v>
      </c>
      <c r="C576" s="121">
        <v>45534</v>
      </c>
      <c r="D576" s="137">
        <v>0.83686342592592589</v>
      </c>
      <c r="E576" s="94">
        <v>2057</v>
      </c>
      <c r="F576" s="142">
        <v>1203</v>
      </c>
      <c r="G576" s="94" t="s">
        <v>34</v>
      </c>
      <c r="H576" s="94">
        <v>1024</v>
      </c>
      <c r="I576" s="91"/>
      <c r="J576" s="94" t="s">
        <v>35</v>
      </c>
      <c r="K576" s="152">
        <v>6.13</v>
      </c>
      <c r="L576" s="122" t="str">
        <f>VLOOKUP(K576,Liste!$L$2:$O$34,4,1)</f>
        <v>GSMR_02/03</v>
      </c>
      <c r="M576" s="133" t="s">
        <v>36</v>
      </c>
      <c r="N576" s="181" t="s">
        <v>58</v>
      </c>
      <c r="O576" s="125" t="s">
        <v>1343</v>
      </c>
      <c r="P576" s="119"/>
      <c r="Q576" s="94" t="s">
        <v>39</v>
      </c>
      <c r="R576" s="94" t="s">
        <v>1032</v>
      </c>
      <c r="S576" s="91" t="s">
        <v>1344</v>
      </c>
      <c r="T576" s="94" t="s">
        <v>56</v>
      </c>
      <c r="U576" s="94" t="s">
        <v>57</v>
      </c>
      <c r="V576" s="94" t="s">
        <v>43</v>
      </c>
      <c r="W576" s="94" t="s">
        <v>51</v>
      </c>
      <c r="X576" s="124" t="s">
        <v>52</v>
      </c>
      <c r="Y576" s="124" t="s">
        <v>622</v>
      </c>
      <c r="Z576" s="91"/>
      <c r="AA576" s="91" t="s">
        <v>1342</v>
      </c>
      <c r="AB576" s="91"/>
      <c r="AC576" s="91"/>
      <c r="AD576" s="91"/>
      <c r="AE576" s="91"/>
      <c r="AF576" s="91"/>
      <c r="AG576" s="91"/>
      <c r="AH576" s="91"/>
    </row>
    <row r="577" spans="1:34" s="1" customFormat="1" ht="45">
      <c r="A577" s="120">
        <v>576</v>
      </c>
      <c r="B577" s="120" t="b">
        <f t="shared" ca="1" si="8"/>
        <v>0</v>
      </c>
      <c r="C577" s="121">
        <v>45535</v>
      </c>
      <c r="D577" s="137">
        <v>0.50391203703703702</v>
      </c>
      <c r="E577" s="94">
        <v>2025</v>
      </c>
      <c r="F577" s="142">
        <v>1201</v>
      </c>
      <c r="G577" s="94" t="s">
        <v>34</v>
      </c>
      <c r="H577" s="94">
        <v>7206</v>
      </c>
      <c r="I577" s="91"/>
      <c r="J577" s="94" t="s">
        <v>35</v>
      </c>
      <c r="K577" s="152">
        <v>6.13</v>
      </c>
      <c r="L577" s="122" t="str">
        <f>VLOOKUP(K577,Liste!$L$2:$O$34,4,1)</f>
        <v>GSMR_02/03</v>
      </c>
      <c r="M577" s="133" t="s">
        <v>36</v>
      </c>
      <c r="N577" s="181" t="s">
        <v>58</v>
      </c>
      <c r="O577" s="125" t="s">
        <v>1345</v>
      </c>
      <c r="P577" s="119"/>
      <c r="Q577" s="94" t="s">
        <v>39</v>
      </c>
      <c r="R577" s="94" t="s">
        <v>1032</v>
      </c>
      <c r="S577" s="91" t="s">
        <v>1346</v>
      </c>
      <c r="T577" s="94" t="s">
        <v>41</v>
      </c>
      <c r="U577" s="94" t="s">
        <v>183</v>
      </c>
      <c r="V577" s="94" t="s">
        <v>51</v>
      </c>
      <c r="W577" s="94" t="s">
        <v>51</v>
      </c>
      <c r="X577" s="124" t="s">
        <v>52</v>
      </c>
      <c r="Y577" s="124" t="s">
        <v>622</v>
      </c>
      <c r="Z577" s="91"/>
      <c r="AA577" s="91" t="s">
        <v>1118</v>
      </c>
      <c r="AB577" s="91"/>
      <c r="AC577" s="91"/>
      <c r="AD577" s="91"/>
      <c r="AE577" s="91"/>
      <c r="AF577" s="91"/>
      <c r="AG577" s="91"/>
      <c r="AH577" s="91"/>
    </row>
    <row r="578" spans="1:34" s="1" customFormat="1" ht="90">
      <c r="A578" s="120">
        <v>577</v>
      </c>
      <c r="B578" s="120" t="b">
        <f t="shared" ref="B578:B641" ca="1" si="9">AND(C578&gt;=TODAY()-7, C578&lt;=TODAY()-1)</f>
        <v>0</v>
      </c>
      <c r="C578" s="121">
        <v>45535</v>
      </c>
      <c r="D578" s="137">
        <v>0.58710648148148148</v>
      </c>
      <c r="E578" s="94">
        <v>2033</v>
      </c>
      <c r="F578" s="142">
        <v>1205</v>
      </c>
      <c r="G578" s="94" t="s">
        <v>34</v>
      </c>
      <c r="H578" s="94">
        <v>7217</v>
      </c>
      <c r="I578" s="91"/>
      <c r="J578" s="94" t="s">
        <v>35</v>
      </c>
      <c r="K578" s="152">
        <v>6.13</v>
      </c>
      <c r="L578" s="122" t="str">
        <f>VLOOKUP(K578,Liste!$L$2:$O$34,4,1)</f>
        <v>GSMR_02/03</v>
      </c>
      <c r="M578" s="133" t="s">
        <v>36</v>
      </c>
      <c r="N578" s="181" t="s">
        <v>58</v>
      </c>
      <c r="O578" s="125" t="s">
        <v>1347</v>
      </c>
      <c r="P578" s="119"/>
      <c r="Q578" s="94" t="s">
        <v>39</v>
      </c>
      <c r="R578" s="94" t="s">
        <v>1032</v>
      </c>
      <c r="S578" s="91" t="s">
        <v>1336</v>
      </c>
      <c r="T578" s="94" t="s">
        <v>56</v>
      </c>
      <c r="U578" s="94" t="s">
        <v>387</v>
      </c>
      <c r="V578" s="94" t="s">
        <v>51</v>
      </c>
      <c r="W578" s="94" t="s">
        <v>51</v>
      </c>
      <c r="X578" s="124" t="s">
        <v>52</v>
      </c>
      <c r="Y578" s="124" t="s">
        <v>622</v>
      </c>
      <c r="Z578" s="91"/>
      <c r="AA578" s="91" t="s">
        <v>1342</v>
      </c>
      <c r="AB578" s="91"/>
      <c r="AC578" s="91"/>
      <c r="AD578" s="91"/>
      <c r="AE578" s="91"/>
      <c r="AF578" s="91"/>
      <c r="AG578" s="91"/>
      <c r="AH578" s="91"/>
    </row>
    <row r="579" spans="1:34" s="1" customFormat="1" ht="45">
      <c r="A579" s="120">
        <v>578</v>
      </c>
      <c r="B579" s="120" t="b">
        <f t="shared" ca="1" si="9"/>
        <v>0</v>
      </c>
      <c r="C579" s="121">
        <v>45535</v>
      </c>
      <c r="D579" s="137">
        <v>0.87829861111111107</v>
      </c>
      <c r="E579" s="94">
        <v>2061</v>
      </c>
      <c r="F579" s="142">
        <v>1211</v>
      </c>
      <c r="G579" s="94" t="s">
        <v>34</v>
      </c>
      <c r="H579" s="94">
        <v>1029</v>
      </c>
      <c r="I579" s="91"/>
      <c r="J579" s="94" t="s">
        <v>35</v>
      </c>
      <c r="K579" s="152">
        <v>6.13</v>
      </c>
      <c r="L579" s="122" t="str">
        <f>VLOOKUP(K579,Liste!$L$2:$O$34,4,1)</f>
        <v>GSMR_02/03</v>
      </c>
      <c r="M579" s="133" t="s">
        <v>36</v>
      </c>
      <c r="N579" s="181" t="s">
        <v>58</v>
      </c>
      <c r="O579" s="125" t="s">
        <v>1348</v>
      </c>
      <c r="P579" s="119"/>
      <c r="Q579" s="94" t="s">
        <v>39</v>
      </c>
      <c r="R579" s="94" t="s">
        <v>1032</v>
      </c>
      <c r="S579" s="91" t="s">
        <v>1349</v>
      </c>
      <c r="T579" s="94" t="s">
        <v>41</v>
      </c>
      <c r="U579" s="94" t="s">
        <v>90</v>
      </c>
      <c r="V579" s="94" t="s">
        <v>51</v>
      </c>
      <c r="W579" s="94" t="s">
        <v>51</v>
      </c>
      <c r="X579" s="124" t="s">
        <v>52</v>
      </c>
      <c r="Y579" s="124" t="s">
        <v>622</v>
      </c>
      <c r="Z579" s="91"/>
      <c r="AA579" s="91" t="s">
        <v>754</v>
      </c>
      <c r="AB579" s="91"/>
      <c r="AC579" s="91"/>
      <c r="AD579" s="91"/>
      <c r="AE579" s="91"/>
      <c r="AF579" s="91"/>
      <c r="AG579" s="91"/>
      <c r="AH579" s="91"/>
    </row>
    <row r="580" spans="1:34" s="1" customFormat="1" ht="45">
      <c r="A580" s="120">
        <v>579</v>
      </c>
      <c r="B580" s="120" t="b">
        <f t="shared" ca="1" si="9"/>
        <v>0</v>
      </c>
      <c r="C580" s="121">
        <v>45535</v>
      </c>
      <c r="D580" s="137">
        <v>0.98479166666666662</v>
      </c>
      <c r="E580" s="94">
        <v>1061</v>
      </c>
      <c r="F580" s="142">
        <v>1201</v>
      </c>
      <c r="G580" s="94" t="s">
        <v>71</v>
      </c>
      <c r="H580" s="94">
        <v>1060</v>
      </c>
      <c r="I580" s="91"/>
      <c r="J580" s="94" t="s">
        <v>72</v>
      </c>
      <c r="K580" s="91">
        <v>202.125</v>
      </c>
      <c r="L580" s="122" t="str">
        <f>VLOOKUP(K580,Liste!$L$2:$O$34,4,1)</f>
        <v>GSMR_33/RAC</v>
      </c>
      <c r="M580" s="133" t="s">
        <v>36</v>
      </c>
      <c r="N580" s="180" t="s">
        <v>37</v>
      </c>
      <c r="O580" s="125" t="s">
        <v>1350</v>
      </c>
      <c r="P580" s="119"/>
      <c r="Q580" s="94" t="s">
        <v>39</v>
      </c>
      <c r="R580" s="94" t="s">
        <v>1032</v>
      </c>
      <c r="S580" s="91" t="s">
        <v>1351</v>
      </c>
      <c r="T580" s="94" t="s">
        <v>56</v>
      </c>
      <c r="U580" s="94" t="s">
        <v>79</v>
      </c>
      <c r="V580" s="94" t="s">
        <v>51</v>
      </c>
      <c r="W580" s="94" t="s">
        <v>51</v>
      </c>
      <c r="X580" s="124" t="s">
        <v>52</v>
      </c>
      <c r="Y580" s="124" t="s">
        <v>622</v>
      </c>
      <c r="Z580" s="91"/>
      <c r="AA580" s="91" t="s">
        <v>754</v>
      </c>
      <c r="AB580" s="91"/>
      <c r="AC580" s="91"/>
      <c r="AD580" s="91"/>
      <c r="AE580" s="91"/>
      <c r="AF580" s="91"/>
      <c r="AG580" s="91"/>
      <c r="AH580" s="91"/>
    </row>
    <row r="581" spans="1:34" s="1" customFormat="1" ht="45">
      <c r="A581" s="120">
        <v>580</v>
      </c>
      <c r="B581" s="120" t="b">
        <f t="shared" ca="1" si="9"/>
        <v>0</v>
      </c>
      <c r="C581" s="121">
        <v>45536</v>
      </c>
      <c r="D581" s="137">
        <v>0.39351851851851855</v>
      </c>
      <c r="E581" s="94">
        <v>1010</v>
      </c>
      <c r="F581" s="142">
        <v>1211</v>
      </c>
      <c r="G581" s="94" t="s">
        <v>71</v>
      </c>
      <c r="H581" s="94">
        <v>3063</v>
      </c>
      <c r="I581" s="91"/>
      <c r="J581" s="94" t="s">
        <v>72</v>
      </c>
      <c r="K581" s="91">
        <v>185.47</v>
      </c>
      <c r="L581" s="122" t="str">
        <f>VLOOKUP(K581,Liste!$L$2:$O$34,4,1)</f>
        <v>GSMR_32/33</v>
      </c>
      <c r="M581" s="133" t="s">
        <v>36</v>
      </c>
      <c r="N581" s="180" t="s">
        <v>37</v>
      </c>
      <c r="O581" s="125" t="s">
        <v>1352</v>
      </c>
      <c r="P581" s="119"/>
      <c r="Q581" s="94" t="s">
        <v>1353</v>
      </c>
      <c r="R581" s="94" t="s">
        <v>833</v>
      </c>
      <c r="S581" s="91" t="s">
        <v>1354</v>
      </c>
      <c r="T581" s="94" t="s">
        <v>69</v>
      </c>
      <c r="U581" s="94" t="s">
        <v>120</v>
      </c>
      <c r="V581" s="94" t="s">
        <v>51</v>
      </c>
      <c r="W581" s="94" t="s">
        <v>51</v>
      </c>
      <c r="X581" s="124" t="s">
        <v>52</v>
      </c>
      <c r="Y581" s="124" t="s">
        <v>622</v>
      </c>
      <c r="Z581" s="91"/>
      <c r="AA581" s="91" t="s">
        <v>1118</v>
      </c>
      <c r="AB581" s="91"/>
      <c r="AC581" s="91"/>
      <c r="AD581" s="91"/>
      <c r="AE581" s="91"/>
      <c r="AF581" s="91"/>
      <c r="AG581" s="91"/>
      <c r="AH581" s="91"/>
    </row>
    <row r="582" spans="1:34" s="1" customFormat="1" ht="105">
      <c r="A582" s="120">
        <v>581</v>
      </c>
      <c r="B582" s="120" t="b">
        <f t="shared" ca="1" si="9"/>
        <v>0</v>
      </c>
      <c r="C582" s="121">
        <v>45536</v>
      </c>
      <c r="D582" s="137">
        <v>0.8003703703703704</v>
      </c>
      <c r="E582" s="94">
        <v>2053</v>
      </c>
      <c r="F582" s="142">
        <v>1205</v>
      </c>
      <c r="G582" s="94" t="s">
        <v>34</v>
      </c>
      <c r="H582" s="94">
        <v>7218</v>
      </c>
      <c r="I582" s="91"/>
      <c r="J582" s="94" t="s">
        <v>35</v>
      </c>
      <c r="K582" s="91">
        <v>28.457000000000001</v>
      </c>
      <c r="L582" s="122" t="str">
        <f>VLOOKUP(K582,Liste!$L$2:$O$34,4,1)</f>
        <v>GSMR_05/06</v>
      </c>
      <c r="M582" s="133" t="s">
        <v>36</v>
      </c>
      <c r="N582" s="180" t="s">
        <v>37</v>
      </c>
      <c r="O582" s="125" t="s">
        <v>1355</v>
      </c>
      <c r="P582" s="126"/>
      <c r="Q582" s="94" t="s">
        <v>54</v>
      </c>
      <c r="R582" s="94" t="s">
        <v>1225</v>
      </c>
      <c r="S582" s="91" t="s">
        <v>1356</v>
      </c>
      <c r="T582" s="94" t="s">
        <v>116</v>
      </c>
      <c r="U582" s="94" t="s">
        <v>172</v>
      </c>
      <c r="V582" s="94" t="s">
        <v>51</v>
      </c>
      <c r="W582" s="94" t="s">
        <v>51</v>
      </c>
      <c r="X582" s="124" t="s">
        <v>52</v>
      </c>
      <c r="Y582" s="124" t="s">
        <v>622</v>
      </c>
      <c r="Z582" s="91"/>
      <c r="AA582" s="91" t="s">
        <v>1342</v>
      </c>
      <c r="AB582" s="91"/>
      <c r="AC582" s="91"/>
      <c r="AD582" s="91"/>
      <c r="AE582" s="91"/>
      <c r="AF582" s="91"/>
      <c r="AG582" s="91"/>
      <c r="AH582" s="91"/>
    </row>
    <row r="583" spans="1:34" s="1" customFormat="1" ht="45">
      <c r="A583" s="120">
        <v>582</v>
      </c>
      <c r="B583" s="120" t="b">
        <f t="shared" ca="1" si="9"/>
        <v>0</v>
      </c>
      <c r="C583" s="121">
        <v>45536</v>
      </c>
      <c r="D583" s="137">
        <v>0.94365740740740744</v>
      </c>
      <c r="E583" s="94">
        <v>10081</v>
      </c>
      <c r="F583" s="142">
        <v>1209</v>
      </c>
      <c r="G583" s="94" t="s">
        <v>71</v>
      </c>
      <c r="H583" s="94">
        <v>7208</v>
      </c>
      <c r="I583" s="91"/>
      <c r="J583" s="94" t="s">
        <v>72</v>
      </c>
      <c r="K583" s="91">
        <v>160.60900000000001</v>
      </c>
      <c r="L583" s="122" t="str">
        <f>VLOOKUP(K583,Liste!$L$2:$O$34,4,1)</f>
        <v>GSMR_27/28</v>
      </c>
      <c r="M583" s="133" t="s">
        <v>36</v>
      </c>
      <c r="N583" s="180" t="s">
        <v>37</v>
      </c>
      <c r="O583" s="125" t="s">
        <v>1357</v>
      </c>
      <c r="P583" s="119"/>
      <c r="Q583" s="94" t="s">
        <v>39</v>
      </c>
      <c r="R583" s="94" t="s">
        <v>833</v>
      </c>
      <c r="S583" s="91" t="s">
        <v>1358</v>
      </c>
      <c r="T583" s="94" t="s">
        <v>93</v>
      </c>
      <c r="U583" s="94" t="s">
        <v>108</v>
      </c>
      <c r="V583" s="94" t="s">
        <v>51</v>
      </c>
      <c r="W583" s="94" t="s">
        <v>51</v>
      </c>
      <c r="X583" s="124" t="s">
        <v>52</v>
      </c>
      <c r="Y583" s="124" t="s">
        <v>946</v>
      </c>
      <c r="Z583" s="91"/>
      <c r="AA583" s="91" t="s">
        <v>772</v>
      </c>
      <c r="AB583" s="91"/>
      <c r="AC583" s="91"/>
      <c r="AD583" s="91"/>
      <c r="AE583" s="91"/>
      <c r="AF583" s="91"/>
      <c r="AG583" s="91"/>
      <c r="AH583" s="91"/>
    </row>
    <row r="584" spans="1:34" s="1" customFormat="1" ht="45">
      <c r="A584" s="120">
        <v>583</v>
      </c>
      <c r="B584" s="120" t="b">
        <f t="shared" ca="1" si="9"/>
        <v>0</v>
      </c>
      <c r="C584" s="121">
        <v>45536</v>
      </c>
      <c r="D584" s="137">
        <v>0.96253472222222225</v>
      </c>
      <c r="E584" s="94">
        <v>1062</v>
      </c>
      <c r="F584" s="142">
        <v>1207</v>
      </c>
      <c r="G584" s="94" t="s">
        <v>71</v>
      </c>
      <c r="H584" s="94">
        <v>1007</v>
      </c>
      <c r="I584" s="91"/>
      <c r="J584" s="94" t="s">
        <v>72</v>
      </c>
      <c r="K584" s="152">
        <v>7.3810000000000002</v>
      </c>
      <c r="L584" s="122" t="str">
        <f>VLOOKUP(K584,Liste!$L$2:$O$34,4,1)</f>
        <v>GSMR_02/03</v>
      </c>
      <c r="M584" s="133" t="s">
        <v>36</v>
      </c>
      <c r="N584" s="180" t="s">
        <v>37</v>
      </c>
      <c r="O584" s="125" t="s">
        <v>1359</v>
      </c>
      <c r="P584" s="119"/>
      <c r="Q584" s="94" t="s">
        <v>39</v>
      </c>
      <c r="R584" s="94" t="s">
        <v>1032</v>
      </c>
      <c r="S584" s="91" t="s">
        <v>1360</v>
      </c>
      <c r="T584" s="94" t="s">
        <v>56</v>
      </c>
      <c r="U584" s="94" t="s">
        <v>57</v>
      </c>
      <c r="V584" s="94" t="s">
        <v>43</v>
      </c>
      <c r="W584" s="94" t="s">
        <v>51</v>
      </c>
      <c r="X584" s="124" t="s">
        <v>52</v>
      </c>
      <c r="Y584" s="124" t="s">
        <v>622</v>
      </c>
      <c r="Z584" s="91"/>
      <c r="AA584" s="91" t="s">
        <v>772</v>
      </c>
      <c r="AB584" s="91"/>
      <c r="AC584" s="91"/>
      <c r="AD584" s="91"/>
      <c r="AE584" s="91"/>
      <c r="AF584" s="91"/>
      <c r="AG584" s="91"/>
      <c r="AH584" s="91"/>
    </row>
    <row r="585" spans="1:34" s="1" customFormat="1" ht="45">
      <c r="A585" s="120">
        <v>584</v>
      </c>
      <c r="B585" s="120" t="b">
        <f t="shared" ca="1" si="9"/>
        <v>0</v>
      </c>
      <c r="C585" s="121">
        <v>45536</v>
      </c>
      <c r="D585" s="137">
        <v>0.99414351851851857</v>
      </c>
      <c r="E585" s="94">
        <v>10092</v>
      </c>
      <c r="F585" s="142">
        <v>1208</v>
      </c>
      <c r="G585" s="94" t="s">
        <v>71</v>
      </c>
      <c r="H585" s="94">
        <v>1045</v>
      </c>
      <c r="I585" s="91"/>
      <c r="J585" s="94" t="s">
        <v>72</v>
      </c>
      <c r="K585" s="91">
        <v>71.271000000000001</v>
      </c>
      <c r="L585" s="122" t="str">
        <f>VLOOKUP(K585,Liste!$L$2:$O$34,4,1)</f>
        <v>GSMR_12/13</v>
      </c>
      <c r="M585" s="133" t="s">
        <v>36</v>
      </c>
      <c r="N585" s="181" t="s">
        <v>58</v>
      </c>
      <c r="O585" s="125" t="s">
        <v>1361</v>
      </c>
      <c r="P585" s="126"/>
      <c r="Q585" s="94" t="s">
        <v>54</v>
      </c>
      <c r="R585" s="94" t="s">
        <v>808</v>
      </c>
      <c r="S585" s="91" t="s">
        <v>1362</v>
      </c>
      <c r="T585" s="94" t="s">
        <v>69</v>
      </c>
      <c r="U585" s="94" t="s">
        <v>120</v>
      </c>
      <c r="V585" s="94" t="s">
        <v>51</v>
      </c>
      <c r="W585" s="94" t="s">
        <v>51</v>
      </c>
      <c r="X585" s="124" t="s">
        <v>52</v>
      </c>
      <c r="Y585" s="124" t="s">
        <v>622</v>
      </c>
      <c r="Z585" s="91"/>
      <c r="AA585" s="91" t="s">
        <v>772</v>
      </c>
      <c r="AB585" s="91"/>
      <c r="AC585" s="91"/>
      <c r="AD585" s="91"/>
      <c r="AE585" s="91"/>
      <c r="AF585" s="91"/>
      <c r="AG585" s="91"/>
      <c r="AH585" s="91"/>
    </row>
    <row r="586" spans="1:34" s="1" customFormat="1" ht="45">
      <c r="A586" s="120">
        <v>585</v>
      </c>
      <c r="B586" s="120" t="b">
        <f t="shared" ca="1" si="9"/>
        <v>0</v>
      </c>
      <c r="C586" s="121">
        <v>45538</v>
      </c>
      <c r="D586" s="137" t="s">
        <v>1363</v>
      </c>
      <c r="E586" s="94">
        <v>2005</v>
      </c>
      <c r="F586" s="142">
        <v>1203</v>
      </c>
      <c r="G586" s="94" t="s">
        <v>34</v>
      </c>
      <c r="H586" s="94">
        <v>1024</v>
      </c>
      <c r="I586" s="91"/>
      <c r="J586" s="94" t="s">
        <v>35</v>
      </c>
      <c r="K586" s="91">
        <v>16.29</v>
      </c>
      <c r="L586" s="122" t="str">
        <f>VLOOKUP(K586,Liste!$L$2:$O$34,4,1)</f>
        <v>GSMR_03/04</v>
      </c>
      <c r="M586" s="133" t="s">
        <v>36</v>
      </c>
      <c r="N586" s="180" t="s">
        <v>37</v>
      </c>
      <c r="O586" s="125" t="s">
        <v>1364</v>
      </c>
      <c r="P586" s="119"/>
      <c r="Q586" s="94" t="s">
        <v>39</v>
      </c>
      <c r="R586" s="94" t="s">
        <v>1032</v>
      </c>
      <c r="S586" s="91" t="s">
        <v>1365</v>
      </c>
      <c r="T586" s="94" t="s">
        <v>69</v>
      </c>
      <c r="U586" s="94" t="s">
        <v>120</v>
      </c>
      <c r="V586" s="94" t="s">
        <v>51</v>
      </c>
      <c r="W586" s="94" t="s">
        <v>51</v>
      </c>
      <c r="X586" s="124" t="s">
        <v>52</v>
      </c>
      <c r="Y586" s="124" t="s">
        <v>622</v>
      </c>
      <c r="Z586" s="91"/>
      <c r="AA586" s="91" t="s">
        <v>802</v>
      </c>
      <c r="AB586" s="91"/>
      <c r="AC586" s="91"/>
      <c r="AD586" s="91"/>
      <c r="AE586" s="91"/>
      <c r="AF586" s="91"/>
      <c r="AG586" s="91"/>
      <c r="AH586" s="91"/>
    </row>
    <row r="587" spans="1:34" s="1" customFormat="1" ht="45">
      <c r="A587" s="120">
        <v>586</v>
      </c>
      <c r="B587" s="120" t="b">
        <f t="shared" ca="1" si="9"/>
        <v>0</v>
      </c>
      <c r="C587" s="121">
        <v>45538</v>
      </c>
      <c r="D587" s="137" t="s">
        <v>1366</v>
      </c>
      <c r="E587" s="94">
        <v>2013</v>
      </c>
      <c r="F587" s="142">
        <v>1201</v>
      </c>
      <c r="G587" s="94" t="s">
        <v>71</v>
      </c>
      <c r="H587" s="94">
        <v>1061</v>
      </c>
      <c r="I587" s="91"/>
      <c r="J587" s="94" t="s">
        <v>72</v>
      </c>
      <c r="K587" s="91">
        <v>55.054000000000002</v>
      </c>
      <c r="L587" s="122" t="str">
        <f>VLOOKUP(K587,Liste!$L$2:$O$34,4,1)</f>
        <v>GSMR_09/10</v>
      </c>
      <c r="M587" s="133" t="s">
        <v>36</v>
      </c>
      <c r="N587" s="180" t="s">
        <v>37</v>
      </c>
      <c r="O587" s="125" t="s">
        <v>1367</v>
      </c>
      <c r="P587" s="119"/>
      <c r="Q587" s="94" t="s">
        <v>39</v>
      </c>
      <c r="R587" s="94" t="s">
        <v>1032</v>
      </c>
      <c r="S587" s="91" t="s">
        <v>1368</v>
      </c>
      <c r="T587" s="94" t="s">
        <v>78</v>
      </c>
      <c r="U587" s="94" t="s">
        <v>75</v>
      </c>
      <c r="V587" s="94" t="s">
        <v>51</v>
      </c>
      <c r="W587" s="94" t="s">
        <v>51</v>
      </c>
      <c r="X587" s="124" t="s">
        <v>52</v>
      </c>
      <c r="Y587" s="124" t="s">
        <v>622</v>
      </c>
      <c r="Z587" s="91"/>
      <c r="AA587" s="91" t="s">
        <v>802</v>
      </c>
      <c r="AB587" s="91"/>
      <c r="AC587" s="91"/>
      <c r="AD587" s="91"/>
      <c r="AE587" s="91"/>
      <c r="AF587" s="91"/>
      <c r="AG587" s="91"/>
      <c r="AH587" s="91"/>
    </row>
    <row r="588" spans="1:34" s="1" customFormat="1" ht="45">
      <c r="A588" s="120">
        <v>587</v>
      </c>
      <c r="B588" s="120" t="b">
        <f t="shared" ca="1" si="9"/>
        <v>0</v>
      </c>
      <c r="C588" s="121">
        <v>45538</v>
      </c>
      <c r="D588" s="137" t="s">
        <v>1369</v>
      </c>
      <c r="E588" s="94">
        <v>1022</v>
      </c>
      <c r="F588" s="142">
        <v>1208</v>
      </c>
      <c r="G588" s="94" t="s">
        <v>71</v>
      </c>
      <c r="H588" s="94">
        <v>1044</v>
      </c>
      <c r="I588" s="91"/>
      <c r="J588" s="94" t="s">
        <v>72</v>
      </c>
      <c r="K588" s="91">
        <v>187.233</v>
      </c>
      <c r="L588" s="122" t="str">
        <f>VLOOKUP(K588,Liste!$L$2:$O$34,4,1)</f>
        <v>GSMR_33/RAC</v>
      </c>
      <c r="M588" s="133" t="s">
        <v>36</v>
      </c>
      <c r="N588" s="181" t="s">
        <v>58</v>
      </c>
      <c r="O588" s="125" t="s">
        <v>1370</v>
      </c>
      <c r="P588" s="119"/>
      <c r="Q588" s="94" t="s">
        <v>531</v>
      </c>
      <c r="R588" s="94" t="s">
        <v>808</v>
      </c>
      <c r="S588" s="91" t="s">
        <v>1371</v>
      </c>
      <c r="T588" s="94" t="s">
        <v>69</v>
      </c>
      <c r="U588" s="94" t="s">
        <v>156</v>
      </c>
      <c r="V588" s="94" t="s">
        <v>51</v>
      </c>
      <c r="W588" s="94" t="s">
        <v>51</v>
      </c>
      <c r="X588" s="124" t="s">
        <v>52</v>
      </c>
      <c r="Y588" s="124" t="s">
        <v>1372</v>
      </c>
      <c r="Z588" s="91"/>
      <c r="AA588" s="91" t="s">
        <v>802</v>
      </c>
      <c r="AB588" s="91"/>
      <c r="AC588" s="91"/>
      <c r="AD588" s="91"/>
      <c r="AE588" s="91"/>
      <c r="AF588" s="91"/>
      <c r="AG588" s="91"/>
      <c r="AH588" s="91"/>
    </row>
    <row r="589" spans="1:34" s="1" customFormat="1" ht="45">
      <c r="A589" s="120">
        <v>588</v>
      </c>
      <c r="B589" s="120" t="b">
        <f t="shared" ca="1" si="9"/>
        <v>0</v>
      </c>
      <c r="C589" s="121">
        <v>45538</v>
      </c>
      <c r="D589" s="137">
        <v>0.67155092592592591</v>
      </c>
      <c r="E589" s="94">
        <v>1034</v>
      </c>
      <c r="F589" s="142">
        <v>1209</v>
      </c>
      <c r="G589" s="94" t="s">
        <v>71</v>
      </c>
      <c r="H589" s="94">
        <v>1032</v>
      </c>
      <c r="I589" s="91"/>
      <c r="J589" s="94" t="s">
        <v>72</v>
      </c>
      <c r="K589" s="152">
        <v>7.3209999999999997</v>
      </c>
      <c r="L589" s="122" t="str">
        <f>VLOOKUP(K589,Liste!$L$2:$O$34,4,1)</f>
        <v>GSMR_02/03</v>
      </c>
      <c r="M589" s="133" t="s">
        <v>36</v>
      </c>
      <c r="N589" s="180" t="s">
        <v>37</v>
      </c>
      <c r="O589" s="125" t="s">
        <v>1373</v>
      </c>
      <c r="P589" s="119"/>
      <c r="Q589" s="94" t="s">
        <v>39</v>
      </c>
      <c r="R589" s="94" t="s">
        <v>1032</v>
      </c>
      <c r="S589" s="91" t="s">
        <v>1374</v>
      </c>
      <c r="T589" s="94" t="s">
        <v>69</v>
      </c>
      <c r="U589" s="94" t="s">
        <v>339</v>
      </c>
      <c r="V589" s="94" t="s">
        <v>43</v>
      </c>
      <c r="W589" s="94" t="s">
        <v>51</v>
      </c>
      <c r="X589" s="124" t="s">
        <v>52</v>
      </c>
      <c r="Y589" s="124" t="s">
        <v>946</v>
      </c>
      <c r="Z589" s="91"/>
      <c r="AA589" s="91" t="s">
        <v>1295</v>
      </c>
      <c r="AB589" s="91"/>
      <c r="AC589" s="91"/>
      <c r="AD589" s="91"/>
      <c r="AE589" s="91"/>
      <c r="AF589" s="91"/>
      <c r="AG589" s="91"/>
      <c r="AH589" s="91"/>
    </row>
    <row r="590" spans="1:34" s="1" customFormat="1" ht="45">
      <c r="A590" s="120">
        <v>589</v>
      </c>
      <c r="B590" s="120" t="b">
        <f t="shared" ca="1" si="9"/>
        <v>0</v>
      </c>
      <c r="C590" s="121">
        <v>45539</v>
      </c>
      <c r="D590" s="137">
        <v>0.4931828703703704</v>
      </c>
      <c r="E590" s="94">
        <v>1017</v>
      </c>
      <c r="F590" s="142">
        <v>1210</v>
      </c>
      <c r="G590" s="94" t="s">
        <v>71</v>
      </c>
      <c r="H590" s="94">
        <v>1072</v>
      </c>
      <c r="I590" s="91"/>
      <c r="J590" s="94" t="s">
        <v>72</v>
      </c>
      <c r="K590" s="91">
        <v>71.271000000000001</v>
      </c>
      <c r="L590" s="122" t="str">
        <f>VLOOKUP(K590,Liste!$L$2:$O$34,4,1)</f>
        <v>GSMR_12/13</v>
      </c>
      <c r="M590" s="133" t="s">
        <v>36</v>
      </c>
      <c r="N590" s="180" t="s">
        <v>37</v>
      </c>
      <c r="O590" s="125" t="s">
        <v>1375</v>
      </c>
      <c r="P590" s="119"/>
      <c r="Q590" s="94" t="s">
        <v>39</v>
      </c>
      <c r="R590" s="94" t="s">
        <v>1032</v>
      </c>
      <c r="S590" s="91" t="s">
        <v>1376</v>
      </c>
      <c r="T590" s="94" t="s">
        <v>69</v>
      </c>
      <c r="U590" s="94" t="s">
        <v>120</v>
      </c>
      <c r="V590" s="94" t="s">
        <v>51</v>
      </c>
      <c r="W590" s="94" t="s">
        <v>51</v>
      </c>
      <c r="X590" s="124" t="s">
        <v>52</v>
      </c>
      <c r="Y590" s="124" t="s">
        <v>946</v>
      </c>
      <c r="Z590" s="91"/>
      <c r="AA590" s="91" t="s">
        <v>802</v>
      </c>
      <c r="AB590" s="91"/>
      <c r="AC590" s="91"/>
      <c r="AD590" s="91"/>
      <c r="AE590" s="91"/>
      <c r="AF590" s="91"/>
      <c r="AG590" s="91"/>
      <c r="AH590" s="91"/>
    </row>
    <row r="591" spans="1:34" s="1" customFormat="1" ht="45">
      <c r="A591" s="120">
        <v>590</v>
      </c>
      <c r="B591" s="120" t="b">
        <f t="shared" ca="1" si="9"/>
        <v>0</v>
      </c>
      <c r="C591" s="121">
        <v>45539</v>
      </c>
      <c r="D591" s="137" t="s">
        <v>1377</v>
      </c>
      <c r="E591" s="94">
        <v>1025</v>
      </c>
      <c r="F591" s="142">
        <v>1207</v>
      </c>
      <c r="G591" s="94" t="s">
        <v>71</v>
      </c>
      <c r="H591" s="94">
        <v>1008</v>
      </c>
      <c r="I591" s="91"/>
      <c r="J591" s="94" t="s">
        <v>72</v>
      </c>
      <c r="K591" s="91">
        <v>67.828999999999994</v>
      </c>
      <c r="L591" s="122" t="str">
        <f>VLOOKUP(K591,Liste!$L$2:$O$34,4,1)</f>
        <v>GSMR_12/13</v>
      </c>
      <c r="M591" s="133" t="s">
        <v>36</v>
      </c>
      <c r="N591" s="181" t="s">
        <v>58</v>
      </c>
      <c r="O591" s="125" t="s">
        <v>1378</v>
      </c>
      <c r="P591" s="119"/>
      <c r="Q591" s="94" t="s">
        <v>531</v>
      </c>
      <c r="R591" s="94" t="s">
        <v>1032</v>
      </c>
      <c r="S591" s="91" t="s">
        <v>1379</v>
      </c>
      <c r="T591" s="94" t="s">
        <v>69</v>
      </c>
      <c r="U591" s="94" t="s">
        <v>120</v>
      </c>
      <c r="V591" s="94" t="s">
        <v>51</v>
      </c>
      <c r="W591" s="94" t="s">
        <v>51</v>
      </c>
      <c r="X591" s="124" t="s">
        <v>400</v>
      </c>
      <c r="Y591" s="124" t="s">
        <v>946</v>
      </c>
      <c r="Z591" s="91"/>
      <c r="AA591" s="91" t="s">
        <v>802</v>
      </c>
      <c r="AB591" s="91"/>
      <c r="AC591" s="91"/>
      <c r="AD591" s="91"/>
      <c r="AE591" s="91"/>
      <c r="AF591" s="91"/>
      <c r="AG591" s="91"/>
      <c r="AH591" s="91"/>
    </row>
    <row r="592" spans="1:34" s="1" customFormat="1" ht="45">
      <c r="A592" s="120">
        <v>591</v>
      </c>
      <c r="B592" s="120" t="b">
        <f t="shared" ca="1" si="9"/>
        <v>0</v>
      </c>
      <c r="C592" s="121">
        <v>45539</v>
      </c>
      <c r="D592" s="137" t="s">
        <v>1380</v>
      </c>
      <c r="E592" s="94">
        <v>2045</v>
      </c>
      <c r="F592" s="142">
        <v>1201</v>
      </c>
      <c r="G592" s="94" t="s">
        <v>34</v>
      </c>
      <c r="H592" s="94">
        <v>7206</v>
      </c>
      <c r="I592" s="91"/>
      <c r="J592" s="94" t="s">
        <v>35</v>
      </c>
      <c r="K592" s="152">
        <v>6.13</v>
      </c>
      <c r="L592" s="122" t="str">
        <f>VLOOKUP(K592,Liste!$L$2:$O$34,4,1)</f>
        <v>GSMR_02/03</v>
      </c>
      <c r="M592" s="133" t="s">
        <v>36</v>
      </c>
      <c r="N592" s="181" t="s">
        <v>58</v>
      </c>
      <c r="O592" s="125" t="s">
        <v>1381</v>
      </c>
      <c r="P592" s="119"/>
      <c r="Q592" s="94" t="s">
        <v>39</v>
      </c>
      <c r="R592" s="94" t="s">
        <v>1032</v>
      </c>
      <c r="S592" s="91" t="s">
        <v>1382</v>
      </c>
      <c r="T592" s="94" t="s">
        <v>56</v>
      </c>
      <c r="U592" s="94" t="s">
        <v>408</v>
      </c>
      <c r="V592" s="94" t="s">
        <v>51</v>
      </c>
      <c r="W592" s="94" t="s">
        <v>51</v>
      </c>
      <c r="X592" s="124" t="s">
        <v>52</v>
      </c>
      <c r="Y592" s="124" t="s">
        <v>1372</v>
      </c>
      <c r="Z592" s="91"/>
      <c r="AA592" s="91" t="s">
        <v>754</v>
      </c>
      <c r="AB592" s="91"/>
      <c r="AC592" s="91"/>
      <c r="AD592" s="91"/>
      <c r="AE592" s="91"/>
      <c r="AF592" s="91"/>
      <c r="AG592" s="91"/>
      <c r="AH592" s="91"/>
    </row>
    <row r="593" spans="1:34" s="1" customFormat="1" ht="45">
      <c r="A593" s="120">
        <v>592</v>
      </c>
      <c r="B593" s="120" t="b">
        <f t="shared" ca="1" si="9"/>
        <v>0</v>
      </c>
      <c r="C593" s="121">
        <v>45539</v>
      </c>
      <c r="D593" s="137" t="s">
        <v>1383</v>
      </c>
      <c r="E593" s="94">
        <v>1049</v>
      </c>
      <c r="F593" s="142">
        <v>1210</v>
      </c>
      <c r="G593" s="94" t="s">
        <v>71</v>
      </c>
      <c r="H593" s="94">
        <v>1072</v>
      </c>
      <c r="I593" s="91"/>
      <c r="J593" s="94" t="s">
        <v>72</v>
      </c>
      <c r="K593" s="91">
        <v>94.953999999999994</v>
      </c>
      <c r="L593" s="122" t="str">
        <f>VLOOKUP(K593,Liste!$L$2:$O$34,4,1)</f>
        <v>GSMR_17/18</v>
      </c>
      <c r="M593" s="133" t="s">
        <v>36</v>
      </c>
      <c r="N593" s="180" t="s">
        <v>37</v>
      </c>
      <c r="O593" s="125" t="s">
        <v>1384</v>
      </c>
      <c r="P593" s="119"/>
      <c r="Q593" s="94" t="s">
        <v>39</v>
      </c>
      <c r="R593" s="94" t="s">
        <v>1032</v>
      </c>
      <c r="S593" s="91" t="s">
        <v>1385</v>
      </c>
      <c r="T593" s="94" t="s">
        <v>56</v>
      </c>
      <c r="U593" s="94" t="s">
        <v>366</v>
      </c>
      <c r="V593" s="94" t="s">
        <v>51</v>
      </c>
      <c r="W593" s="94" t="s">
        <v>51</v>
      </c>
      <c r="X593" s="124" t="s">
        <v>52</v>
      </c>
      <c r="Y593" s="124" t="s">
        <v>946</v>
      </c>
      <c r="Z593" s="91"/>
      <c r="AA593" s="91" t="s">
        <v>754</v>
      </c>
      <c r="AB593" s="91"/>
      <c r="AC593" s="91"/>
      <c r="AD593" s="91"/>
      <c r="AE593" s="91"/>
      <c r="AF593" s="91"/>
      <c r="AG593" s="91"/>
      <c r="AH593" s="91"/>
    </row>
    <row r="594" spans="1:34" s="1" customFormat="1" ht="45">
      <c r="A594" s="120">
        <v>593</v>
      </c>
      <c r="B594" s="120" t="b">
        <f t="shared" ca="1" si="9"/>
        <v>0</v>
      </c>
      <c r="C594" s="121">
        <v>45539</v>
      </c>
      <c r="D594" s="137" t="s">
        <v>1386</v>
      </c>
      <c r="E594" s="94">
        <v>1049</v>
      </c>
      <c r="F594" s="142">
        <v>1210</v>
      </c>
      <c r="G594" s="94" t="s">
        <v>71</v>
      </c>
      <c r="H594" s="94">
        <v>1020</v>
      </c>
      <c r="I594" s="91"/>
      <c r="J594" s="94" t="s">
        <v>72</v>
      </c>
      <c r="K594" s="152">
        <v>7.3209999999999997</v>
      </c>
      <c r="L594" s="122" t="str">
        <f>VLOOKUP(K594,Liste!$L$2:$O$34,4,1)</f>
        <v>GSMR_02/03</v>
      </c>
      <c r="M594" s="133" t="s">
        <v>36</v>
      </c>
      <c r="N594" s="181" t="s">
        <v>58</v>
      </c>
      <c r="O594" s="125" t="s">
        <v>1387</v>
      </c>
      <c r="P594" s="119"/>
      <c r="Q594" s="94" t="s">
        <v>39</v>
      </c>
      <c r="R594" s="94" t="s">
        <v>1032</v>
      </c>
      <c r="S594" s="91" t="s">
        <v>1388</v>
      </c>
      <c r="T594" s="94" t="s">
        <v>93</v>
      </c>
      <c r="U594" s="94" t="s">
        <v>230</v>
      </c>
      <c r="V594" s="94" t="s">
        <v>51</v>
      </c>
      <c r="W594" s="94" t="s">
        <v>51</v>
      </c>
      <c r="X594" s="124" t="s">
        <v>52</v>
      </c>
      <c r="Y594" s="124" t="s">
        <v>946</v>
      </c>
      <c r="Z594" s="91"/>
      <c r="AA594" s="91" t="s">
        <v>754</v>
      </c>
      <c r="AB594" s="91"/>
      <c r="AC594" s="91"/>
      <c r="AD594" s="91"/>
      <c r="AE594" s="91"/>
      <c r="AF594" s="91"/>
      <c r="AG594" s="91"/>
      <c r="AH594" s="91"/>
    </row>
    <row r="595" spans="1:34" s="1" customFormat="1" ht="45">
      <c r="A595" s="120">
        <v>594</v>
      </c>
      <c r="B595" s="120" t="b">
        <f t="shared" ca="1" si="9"/>
        <v>0</v>
      </c>
      <c r="C595" s="121">
        <v>45539</v>
      </c>
      <c r="D595" s="137">
        <v>0.8517824074074074</v>
      </c>
      <c r="E595" s="94">
        <v>1054</v>
      </c>
      <c r="F595" s="142">
        <v>1207</v>
      </c>
      <c r="G595" s="94" t="s">
        <v>71</v>
      </c>
      <c r="H595" s="94">
        <v>1008</v>
      </c>
      <c r="I595" s="91"/>
      <c r="J595" s="94" t="s">
        <v>72</v>
      </c>
      <c r="K595" s="91">
        <v>185.47</v>
      </c>
      <c r="L595" s="122" t="str">
        <f>VLOOKUP(K595,Liste!$L$2:$O$34,4,1)</f>
        <v>GSMR_32/33</v>
      </c>
      <c r="M595" s="133" t="s">
        <v>36</v>
      </c>
      <c r="N595" s="180" t="s">
        <v>37</v>
      </c>
      <c r="O595" s="125" t="s">
        <v>1389</v>
      </c>
      <c r="P595" s="119"/>
      <c r="Q595" s="94" t="s">
        <v>39</v>
      </c>
      <c r="R595" s="94" t="s">
        <v>1032</v>
      </c>
      <c r="S595" s="91" t="s">
        <v>1390</v>
      </c>
      <c r="T595" s="94" t="s">
        <v>69</v>
      </c>
      <c r="U595" s="94" t="s">
        <v>120</v>
      </c>
      <c r="V595" s="94" t="s">
        <v>51</v>
      </c>
      <c r="W595" s="94" t="s">
        <v>51</v>
      </c>
      <c r="X595" s="124" t="s">
        <v>52</v>
      </c>
      <c r="Y595" s="124" t="s">
        <v>946</v>
      </c>
      <c r="Z595" s="91"/>
      <c r="AA595" s="91" t="s">
        <v>772</v>
      </c>
      <c r="AB595" s="91"/>
      <c r="AC595" s="91"/>
      <c r="AD595" s="91"/>
      <c r="AE595" s="91"/>
      <c r="AF595" s="91"/>
      <c r="AG595" s="91"/>
      <c r="AH595" s="91"/>
    </row>
    <row r="596" spans="1:34" s="1" customFormat="1" ht="45">
      <c r="A596" s="120">
        <v>595</v>
      </c>
      <c r="B596" s="120" t="b">
        <f t="shared" ca="1" si="9"/>
        <v>0</v>
      </c>
      <c r="C596" s="121">
        <v>45539</v>
      </c>
      <c r="D596" s="137">
        <v>0.89489583333333333</v>
      </c>
      <c r="E596" s="94">
        <v>2061</v>
      </c>
      <c r="F596" s="142">
        <v>1210</v>
      </c>
      <c r="G596" s="94" t="s">
        <v>34</v>
      </c>
      <c r="H596" s="94">
        <v>1048</v>
      </c>
      <c r="I596" s="91"/>
      <c r="J596" s="94" t="s">
        <v>35</v>
      </c>
      <c r="K596" s="91">
        <v>109.495</v>
      </c>
      <c r="L596" s="122" t="str">
        <f>VLOOKUP(K596,Liste!$L$2:$O$34,4,1)</f>
        <v>GSMR_19/20</v>
      </c>
      <c r="M596" s="133" t="s">
        <v>36</v>
      </c>
      <c r="N596" s="180" t="s">
        <v>37</v>
      </c>
      <c r="O596" s="125" t="s">
        <v>1391</v>
      </c>
      <c r="P596" s="119"/>
      <c r="Q596" s="94" t="s">
        <v>39</v>
      </c>
      <c r="R596" s="94" t="s">
        <v>1032</v>
      </c>
      <c r="S596" s="91" t="s">
        <v>1392</v>
      </c>
      <c r="T596" s="94" t="s">
        <v>116</v>
      </c>
      <c r="U596" s="94" t="s">
        <v>137</v>
      </c>
      <c r="V596" s="94" t="s">
        <v>51</v>
      </c>
      <c r="W596" s="94" t="s">
        <v>51</v>
      </c>
      <c r="X596" s="124" t="s">
        <v>52</v>
      </c>
      <c r="Y596" s="124" t="s">
        <v>946</v>
      </c>
      <c r="Z596" s="91"/>
      <c r="AA596" s="91" t="s">
        <v>772</v>
      </c>
      <c r="AB596" s="91"/>
      <c r="AC596" s="91"/>
      <c r="AD596" s="91"/>
      <c r="AE596" s="91"/>
      <c r="AF596" s="91"/>
      <c r="AG596" s="91"/>
      <c r="AH596" s="91"/>
    </row>
    <row r="597" spans="1:34" s="1" customFormat="1" ht="45">
      <c r="A597" s="120">
        <v>596</v>
      </c>
      <c r="B597" s="120" t="b">
        <f t="shared" ca="1" si="9"/>
        <v>0</v>
      </c>
      <c r="C597" s="121">
        <v>45539</v>
      </c>
      <c r="D597" s="137">
        <v>0.91555555555555557</v>
      </c>
      <c r="E597" s="94">
        <v>1058</v>
      </c>
      <c r="F597" s="142">
        <v>1202</v>
      </c>
      <c r="G597" s="94" t="s">
        <v>71</v>
      </c>
      <c r="H597" s="94">
        <v>1023</v>
      </c>
      <c r="I597" s="91"/>
      <c r="J597" s="94" t="s">
        <v>72</v>
      </c>
      <c r="K597" s="91">
        <v>35.259</v>
      </c>
      <c r="L597" s="122" t="str">
        <f>VLOOKUP(K597,Liste!$L$2:$O$34,4,1)</f>
        <v>GSMR_06/07</v>
      </c>
      <c r="M597" s="133" t="s">
        <v>36</v>
      </c>
      <c r="N597" s="181" t="s">
        <v>58</v>
      </c>
      <c r="O597" s="125" t="s">
        <v>1393</v>
      </c>
      <c r="P597" s="126"/>
      <c r="Q597" s="124" t="s">
        <v>150</v>
      </c>
      <c r="R597" s="94" t="s">
        <v>816</v>
      </c>
      <c r="S597" s="91" t="s">
        <v>1394</v>
      </c>
      <c r="T597" s="94" t="s">
        <v>69</v>
      </c>
      <c r="U597" s="94" t="s">
        <v>75</v>
      </c>
      <c r="V597" s="94" t="s">
        <v>51</v>
      </c>
      <c r="W597" s="94" t="s">
        <v>51</v>
      </c>
      <c r="X597" s="124" t="s">
        <v>52</v>
      </c>
      <c r="Y597" s="124" t="s">
        <v>946</v>
      </c>
      <c r="Z597" s="91"/>
      <c r="AA597" s="91" t="s">
        <v>772</v>
      </c>
      <c r="AB597" s="91"/>
      <c r="AC597" s="91"/>
      <c r="AD597" s="91"/>
      <c r="AE597" s="91"/>
      <c r="AF597" s="91"/>
      <c r="AG597" s="91"/>
      <c r="AH597" s="91"/>
    </row>
    <row r="598" spans="1:34" s="1" customFormat="1" ht="45">
      <c r="A598" s="120">
        <v>597</v>
      </c>
      <c r="B598" s="120" t="b">
        <f t="shared" ca="1" si="9"/>
        <v>0</v>
      </c>
      <c r="C598" s="121">
        <v>45539</v>
      </c>
      <c r="D598" s="137">
        <v>0.87905092592592593</v>
      </c>
      <c r="E598" s="94">
        <v>1054</v>
      </c>
      <c r="F598" s="142">
        <v>1207</v>
      </c>
      <c r="G598" s="94" t="s">
        <v>71</v>
      </c>
      <c r="H598" s="94">
        <v>1007</v>
      </c>
      <c r="I598" s="91"/>
      <c r="J598" s="94" t="s">
        <v>72</v>
      </c>
      <c r="K598" s="152">
        <v>7.3209999999999997</v>
      </c>
      <c r="L598" s="122" t="str">
        <f>VLOOKUP(K598,Liste!$L$2:$O$34,4,1)</f>
        <v>GSMR_02/03</v>
      </c>
      <c r="M598" s="133" t="s">
        <v>36</v>
      </c>
      <c r="N598" s="180" t="s">
        <v>37</v>
      </c>
      <c r="O598" s="125" t="s">
        <v>1395</v>
      </c>
      <c r="P598" s="119"/>
      <c r="Q598" s="94" t="s">
        <v>39</v>
      </c>
      <c r="R598" s="94" t="s">
        <v>1032</v>
      </c>
      <c r="S598" s="91" t="s">
        <v>1396</v>
      </c>
      <c r="T598" s="94" t="s">
        <v>56</v>
      </c>
      <c r="U598" s="94" t="s">
        <v>75</v>
      </c>
      <c r="V598" s="94" t="s">
        <v>51</v>
      </c>
      <c r="W598" s="94" t="s">
        <v>51</v>
      </c>
      <c r="X598" s="124" t="s">
        <v>52</v>
      </c>
      <c r="Y598" s="124" t="s">
        <v>946</v>
      </c>
      <c r="Z598" s="91"/>
      <c r="AA598" s="91" t="s">
        <v>772</v>
      </c>
      <c r="AB598" s="91"/>
      <c r="AC598" s="91"/>
      <c r="AD598" s="91"/>
      <c r="AE598" s="91"/>
      <c r="AF598" s="91"/>
      <c r="AG598" s="91"/>
      <c r="AH598" s="91"/>
    </row>
    <row r="599" spans="1:34" s="1" customFormat="1" ht="45">
      <c r="A599" s="120">
        <v>598</v>
      </c>
      <c r="B599" s="120" t="b">
        <f t="shared" ca="1" si="9"/>
        <v>0</v>
      </c>
      <c r="C599" s="121">
        <v>45540</v>
      </c>
      <c r="D599" s="137" t="s">
        <v>1397</v>
      </c>
      <c r="E599" s="94">
        <v>1001</v>
      </c>
      <c r="F599" s="142">
        <v>1201</v>
      </c>
      <c r="G599" s="94" t="s">
        <v>71</v>
      </c>
      <c r="H599" s="94">
        <v>1061</v>
      </c>
      <c r="I599" s="91"/>
      <c r="J599" s="94" t="s">
        <v>72</v>
      </c>
      <c r="K599" s="91">
        <v>94.953999999999994</v>
      </c>
      <c r="L599" s="122" t="str">
        <f>VLOOKUP(K599,Liste!$L$2:$O$34,4,1)</f>
        <v>GSMR_17/18</v>
      </c>
      <c r="M599" s="133" t="s">
        <v>36</v>
      </c>
      <c r="N599" s="180" t="s">
        <v>37</v>
      </c>
      <c r="O599" s="125" t="s">
        <v>1398</v>
      </c>
      <c r="P599" s="119"/>
      <c r="Q599" s="94" t="s">
        <v>39</v>
      </c>
      <c r="R599" s="94" t="s">
        <v>1323</v>
      </c>
      <c r="S599" s="91" t="s">
        <v>1385</v>
      </c>
      <c r="T599" s="94" t="s">
        <v>56</v>
      </c>
      <c r="U599" s="94" t="s">
        <v>893</v>
      </c>
      <c r="V599" s="94" t="s">
        <v>51</v>
      </c>
      <c r="W599" s="94" t="s">
        <v>51</v>
      </c>
      <c r="X599" s="124" t="s">
        <v>52</v>
      </c>
      <c r="Y599" s="124" t="s">
        <v>946</v>
      </c>
      <c r="Z599" s="91"/>
      <c r="AA599" s="91" t="s">
        <v>802</v>
      </c>
      <c r="AB599" s="91"/>
      <c r="AC599" s="91"/>
      <c r="AD599" s="91"/>
      <c r="AE599" s="91"/>
      <c r="AF599" s="91"/>
      <c r="AG599" s="91"/>
      <c r="AH599" s="91"/>
    </row>
    <row r="600" spans="1:34" s="1" customFormat="1" ht="45">
      <c r="A600" s="120">
        <v>599</v>
      </c>
      <c r="B600" s="120" t="b">
        <f t="shared" ca="1" si="9"/>
        <v>0</v>
      </c>
      <c r="C600" s="121">
        <v>45540</v>
      </c>
      <c r="D600" s="137">
        <v>0.51398148148148148</v>
      </c>
      <c r="E600" s="94">
        <v>2025</v>
      </c>
      <c r="F600" s="142">
        <v>1203</v>
      </c>
      <c r="G600" s="94" t="s">
        <v>34</v>
      </c>
      <c r="H600" s="94">
        <v>1024</v>
      </c>
      <c r="I600" s="91"/>
      <c r="J600" s="94" t="s">
        <v>35</v>
      </c>
      <c r="K600" s="91">
        <v>68.956000000000003</v>
      </c>
      <c r="L600" s="122" t="str">
        <f>VLOOKUP(K600,Liste!$L$2:$O$34,4,1)</f>
        <v>GSMR_12/13</v>
      </c>
      <c r="M600" s="133" t="s">
        <v>36</v>
      </c>
      <c r="N600" s="181" t="s">
        <v>58</v>
      </c>
      <c r="O600" s="125" t="s">
        <v>1399</v>
      </c>
      <c r="P600" s="119"/>
      <c r="Q600" s="94" t="s">
        <v>531</v>
      </c>
      <c r="R600" s="94" t="s">
        <v>808</v>
      </c>
      <c r="S600" s="91" t="s">
        <v>1400</v>
      </c>
      <c r="T600" s="94" t="s">
        <v>69</v>
      </c>
      <c r="U600" s="94" t="s">
        <v>120</v>
      </c>
      <c r="V600" s="94" t="s">
        <v>51</v>
      </c>
      <c r="W600" s="94" t="s">
        <v>51</v>
      </c>
      <c r="X600" s="124" t="s">
        <v>52</v>
      </c>
      <c r="Y600" s="124" t="s">
        <v>946</v>
      </c>
      <c r="Z600" s="91"/>
      <c r="AA600" s="91" t="s">
        <v>802</v>
      </c>
      <c r="AB600" s="91"/>
      <c r="AC600" s="91"/>
      <c r="AD600" s="91"/>
      <c r="AE600" s="91"/>
      <c r="AF600" s="91"/>
      <c r="AG600" s="91"/>
      <c r="AH600" s="91"/>
    </row>
    <row r="601" spans="1:34" s="1" customFormat="1" ht="45">
      <c r="A601" s="120">
        <v>600</v>
      </c>
      <c r="B601" s="120" t="b">
        <f t="shared" ca="1" si="9"/>
        <v>0</v>
      </c>
      <c r="C601" s="121">
        <v>45540</v>
      </c>
      <c r="D601" s="137">
        <v>0.83478009259259256</v>
      </c>
      <c r="E601" s="94">
        <v>1049</v>
      </c>
      <c r="F601" s="142">
        <v>1202</v>
      </c>
      <c r="G601" s="94" t="s">
        <v>71</v>
      </c>
      <c r="H601" s="94">
        <v>1023</v>
      </c>
      <c r="I601" s="91"/>
      <c r="J601" s="94" t="s">
        <v>72</v>
      </c>
      <c r="K601" s="91">
        <v>26.739000000000001</v>
      </c>
      <c r="L601" s="122" t="str">
        <f>VLOOKUP(K601,Liste!$L$2:$O$34,4,1)</f>
        <v>GSMR_05/06</v>
      </c>
      <c r="M601" s="133" t="s">
        <v>36</v>
      </c>
      <c r="N601" s="181" t="s">
        <v>58</v>
      </c>
      <c r="O601" s="125" t="s">
        <v>1401</v>
      </c>
      <c r="P601" s="119"/>
      <c r="Q601" s="94" t="s">
        <v>39</v>
      </c>
      <c r="R601" s="94" t="s">
        <v>1032</v>
      </c>
      <c r="S601" s="91" t="s">
        <v>1402</v>
      </c>
      <c r="T601" s="94" t="s">
        <v>56</v>
      </c>
      <c r="U601" s="94" t="s">
        <v>490</v>
      </c>
      <c r="V601" s="94" t="s">
        <v>51</v>
      </c>
      <c r="W601" s="94" t="s">
        <v>51</v>
      </c>
      <c r="X601" s="124" t="s">
        <v>52</v>
      </c>
      <c r="Y601" s="124" t="s">
        <v>946</v>
      </c>
      <c r="Z601" s="91"/>
      <c r="AA601" s="91" t="s">
        <v>754</v>
      </c>
      <c r="AB601" s="91"/>
      <c r="AC601" s="91"/>
      <c r="AD601" s="91"/>
      <c r="AE601" s="91"/>
      <c r="AF601" s="91"/>
      <c r="AG601" s="91"/>
      <c r="AH601" s="91"/>
    </row>
    <row r="602" spans="1:34" s="1" customFormat="1" ht="45">
      <c r="A602" s="120">
        <v>601</v>
      </c>
      <c r="B602" s="120" t="b">
        <f t="shared" ca="1" si="9"/>
        <v>0</v>
      </c>
      <c r="C602" s="121">
        <v>45541</v>
      </c>
      <c r="D602" s="137">
        <v>0.36094907407407406</v>
      </c>
      <c r="E602" s="94">
        <v>1005</v>
      </c>
      <c r="F602" s="142">
        <v>1206</v>
      </c>
      <c r="G602" s="94" t="s">
        <v>71</v>
      </c>
      <c r="H602" s="94">
        <v>1041</v>
      </c>
      <c r="I602" s="91"/>
      <c r="J602" s="94" t="s">
        <v>72</v>
      </c>
      <c r="K602" s="91">
        <v>129.18</v>
      </c>
      <c r="L602" s="122" t="str">
        <f>VLOOKUP(K602,Liste!$L$2:$O$34,4,1)</f>
        <v>GSMR_23/24</v>
      </c>
      <c r="M602" s="133" t="s">
        <v>36</v>
      </c>
      <c r="N602" s="180" t="s">
        <v>37</v>
      </c>
      <c r="O602" s="125" t="s">
        <v>1403</v>
      </c>
      <c r="P602" s="119"/>
      <c r="Q602" s="94" t="s">
        <v>39</v>
      </c>
      <c r="R602" s="94" t="s">
        <v>1032</v>
      </c>
      <c r="S602" s="91" t="s">
        <v>1404</v>
      </c>
      <c r="T602" s="94" t="s">
        <v>69</v>
      </c>
      <c r="U602" s="94" t="s">
        <v>156</v>
      </c>
      <c r="V602" s="94" t="s">
        <v>51</v>
      </c>
      <c r="W602" s="94" t="s">
        <v>51</v>
      </c>
      <c r="X602" s="124" t="s">
        <v>52</v>
      </c>
      <c r="Y602" s="124" t="s">
        <v>946</v>
      </c>
      <c r="Z602" s="91"/>
      <c r="AA602" s="91" t="s">
        <v>802</v>
      </c>
      <c r="AB602" s="91"/>
      <c r="AC602" s="91"/>
      <c r="AD602" s="91"/>
      <c r="AE602" s="91"/>
      <c r="AF602" s="91"/>
      <c r="AG602" s="91"/>
      <c r="AH602" s="91"/>
    </row>
    <row r="603" spans="1:34" s="1" customFormat="1" ht="45">
      <c r="A603" s="120">
        <v>602</v>
      </c>
      <c r="B603" s="120" t="b">
        <f t="shared" ca="1" si="9"/>
        <v>0</v>
      </c>
      <c r="C603" s="121">
        <v>45541</v>
      </c>
      <c r="D603" s="137" t="s">
        <v>1405</v>
      </c>
      <c r="E603" s="94">
        <v>2013</v>
      </c>
      <c r="F603" s="142">
        <v>1202</v>
      </c>
      <c r="G603" s="94" t="s">
        <v>34</v>
      </c>
      <c r="H603" s="94">
        <v>1042</v>
      </c>
      <c r="I603" s="91"/>
      <c r="J603" s="94" t="s">
        <v>35</v>
      </c>
      <c r="K603" s="91">
        <v>144.32599999999999</v>
      </c>
      <c r="L603" s="122" t="str">
        <f>VLOOKUP(K603,Liste!$L$2:$O$34,4,1)</f>
        <v>GSMR_25/26</v>
      </c>
      <c r="M603" s="133" t="s">
        <v>36</v>
      </c>
      <c r="N603" s="180" t="s">
        <v>37</v>
      </c>
      <c r="O603" s="125" t="s">
        <v>1406</v>
      </c>
      <c r="P603" s="119"/>
      <c r="Q603" s="94" t="s">
        <v>39</v>
      </c>
      <c r="R603" s="94" t="s">
        <v>1032</v>
      </c>
      <c r="S603" s="91" t="s">
        <v>1407</v>
      </c>
      <c r="T603" s="94" t="s">
        <v>69</v>
      </c>
      <c r="U603" s="94" t="s">
        <v>125</v>
      </c>
      <c r="V603" s="94" t="s">
        <v>51</v>
      </c>
      <c r="W603" s="94" t="s">
        <v>51</v>
      </c>
      <c r="X603" s="124" t="s">
        <v>52</v>
      </c>
      <c r="Y603" s="124" t="s">
        <v>946</v>
      </c>
      <c r="Z603" s="91"/>
      <c r="AA603" s="91" t="s">
        <v>802</v>
      </c>
      <c r="AB603" s="91"/>
      <c r="AC603" s="91"/>
      <c r="AD603" s="91"/>
      <c r="AE603" s="91"/>
      <c r="AF603" s="91"/>
      <c r="AG603" s="91"/>
      <c r="AH603" s="91"/>
    </row>
    <row r="604" spans="1:34" s="1" customFormat="1" ht="45">
      <c r="A604" s="120">
        <v>603</v>
      </c>
      <c r="B604" s="120" t="b">
        <f t="shared" ca="1" si="9"/>
        <v>0</v>
      </c>
      <c r="C604" s="121">
        <v>45541</v>
      </c>
      <c r="D604" s="137">
        <v>0.42268518518518516</v>
      </c>
      <c r="E604" s="94">
        <v>2017</v>
      </c>
      <c r="F604" s="142">
        <v>1206</v>
      </c>
      <c r="G604" s="94" t="s">
        <v>34</v>
      </c>
      <c r="H604" s="94">
        <v>1055</v>
      </c>
      <c r="I604" s="91"/>
      <c r="J604" s="94" t="s">
        <v>35</v>
      </c>
      <c r="K604" s="91">
        <v>16.29</v>
      </c>
      <c r="L604" s="122" t="str">
        <f>VLOOKUP(K604,Liste!$L$2:$O$34,4,1)</f>
        <v>GSMR_03/04</v>
      </c>
      <c r="M604" s="133" t="s">
        <v>36</v>
      </c>
      <c r="N604" s="180" t="s">
        <v>37</v>
      </c>
      <c r="O604" s="125" t="s">
        <v>1408</v>
      </c>
      <c r="P604" s="119"/>
      <c r="Q604" s="94" t="s">
        <v>39</v>
      </c>
      <c r="R604" s="94" t="s">
        <v>1032</v>
      </c>
      <c r="S604" s="91" t="s">
        <v>1409</v>
      </c>
      <c r="T604" s="94" t="s">
        <v>69</v>
      </c>
      <c r="U604" s="94" t="s">
        <v>120</v>
      </c>
      <c r="V604" s="94" t="s">
        <v>51</v>
      </c>
      <c r="W604" s="94" t="s">
        <v>51</v>
      </c>
      <c r="X604" s="124" t="s">
        <v>52</v>
      </c>
      <c r="Y604" s="124" t="s">
        <v>946</v>
      </c>
      <c r="Z604" s="91"/>
      <c r="AA604" s="91" t="s">
        <v>802</v>
      </c>
      <c r="AB604" s="91"/>
      <c r="AC604" s="91"/>
      <c r="AD604" s="91"/>
      <c r="AE604" s="91"/>
      <c r="AF604" s="91"/>
      <c r="AG604" s="91"/>
      <c r="AH604" s="91"/>
    </row>
    <row r="605" spans="1:34" s="1" customFormat="1" ht="45">
      <c r="A605" s="120">
        <v>604</v>
      </c>
      <c r="B605" s="120" t="b">
        <f t="shared" ca="1" si="9"/>
        <v>0</v>
      </c>
      <c r="C605" s="121">
        <v>45541</v>
      </c>
      <c r="D605" s="137">
        <v>0.86234953703703698</v>
      </c>
      <c r="E605" s="94">
        <v>2057</v>
      </c>
      <c r="F605" s="142">
        <v>1208</v>
      </c>
      <c r="G605" s="94" t="s">
        <v>34</v>
      </c>
      <c r="H605" s="94">
        <v>1037</v>
      </c>
      <c r="I605" s="91"/>
      <c r="J605" s="94" t="s">
        <v>35</v>
      </c>
      <c r="K605" s="91">
        <v>172.83600000000001</v>
      </c>
      <c r="L605" s="122" t="str">
        <f>VLOOKUP(K605,Liste!$L$2:$O$34,4,1)</f>
        <v>GSMR_29/30</v>
      </c>
      <c r="M605" s="133" t="s">
        <v>36</v>
      </c>
      <c r="N605" s="180" t="s">
        <v>37</v>
      </c>
      <c r="O605" s="125" t="s">
        <v>1410</v>
      </c>
      <c r="P605" s="119"/>
      <c r="Q605" s="94" t="s">
        <v>39</v>
      </c>
      <c r="R605" s="94" t="s">
        <v>1032</v>
      </c>
      <c r="S605" s="91" t="s">
        <v>1411</v>
      </c>
      <c r="T605" s="94" t="s">
        <v>101</v>
      </c>
      <c r="U605" s="94" t="s">
        <v>102</v>
      </c>
      <c r="V605" s="94" t="s">
        <v>43</v>
      </c>
      <c r="W605" s="94" t="s">
        <v>51</v>
      </c>
      <c r="X605" s="124" t="s">
        <v>52</v>
      </c>
      <c r="Y605" s="124" t="s">
        <v>946</v>
      </c>
      <c r="Z605" s="91"/>
      <c r="AA605" s="91" t="s">
        <v>754</v>
      </c>
      <c r="AB605" s="91"/>
      <c r="AC605" s="91"/>
      <c r="AD605" s="91"/>
      <c r="AE605" s="91"/>
      <c r="AF605" s="91"/>
      <c r="AG605" s="91"/>
      <c r="AH605" s="91"/>
    </row>
    <row r="606" spans="1:34" s="1" customFormat="1" ht="45">
      <c r="A606" s="120">
        <v>605</v>
      </c>
      <c r="B606" s="120" t="b">
        <f t="shared" ca="1" si="9"/>
        <v>0</v>
      </c>
      <c r="C606" s="121">
        <v>45541</v>
      </c>
      <c r="D606" s="137">
        <v>0.95590277777777777</v>
      </c>
      <c r="E606" s="94">
        <v>1262</v>
      </c>
      <c r="F606" s="142">
        <v>1205</v>
      </c>
      <c r="G606" s="94" t="s">
        <v>71</v>
      </c>
      <c r="H606" s="94">
        <v>1061</v>
      </c>
      <c r="I606" s="91"/>
      <c r="J606" s="94" t="s">
        <v>72</v>
      </c>
      <c r="K606" s="91">
        <v>39.215000000000003</v>
      </c>
      <c r="L606" s="122" t="str">
        <f>VLOOKUP(K606,Liste!$L$2:$O$34,4,1)</f>
        <v>GSMR_07/08</v>
      </c>
      <c r="M606" s="133" t="s">
        <v>36</v>
      </c>
      <c r="N606" s="180" t="s">
        <v>37</v>
      </c>
      <c r="O606" s="125" t="s">
        <v>1412</v>
      </c>
      <c r="P606" s="119"/>
      <c r="Q606" s="94" t="s">
        <v>39</v>
      </c>
      <c r="R606" s="94" t="s">
        <v>1032</v>
      </c>
      <c r="S606" s="91" t="s">
        <v>1413</v>
      </c>
      <c r="T606" s="94" t="s">
        <v>69</v>
      </c>
      <c r="U606" s="94" t="s">
        <v>387</v>
      </c>
      <c r="V606" s="94" t="s">
        <v>51</v>
      </c>
      <c r="W606" s="94" t="s">
        <v>51</v>
      </c>
      <c r="X606" s="124" t="s">
        <v>52</v>
      </c>
      <c r="Y606" s="124" t="s">
        <v>946</v>
      </c>
      <c r="Z606" s="91"/>
      <c r="AA606" s="91" t="s">
        <v>793</v>
      </c>
      <c r="AB606" s="91"/>
      <c r="AC606" s="91"/>
      <c r="AD606" s="91"/>
      <c r="AE606" s="91"/>
      <c r="AF606" s="91"/>
      <c r="AG606" s="91"/>
      <c r="AH606" s="91"/>
    </row>
    <row r="607" spans="1:34" s="1" customFormat="1" ht="105">
      <c r="A607" s="120">
        <v>606</v>
      </c>
      <c r="B607" s="120" t="b">
        <f t="shared" ca="1" si="9"/>
        <v>0</v>
      </c>
      <c r="C607" s="121">
        <v>45542</v>
      </c>
      <c r="D607" s="137">
        <v>0.99756944444444395</v>
      </c>
      <c r="E607" s="94">
        <v>1262</v>
      </c>
      <c r="F607" s="142">
        <v>1210</v>
      </c>
      <c r="G607" s="94" t="s">
        <v>34</v>
      </c>
      <c r="H607" s="94">
        <v>1048</v>
      </c>
      <c r="I607" s="91"/>
      <c r="J607" s="94" t="s">
        <v>35</v>
      </c>
      <c r="K607" s="152">
        <v>6.13</v>
      </c>
      <c r="L607" s="122" t="str">
        <f>VLOOKUP(K607,Liste!$L$2:$O$34,4,1)</f>
        <v>GSMR_02/03</v>
      </c>
      <c r="M607" s="133" t="s">
        <v>36</v>
      </c>
      <c r="N607" s="181" t="s">
        <v>58</v>
      </c>
      <c r="O607" s="125" t="s">
        <v>1414</v>
      </c>
      <c r="P607" s="119"/>
      <c r="Q607" s="94" t="s">
        <v>39</v>
      </c>
      <c r="R607" s="94" t="s">
        <v>1032</v>
      </c>
      <c r="S607" s="91" t="s">
        <v>1415</v>
      </c>
      <c r="T607" s="94" t="s">
        <v>56</v>
      </c>
      <c r="U607" s="94" t="s">
        <v>1416</v>
      </c>
      <c r="V607" s="94" t="s">
        <v>51</v>
      </c>
      <c r="W607" s="94" t="s">
        <v>51</v>
      </c>
      <c r="X607" s="124" t="s">
        <v>52</v>
      </c>
      <c r="Y607" s="124" t="s">
        <v>946</v>
      </c>
      <c r="Z607" s="91"/>
      <c r="AA607" s="91" t="s">
        <v>1342</v>
      </c>
      <c r="AB607" s="91"/>
      <c r="AC607" s="91"/>
      <c r="AD607" s="91"/>
      <c r="AE607" s="91"/>
      <c r="AF607" s="91"/>
      <c r="AG607" s="91"/>
      <c r="AH607" s="91"/>
    </row>
    <row r="608" spans="1:34" s="1" customFormat="1" ht="105">
      <c r="A608" s="120">
        <v>607</v>
      </c>
      <c r="B608" s="120" t="b">
        <f t="shared" ca="1" si="9"/>
        <v>0</v>
      </c>
      <c r="C608" s="121">
        <v>45543</v>
      </c>
      <c r="D608" s="137">
        <v>0.45724537037037039</v>
      </c>
      <c r="E608" s="94">
        <v>1013</v>
      </c>
      <c r="F608" s="142">
        <v>1207</v>
      </c>
      <c r="G608" s="94" t="s">
        <v>71</v>
      </c>
      <c r="H608" s="94">
        <v>1008</v>
      </c>
      <c r="I608" s="91"/>
      <c r="J608" s="94" t="s">
        <v>72</v>
      </c>
      <c r="K608" s="91">
        <v>31.350999999999999</v>
      </c>
      <c r="L608" s="122" t="str">
        <f>VLOOKUP(K608,Liste!$L$2:$O$34,4,1)</f>
        <v>GSMR_06/07</v>
      </c>
      <c r="M608" s="133" t="s">
        <v>36</v>
      </c>
      <c r="N608" s="180" t="s">
        <v>37</v>
      </c>
      <c r="O608" s="125" t="s">
        <v>1417</v>
      </c>
      <c r="P608" s="126"/>
      <c r="Q608" s="124" t="s">
        <v>150</v>
      </c>
      <c r="R608" s="118" t="s">
        <v>808</v>
      </c>
      <c r="S608" s="91" t="s">
        <v>1418</v>
      </c>
      <c r="T608" s="94" t="s">
        <v>69</v>
      </c>
      <c r="U608" s="94" t="s">
        <v>1419</v>
      </c>
      <c r="V608" s="94" t="s">
        <v>51</v>
      </c>
      <c r="W608" s="94" t="s">
        <v>43</v>
      </c>
      <c r="X608" s="124" t="s">
        <v>52</v>
      </c>
      <c r="Y608" s="124" t="s">
        <v>946</v>
      </c>
      <c r="Z608" s="91"/>
      <c r="AA608" s="91" t="s">
        <v>778</v>
      </c>
      <c r="AB608" s="91"/>
      <c r="AC608" s="91"/>
      <c r="AD608" s="91"/>
      <c r="AE608" s="91"/>
      <c r="AF608" s="91"/>
      <c r="AG608" s="91"/>
      <c r="AH608" s="91"/>
    </row>
    <row r="609" spans="1:34" s="1" customFormat="1" ht="45">
      <c r="A609" s="120">
        <v>608</v>
      </c>
      <c r="B609" s="120" t="b">
        <f t="shared" ca="1" si="9"/>
        <v>0</v>
      </c>
      <c r="C609" s="121">
        <v>45543</v>
      </c>
      <c r="D609" s="137">
        <v>0.76840277777777777</v>
      </c>
      <c r="E609" s="94">
        <v>2049</v>
      </c>
      <c r="F609" s="142">
        <v>1207</v>
      </c>
      <c r="G609" s="94" t="s">
        <v>34</v>
      </c>
      <c r="H609" s="94">
        <v>1046</v>
      </c>
      <c r="I609" s="91"/>
      <c r="J609" s="94" t="s">
        <v>35</v>
      </c>
      <c r="K609" s="91">
        <v>101.587</v>
      </c>
      <c r="L609" s="122" t="str">
        <f>VLOOKUP(K609,Liste!$L$2:$O$34,4,1)</f>
        <v>GSMR_18/19</v>
      </c>
      <c r="M609" s="133" t="s">
        <v>36</v>
      </c>
      <c r="N609" s="180" t="s">
        <v>37</v>
      </c>
      <c r="O609" s="125" t="s">
        <v>1420</v>
      </c>
      <c r="P609" s="119"/>
      <c r="Q609" s="94" t="s">
        <v>39</v>
      </c>
      <c r="R609" s="94" t="s">
        <v>1032</v>
      </c>
      <c r="S609" s="91" t="s">
        <v>1421</v>
      </c>
      <c r="T609" s="94" t="s">
        <v>69</v>
      </c>
      <c r="U609" s="94" t="s">
        <v>1422</v>
      </c>
      <c r="V609" s="94" t="s">
        <v>51</v>
      </c>
      <c r="W609" s="94" t="s">
        <v>51</v>
      </c>
      <c r="X609" s="124" t="s">
        <v>52</v>
      </c>
      <c r="Y609" s="124" t="s">
        <v>946</v>
      </c>
      <c r="Z609" s="91"/>
      <c r="AA609" s="91" t="s">
        <v>793</v>
      </c>
      <c r="AB609" s="91"/>
      <c r="AC609" s="91"/>
      <c r="AD609" s="91"/>
      <c r="AE609" s="91"/>
      <c r="AF609" s="91"/>
      <c r="AG609" s="91"/>
      <c r="AH609" s="91"/>
    </row>
    <row r="610" spans="1:34" s="1" customFormat="1" ht="45">
      <c r="A610" s="120">
        <v>609</v>
      </c>
      <c r="B610" s="120" t="b">
        <f t="shared" ca="1" si="9"/>
        <v>0</v>
      </c>
      <c r="C610" s="121">
        <v>45543</v>
      </c>
      <c r="D610" s="137">
        <v>0.89806712962962965</v>
      </c>
      <c r="E610" s="94">
        <v>1058</v>
      </c>
      <c r="F610" s="142">
        <v>1208</v>
      </c>
      <c r="G610" s="94" t="s">
        <v>71</v>
      </c>
      <c r="H610" s="94">
        <v>1046</v>
      </c>
      <c r="I610" s="91"/>
      <c r="J610" s="94" t="s">
        <v>72</v>
      </c>
      <c r="K610" s="91">
        <v>182.86500000000001</v>
      </c>
      <c r="L610" s="122" t="str">
        <f>VLOOKUP(K610,Liste!$L$2:$O$34,4,1)</f>
        <v>GSMR_31/32</v>
      </c>
      <c r="M610" s="133" t="s">
        <v>36</v>
      </c>
      <c r="N610" s="180" t="s">
        <v>37</v>
      </c>
      <c r="O610" s="125" t="s">
        <v>1423</v>
      </c>
      <c r="P610" s="119"/>
      <c r="Q610" s="94" t="s">
        <v>39</v>
      </c>
      <c r="R610" s="94" t="s">
        <v>1032</v>
      </c>
      <c r="S610" s="91" t="s">
        <v>1424</v>
      </c>
      <c r="T610" s="94" t="s">
        <v>69</v>
      </c>
      <c r="U610" s="94" t="s">
        <v>1419</v>
      </c>
      <c r="V610" s="94" t="s">
        <v>51</v>
      </c>
      <c r="W610" s="94" t="s">
        <v>51</v>
      </c>
      <c r="X610" s="124" t="s">
        <v>52</v>
      </c>
      <c r="Y610" s="124" t="s">
        <v>946</v>
      </c>
      <c r="Z610" s="91"/>
      <c r="AA610" s="91" t="s">
        <v>793</v>
      </c>
      <c r="AB610" s="91"/>
      <c r="AC610" s="91"/>
      <c r="AD610" s="91"/>
      <c r="AE610" s="91"/>
      <c r="AF610" s="91"/>
      <c r="AG610" s="91"/>
      <c r="AH610" s="91"/>
    </row>
    <row r="611" spans="1:34" s="1" customFormat="1" ht="45">
      <c r="A611" s="120">
        <v>610</v>
      </c>
      <c r="B611" s="120" t="b">
        <f t="shared" ca="1" si="9"/>
        <v>0</v>
      </c>
      <c r="C611" s="121">
        <v>45544</v>
      </c>
      <c r="D611" s="137">
        <v>0.32366898148148149</v>
      </c>
      <c r="E611" s="94">
        <v>1001</v>
      </c>
      <c r="F611" s="142">
        <v>1206</v>
      </c>
      <c r="G611" s="94" t="s">
        <v>71</v>
      </c>
      <c r="H611" s="94">
        <v>1041</v>
      </c>
      <c r="I611" s="91"/>
      <c r="J611" s="94" t="s">
        <v>72</v>
      </c>
      <c r="K611" s="91">
        <v>94.953999999999994</v>
      </c>
      <c r="L611" s="122" t="str">
        <f>VLOOKUP(K611,Liste!$L$2:$O$34,4,1)</f>
        <v>GSMR_17/18</v>
      </c>
      <c r="M611" s="133" t="s">
        <v>36</v>
      </c>
      <c r="N611" s="180" t="s">
        <v>37</v>
      </c>
      <c r="O611" s="125" t="s">
        <v>1425</v>
      </c>
      <c r="P611" s="126"/>
      <c r="Q611" s="124" t="s">
        <v>47</v>
      </c>
      <c r="R611" s="118" t="s">
        <v>808</v>
      </c>
      <c r="S611" s="91" t="s">
        <v>1426</v>
      </c>
      <c r="T611" s="94" t="s">
        <v>56</v>
      </c>
      <c r="U611" s="94" t="s">
        <v>1427</v>
      </c>
      <c r="V611" s="94" t="s">
        <v>51</v>
      </c>
      <c r="W611" s="94" t="s">
        <v>51</v>
      </c>
      <c r="X611" s="124" t="s">
        <v>52</v>
      </c>
      <c r="Y611" s="124" t="s">
        <v>946</v>
      </c>
      <c r="Z611" s="91"/>
      <c r="AA611" s="91" t="s">
        <v>802</v>
      </c>
      <c r="AB611" s="91"/>
      <c r="AC611" s="91"/>
      <c r="AD611" s="91"/>
      <c r="AE611" s="91"/>
      <c r="AF611" s="91"/>
      <c r="AG611" s="91"/>
      <c r="AH611" s="91"/>
    </row>
    <row r="612" spans="1:34" s="1" customFormat="1" ht="45">
      <c r="A612" s="120">
        <v>611</v>
      </c>
      <c r="B612" s="120" t="b">
        <f t="shared" ca="1" si="9"/>
        <v>0</v>
      </c>
      <c r="C612" s="121">
        <v>45544</v>
      </c>
      <c r="D612" s="137">
        <v>0.52151620370370366</v>
      </c>
      <c r="E612" s="94">
        <v>1021</v>
      </c>
      <c r="F612" s="142">
        <v>1204</v>
      </c>
      <c r="G612" s="94" t="s">
        <v>71</v>
      </c>
      <c r="H612" s="94">
        <v>1030</v>
      </c>
      <c r="I612" s="91"/>
      <c r="J612" s="94" t="s">
        <v>72</v>
      </c>
      <c r="K612" s="91">
        <v>166.529</v>
      </c>
      <c r="L612" s="122" t="str">
        <f>VLOOKUP(K612,Liste!$L$2:$O$34,4,1)</f>
        <v>GSMR_28/29</v>
      </c>
      <c r="M612" s="133" t="s">
        <v>36</v>
      </c>
      <c r="N612" s="180" t="s">
        <v>37</v>
      </c>
      <c r="O612" s="125" t="s">
        <v>1428</v>
      </c>
      <c r="P612" s="119"/>
      <c r="Q612" s="94" t="s">
        <v>39</v>
      </c>
      <c r="R612" s="94" t="s">
        <v>1032</v>
      </c>
      <c r="S612" s="91" t="s">
        <v>1429</v>
      </c>
      <c r="T612" s="94" t="s">
        <v>116</v>
      </c>
      <c r="U612" s="94" t="s">
        <v>1430</v>
      </c>
      <c r="V612" s="94" t="s">
        <v>51</v>
      </c>
      <c r="W612" s="94" t="s">
        <v>51</v>
      </c>
      <c r="X612" s="124" t="s">
        <v>52</v>
      </c>
      <c r="Y612" s="124" t="s">
        <v>946</v>
      </c>
      <c r="Z612" s="91"/>
      <c r="AA612" s="91" t="s">
        <v>959</v>
      </c>
      <c r="AB612" s="91"/>
      <c r="AC612" s="91"/>
      <c r="AD612" s="91"/>
      <c r="AE612" s="91"/>
      <c r="AF612" s="91"/>
      <c r="AG612" s="91"/>
      <c r="AH612" s="91"/>
    </row>
    <row r="613" spans="1:34" s="1" customFormat="1" ht="45">
      <c r="A613" s="120">
        <v>612</v>
      </c>
      <c r="B613" s="120" t="b">
        <f t="shared" ca="1" si="9"/>
        <v>0</v>
      </c>
      <c r="C613" s="121">
        <v>45544</v>
      </c>
      <c r="D613" s="137">
        <v>0.52961805555555552</v>
      </c>
      <c r="E613" s="94">
        <v>1022</v>
      </c>
      <c r="F613" s="142">
        <v>1204</v>
      </c>
      <c r="G613" s="94" t="s">
        <v>71</v>
      </c>
      <c r="H613" s="94">
        <v>1031</v>
      </c>
      <c r="I613" s="91"/>
      <c r="J613" s="94" t="s">
        <v>72</v>
      </c>
      <c r="K613" s="91">
        <v>114.607</v>
      </c>
      <c r="L613" s="122" t="str">
        <f>VLOOKUP(K613,Liste!$L$2:$O$34,4,1)</f>
        <v>GSMR_20/21</v>
      </c>
      <c r="M613" s="133" t="s">
        <v>36</v>
      </c>
      <c r="N613" s="180" t="s">
        <v>37</v>
      </c>
      <c r="O613" s="125" t="s">
        <v>1431</v>
      </c>
      <c r="P613" s="126"/>
      <c r="Q613" s="94" t="s">
        <v>54</v>
      </c>
      <c r="R613" s="94" t="s">
        <v>808</v>
      </c>
      <c r="S613" s="91" t="s">
        <v>1432</v>
      </c>
      <c r="T613" s="94" t="s">
        <v>69</v>
      </c>
      <c r="U613" s="94" t="s">
        <v>1433</v>
      </c>
      <c r="V613" s="94" t="s">
        <v>51</v>
      </c>
      <c r="W613" s="94" t="s">
        <v>51</v>
      </c>
      <c r="X613" s="124" t="s">
        <v>52</v>
      </c>
      <c r="Y613" s="124" t="s">
        <v>946</v>
      </c>
      <c r="Z613" s="91"/>
      <c r="AA613" s="91" t="s">
        <v>959</v>
      </c>
      <c r="AB613" s="91"/>
      <c r="AC613" s="91"/>
      <c r="AD613" s="91"/>
      <c r="AE613" s="91"/>
      <c r="AF613" s="91"/>
      <c r="AG613" s="91"/>
      <c r="AH613" s="91"/>
    </row>
    <row r="614" spans="1:34" s="1" customFormat="1" ht="45">
      <c r="A614" s="120">
        <v>613</v>
      </c>
      <c r="B614" s="120" t="b">
        <f t="shared" ca="1" si="9"/>
        <v>0</v>
      </c>
      <c r="C614" s="121">
        <v>45544</v>
      </c>
      <c r="D614" s="137" t="s">
        <v>1434</v>
      </c>
      <c r="E614" s="94">
        <v>2045</v>
      </c>
      <c r="F614" s="142">
        <v>1205</v>
      </c>
      <c r="G614" s="94" t="s">
        <v>34</v>
      </c>
      <c r="H614" s="94" t="s">
        <v>1435</v>
      </c>
      <c r="I614" s="91"/>
      <c r="J614" s="94" t="s">
        <v>35</v>
      </c>
      <c r="K614" s="152">
        <v>7.3810000000000002</v>
      </c>
      <c r="L614" s="122" t="str">
        <f>VLOOKUP(K614,Liste!$L$2:$O$34,4,1)</f>
        <v>GSMR_02/03</v>
      </c>
      <c r="M614" s="133" t="s">
        <v>36</v>
      </c>
      <c r="N614" s="181" t="s">
        <v>58</v>
      </c>
      <c r="O614" s="125" t="s">
        <v>1436</v>
      </c>
      <c r="P614" s="119"/>
      <c r="Q614" s="94" t="s">
        <v>39</v>
      </c>
      <c r="R614" s="94" t="s">
        <v>1032</v>
      </c>
      <c r="S614" s="91" t="s">
        <v>1437</v>
      </c>
      <c r="T614" s="94" t="s">
        <v>93</v>
      </c>
      <c r="U614" s="94" t="s">
        <v>1422</v>
      </c>
      <c r="V614" s="94" t="s">
        <v>51</v>
      </c>
      <c r="W614" s="94" t="s">
        <v>43</v>
      </c>
      <c r="X614" s="124" t="s">
        <v>52</v>
      </c>
      <c r="Y614" s="124" t="s">
        <v>1372</v>
      </c>
      <c r="Z614" s="91"/>
      <c r="AA614" s="91" t="s">
        <v>802</v>
      </c>
      <c r="AB614" s="91"/>
      <c r="AC614" s="91"/>
      <c r="AD614" s="91"/>
      <c r="AE614" s="91"/>
      <c r="AF614" s="91"/>
      <c r="AG614" s="91"/>
      <c r="AH614" s="91"/>
    </row>
    <row r="615" spans="1:34" s="1" customFormat="1" ht="45">
      <c r="A615" s="120">
        <v>614</v>
      </c>
      <c r="B615" s="120" t="b">
        <f t="shared" ca="1" si="9"/>
        <v>0</v>
      </c>
      <c r="C615" s="121">
        <v>45544</v>
      </c>
      <c r="D615" s="137">
        <v>0.71649305555555554</v>
      </c>
      <c r="E615" s="94">
        <v>2045</v>
      </c>
      <c r="F615" s="142">
        <v>1205</v>
      </c>
      <c r="G615" s="94" t="s">
        <v>34</v>
      </c>
      <c r="H615" s="94">
        <v>7218</v>
      </c>
      <c r="I615" s="91"/>
      <c r="J615" s="94" t="s">
        <v>35</v>
      </c>
      <c r="K615" s="91">
        <v>13.712999999999999</v>
      </c>
      <c r="L615" s="122" t="str">
        <f>VLOOKUP(K615,Liste!$L$2:$O$34,4,1)</f>
        <v>GSMR_03/04</v>
      </c>
      <c r="M615" s="133" t="s">
        <v>36</v>
      </c>
      <c r="N615" s="180" t="s">
        <v>37</v>
      </c>
      <c r="O615" s="125" t="s">
        <v>1438</v>
      </c>
      <c r="P615" s="119"/>
      <c r="Q615" s="94" t="s">
        <v>39</v>
      </c>
      <c r="R615" s="94" t="s">
        <v>1032</v>
      </c>
      <c r="S615" s="91" t="s">
        <v>1439</v>
      </c>
      <c r="T615" s="94" t="s">
        <v>1440</v>
      </c>
      <c r="U615" s="94" t="s">
        <v>1441</v>
      </c>
      <c r="V615" s="94" t="s">
        <v>51</v>
      </c>
      <c r="W615" s="94" t="s">
        <v>51</v>
      </c>
      <c r="X615" s="124" t="s">
        <v>52</v>
      </c>
      <c r="Y615" s="124" t="s">
        <v>946</v>
      </c>
      <c r="Z615" s="91"/>
      <c r="AA615" s="91" t="s">
        <v>793</v>
      </c>
      <c r="AB615" s="91"/>
      <c r="AC615" s="91"/>
      <c r="AD615" s="91"/>
      <c r="AE615" s="91"/>
      <c r="AF615" s="91"/>
      <c r="AG615" s="91"/>
      <c r="AH615" s="91"/>
    </row>
    <row r="616" spans="1:34" s="1" customFormat="1" ht="45">
      <c r="A616" s="120">
        <v>615</v>
      </c>
      <c r="B616" s="120" t="b">
        <f t="shared" ca="1" si="9"/>
        <v>0</v>
      </c>
      <c r="C616" s="121">
        <v>45545</v>
      </c>
      <c r="D616" s="137" t="s">
        <v>1442</v>
      </c>
      <c r="E616" s="94" t="s">
        <v>1443</v>
      </c>
      <c r="F616" s="142">
        <v>1207</v>
      </c>
      <c r="G616" s="94" t="s">
        <v>34</v>
      </c>
      <c r="H616" s="94">
        <v>1046</v>
      </c>
      <c r="I616" s="91"/>
      <c r="J616" s="94" t="s">
        <v>35</v>
      </c>
      <c r="K616" s="91">
        <v>186.315</v>
      </c>
      <c r="L616" s="122" t="str">
        <f>VLOOKUP(K616,Liste!$L$2:$O$34,4,1)</f>
        <v>GSMR_32/33</v>
      </c>
      <c r="M616" s="133" t="s">
        <v>36</v>
      </c>
      <c r="N616" s="180" t="s">
        <v>37</v>
      </c>
      <c r="O616" s="125" t="s">
        <v>1444</v>
      </c>
      <c r="P616" s="126"/>
      <c r="Q616" s="94" t="s">
        <v>54</v>
      </c>
      <c r="R616" s="94" t="s">
        <v>1032</v>
      </c>
      <c r="S616" s="91" t="s">
        <v>1445</v>
      </c>
      <c r="T616" s="94" t="s">
        <v>69</v>
      </c>
      <c r="U616" s="94" t="s">
        <v>1446</v>
      </c>
      <c r="V616" s="94" t="s">
        <v>43</v>
      </c>
      <c r="W616" s="94" t="s">
        <v>51</v>
      </c>
      <c r="X616" s="124" t="s">
        <v>52</v>
      </c>
      <c r="Y616" s="124" t="s">
        <v>946</v>
      </c>
      <c r="Z616" s="91"/>
      <c r="AA616" s="91" t="s">
        <v>802</v>
      </c>
      <c r="AB616" s="91"/>
      <c r="AC616" s="91"/>
      <c r="AD616" s="91"/>
      <c r="AE616" s="91"/>
      <c r="AF616" s="91"/>
      <c r="AG616" s="91"/>
      <c r="AH616" s="91"/>
    </row>
    <row r="617" spans="1:34" s="1" customFormat="1" ht="45">
      <c r="A617" s="120">
        <v>616</v>
      </c>
      <c r="B617" s="120" t="b">
        <f t="shared" ca="1" si="9"/>
        <v>0</v>
      </c>
      <c r="C617" s="121">
        <v>45545</v>
      </c>
      <c r="D617" s="137" t="s">
        <v>1447</v>
      </c>
      <c r="E617" s="94">
        <v>1021</v>
      </c>
      <c r="F617" s="142">
        <v>1207</v>
      </c>
      <c r="G617" s="94" t="s">
        <v>71</v>
      </c>
      <c r="H617" s="94">
        <v>1007</v>
      </c>
      <c r="I617" s="91"/>
      <c r="J617" s="94" t="s">
        <v>72</v>
      </c>
      <c r="K617" s="152">
        <v>7.3209999999999997</v>
      </c>
      <c r="L617" s="122" t="str">
        <f>VLOOKUP(K617,Liste!$L$2:$O$34,4,1)</f>
        <v>GSMR_02/03</v>
      </c>
      <c r="M617" s="133" t="s">
        <v>36</v>
      </c>
      <c r="N617" s="180" t="s">
        <v>37</v>
      </c>
      <c r="O617" s="125" t="s">
        <v>1448</v>
      </c>
      <c r="P617" s="119"/>
      <c r="Q617" s="94" t="s">
        <v>39</v>
      </c>
      <c r="R617" s="94" t="s">
        <v>1032</v>
      </c>
      <c r="S617" s="91" t="s">
        <v>1339</v>
      </c>
      <c r="T617" s="94" t="s">
        <v>93</v>
      </c>
      <c r="U617" s="94" t="s">
        <v>1449</v>
      </c>
      <c r="V617" s="94" t="s">
        <v>43</v>
      </c>
      <c r="W617" s="94" t="s">
        <v>51</v>
      </c>
      <c r="X617" s="124" t="s">
        <v>52</v>
      </c>
      <c r="Y617" s="124" t="s">
        <v>946</v>
      </c>
      <c r="Z617" s="91"/>
      <c r="AA617" s="91" t="s">
        <v>802</v>
      </c>
      <c r="AB617" s="91"/>
      <c r="AC617" s="91"/>
      <c r="AD617" s="91"/>
      <c r="AE617" s="91"/>
      <c r="AF617" s="91"/>
      <c r="AG617" s="91"/>
      <c r="AH617" s="91"/>
    </row>
    <row r="618" spans="1:34" s="1" customFormat="1" ht="45">
      <c r="A618" s="120">
        <v>617</v>
      </c>
      <c r="B618" s="120" t="b">
        <f t="shared" ca="1" si="9"/>
        <v>0</v>
      </c>
      <c r="C618" s="121">
        <v>45545</v>
      </c>
      <c r="D618" s="137" t="s">
        <v>1450</v>
      </c>
      <c r="E618" s="94">
        <v>2049</v>
      </c>
      <c r="F618" s="142">
        <v>1209</v>
      </c>
      <c r="G618" s="94" t="s">
        <v>34</v>
      </c>
      <c r="H618" s="94">
        <v>1058</v>
      </c>
      <c r="I618" s="91"/>
      <c r="J618" s="94" t="s">
        <v>35</v>
      </c>
      <c r="K618" s="152">
        <v>4</v>
      </c>
      <c r="L618" s="122" t="str">
        <f>VLOOKUP(K618,Liste!$L$2:$O$34,4,1)</f>
        <v>GSMR_02/03</v>
      </c>
      <c r="M618" s="133" t="s">
        <v>36</v>
      </c>
      <c r="N618" s="181" t="s">
        <v>58</v>
      </c>
      <c r="O618" s="125" t="s">
        <v>1451</v>
      </c>
      <c r="P618" s="119"/>
      <c r="Q618" s="94" t="s">
        <v>39</v>
      </c>
      <c r="R618" s="94" t="s">
        <v>1032</v>
      </c>
      <c r="S618" s="91" t="s">
        <v>1452</v>
      </c>
      <c r="T618" s="94" t="s">
        <v>69</v>
      </c>
      <c r="U618" s="94" t="s">
        <v>1453</v>
      </c>
      <c r="V618" s="94" t="s">
        <v>43</v>
      </c>
      <c r="W618" s="94" t="s">
        <v>51</v>
      </c>
      <c r="X618" s="124" t="s">
        <v>52</v>
      </c>
      <c r="Y618" s="124" t="s">
        <v>946</v>
      </c>
      <c r="Z618" s="91"/>
      <c r="AA618" s="91" t="s">
        <v>1183</v>
      </c>
      <c r="AB618" s="91"/>
      <c r="AC618" s="91"/>
      <c r="AD618" s="91"/>
      <c r="AE618" s="91"/>
      <c r="AF618" s="91"/>
      <c r="AG618" s="91"/>
      <c r="AH618" s="91"/>
    </row>
    <row r="619" spans="1:34" s="1" customFormat="1" ht="45">
      <c r="A619" s="120">
        <v>618</v>
      </c>
      <c r="B619" s="120" t="b">
        <f t="shared" ca="1" si="9"/>
        <v>0</v>
      </c>
      <c r="C619" s="121">
        <v>45546</v>
      </c>
      <c r="D619" s="137">
        <v>0.19270833333333334</v>
      </c>
      <c r="E619" s="94">
        <v>2081</v>
      </c>
      <c r="F619" s="142">
        <v>1211</v>
      </c>
      <c r="G619" s="94" t="s">
        <v>34</v>
      </c>
      <c r="H619" s="94">
        <v>1029</v>
      </c>
      <c r="I619" s="91"/>
      <c r="J619" s="94" t="s">
        <v>35</v>
      </c>
      <c r="K619" s="91">
        <v>85.888000000000005</v>
      </c>
      <c r="L619" s="122" t="str">
        <f>VLOOKUP(K619,Liste!$L$2:$O$34,4,1)</f>
        <v>GSMR_16/17</v>
      </c>
      <c r="M619" s="133" t="s">
        <v>36</v>
      </c>
      <c r="N619" s="180" t="s">
        <v>37</v>
      </c>
      <c r="O619" s="125" t="s">
        <v>1454</v>
      </c>
      <c r="P619" s="119"/>
      <c r="Q619" s="94" t="s">
        <v>39</v>
      </c>
      <c r="R619" s="94" t="s">
        <v>1032</v>
      </c>
      <c r="S619" s="91" t="s">
        <v>1455</v>
      </c>
      <c r="T619" s="94" t="s">
        <v>69</v>
      </c>
      <c r="U619" s="94" t="s">
        <v>1453</v>
      </c>
      <c r="V619" s="94" t="s">
        <v>51</v>
      </c>
      <c r="W619" s="94" t="s">
        <v>51</v>
      </c>
      <c r="X619" s="124" t="s">
        <v>52</v>
      </c>
      <c r="Y619" s="124" t="s">
        <v>946</v>
      </c>
      <c r="Z619" s="91"/>
      <c r="AA619" s="91" t="s">
        <v>793</v>
      </c>
      <c r="AB619" s="91"/>
      <c r="AC619" s="91"/>
      <c r="AD619" s="91"/>
      <c r="AE619" s="91"/>
      <c r="AF619" s="91"/>
      <c r="AG619" s="91"/>
      <c r="AH619" s="91"/>
    </row>
    <row r="620" spans="1:34" s="1" customFormat="1" ht="45">
      <c r="A620" s="120">
        <v>619</v>
      </c>
      <c r="B620" s="120" t="b">
        <f t="shared" ca="1" si="9"/>
        <v>0</v>
      </c>
      <c r="C620" s="121">
        <v>45546</v>
      </c>
      <c r="D620" s="137" t="s">
        <v>1456</v>
      </c>
      <c r="E620" s="94">
        <v>1022</v>
      </c>
      <c r="F620" s="142">
        <v>1211</v>
      </c>
      <c r="G620" s="94" t="s">
        <v>71</v>
      </c>
      <c r="H620" s="94">
        <v>3062</v>
      </c>
      <c r="I620" s="91"/>
      <c r="J620" s="94" t="s">
        <v>72</v>
      </c>
      <c r="K620" s="152">
        <v>7.3209999999999997</v>
      </c>
      <c r="L620" s="122" t="str">
        <f>VLOOKUP(K620,Liste!$L$2:$O$34,4,1)</f>
        <v>GSMR_02/03</v>
      </c>
      <c r="M620" s="133" t="s">
        <v>36</v>
      </c>
      <c r="N620" s="180" t="s">
        <v>37</v>
      </c>
      <c r="O620" s="125" t="s">
        <v>1457</v>
      </c>
      <c r="P620" s="119"/>
      <c r="Q620" s="94" t="s">
        <v>39</v>
      </c>
      <c r="R620" s="94" t="s">
        <v>1032</v>
      </c>
      <c r="S620" s="91" t="s">
        <v>1346</v>
      </c>
      <c r="T620" s="94" t="s">
        <v>93</v>
      </c>
      <c r="U620" s="94" t="s">
        <v>1449</v>
      </c>
      <c r="V620" s="94" t="s">
        <v>51</v>
      </c>
      <c r="W620" s="94" t="s">
        <v>51</v>
      </c>
      <c r="X620" s="124" t="s">
        <v>52</v>
      </c>
      <c r="Y620" s="124" t="s">
        <v>1372</v>
      </c>
      <c r="Z620" s="91"/>
      <c r="AA620" s="91" t="s">
        <v>802</v>
      </c>
      <c r="AB620" s="91"/>
      <c r="AC620" s="91"/>
      <c r="AD620" s="91"/>
      <c r="AE620" s="91"/>
      <c r="AF620" s="91"/>
      <c r="AG620" s="91"/>
      <c r="AH620" s="91"/>
    </row>
    <row r="621" spans="1:34" s="1" customFormat="1" ht="45">
      <c r="A621" s="120">
        <v>620</v>
      </c>
      <c r="B621" s="120" t="b">
        <f t="shared" ca="1" si="9"/>
        <v>0</v>
      </c>
      <c r="C621" s="121">
        <v>45546</v>
      </c>
      <c r="D621" s="137">
        <v>0.79516203703703703</v>
      </c>
      <c r="E621" s="94">
        <v>2053</v>
      </c>
      <c r="F621" s="142">
        <v>1201</v>
      </c>
      <c r="G621" s="94" t="s">
        <v>34</v>
      </c>
      <c r="H621" s="94">
        <v>7206</v>
      </c>
      <c r="I621" s="91"/>
      <c r="J621" s="94" t="s">
        <v>35</v>
      </c>
      <c r="K621" s="152">
        <v>6.13</v>
      </c>
      <c r="L621" s="122" t="str">
        <f>VLOOKUP(K621,Liste!$L$2:$O$34,4,1)</f>
        <v>GSMR_02/03</v>
      </c>
      <c r="M621" s="133" t="s">
        <v>36</v>
      </c>
      <c r="N621" s="181" t="s">
        <v>58</v>
      </c>
      <c r="O621" s="125" t="s">
        <v>1458</v>
      </c>
      <c r="P621" s="119"/>
      <c r="Q621" s="94" t="s">
        <v>39</v>
      </c>
      <c r="R621" s="94" t="s">
        <v>1032</v>
      </c>
      <c r="S621" s="91" t="s">
        <v>1459</v>
      </c>
      <c r="T621" s="94" t="s">
        <v>56</v>
      </c>
      <c r="U621" s="94" t="s">
        <v>1460</v>
      </c>
      <c r="V621" s="94" t="s">
        <v>43</v>
      </c>
      <c r="W621" s="94" t="s">
        <v>51</v>
      </c>
      <c r="X621" s="124" t="s">
        <v>52</v>
      </c>
      <c r="Y621" s="124" t="s">
        <v>946</v>
      </c>
      <c r="Z621" s="91"/>
      <c r="AA621" s="91" t="s">
        <v>1118</v>
      </c>
      <c r="AB621" s="91"/>
      <c r="AC621" s="91"/>
      <c r="AD621" s="91"/>
      <c r="AE621" s="91"/>
      <c r="AF621" s="91"/>
      <c r="AG621" s="91"/>
      <c r="AH621" s="91"/>
    </row>
    <row r="622" spans="1:34" s="1" customFormat="1" ht="45">
      <c r="A622" s="120">
        <v>621</v>
      </c>
      <c r="B622" s="120" t="b">
        <f t="shared" ca="1" si="9"/>
        <v>0</v>
      </c>
      <c r="C622" s="121">
        <v>45547</v>
      </c>
      <c r="D622" s="137">
        <v>0.31865740740740739</v>
      </c>
      <c r="E622" s="94">
        <v>2005</v>
      </c>
      <c r="F622" s="142">
        <v>1206</v>
      </c>
      <c r="G622" s="94" t="s">
        <v>34</v>
      </c>
      <c r="H622" s="94">
        <v>1055</v>
      </c>
      <c r="I622" s="91"/>
      <c r="J622" s="94" t="s">
        <v>35</v>
      </c>
      <c r="K622" s="91">
        <v>161.72200000000001</v>
      </c>
      <c r="L622" s="122" t="str">
        <f>VLOOKUP(K622,Liste!$L$2:$O$34,4,1)</f>
        <v>GSMR_27/28</v>
      </c>
      <c r="M622" s="133" t="s">
        <v>36</v>
      </c>
      <c r="N622" s="180" t="s">
        <v>37</v>
      </c>
      <c r="O622" s="125" t="s">
        <v>1461</v>
      </c>
      <c r="P622" s="119"/>
      <c r="Q622" s="94" t="s">
        <v>39</v>
      </c>
      <c r="R622" s="94" t="s">
        <v>1032</v>
      </c>
      <c r="S622" s="91" t="s">
        <v>1462</v>
      </c>
      <c r="T622" s="94" t="s">
        <v>69</v>
      </c>
      <c r="U622" s="94" t="s">
        <v>1463</v>
      </c>
      <c r="V622" s="94" t="s">
        <v>43</v>
      </c>
      <c r="W622" s="94" t="s">
        <v>51</v>
      </c>
      <c r="X622" s="124" t="s">
        <v>52</v>
      </c>
      <c r="Y622" s="124" t="s">
        <v>946</v>
      </c>
      <c r="Z622" s="91"/>
      <c r="AA622" s="91" t="s">
        <v>754</v>
      </c>
      <c r="AB622" s="91"/>
      <c r="AC622" s="91"/>
      <c r="AD622" s="91"/>
      <c r="AE622" s="91"/>
      <c r="AF622" s="91"/>
      <c r="AG622" s="91"/>
      <c r="AH622" s="91"/>
    </row>
    <row r="623" spans="1:34" s="1" customFormat="1" ht="45">
      <c r="A623" s="120">
        <v>622</v>
      </c>
      <c r="B623" s="120" t="b">
        <f t="shared" ca="1" si="9"/>
        <v>0</v>
      </c>
      <c r="C623" s="121">
        <v>45547</v>
      </c>
      <c r="D623" s="137">
        <v>0.50365740740740739</v>
      </c>
      <c r="E623" s="94">
        <v>1018</v>
      </c>
      <c r="F623" s="142">
        <v>1206</v>
      </c>
      <c r="G623" s="94" t="s">
        <v>71</v>
      </c>
      <c r="H623" s="94">
        <v>1041</v>
      </c>
      <c r="I623" s="91"/>
      <c r="J623" s="94" t="s">
        <v>72</v>
      </c>
      <c r="K623" s="152">
        <v>7.3209999999999997</v>
      </c>
      <c r="L623" s="122" t="str">
        <f>VLOOKUP(K623,Liste!$L$2:$O$34,4,1)</f>
        <v>GSMR_02/03</v>
      </c>
      <c r="M623" s="133" t="s">
        <v>36</v>
      </c>
      <c r="N623" s="180" t="s">
        <v>37</v>
      </c>
      <c r="O623" s="125" t="s">
        <v>1464</v>
      </c>
      <c r="P623" s="119"/>
      <c r="Q623" s="94" t="s">
        <v>39</v>
      </c>
      <c r="R623" s="94" t="s">
        <v>1032</v>
      </c>
      <c r="S623" s="91" t="s">
        <v>1459</v>
      </c>
      <c r="T623" s="94" t="s">
        <v>69</v>
      </c>
      <c r="U623" s="94" t="s">
        <v>1465</v>
      </c>
      <c r="V623" s="94" t="s">
        <v>51</v>
      </c>
      <c r="W623" s="94" t="s">
        <v>51</v>
      </c>
      <c r="X623" s="124" t="s">
        <v>52</v>
      </c>
      <c r="Y623" s="124" t="s">
        <v>946</v>
      </c>
      <c r="Z623" s="91"/>
      <c r="AA623" s="91" t="s">
        <v>802</v>
      </c>
      <c r="AB623" s="91"/>
      <c r="AC623" s="91"/>
      <c r="AD623" s="91"/>
      <c r="AE623" s="91"/>
      <c r="AF623" s="91"/>
      <c r="AG623" s="91"/>
      <c r="AH623" s="91"/>
    </row>
    <row r="624" spans="1:34" s="1" customFormat="1" ht="45">
      <c r="A624" s="120">
        <v>623</v>
      </c>
      <c r="B624" s="120" t="b">
        <f t="shared" ca="1" si="9"/>
        <v>0</v>
      </c>
      <c r="C624" s="121">
        <v>45547</v>
      </c>
      <c r="D624" s="137">
        <v>0.88282407407407404</v>
      </c>
      <c r="E624" s="94">
        <v>1053</v>
      </c>
      <c r="F624" s="142">
        <v>1206</v>
      </c>
      <c r="G624" s="94" t="s">
        <v>71</v>
      </c>
      <c r="H624" s="94">
        <v>1040</v>
      </c>
      <c r="I624" s="91"/>
      <c r="J624" s="94" t="s">
        <v>72</v>
      </c>
      <c r="K624" s="152">
        <v>7.3209999999999997</v>
      </c>
      <c r="L624" s="122" t="str">
        <f>VLOOKUP(K624,Liste!$L$2:$O$34,4,1)</f>
        <v>GSMR_02/03</v>
      </c>
      <c r="M624" s="133" t="s">
        <v>36</v>
      </c>
      <c r="N624" s="181" t="s">
        <v>58</v>
      </c>
      <c r="O624" s="125" t="s">
        <v>1466</v>
      </c>
      <c r="P624" s="119"/>
      <c r="Q624" s="94" t="s">
        <v>39</v>
      </c>
      <c r="R624" s="94" t="s">
        <v>1032</v>
      </c>
      <c r="S624" s="91" t="s">
        <v>1467</v>
      </c>
      <c r="T624" s="94" t="s">
        <v>93</v>
      </c>
      <c r="U624" s="94" t="s">
        <v>1468</v>
      </c>
      <c r="V624" s="94" t="s">
        <v>43</v>
      </c>
      <c r="W624" s="94" t="s">
        <v>51</v>
      </c>
      <c r="X624" s="124" t="s">
        <v>52</v>
      </c>
      <c r="Y624" s="124" t="s">
        <v>946</v>
      </c>
      <c r="Z624" s="91"/>
      <c r="AA624" s="91" t="s">
        <v>778</v>
      </c>
      <c r="AB624" s="91"/>
      <c r="AC624" s="91"/>
      <c r="AD624" s="91"/>
      <c r="AE624" s="91"/>
      <c r="AF624" s="91"/>
      <c r="AG624" s="91"/>
      <c r="AH624" s="91"/>
    </row>
    <row r="625" spans="1:34" s="1" customFormat="1" ht="45">
      <c r="A625" s="120">
        <v>624</v>
      </c>
      <c r="B625" s="120" t="b">
        <f t="shared" ca="1" si="9"/>
        <v>0</v>
      </c>
      <c r="C625" s="121">
        <v>45547</v>
      </c>
      <c r="D625" s="137">
        <v>0.93436342592592592</v>
      </c>
      <c r="E625" s="94">
        <v>1062</v>
      </c>
      <c r="F625" s="142">
        <v>1207</v>
      </c>
      <c r="G625" s="94" t="s">
        <v>71</v>
      </c>
      <c r="H625" s="94">
        <v>1007</v>
      </c>
      <c r="I625" s="91"/>
      <c r="J625" s="94" t="s">
        <v>72</v>
      </c>
      <c r="K625" s="91">
        <v>198.98400000000001</v>
      </c>
      <c r="L625" s="122" t="str">
        <f>VLOOKUP(K625,Liste!$L$2:$O$34,4,1)</f>
        <v>GSMR_33/RAC</v>
      </c>
      <c r="M625" s="133" t="s">
        <v>36</v>
      </c>
      <c r="N625" s="181" t="s">
        <v>58</v>
      </c>
      <c r="O625" s="125" t="s">
        <v>1469</v>
      </c>
      <c r="P625" s="126"/>
      <c r="Q625" s="124" t="s">
        <v>47</v>
      </c>
      <c r="R625" s="118" t="s">
        <v>808</v>
      </c>
      <c r="S625" s="91" t="s">
        <v>1470</v>
      </c>
      <c r="T625" s="94" t="s">
        <v>56</v>
      </c>
      <c r="U625" s="94" t="s">
        <v>1471</v>
      </c>
      <c r="V625" s="94" t="s">
        <v>51</v>
      </c>
      <c r="W625" s="94" t="s">
        <v>51</v>
      </c>
      <c r="X625" s="124" t="s">
        <v>52</v>
      </c>
      <c r="Y625" s="124" t="s">
        <v>946</v>
      </c>
      <c r="Z625" s="91"/>
      <c r="AA625" s="91" t="s">
        <v>778</v>
      </c>
      <c r="AB625" s="91"/>
      <c r="AC625" s="91"/>
      <c r="AD625" s="91"/>
      <c r="AE625" s="91"/>
      <c r="AF625" s="91"/>
      <c r="AG625" s="91"/>
      <c r="AH625" s="91"/>
    </row>
    <row r="626" spans="1:34" s="1" customFormat="1" ht="45">
      <c r="A626" s="120">
        <v>625</v>
      </c>
      <c r="B626" s="120" t="b">
        <f t="shared" ca="1" si="9"/>
        <v>0</v>
      </c>
      <c r="C626" s="121">
        <v>45548</v>
      </c>
      <c r="D626" s="137">
        <v>0.32247685185185188</v>
      </c>
      <c r="E626" s="94">
        <v>1001</v>
      </c>
      <c r="F626" s="142">
        <v>1208</v>
      </c>
      <c r="G626" s="94" t="s">
        <v>71</v>
      </c>
      <c r="H626" s="94">
        <v>1045</v>
      </c>
      <c r="I626" s="91"/>
      <c r="J626" s="94" t="s">
        <v>72</v>
      </c>
      <c r="K626" s="91">
        <v>104.253</v>
      </c>
      <c r="L626" s="122" t="str">
        <f>VLOOKUP(K626,Liste!$L$2:$O$34,4,1)</f>
        <v>GSMR_18/19</v>
      </c>
      <c r="M626" s="133" t="s">
        <v>36</v>
      </c>
      <c r="N626" s="180" t="s">
        <v>37</v>
      </c>
      <c r="O626" s="125" t="s">
        <v>1472</v>
      </c>
      <c r="P626" s="119"/>
      <c r="Q626" s="94" t="s">
        <v>39</v>
      </c>
      <c r="R626" s="94" t="s">
        <v>1032</v>
      </c>
      <c r="S626" s="91" t="s">
        <v>1473</v>
      </c>
      <c r="T626" s="94" t="s">
        <v>69</v>
      </c>
      <c r="U626" s="94" t="s">
        <v>1446</v>
      </c>
      <c r="V626" s="94" t="s">
        <v>43</v>
      </c>
      <c r="W626" s="94" t="s">
        <v>51</v>
      </c>
      <c r="X626" s="124" t="s">
        <v>52</v>
      </c>
      <c r="Y626" s="124" t="s">
        <v>946</v>
      </c>
      <c r="Z626" s="91"/>
      <c r="AA626" s="91" t="s">
        <v>802</v>
      </c>
      <c r="AB626" s="91"/>
      <c r="AC626" s="91"/>
      <c r="AD626" s="91"/>
      <c r="AE626" s="91"/>
      <c r="AF626" s="91"/>
      <c r="AG626" s="91"/>
      <c r="AH626" s="91"/>
    </row>
    <row r="627" spans="1:34" s="1" customFormat="1" ht="45">
      <c r="A627" s="120">
        <v>626</v>
      </c>
      <c r="B627" s="120" t="b">
        <f t="shared" ca="1" si="9"/>
        <v>0</v>
      </c>
      <c r="C627" s="121">
        <v>45548</v>
      </c>
      <c r="D627" s="137">
        <v>0.35394675925925928</v>
      </c>
      <c r="E627" s="94">
        <v>1005</v>
      </c>
      <c r="F627" s="142">
        <v>1204</v>
      </c>
      <c r="G627" s="94" t="s">
        <v>71</v>
      </c>
      <c r="H627" s="94">
        <v>1030</v>
      </c>
      <c r="I627" s="91"/>
      <c r="J627" s="94" t="s">
        <v>72</v>
      </c>
      <c r="K627" s="91">
        <v>177.85</v>
      </c>
      <c r="L627" s="122" t="str">
        <f>VLOOKUP(K627,Liste!$L$2:$O$34,4,1)</f>
        <v>GSMR_30/31</v>
      </c>
      <c r="M627" s="133" t="s">
        <v>36</v>
      </c>
      <c r="N627" s="180" t="s">
        <v>37</v>
      </c>
      <c r="O627" s="125" t="s">
        <v>1474</v>
      </c>
      <c r="P627" s="119"/>
      <c r="Q627" s="94" t="s">
        <v>39</v>
      </c>
      <c r="R627" s="94" t="s">
        <v>1032</v>
      </c>
      <c r="S627" s="91" t="s">
        <v>1475</v>
      </c>
      <c r="T627" s="94" t="s">
        <v>69</v>
      </c>
      <c r="U627" s="94" t="s">
        <v>1463</v>
      </c>
      <c r="V627" s="94" t="s">
        <v>51</v>
      </c>
      <c r="W627" s="94" t="s">
        <v>51</v>
      </c>
      <c r="X627" s="124" t="s">
        <v>52</v>
      </c>
      <c r="Y627" s="124" t="s">
        <v>946</v>
      </c>
      <c r="Z627" s="91"/>
      <c r="AA627" s="91" t="s">
        <v>802</v>
      </c>
      <c r="AB627" s="91"/>
      <c r="AC627" s="91"/>
      <c r="AD627" s="91"/>
      <c r="AE627" s="91"/>
      <c r="AF627" s="91"/>
      <c r="AG627" s="91"/>
      <c r="AH627" s="91"/>
    </row>
    <row r="628" spans="1:34" s="1" customFormat="1" ht="45">
      <c r="A628" s="120">
        <v>627</v>
      </c>
      <c r="B628" s="120" t="b">
        <f t="shared" ca="1" si="9"/>
        <v>0</v>
      </c>
      <c r="C628" s="121">
        <v>45548</v>
      </c>
      <c r="D628" s="137">
        <v>0.85065972222222219</v>
      </c>
      <c r="E628" s="94">
        <v>1053</v>
      </c>
      <c r="F628" s="142">
        <v>1208</v>
      </c>
      <c r="G628" s="94" t="s">
        <v>71</v>
      </c>
      <c r="H628" s="94">
        <v>1044</v>
      </c>
      <c r="I628" s="91"/>
      <c r="J628" s="94" t="s">
        <v>72</v>
      </c>
      <c r="K628" s="91">
        <v>199.292</v>
      </c>
      <c r="L628" s="122" t="str">
        <f>VLOOKUP(K628,Liste!$L$2:$O$34,4,1)</f>
        <v>GSMR_33/RAC</v>
      </c>
      <c r="M628" s="133" t="s">
        <v>36</v>
      </c>
      <c r="N628" s="181" t="s">
        <v>58</v>
      </c>
      <c r="O628" s="125" t="s">
        <v>1476</v>
      </c>
      <c r="P628" s="119"/>
      <c r="Q628" s="94" t="s">
        <v>39</v>
      </c>
      <c r="R628" s="94" t="s">
        <v>1032</v>
      </c>
      <c r="S628" s="91" t="s">
        <v>1477</v>
      </c>
      <c r="T628" s="94" t="s">
        <v>69</v>
      </c>
      <c r="U628" s="94" t="s">
        <v>1453</v>
      </c>
      <c r="V628" s="94" t="s">
        <v>51</v>
      </c>
      <c r="W628" s="94" t="s">
        <v>51</v>
      </c>
      <c r="X628" s="124" t="s">
        <v>52</v>
      </c>
      <c r="Y628" s="124" t="s">
        <v>946</v>
      </c>
      <c r="Z628" s="91"/>
      <c r="AA628" s="91" t="s">
        <v>778</v>
      </c>
      <c r="AB628" s="91"/>
      <c r="AC628" s="91"/>
      <c r="AD628" s="91"/>
      <c r="AE628" s="91"/>
      <c r="AF628" s="91"/>
      <c r="AG628" s="91"/>
      <c r="AH628" s="91"/>
    </row>
    <row r="629" spans="1:34" s="1" customFormat="1" ht="45">
      <c r="A629" s="120">
        <v>628</v>
      </c>
      <c r="B629" s="120" t="b">
        <f t="shared" ca="1" si="9"/>
        <v>0</v>
      </c>
      <c r="C629" s="121">
        <v>45548</v>
      </c>
      <c r="D629" s="137">
        <v>0.85387731481481477</v>
      </c>
      <c r="E629" s="94">
        <v>2057</v>
      </c>
      <c r="F629" s="142">
        <v>1206</v>
      </c>
      <c r="G629" s="94" t="s">
        <v>34</v>
      </c>
      <c r="H629" s="94">
        <v>1038</v>
      </c>
      <c r="I629" s="91"/>
      <c r="J629" s="94" t="s">
        <v>35</v>
      </c>
      <c r="K629" s="91">
        <v>108.206</v>
      </c>
      <c r="L629" s="122" t="str">
        <f>VLOOKUP(K629,Liste!$L$2:$O$34,4,1)</f>
        <v>GSMR_19/20</v>
      </c>
      <c r="M629" s="133" t="s">
        <v>36</v>
      </c>
      <c r="N629" s="180" t="s">
        <v>37</v>
      </c>
      <c r="O629" s="125" t="s">
        <v>1478</v>
      </c>
      <c r="P629" s="126"/>
      <c r="Q629" s="94" t="s">
        <v>54</v>
      </c>
      <c r="R629" s="94" t="s">
        <v>1479</v>
      </c>
      <c r="S629" s="91" t="s">
        <v>1480</v>
      </c>
      <c r="T629" s="94" t="s">
        <v>56</v>
      </c>
      <c r="U629" s="94" t="s">
        <v>1481</v>
      </c>
      <c r="V629" s="94" t="s">
        <v>51</v>
      </c>
      <c r="W629" s="94" t="s">
        <v>51</v>
      </c>
      <c r="X629" s="124" t="s">
        <v>52</v>
      </c>
      <c r="Y629" s="124" t="s">
        <v>946</v>
      </c>
      <c r="Z629" s="91"/>
      <c r="AA629" s="91" t="s">
        <v>757</v>
      </c>
      <c r="AB629" s="91"/>
      <c r="AC629" s="91"/>
      <c r="AD629" s="91"/>
      <c r="AE629" s="91"/>
      <c r="AF629" s="91"/>
      <c r="AG629" s="91"/>
      <c r="AH629" s="91"/>
    </row>
    <row r="630" spans="1:34" s="1" customFormat="1" ht="45">
      <c r="A630" s="120">
        <v>629</v>
      </c>
      <c r="B630" s="120" t="b">
        <f t="shared" ca="1" si="9"/>
        <v>0</v>
      </c>
      <c r="C630" s="121">
        <v>45548</v>
      </c>
      <c r="D630" s="137">
        <v>0.85828703703703701</v>
      </c>
      <c r="E630" s="94">
        <v>1054</v>
      </c>
      <c r="F630" s="142">
        <v>1208</v>
      </c>
      <c r="G630" s="94" t="s">
        <v>71</v>
      </c>
      <c r="H630" s="94">
        <v>1044</v>
      </c>
      <c r="I630" s="91"/>
      <c r="J630" s="94" t="s">
        <v>72</v>
      </c>
      <c r="K630" s="91">
        <v>177.85</v>
      </c>
      <c r="L630" s="122" t="str">
        <f>VLOOKUP(K630,Liste!$L$2:$O$34,4,1)</f>
        <v>GSMR_30/31</v>
      </c>
      <c r="M630" s="133" t="s">
        <v>36</v>
      </c>
      <c r="N630" s="180" t="s">
        <v>37</v>
      </c>
      <c r="O630" s="125" t="s">
        <v>1482</v>
      </c>
      <c r="P630" s="119"/>
      <c r="Q630" s="94" t="s">
        <v>39</v>
      </c>
      <c r="R630" s="94" t="s">
        <v>1032</v>
      </c>
      <c r="S630" s="91" t="s">
        <v>1483</v>
      </c>
      <c r="T630" s="94" t="s">
        <v>69</v>
      </c>
      <c r="U630" s="94" t="s">
        <v>1484</v>
      </c>
      <c r="V630" s="94" t="s">
        <v>51</v>
      </c>
      <c r="W630" s="94" t="s">
        <v>51</v>
      </c>
      <c r="X630" s="124" t="s">
        <v>52</v>
      </c>
      <c r="Y630" s="124" t="s">
        <v>946</v>
      </c>
      <c r="Z630" s="91"/>
      <c r="AA630" s="91" t="s">
        <v>778</v>
      </c>
      <c r="AB630" s="91"/>
      <c r="AC630" s="91"/>
      <c r="AD630" s="91"/>
      <c r="AE630" s="91"/>
      <c r="AF630" s="91"/>
      <c r="AG630" s="91"/>
      <c r="AH630" s="91"/>
    </row>
    <row r="631" spans="1:34" s="1" customFormat="1" ht="45">
      <c r="A631" s="120">
        <v>630</v>
      </c>
      <c r="B631" s="120" t="b">
        <f t="shared" ca="1" si="9"/>
        <v>0</v>
      </c>
      <c r="C631" s="121">
        <v>45548</v>
      </c>
      <c r="D631" s="137">
        <v>0.89449074074074075</v>
      </c>
      <c r="E631" s="94">
        <v>2061</v>
      </c>
      <c r="F631" s="142">
        <v>1201</v>
      </c>
      <c r="G631" s="94" t="s">
        <v>34</v>
      </c>
      <c r="H631" s="94">
        <v>7206</v>
      </c>
      <c r="I631" s="91"/>
      <c r="J631" s="94" t="s">
        <v>35</v>
      </c>
      <c r="K631" s="91">
        <v>108.206</v>
      </c>
      <c r="L631" s="122" t="str">
        <f>VLOOKUP(K631,Liste!$L$2:$O$34,4,1)</f>
        <v>GSMR_19/20</v>
      </c>
      <c r="M631" s="133" t="s">
        <v>36</v>
      </c>
      <c r="N631" s="180" t="s">
        <v>37</v>
      </c>
      <c r="O631" s="125" t="s">
        <v>1485</v>
      </c>
      <c r="P631" s="126"/>
      <c r="Q631" s="94" t="s">
        <v>54</v>
      </c>
      <c r="R631" s="94" t="s">
        <v>1479</v>
      </c>
      <c r="S631" s="91" t="s">
        <v>1480</v>
      </c>
      <c r="T631" s="94" t="s">
        <v>56</v>
      </c>
      <c r="U631" s="94" t="s">
        <v>1471</v>
      </c>
      <c r="V631" s="94" t="s">
        <v>51</v>
      </c>
      <c r="W631" s="94" t="s">
        <v>51</v>
      </c>
      <c r="X631" s="124" t="s">
        <v>52</v>
      </c>
      <c r="Y631" s="124" t="s">
        <v>946</v>
      </c>
      <c r="Z631" s="91"/>
      <c r="AA631" s="91" t="s">
        <v>778</v>
      </c>
      <c r="AB631" s="91"/>
      <c r="AC631" s="91"/>
      <c r="AD631" s="91"/>
      <c r="AE631" s="91"/>
      <c r="AF631" s="91"/>
      <c r="AG631" s="91"/>
      <c r="AH631" s="91"/>
    </row>
    <row r="632" spans="1:34" s="1" customFormat="1" ht="45">
      <c r="A632" s="120">
        <v>631</v>
      </c>
      <c r="B632" s="120" t="b">
        <f t="shared" ca="1" si="9"/>
        <v>0</v>
      </c>
      <c r="C632" s="121">
        <v>45549</v>
      </c>
      <c r="D632" s="137">
        <v>0.96440972222222221</v>
      </c>
      <c r="E632" s="94">
        <v>1061</v>
      </c>
      <c r="F632" s="142">
        <v>1211</v>
      </c>
      <c r="G632" s="94" t="s">
        <v>71</v>
      </c>
      <c r="H632" s="94">
        <v>3062</v>
      </c>
      <c r="I632" s="91"/>
      <c r="J632" s="94" t="s">
        <v>72</v>
      </c>
      <c r="K632" s="152">
        <v>7.3209999999999997</v>
      </c>
      <c r="L632" s="122" t="str">
        <f>VLOOKUP(K632,Liste!$L$2:$O$34,4,1)</f>
        <v>GSMR_02/03</v>
      </c>
      <c r="M632" s="133" t="s">
        <v>36</v>
      </c>
      <c r="N632" s="181" t="s">
        <v>58</v>
      </c>
      <c r="O632" s="125" t="s">
        <v>1486</v>
      </c>
      <c r="P632" s="119"/>
      <c r="Q632" s="94" t="s">
        <v>39</v>
      </c>
      <c r="R632" s="94" t="s">
        <v>1032</v>
      </c>
      <c r="S632" s="91" t="s">
        <v>1487</v>
      </c>
      <c r="T632" s="94" t="s">
        <v>69</v>
      </c>
      <c r="U632" s="94" t="s">
        <v>1460</v>
      </c>
      <c r="V632" s="94" t="s">
        <v>51</v>
      </c>
      <c r="W632" s="94" t="s">
        <v>51</v>
      </c>
      <c r="X632" s="124" t="s">
        <v>52</v>
      </c>
      <c r="Y632" s="124" t="s">
        <v>946</v>
      </c>
      <c r="Z632" s="91"/>
      <c r="AA632" s="91" t="s">
        <v>778</v>
      </c>
      <c r="AB632" s="91"/>
      <c r="AC632" s="91"/>
      <c r="AD632" s="91"/>
      <c r="AE632" s="91"/>
      <c r="AF632" s="91"/>
      <c r="AG632" s="91"/>
      <c r="AH632" s="91"/>
    </row>
    <row r="633" spans="1:34" s="1" customFormat="1" ht="45">
      <c r="A633" s="120">
        <v>632</v>
      </c>
      <c r="B633" s="120" t="b">
        <f t="shared" ca="1" si="9"/>
        <v>0</v>
      </c>
      <c r="C633" s="121">
        <v>45550</v>
      </c>
      <c r="D633" s="137">
        <v>0.38832175925925927</v>
      </c>
      <c r="E633" s="94">
        <v>2013</v>
      </c>
      <c r="F633" s="142">
        <v>1204</v>
      </c>
      <c r="G633" s="94" t="s">
        <v>34</v>
      </c>
      <c r="H633" s="94">
        <v>1052</v>
      </c>
      <c r="I633" s="91"/>
      <c r="J633" s="94" t="s">
        <v>35</v>
      </c>
      <c r="K633" s="91">
        <v>62.072000000000003</v>
      </c>
      <c r="L633" s="122" t="str">
        <f>VLOOKUP(K633,Liste!$L$2:$O$34,4,1)</f>
        <v>GSMR_11/12</v>
      </c>
      <c r="M633" s="133" t="s">
        <v>36</v>
      </c>
      <c r="N633" s="181" t="s">
        <v>58</v>
      </c>
      <c r="O633" s="125" t="s">
        <v>1488</v>
      </c>
      <c r="P633" s="119"/>
      <c r="Q633" s="94" t="s">
        <v>39</v>
      </c>
      <c r="R633" s="94" t="s">
        <v>1032</v>
      </c>
      <c r="S633" s="91" t="s">
        <v>1489</v>
      </c>
      <c r="T633" s="94" t="s">
        <v>69</v>
      </c>
      <c r="U633" s="94" t="s">
        <v>1490</v>
      </c>
      <c r="V633" s="94" t="s">
        <v>51</v>
      </c>
      <c r="W633" s="94" t="s">
        <v>51</v>
      </c>
      <c r="X633" s="124" t="s">
        <v>52</v>
      </c>
      <c r="Y633" s="124" t="s">
        <v>946</v>
      </c>
      <c r="Z633" s="91"/>
      <c r="AA633" s="91" t="s">
        <v>793</v>
      </c>
      <c r="AB633" s="91"/>
      <c r="AC633" s="91"/>
      <c r="AD633" s="91"/>
      <c r="AE633" s="91"/>
      <c r="AF633" s="91"/>
      <c r="AG633" s="91"/>
      <c r="AH633" s="91"/>
    </row>
    <row r="634" spans="1:34" s="1" customFormat="1" ht="45">
      <c r="A634" s="120">
        <v>633</v>
      </c>
      <c r="B634" s="120" t="b">
        <f t="shared" ca="1" si="9"/>
        <v>0</v>
      </c>
      <c r="C634" s="121">
        <v>45550</v>
      </c>
      <c r="D634" s="137">
        <v>0.72976851851851854</v>
      </c>
      <c r="E634" s="94">
        <v>2045</v>
      </c>
      <c r="F634" s="142">
        <v>1206</v>
      </c>
      <c r="G634" s="94" t="s">
        <v>34</v>
      </c>
      <c r="H634" s="94">
        <v>7217</v>
      </c>
      <c r="I634" s="91"/>
      <c r="J634" s="94" t="s">
        <v>35</v>
      </c>
      <c r="K634" s="91">
        <v>117.258</v>
      </c>
      <c r="L634" s="122" t="str">
        <f>VLOOKUP(K634,Liste!$L$2:$O$34,4,1)</f>
        <v>GSMR_20/21</v>
      </c>
      <c r="M634" s="133" t="s">
        <v>36</v>
      </c>
      <c r="N634" s="180" t="s">
        <v>37</v>
      </c>
      <c r="O634" s="125" t="s">
        <v>1491</v>
      </c>
      <c r="P634" s="119"/>
      <c r="Q634" s="94" t="s">
        <v>39</v>
      </c>
      <c r="R634" s="94" t="s">
        <v>1032</v>
      </c>
      <c r="S634" s="91" t="s">
        <v>1492</v>
      </c>
      <c r="T634" s="94" t="s">
        <v>69</v>
      </c>
      <c r="U634" s="94" t="s">
        <v>1493</v>
      </c>
      <c r="V634" s="94" t="s">
        <v>51</v>
      </c>
      <c r="W634" s="94" t="s">
        <v>51</v>
      </c>
      <c r="X634" s="124" t="s">
        <v>52</v>
      </c>
      <c r="Y634" s="124" t="s">
        <v>946</v>
      </c>
      <c r="Z634" s="91"/>
      <c r="AA634" s="91" t="s">
        <v>757</v>
      </c>
      <c r="AB634" s="91"/>
      <c r="AC634" s="91"/>
      <c r="AD634" s="91"/>
      <c r="AE634" s="91"/>
      <c r="AF634" s="91"/>
      <c r="AG634" s="91"/>
      <c r="AH634" s="91"/>
    </row>
    <row r="635" spans="1:34" s="1" customFormat="1" ht="45">
      <c r="A635" s="120">
        <v>634</v>
      </c>
      <c r="B635" s="120" t="b">
        <f t="shared" ca="1" si="9"/>
        <v>0</v>
      </c>
      <c r="C635" s="121">
        <v>45550</v>
      </c>
      <c r="D635" s="137">
        <v>0.75386574074074075</v>
      </c>
      <c r="E635" s="94">
        <v>2049</v>
      </c>
      <c r="F635" s="142">
        <v>1205</v>
      </c>
      <c r="G635" s="94" t="s">
        <v>34</v>
      </c>
      <c r="H635" s="94">
        <v>7198</v>
      </c>
      <c r="I635" s="91"/>
      <c r="J635" s="94" t="s">
        <v>35</v>
      </c>
      <c r="K635" s="152">
        <v>7.3209999999999997</v>
      </c>
      <c r="L635" s="122" t="str">
        <f>VLOOKUP(K635,Liste!$L$2:$O$34,4,1)</f>
        <v>GSMR_02/03</v>
      </c>
      <c r="M635" s="133" t="s">
        <v>36</v>
      </c>
      <c r="N635" s="180" t="s">
        <v>37</v>
      </c>
      <c r="O635" s="125" t="s">
        <v>1494</v>
      </c>
      <c r="P635" s="119"/>
      <c r="Q635" s="94" t="s">
        <v>39</v>
      </c>
      <c r="R635" s="94" t="s">
        <v>1032</v>
      </c>
      <c r="S635" s="91" t="s">
        <v>1495</v>
      </c>
      <c r="T635" s="94" t="s">
        <v>56</v>
      </c>
      <c r="U635" s="94" t="s">
        <v>1449</v>
      </c>
      <c r="V635" s="94" t="s">
        <v>43</v>
      </c>
      <c r="W635" s="94" t="s">
        <v>51</v>
      </c>
      <c r="X635" s="124" t="s">
        <v>52</v>
      </c>
      <c r="Y635" s="124" t="s">
        <v>946</v>
      </c>
      <c r="Z635" s="91"/>
      <c r="AA635" s="91" t="s">
        <v>757</v>
      </c>
      <c r="AB635" s="91"/>
      <c r="AC635" s="91"/>
      <c r="AD635" s="91"/>
      <c r="AE635" s="91"/>
      <c r="AF635" s="91"/>
      <c r="AG635" s="91"/>
      <c r="AH635" s="91"/>
    </row>
    <row r="636" spans="1:34" s="1" customFormat="1" ht="45">
      <c r="A636" s="120">
        <v>635</v>
      </c>
      <c r="B636" s="120" t="b">
        <f t="shared" ca="1" si="9"/>
        <v>0</v>
      </c>
      <c r="C636" s="121">
        <v>45551</v>
      </c>
      <c r="D636" s="137">
        <v>0.48239583333333336</v>
      </c>
      <c r="E636" s="94">
        <v>1018</v>
      </c>
      <c r="F636" s="142">
        <v>1207</v>
      </c>
      <c r="G636" s="94" t="s">
        <v>71</v>
      </c>
      <c r="H636" s="94">
        <v>1008</v>
      </c>
      <c r="I636" s="91"/>
      <c r="J636" s="94" t="s">
        <v>72</v>
      </c>
      <c r="K636" s="91">
        <v>146.738</v>
      </c>
      <c r="L636" s="122" t="str">
        <f>VLOOKUP(K636,Liste!$L$2:$O$34,4,1)</f>
        <v>GSMR_25/26</v>
      </c>
      <c r="M636" s="133" t="s">
        <v>36</v>
      </c>
      <c r="N636" s="180" t="s">
        <v>37</v>
      </c>
      <c r="O636" s="125" t="s">
        <v>1496</v>
      </c>
      <c r="P636" s="119"/>
      <c r="Q636" s="94" t="s">
        <v>39</v>
      </c>
      <c r="R636" s="94" t="s">
        <v>1032</v>
      </c>
      <c r="S636" s="91" t="s">
        <v>1497</v>
      </c>
      <c r="T636" s="94" t="s">
        <v>69</v>
      </c>
      <c r="U636" s="94" t="s">
        <v>1498</v>
      </c>
      <c r="V636" s="94" t="s">
        <v>51</v>
      </c>
      <c r="W636" s="94" t="s">
        <v>43</v>
      </c>
      <c r="X636" s="124" t="s">
        <v>52</v>
      </c>
      <c r="Y636" s="124" t="s">
        <v>946</v>
      </c>
      <c r="Z636" s="91"/>
      <c r="AA636" s="91" t="s">
        <v>757</v>
      </c>
      <c r="AB636" s="91"/>
      <c r="AC636" s="91"/>
      <c r="AD636" s="91"/>
      <c r="AE636" s="91"/>
      <c r="AF636" s="91"/>
      <c r="AG636" s="91"/>
      <c r="AH636" s="91"/>
    </row>
    <row r="637" spans="1:34" s="1" customFormat="1" ht="45">
      <c r="A637" s="120">
        <v>636</v>
      </c>
      <c r="B637" s="120" t="b">
        <f t="shared" ca="1" si="9"/>
        <v>0</v>
      </c>
      <c r="C637" s="121">
        <v>45551</v>
      </c>
      <c r="D637" s="137">
        <v>0.88696759259259261</v>
      </c>
      <c r="E637" s="94">
        <v>2061</v>
      </c>
      <c r="F637" s="142">
        <v>1208</v>
      </c>
      <c r="G637" s="94" t="s">
        <v>34</v>
      </c>
      <c r="H637" s="94">
        <v>1036</v>
      </c>
      <c r="I637" s="91"/>
      <c r="J637" s="94" t="s">
        <v>35</v>
      </c>
      <c r="K637" s="91">
        <v>55.405000000000001</v>
      </c>
      <c r="L637" s="122" t="str">
        <f>VLOOKUP(K637,Liste!$L$2:$O$34,4,1)</f>
        <v>GSMR_10/11</v>
      </c>
      <c r="M637" s="133" t="s">
        <v>36</v>
      </c>
      <c r="N637" s="180" t="s">
        <v>37</v>
      </c>
      <c r="O637" s="125" t="s">
        <v>1499</v>
      </c>
      <c r="P637" s="119"/>
      <c r="Q637" s="94" t="s">
        <v>39</v>
      </c>
      <c r="R637" s="94" t="s">
        <v>1032</v>
      </c>
      <c r="S637" s="91" t="s">
        <v>1500</v>
      </c>
      <c r="T637" s="94" t="s">
        <v>69</v>
      </c>
      <c r="U637" s="94" t="s">
        <v>1453</v>
      </c>
      <c r="V637" s="94" t="s">
        <v>51</v>
      </c>
      <c r="W637" s="94" t="s">
        <v>51</v>
      </c>
      <c r="X637" s="124" t="s">
        <v>52</v>
      </c>
      <c r="Y637" s="124" t="s">
        <v>946</v>
      </c>
      <c r="Z637" s="91"/>
      <c r="AA637" s="91" t="s">
        <v>754</v>
      </c>
      <c r="AB637" s="91"/>
      <c r="AC637" s="91"/>
      <c r="AD637" s="91"/>
      <c r="AE637" s="91"/>
      <c r="AF637" s="91"/>
      <c r="AG637" s="91"/>
      <c r="AH637" s="91"/>
    </row>
    <row r="638" spans="1:34" s="1" customFormat="1" ht="45">
      <c r="A638" s="120">
        <v>637</v>
      </c>
      <c r="B638" s="120" t="b">
        <f t="shared" ca="1" si="9"/>
        <v>0</v>
      </c>
      <c r="C638" s="121">
        <v>45552</v>
      </c>
      <c r="D638" s="137">
        <v>0.75436342592592598</v>
      </c>
      <c r="E638" s="94">
        <v>2049</v>
      </c>
      <c r="F638" s="142">
        <v>1208</v>
      </c>
      <c r="G638" s="94" t="s">
        <v>34</v>
      </c>
      <c r="H638" s="94">
        <v>1036</v>
      </c>
      <c r="I638" s="91"/>
      <c r="J638" s="94" t="s">
        <v>35</v>
      </c>
      <c r="K638" s="152">
        <v>6.13</v>
      </c>
      <c r="L638" s="122" t="str">
        <f>VLOOKUP(K638,Liste!$L$2:$O$34,4,1)</f>
        <v>GSMR_02/03</v>
      </c>
      <c r="M638" s="133" t="s">
        <v>36</v>
      </c>
      <c r="N638" s="181" t="s">
        <v>58</v>
      </c>
      <c r="O638" s="125" t="s">
        <v>1501</v>
      </c>
      <c r="P638" s="119"/>
      <c r="Q638" s="94" t="s">
        <v>39</v>
      </c>
      <c r="R638" s="94" t="s">
        <v>1032</v>
      </c>
      <c r="S638" s="91" t="s">
        <v>1502</v>
      </c>
      <c r="T638" s="94" t="s">
        <v>56</v>
      </c>
      <c r="U638" s="94" t="s">
        <v>1449</v>
      </c>
      <c r="V638" s="94" t="s">
        <v>43</v>
      </c>
      <c r="W638" s="94" t="s">
        <v>51</v>
      </c>
      <c r="X638" s="124" t="s">
        <v>52</v>
      </c>
      <c r="Y638" s="124" t="s">
        <v>946</v>
      </c>
      <c r="Z638" s="91"/>
      <c r="AA638" s="91" t="s">
        <v>1118</v>
      </c>
      <c r="AB638" s="91"/>
      <c r="AC638" s="91"/>
      <c r="AD638" s="91"/>
      <c r="AE638" s="91"/>
      <c r="AF638" s="91"/>
      <c r="AG638" s="91"/>
      <c r="AH638" s="91"/>
    </row>
    <row r="639" spans="1:34" s="1" customFormat="1" ht="45">
      <c r="A639" s="120">
        <v>638</v>
      </c>
      <c r="B639" s="120" t="b">
        <f t="shared" ca="1" si="9"/>
        <v>0</v>
      </c>
      <c r="C639" s="121">
        <v>45552</v>
      </c>
      <c r="D639" s="137">
        <v>0.81625000000000003</v>
      </c>
      <c r="E639" s="94">
        <v>2053</v>
      </c>
      <c r="F639" s="142">
        <v>1206</v>
      </c>
      <c r="G639" s="94" t="s">
        <v>34</v>
      </c>
      <c r="H639" s="94">
        <v>1055</v>
      </c>
      <c r="I639" s="91"/>
      <c r="J639" s="94" t="s">
        <v>35</v>
      </c>
      <c r="K639" s="91">
        <v>152.488</v>
      </c>
      <c r="L639" s="122" t="str">
        <f>VLOOKUP(K639,Liste!$L$2:$O$34,4,1)</f>
        <v>GSMR_26/27</v>
      </c>
      <c r="M639" s="133" t="s">
        <v>36</v>
      </c>
      <c r="N639" s="181" t="s">
        <v>58</v>
      </c>
      <c r="O639" s="125" t="s">
        <v>1503</v>
      </c>
      <c r="P639" s="119"/>
      <c r="Q639" s="94" t="s">
        <v>39</v>
      </c>
      <c r="R639" s="94" t="s">
        <v>1032</v>
      </c>
      <c r="S639" s="91" t="s">
        <v>1504</v>
      </c>
      <c r="T639" s="94" t="s">
        <v>69</v>
      </c>
      <c r="U639" s="94" t="s">
        <v>1453</v>
      </c>
      <c r="V639" s="94" t="s">
        <v>51</v>
      </c>
      <c r="W639" s="94" t="s">
        <v>51</v>
      </c>
      <c r="X639" s="124" t="s">
        <v>52</v>
      </c>
      <c r="Y639" s="124" t="s">
        <v>946</v>
      </c>
      <c r="Z639" s="91"/>
      <c r="AA639" s="91" t="s">
        <v>1118</v>
      </c>
      <c r="AB639" s="91"/>
      <c r="AC639" s="91"/>
      <c r="AD639" s="91"/>
      <c r="AE639" s="91"/>
      <c r="AF639" s="91"/>
      <c r="AG639" s="91"/>
      <c r="AH639" s="91"/>
    </row>
    <row r="640" spans="1:34" s="1" customFormat="1" ht="45">
      <c r="A640" s="120">
        <v>639</v>
      </c>
      <c r="B640" s="120" t="b">
        <f t="shared" ca="1" si="9"/>
        <v>0</v>
      </c>
      <c r="C640" s="121">
        <v>45553</v>
      </c>
      <c r="D640" s="137">
        <v>0.50394675925925925</v>
      </c>
      <c r="E640" s="94">
        <v>2025</v>
      </c>
      <c r="F640" s="142">
        <v>1209</v>
      </c>
      <c r="G640" s="94" t="s">
        <v>34</v>
      </c>
      <c r="H640" s="94">
        <v>7208</v>
      </c>
      <c r="I640" s="91"/>
      <c r="J640" s="94" t="s">
        <v>35</v>
      </c>
      <c r="K640" s="152">
        <v>6.13</v>
      </c>
      <c r="L640" s="122" t="str">
        <f>VLOOKUP(K640,Liste!$L$2:$O$34,4,1)</f>
        <v>GSMR_02/03</v>
      </c>
      <c r="M640" s="133" t="s">
        <v>36</v>
      </c>
      <c r="N640" s="180" t="s">
        <v>37</v>
      </c>
      <c r="O640" s="125" t="s">
        <v>1505</v>
      </c>
      <c r="P640" s="119"/>
      <c r="Q640" s="94" t="s">
        <v>39</v>
      </c>
      <c r="R640" s="94" t="s">
        <v>1032</v>
      </c>
      <c r="S640" s="91" t="s">
        <v>1506</v>
      </c>
      <c r="T640" s="94" t="s">
        <v>56</v>
      </c>
      <c r="U640" s="94" t="s">
        <v>1449</v>
      </c>
      <c r="V640" s="94" t="s">
        <v>51</v>
      </c>
      <c r="W640" s="94" t="s">
        <v>51</v>
      </c>
      <c r="X640" s="124" t="s">
        <v>52</v>
      </c>
      <c r="Y640" s="124" t="s">
        <v>946</v>
      </c>
      <c r="Z640" s="91"/>
      <c r="AA640" s="91" t="s">
        <v>802</v>
      </c>
      <c r="AB640" s="91"/>
      <c r="AC640" s="91"/>
      <c r="AD640" s="91"/>
      <c r="AE640" s="91"/>
      <c r="AF640" s="91"/>
      <c r="AG640" s="91"/>
      <c r="AH640" s="91"/>
    </row>
    <row r="641" spans="1:34" s="1" customFormat="1" ht="45">
      <c r="A641" s="120">
        <v>640</v>
      </c>
      <c r="B641" s="120" t="b">
        <f t="shared" ca="1" si="9"/>
        <v>0</v>
      </c>
      <c r="C641" s="121">
        <v>45553</v>
      </c>
      <c r="D641" s="137">
        <v>0.62890046296296298</v>
      </c>
      <c r="E641" s="94">
        <v>2037</v>
      </c>
      <c r="F641" s="142">
        <v>1210</v>
      </c>
      <c r="G641" s="94" t="s">
        <v>34</v>
      </c>
      <c r="H641" s="94">
        <v>1049</v>
      </c>
      <c r="I641" s="91"/>
      <c r="J641" s="94" t="s">
        <v>35</v>
      </c>
      <c r="K641" s="152">
        <v>7.3810000000000002</v>
      </c>
      <c r="L641" s="122" t="str">
        <f>VLOOKUP(K641,Liste!$L$2:$O$34,4,1)</f>
        <v>GSMR_02/03</v>
      </c>
      <c r="M641" s="133" t="s">
        <v>36</v>
      </c>
      <c r="N641" s="181" t="s">
        <v>58</v>
      </c>
      <c r="O641" s="125" t="s">
        <v>1507</v>
      </c>
      <c r="P641" s="119"/>
      <c r="Q641" s="94" t="s">
        <v>39</v>
      </c>
      <c r="R641" s="94" t="s">
        <v>1032</v>
      </c>
      <c r="S641" s="91" t="s">
        <v>1508</v>
      </c>
      <c r="T641" s="94" t="s">
        <v>93</v>
      </c>
      <c r="U641" s="94" t="s">
        <v>1509</v>
      </c>
      <c r="V641" s="94" t="s">
        <v>51</v>
      </c>
      <c r="W641" s="94" t="s">
        <v>51</v>
      </c>
      <c r="X641" s="124" t="s">
        <v>52</v>
      </c>
      <c r="Y641" s="124" t="s">
        <v>946</v>
      </c>
      <c r="Z641" s="91"/>
      <c r="AA641" s="91" t="s">
        <v>1118</v>
      </c>
      <c r="AB641" s="91"/>
      <c r="AC641" s="91"/>
      <c r="AD641" s="91"/>
      <c r="AE641" s="91"/>
      <c r="AF641" s="91"/>
      <c r="AG641" s="91"/>
      <c r="AH641" s="91"/>
    </row>
    <row r="642" spans="1:34" s="1" customFormat="1" ht="45">
      <c r="A642" s="120">
        <v>641</v>
      </c>
      <c r="B642" s="120" t="b">
        <f t="shared" ref="B642:B705" ca="1" si="10">AND(C642&gt;=TODAY()-7, C642&lt;=TODAY()-1)</f>
        <v>0</v>
      </c>
      <c r="C642" s="121">
        <v>45553</v>
      </c>
      <c r="D642" s="137">
        <v>0.71425925925925926</v>
      </c>
      <c r="E642" s="94">
        <v>1037</v>
      </c>
      <c r="F642" s="142">
        <v>1209</v>
      </c>
      <c r="G642" s="94" t="s">
        <v>71</v>
      </c>
      <c r="H642" s="94">
        <v>1033</v>
      </c>
      <c r="I642" s="91"/>
      <c r="J642" s="94" t="s">
        <v>72</v>
      </c>
      <c r="K642" s="152">
        <v>7.3810000000000002</v>
      </c>
      <c r="L642" s="122" t="str">
        <f>VLOOKUP(K642,Liste!$L$2:$O$34,4,1)</f>
        <v>GSMR_02/03</v>
      </c>
      <c r="M642" s="133" t="s">
        <v>36</v>
      </c>
      <c r="N642" s="181" t="s">
        <v>58</v>
      </c>
      <c r="O642" s="125" t="s">
        <v>1510</v>
      </c>
      <c r="P642" s="119"/>
      <c r="Q642" s="94" t="s">
        <v>39</v>
      </c>
      <c r="R642" s="94" t="s">
        <v>1032</v>
      </c>
      <c r="S642" s="91" t="s">
        <v>1511</v>
      </c>
      <c r="T642" s="94" t="s">
        <v>56</v>
      </c>
      <c r="U642" s="94" t="s">
        <v>1490</v>
      </c>
      <c r="V642" s="94" t="s">
        <v>51</v>
      </c>
      <c r="W642" s="94" t="s">
        <v>51</v>
      </c>
      <c r="X642" s="124" t="s">
        <v>52</v>
      </c>
      <c r="Y642" s="124" t="s">
        <v>946</v>
      </c>
      <c r="Z642" s="91"/>
      <c r="AA642" s="91" t="s">
        <v>1118</v>
      </c>
      <c r="AB642" s="91"/>
      <c r="AC642" s="91"/>
      <c r="AD642" s="91"/>
      <c r="AE642" s="91"/>
      <c r="AF642" s="91"/>
      <c r="AG642" s="91"/>
      <c r="AH642" s="91"/>
    </row>
    <row r="643" spans="1:34" s="1" customFormat="1" ht="45">
      <c r="A643" s="120">
        <v>642</v>
      </c>
      <c r="B643" s="120" t="b">
        <f t="shared" ca="1" si="10"/>
        <v>0</v>
      </c>
      <c r="C643" s="121">
        <v>45553</v>
      </c>
      <c r="D643" s="137">
        <v>0.83701388888888884</v>
      </c>
      <c r="E643" s="94">
        <v>2057</v>
      </c>
      <c r="F643" s="142">
        <v>1208</v>
      </c>
      <c r="G643" s="94" t="s">
        <v>34</v>
      </c>
      <c r="H643" s="94">
        <v>1033</v>
      </c>
      <c r="I643" s="91"/>
      <c r="J643" s="94" t="s">
        <v>35</v>
      </c>
      <c r="K643" s="152">
        <v>7.3810000000000002</v>
      </c>
      <c r="L643" s="122" t="str">
        <f>VLOOKUP(K643,Liste!$L$2:$O$34,4,1)</f>
        <v>GSMR_02/03</v>
      </c>
      <c r="M643" s="133" t="s">
        <v>36</v>
      </c>
      <c r="N643" s="181" t="s">
        <v>58</v>
      </c>
      <c r="O643" s="125" t="s">
        <v>1512</v>
      </c>
      <c r="P643" s="119"/>
      <c r="Q643" s="94" t="s">
        <v>39</v>
      </c>
      <c r="R643" s="94" t="s">
        <v>1032</v>
      </c>
      <c r="S643" s="91" t="s">
        <v>1511</v>
      </c>
      <c r="T643" s="94" t="s">
        <v>56</v>
      </c>
      <c r="U643" s="94" t="s">
        <v>1460</v>
      </c>
      <c r="V643" s="94" t="s">
        <v>51</v>
      </c>
      <c r="W643" s="94" t="s">
        <v>51</v>
      </c>
      <c r="X643" s="124" t="s">
        <v>52</v>
      </c>
      <c r="Y643" s="124" t="s">
        <v>946</v>
      </c>
      <c r="Z643" s="91"/>
      <c r="AA643" s="91" t="s">
        <v>1118</v>
      </c>
      <c r="AB643" s="91"/>
      <c r="AC643" s="91"/>
      <c r="AD643" s="91"/>
      <c r="AE643" s="91"/>
      <c r="AF643" s="91"/>
      <c r="AG643" s="91"/>
      <c r="AH643" s="91"/>
    </row>
    <row r="644" spans="1:34" s="1" customFormat="1" ht="45">
      <c r="A644" s="120">
        <v>643</v>
      </c>
      <c r="B644" s="120" t="b">
        <f t="shared" ca="1" si="10"/>
        <v>0</v>
      </c>
      <c r="C644" s="121">
        <v>45553</v>
      </c>
      <c r="D644" s="137">
        <v>0.97289351851851846</v>
      </c>
      <c r="E644" s="94">
        <v>1061</v>
      </c>
      <c r="F644" s="142">
        <v>1205</v>
      </c>
      <c r="G644" s="94" t="s">
        <v>71</v>
      </c>
      <c r="H644" s="94">
        <v>1034</v>
      </c>
      <c r="I644" s="115"/>
      <c r="J644" s="94" t="s">
        <v>72</v>
      </c>
      <c r="K644" s="152">
        <v>8.9700000000000006</v>
      </c>
      <c r="L644" s="122" t="str">
        <f>VLOOKUP(K644,Liste!$L$2:$O$34,4,1)</f>
        <v>GSMR_02/03</v>
      </c>
      <c r="M644" s="133" t="s">
        <v>36</v>
      </c>
      <c r="N644" s="180" t="s">
        <v>37</v>
      </c>
      <c r="O644" s="125" t="s">
        <v>1513</v>
      </c>
      <c r="P644" s="119"/>
      <c r="Q644" s="94" t="s">
        <v>39</v>
      </c>
      <c r="R644" s="94" t="s">
        <v>1032</v>
      </c>
      <c r="S644" s="91" t="s">
        <v>1514</v>
      </c>
      <c r="T644" s="94" t="s">
        <v>69</v>
      </c>
      <c r="U644" s="94" t="s">
        <v>1468</v>
      </c>
      <c r="V644" s="94" t="s">
        <v>51</v>
      </c>
      <c r="W644" s="94" t="s">
        <v>51</v>
      </c>
      <c r="X644" s="124" t="s">
        <v>52</v>
      </c>
      <c r="Y644" s="124" t="s">
        <v>946</v>
      </c>
      <c r="Z644" s="91"/>
      <c r="AA644" s="91" t="s">
        <v>754</v>
      </c>
      <c r="AB644" s="91"/>
      <c r="AC644" s="91"/>
      <c r="AD644" s="91"/>
      <c r="AE644" s="91"/>
      <c r="AF644" s="91"/>
      <c r="AG644" s="91"/>
      <c r="AH644" s="91"/>
    </row>
    <row r="645" spans="1:34" s="1" customFormat="1" ht="45">
      <c r="A645" s="120">
        <v>644</v>
      </c>
      <c r="B645" s="120" t="b">
        <f t="shared" ca="1" si="10"/>
        <v>0</v>
      </c>
      <c r="C645" s="121">
        <v>45554</v>
      </c>
      <c r="D645" s="137" t="s">
        <v>1515</v>
      </c>
      <c r="E645" s="94">
        <v>1005</v>
      </c>
      <c r="F645" s="142">
        <v>1210</v>
      </c>
      <c r="G645" s="94" t="s">
        <v>71</v>
      </c>
      <c r="H645" s="94">
        <v>1072</v>
      </c>
      <c r="I645" s="115"/>
      <c r="J645" s="94" t="s">
        <v>72</v>
      </c>
      <c r="K645" s="91">
        <v>53.540999999999997</v>
      </c>
      <c r="L645" s="122" t="str">
        <f>VLOOKUP(K645,Liste!$L$2:$O$34,4,1)</f>
        <v>GSMR_09/10</v>
      </c>
      <c r="M645" s="133" t="s">
        <v>36</v>
      </c>
      <c r="N645" s="180" t="s">
        <v>37</v>
      </c>
      <c r="O645" s="125" t="s">
        <v>1516</v>
      </c>
      <c r="P645" s="119"/>
      <c r="Q645" s="94" t="s">
        <v>39</v>
      </c>
      <c r="R645" s="94" t="s">
        <v>1032</v>
      </c>
      <c r="S645" s="91" t="s">
        <v>1517</v>
      </c>
      <c r="T645" s="94" t="s">
        <v>69</v>
      </c>
      <c r="U645" s="94" t="s">
        <v>1463</v>
      </c>
      <c r="V645" s="94" t="s">
        <v>51</v>
      </c>
      <c r="W645" s="94" t="s">
        <v>51</v>
      </c>
      <c r="X645" s="124" t="s">
        <v>52</v>
      </c>
      <c r="Y645" s="124" t="s">
        <v>946</v>
      </c>
      <c r="Z645" s="91"/>
      <c r="AA645" s="91" t="s">
        <v>802</v>
      </c>
      <c r="AB645" s="91"/>
      <c r="AC645" s="91"/>
      <c r="AD645" s="91"/>
      <c r="AE645" s="91"/>
      <c r="AF645" s="91"/>
      <c r="AG645" s="91"/>
      <c r="AH645" s="91"/>
    </row>
    <row r="646" spans="1:34" s="1" customFormat="1" ht="45">
      <c r="A646" s="120">
        <v>645</v>
      </c>
      <c r="B646" s="120" t="b">
        <f t="shared" ca="1" si="10"/>
        <v>0</v>
      </c>
      <c r="C646" s="121">
        <v>45555</v>
      </c>
      <c r="D646" s="137">
        <v>0.6083101851851852</v>
      </c>
      <c r="E646" s="94">
        <v>2033</v>
      </c>
      <c r="F646" s="145">
        <v>1205</v>
      </c>
      <c r="G646" s="91" t="s">
        <v>34</v>
      </c>
      <c r="H646" s="94">
        <v>7218</v>
      </c>
      <c r="I646" s="115"/>
      <c r="J646" s="94" t="s">
        <v>35</v>
      </c>
      <c r="K646" s="91">
        <v>135.58500000000001</v>
      </c>
      <c r="L646" s="122" t="str">
        <f>VLOOKUP(K646,Liste!$L$2:$O$34,4,1)</f>
        <v>GSMR_23/24</v>
      </c>
      <c r="M646" s="133" t="s">
        <v>36</v>
      </c>
      <c r="N646" s="181" t="s">
        <v>58</v>
      </c>
      <c r="O646" s="125" t="s">
        <v>1518</v>
      </c>
      <c r="P646" s="119"/>
      <c r="Q646" s="94" t="s">
        <v>105</v>
      </c>
      <c r="R646" s="94" t="s">
        <v>816</v>
      </c>
      <c r="S646" s="91" t="s">
        <v>1519</v>
      </c>
      <c r="T646" s="94" t="s">
        <v>69</v>
      </c>
      <c r="U646" s="94" t="s">
        <v>1520</v>
      </c>
      <c r="V646" s="94" t="s">
        <v>51</v>
      </c>
      <c r="W646" s="94" t="s">
        <v>51</v>
      </c>
      <c r="X646" s="124" t="s">
        <v>52</v>
      </c>
      <c r="Y646" s="124" t="s">
        <v>1521</v>
      </c>
      <c r="Z646" s="91"/>
      <c r="AA646" s="91" t="s">
        <v>778</v>
      </c>
      <c r="AB646" s="91"/>
      <c r="AC646" s="91"/>
      <c r="AD646" s="91"/>
      <c r="AE646" s="91"/>
      <c r="AF646" s="91"/>
      <c r="AG646" s="91"/>
      <c r="AH646" s="91"/>
    </row>
    <row r="647" spans="1:34" s="1" customFormat="1" ht="45">
      <c r="A647" s="120">
        <v>646</v>
      </c>
      <c r="B647" s="120" t="b">
        <f t="shared" ca="1" si="10"/>
        <v>0</v>
      </c>
      <c r="C647" s="121">
        <v>45555</v>
      </c>
      <c r="D647" s="137">
        <v>0.67046296296296293</v>
      </c>
      <c r="E647" s="94">
        <v>2041</v>
      </c>
      <c r="F647" s="142">
        <v>1212</v>
      </c>
      <c r="G647" s="94" t="s">
        <v>34</v>
      </c>
      <c r="H647" s="94">
        <v>1056</v>
      </c>
      <c r="I647" s="115"/>
      <c r="J647" s="94" t="s">
        <v>35</v>
      </c>
      <c r="K647" s="152">
        <v>6.13</v>
      </c>
      <c r="L647" s="122" t="str">
        <f>VLOOKUP(K647,Liste!$L$2:$O$34,4,1)</f>
        <v>GSMR_02/03</v>
      </c>
      <c r="M647" s="133" t="s">
        <v>36</v>
      </c>
      <c r="N647" s="181" t="s">
        <v>58</v>
      </c>
      <c r="O647" s="125" t="s">
        <v>1522</v>
      </c>
      <c r="P647" s="119"/>
      <c r="Q647" s="94" t="s">
        <v>39</v>
      </c>
      <c r="R647" s="94" t="s">
        <v>1032</v>
      </c>
      <c r="S647" s="91" t="s">
        <v>1523</v>
      </c>
      <c r="T647" s="94" t="s">
        <v>56</v>
      </c>
      <c r="U647" s="94" t="s">
        <v>1468</v>
      </c>
      <c r="V647" s="94" t="s">
        <v>43</v>
      </c>
      <c r="W647" s="94" t="s">
        <v>51</v>
      </c>
      <c r="X647" s="124" t="s">
        <v>52</v>
      </c>
      <c r="Y647" s="124" t="s">
        <v>946</v>
      </c>
      <c r="Z647" s="91"/>
      <c r="AA647" s="91" t="s">
        <v>778</v>
      </c>
      <c r="AB647" s="91"/>
      <c r="AC647" s="91"/>
      <c r="AD647" s="91"/>
      <c r="AE647" s="91"/>
      <c r="AF647" s="91"/>
      <c r="AG647" s="91"/>
      <c r="AH647" s="91"/>
    </row>
    <row r="648" spans="1:34" s="1" customFormat="1" ht="45">
      <c r="A648" s="120">
        <v>647</v>
      </c>
      <c r="B648" s="120" t="b">
        <f t="shared" ca="1" si="10"/>
        <v>0</v>
      </c>
      <c r="C648" s="121">
        <v>45555</v>
      </c>
      <c r="D648" s="137">
        <v>0.71179398148148143</v>
      </c>
      <c r="E648" s="94">
        <v>2045</v>
      </c>
      <c r="F648" s="142">
        <v>1208</v>
      </c>
      <c r="G648" s="94" t="s">
        <v>34</v>
      </c>
      <c r="H648" s="94">
        <v>1036</v>
      </c>
      <c r="I648" s="115"/>
      <c r="J648" s="94" t="s">
        <v>35</v>
      </c>
      <c r="K648" s="152">
        <v>6.13</v>
      </c>
      <c r="L648" s="122" t="str">
        <f>VLOOKUP(K648,Liste!$L$2:$O$34,4,1)</f>
        <v>GSMR_02/03</v>
      </c>
      <c r="M648" s="133" t="s">
        <v>36</v>
      </c>
      <c r="N648" s="180" t="s">
        <v>37</v>
      </c>
      <c r="O648" s="125" t="s">
        <v>1524</v>
      </c>
      <c r="P648" s="119"/>
      <c r="Q648" s="94" t="s">
        <v>39</v>
      </c>
      <c r="R648" s="94" t="s">
        <v>1032</v>
      </c>
      <c r="S648" s="91" t="s">
        <v>1525</v>
      </c>
      <c r="T648" s="94" t="s">
        <v>56</v>
      </c>
      <c r="U648" s="94" t="s">
        <v>1526</v>
      </c>
      <c r="V648" s="94" t="s">
        <v>43</v>
      </c>
      <c r="W648" s="94" t="s">
        <v>51</v>
      </c>
      <c r="X648" s="124" t="s">
        <v>52</v>
      </c>
      <c r="Y648" s="124" t="s">
        <v>946</v>
      </c>
      <c r="Z648" s="91"/>
      <c r="AA648" s="91" t="s">
        <v>778</v>
      </c>
      <c r="AB648" s="91"/>
      <c r="AC648" s="91"/>
      <c r="AD648" s="91"/>
      <c r="AE648" s="91"/>
      <c r="AF648" s="91"/>
      <c r="AG648" s="91"/>
      <c r="AH648" s="91"/>
    </row>
    <row r="649" spans="1:34" s="1" customFormat="1" ht="45">
      <c r="A649" s="120">
        <v>648</v>
      </c>
      <c r="B649" s="120" t="b">
        <f t="shared" ca="1" si="10"/>
        <v>0</v>
      </c>
      <c r="C649" s="121">
        <v>45555</v>
      </c>
      <c r="D649" s="137">
        <v>0.87836805555555553</v>
      </c>
      <c r="E649" s="94">
        <v>2061</v>
      </c>
      <c r="F649" s="142">
        <v>1209</v>
      </c>
      <c r="G649" s="94" t="s">
        <v>34</v>
      </c>
      <c r="H649" s="94">
        <v>7208</v>
      </c>
      <c r="I649" s="115"/>
      <c r="J649" s="94" t="s">
        <v>35</v>
      </c>
      <c r="K649" s="152">
        <v>6.13</v>
      </c>
      <c r="L649" s="122" t="str">
        <f>VLOOKUP(K649,Liste!$L$2:$O$34,4,1)</f>
        <v>GSMR_02/03</v>
      </c>
      <c r="M649" s="133" t="s">
        <v>36</v>
      </c>
      <c r="N649" s="181" t="s">
        <v>58</v>
      </c>
      <c r="O649" s="125" t="s">
        <v>1527</v>
      </c>
      <c r="P649" s="119"/>
      <c r="Q649" s="94" t="s">
        <v>39</v>
      </c>
      <c r="R649" s="94" t="s">
        <v>1032</v>
      </c>
      <c r="S649" s="91" t="s">
        <v>1528</v>
      </c>
      <c r="T649" s="94" t="s">
        <v>56</v>
      </c>
      <c r="U649" s="94" t="s">
        <v>1529</v>
      </c>
      <c r="V649" s="94" t="s">
        <v>51</v>
      </c>
      <c r="W649" s="94" t="s">
        <v>51</v>
      </c>
      <c r="X649" s="124" t="s">
        <v>52</v>
      </c>
      <c r="Y649" s="124" t="s">
        <v>946</v>
      </c>
      <c r="Z649" s="91"/>
      <c r="AA649" s="91" t="s">
        <v>754</v>
      </c>
      <c r="AB649" s="91"/>
      <c r="AC649" s="91"/>
      <c r="AD649" s="91"/>
      <c r="AE649" s="91"/>
      <c r="AF649" s="91"/>
      <c r="AG649" s="91"/>
      <c r="AH649" s="91"/>
    </row>
    <row r="650" spans="1:34" s="1" customFormat="1" ht="45">
      <c r="A650" s="120">
        <v>649</v>
      </c>
      <c r="B650" s="120" t="b">
        <f t="shared" ca="1" si="10"/>
        <v>0</v>
      </c>
      <c r="C650" s="121">
        <v>45556</v>
      </c>
      <c r="D650" s="137">
        <v>0.50505787037037042</v>
      </c>
      <c r="E650" s="94">
        <v>1018</v>
      </c>
      <c r="F650" s="142">
        <v>1210</v>
      </c>
      <c r="G650" s="94" t="s">
        <v>71</v>
      </c>
      <c r="H650" s="94">
        <v>1072</v>
      </c>
      <c r="I650" s="115"/>
      <c r="J650" s="94" t="s">
        <v>72</v>
      </c>
      <c r="K650" s="152">
        <v>7.3209999999999997</v>
      </c>
      <c r="L650" s="122" t="str">
        <f>VLOOKUP(K650,Liste!$L$2:$O$34,4,1)</f>
        <v>GSMR_02/03</v>
      </c>
      <c r="M650" s="133" t="s">
        <v>36</v>
      </c>
      <c r="N650" s="180" t="s">
        <v>37</v>
      </c>
      <c r="O650" s="125" t="s">
        <v>1530</v>
      </c>
      <c r="P650" s="119"/>
      <c r="Q650" s="94" t="s">
        <v>39</v>
      </c>
      <c r="R650" s="94" t="s">
        <v>1032</v>
      </c>
      <c r="S650" s="91" t="s">
        <v>1531</v>
      </c>
      <c r="T650" s="94" t="s">
        <v>69</v>
      </c>
      <c r="U650" s="94" t="s">
        <v>1484</v>
      </c>
      <c r="V650" s="94" t="s">
        <v>51</v>
      </c>
      <c r="W650" s="94" t="s">
        <v>43</v>
      </c>
      <c r="X650" s="124" t="s">
        <v>52</v>
      </c>
      <c r="Y650" s="124" t="s">
        <v>946</v>
      </c>
      <c r="Z650" s="91"/>
      <c r="AA650" s="91" t="s">
        <v>757</v>
      </c>
      <c r="AB650" s="91"/>
      <c r="AC650" s="91"/>
      <c r="AD650" s="91"/>
      <c r="AE650" s="91"/>
      <c r="AF650" s="91"/>
      <c r="AG650" s="91"/>
      <c r="AH650" s="91"/>
    </row>
    <row r="651" spans="1:34" s="1" customFormat="1" ht="45">
      <c r="A651" s="120">
        <v>650</v>
      </c>
      <c r="B651" s="120" t="b">
        <f t="shared" ca="1" si="10"/>
        <v>0</v>
      </c>
      <c r="C651" s="121">
        <v>45556</v>
      </c>
      <c r="D651" s="137">
        <v>0.81607638888888889</v>
      </c>
      <c r="E651" s="94">
        <v>2053</v>
      </c>
      <c r="F651" s="142">
        <v>1212</v>
      </c>
      <c r="G651" s="94" t="s">
        <v>34</v>
      </c>
      <c r="H651" s="94">
        <v>1057</v>
      </c>
      <c r="I651" s="115"/>
      <c r="J651" s="94" t="s">
        <v>35</v>
      </c>
      <c r="K651" s="91">
        <v>143.11199999999999</v>
      </c>
      <c r="L651" s="122" t="str">
        <f>VLOOKUP(K651,Liste!$L$2:$O$34,4,1)</f>
        <v>GSMR_24/25</v>
      </c>
      <c r="M651" s="133" t="s">
        <v>36</v>
      </c>
      <c r="N651" s="180" t="s">
        <v>37</v>
      </c>
      <c r="O651" s="125" t="s">
        <v>1532</v>
      </c>
      <c r="P651" s="119"/>
      <c r="Q651" s="94" t="s">
        <v>39</v>
      </c>
      <c r="R651" s="94" t="s">
        <v>1032</v>
      </c>
      <c r="S651" s="91" t="s">
        <v>1533</v>
      </c>
      <c r="T651" s="94" t="s">
        <v>69</v>
      </c>
      <c r="U651" s="94" t="s">
        <v>1520</v>
      </c>
      <c r="V651" s="94" t="s">
        <v>51</v>
      </c>
      <c r="W651" s="94" t="s">
        <v>51</v>
      </c>
      <c r="X651" s="124" t="s">
        <v>52</v>
      </c>
      <c r="Y651" s="124" t="s">
        <v>1045</v>
      </c>
      <c r="Z651" s="91"/>
      <c r="AA651" s="91" t="s">
        <v>778</v>
      </c>
      <c r="AB651" s="91"/>
      <c r="AC651" s="91"/>
      <c r="AD651" s="91"/>
      <c r="AE651" s="91"/>
      <c r="AF651" s="91"/>
      <c r="AG651" s="91"/>
      <c r="AH651" s="91"/>
    </row>
    <row r="652" spans="1:34" s="1" customFormat="1" ht="45">
      <c r="A652" s="120">
        <v>651</v>
      </c>
      <c r="B652" s="120" t="b">
        <f t="shared" ca="1" si="10"/>
        <v>0</v>
      </c>
      <c r="C652" s="121">
        <v>45556</v>
      </c>
      <c r="D652" s="137">
        <v>0.83680555555555558</v>
      </c>
      <c r="E652" s="94">
        <v>2057</v>
      </c>
      <c r="F652" s="142">
        <v>1207</v>
      </c>
      <c r="G652" s="94" t="s">
        <v>34</v>
      </c>
      <c r="H652" s="94">
        <v>1046</v>
      </c>
      <c r="I652" s="115"/>
      <c r="J652" s="94" t="s">
        <v>35</v>
      </c>
      <c r="K652" s="152">
        <v>6.13</v>
      </c>
      <c r="L652" s="122" t="str">
        <f>VLOOKUP(K652,Liste!$L$2:$O$34,4,1)</f>
        <v>GSMR_02/03</v>
      </c>
      <c r="M652" s="133" t="s">
        <v>36</v>
      </c>
      <c r="N652" s="181" t="s">
        <v>58</v>
      </c>
      <c r="O652" s="125" t="s">
        <v>1534</v>
      </c>
      <c r="P652" s="119"/>
      <c r="Q652" s="94" t="s">
        <v>39</v>
      </c>
      <c r="R652" s="94" t="s">
        <v>1032</v>
      </c>
      <c r="S652" s="91" t="s">
        <v>1535</v>
      </c>
      <c r="T652" s="94" t="s">
        <v>56</v>
      </c>
      <c r="U652" s="94" t="s">
        <v>1460</v>
      </c>
      <c r="V652" s="94" t="s">
        <v>43</v>
      </c>
      <c r="W652" s="94" t="s">
        <v>51</v>
      </c>
      <c r="X652" s="124" t="s">
        <v>52</v>
      </c>
      <c r="Y652" s="124" t="s">
        <v>946</v>
      </c>
      <c r="Z652" s="91"/>
      <c r="AA652" s="91" t="s">
        <v>778</v>
      </c>
      <c r="AB652" s="91"/>
      <c r="AC652" s="91"/>
      <c r="AD652" s="91"/>
      <c r="AE652" s="91"/>
      <c r="AF652" s="91"/>
      <c r="AG652" s="91"/>
      <c r="AH652" s="91"/>
    </row>
    <row r="653" spans="1:34" s="1" customFormat="1" ht="45">
      <c r="A653" s="120">
        <v>652</v>
      </c>
      <c r="B653" s="120" t="b">
        <f t="shared" ca="1" si="10"/>
        <v>0</v>
      </c>
      <c r="C653" s="121">
        <v>45557</v>
      </c>
      <c r="D653" s="137">
        <v>0.48283564814814817</v>
      </c>
      <c r="E653" s="94">
        <v>2021</v>
      </c>
      <c r="F653" s="142">
        <v>1204</v>
      </c>
      <c r="G653" s="94" t="s">
        <v>34</v>
      </c>
      <c r="H653" s="94">
        <v>1052</v>
      </c>
      <c r="I653" s="115"/>
      <c r="J653" s="94" t="s">
        <v>35</v>
      </c>
      <c r="K653" s="91">
        <v>144.32599999999999</v>
      </c>
      <c r="L653" s="122" t="str">
        <f>VLOOKUP(K653,Liste!$L$2:$O$34,4,1)</f>
        <v>GSMR_25/26</v>
      </c>
      <c r="M653" s="133" t="s">
        <v>36</v>
      </c>
      <c r="N653" s="181" t="s">
        <v>58</v>
      </c>
      <c r="O653" s="125" t="s">
        <v>1536</v>
      </c>
      <c r="P653" s="119"/>
      <c r="Q653" s="94" t="s">
        <v>39</v>
      </c>
      <c r="R653" s="94" t="s">
        <v>1032</v>
      </c>
      <c r="S653" s="91" t="s">
        <v>1537</v>
      </c>
      <c r="T653" s="94" t="s">
        <v>69</v>
      </c>
      <c r="U653" s="94" t="s">
        <v>1538</v>
      </c>
      <c r="V653" s="94" t="s">
        <v>51</v>
      </c>
      <c r="W653" s="94" t="s">
        <v>43</v>
      </c>
      <c r="X653" s="124" t="s">
        <v>52</v>
      </c>
      <c r="Y653" s="124" t="s">
        <v>946</v>
      </c>
      <c r="Z653" s="91"/>
      <c r="AA653" s="91" t="s">
        <v>757</v>
      </c>
      <c r="AB653" s="91"/>
      <c r="AC653" s="91"/>
      <c r="AD653" s="91"/>
      <c r="AE653" s="91"/>
      <c r="AF653" s="91"/>
      <c r="AG653" s="91"/>
      <c r="AH653" s="91"/>
    </row>
    <row r="654" spans="1:34" s="1" customFormat="1" ht="45">
      <c r="A654" s="120">
        <v>653</v>
      </c>
      <c r="B654" s="120" t="b">
        <f t="shared" ca="1" si="10"/>
        <v>0</v>
      </c>
      <c r="C654" s="121">
        <v>45557</v>
      </c>
      <c r="D654" s="137">
        <v>0.55849537037037034</v>
      </c>
      <c r="E654" s="94">
        <v>1025</v>
      </c>
      <c r="F654" s="142">
        <v>1201</v>
      </c>
      <c r="G654" s="94" t="s">
        <v>34</v>
      </c>
      <c r="H654" s="94">
        <v>1060</v>
      </c>
      <c r="I654" s="115"/>
      <c r="J654" s="94" t="s">
        <v>35</v>
      </c>
      <c r="K654" s="91">
        <v>202.125</v>
      </c>
      <c r="L654" s="122" t="str">
        <f>VLOOKUP(K654,Liste!$L$2:$O$34,4,1)</f>
        <v>GSMR_33/RAC</v>
      </c>
      <c r="M654" s="133" t="s">
        <v>36</v>
      </c>
      <c r="N654" s="180" t="s">
        <v>37</v>
      </c>
      <c r="O654" s="125" t="s">
        <v>1539</v>
      </c>
      <c r="P654" s="119"/>
      <c r="Q654" s="94" t="s">
        <v>54</v>
      </c>
      <c r="R654" s="94" t="s">
        <v>808</v>
      </c>
      <c r="S654" s="91" t="s">
        <v>1540</v>
      </c>
      <c r="T654" s="94" t="s">
        <v>56</v>
      </c>
      <c r="U654" s="94" t="s">
        <v>1541</v>
      </c>
      <c r="V654" s="94" t="s">
        <v>51</v>
      </c>
      <c r="W654" s="94" t="s">
        <v>43</v>
      </c>
      <c r="X654" s="124" t="s">
        <v>52</v>
      </c>
      <c r="Y654" s="124" t="s">
        <v>946</v>
      </c>
      <c r="Z654" s="91"/>
      <c r="AA654" s="91" t="s">
        <v>757</v>
      </c>
      <c r="AB654" s="91"/>
      <c r="AC654" s="91"/>
      <c r="AD654" s="91"/>
      <c r="AE654" s="91"/>
      <c r="AF654" s="91"/>
      <c r="AG654" s="91"/>
      <c r="AH654" s="91"/>
    </row>
    <row r="655" spans="1:34" s="1" customFormat="1" ht="45">
      <c r="A655" s="120">
        <v>654</v>
      </c>
      <c r="B655" s="120" t="b">
        <f t="shared" ca="1" si="10"/>
        <v>0</v>
      </c>
      <c r="C655" s="121">
        <v>45557</v>
      </c>
      <c r="D655" s="137">
        <v>0.5871643518518519</v>
      </c>
      <c r="E655" s="94">
        <v>2033</v>
      </c>
      <c r="F655" s="142">
        <v>1210</v>
      </c>
      <c r="G655" s="94" t="s">
        <v>34</v>
      </c>
      <c r="H655" s="94">
        <v>1048</v>
      </c>
      <c r="I655" s="115"/>
      <c r="J655" s="94" t="s">
        <v>35</v>
      </c>
      <c r="K655" s="152">
        <v>6.13</v>
      </c>
      <c r="L655" s="122" t="str">
        <f>VLOOKUP(K655,Liste!$L$2:$O$34,4,1)</f>
        <v>GSMR_02/03</v>
      </c>
      <c r="M655" s="133" t="s">
        <v>36</v>
      </c>
      <c r="N655" s="180" t="s">
        <v>37</v>
      </c>
      <c r="O655" s="125" t="s">
        <v>1542</v>
      </c>
      <c r="P655" s="119"/>
      <c r="Q655" s="94" t="s">
        <v>39</v>
      </c>
      <c r="R655" s="94" t="s">
        <v>1032</v>
      </c>
      <c r="S655" s="91" t="s">
        <v>1255</v>
      </c>
      <c r="T655" s="94" t="s">
        <v>56</v>
      </c>
      <c r="U655" s="94" t="s">
        <v>1468</v>
      </c>
      <c r="V655" s="94" t="s">
        <v>43</v>
      </c>
      <c r="W655" s="94" t="s">
        <v>51</v>
      </c>
      <c r="X655" s="124" t="s">
        <v>52</v>
      </c>
      <c r="Y655" s="124" t="s">
        <v>946</v>
      </c>
      <c r="Z655" s="91"/>
      <c r="AA655" s="91" t="s">
        <v>778</v>
      </c>
      <c r="AB655" s="91"/>
      <c r="AC655" s="91"/>
      <c r="AD655" s="91"/>
      <c r="AE655" s="91"/>
      <c r="AF655" s="91"/>
      <c r="AG655" s="91"/>
      <c r="AH655" s="91"/>
    </row>
    <row r="656" spans="1:34" s="1" customFormat="1" ht="45">
      <c r="A656" s="120">
        <v>655</v>
      </c>
      <c r="B656" s="120" t="b">
        <f t="shared" ca="1" si="10"/>
        <v>0</v>
      </c>
      <c r="C656" s="121">
        <v>45557</v>
      </c>
      <c r="D656" s="137">
        <v>0.58975694444444449</v>
      </c>
      <c r="E656" s="94">
        <v>2033</v>
      </c>
      <c r="F656" s="142">
        <v>1210</v>
      </c>
      <c r="G656" s="94" t="s">
        <v>34</v>
      </c>
      <c r="H656" s="94">
        <v>1049</v>
      </c>
      <c r="I656" s="115"/>
      <c r="J656" s="94" t="s">
        <v>35</v>
      </c>
      <c r="K656" s="152">
        <v>9.0299999999999994</v>
      </c>
      <c r="L656" s="122" t="str">
        <f>VLOOKUP(K656,Liste!$L$2:$O$34,4,1)</f>
        <v>GSMR_02/03</v>
      </c>
      <c r="M656" s="133" t="s">
        <v>36</v>
      </c>
      <c r="N656" s="180" t="s">
        <v>37</v>
      </c>
      <c r="O656" s="125" t="s">
        <v>1543</v>
      </c>
      <c r="P656" s="119"/>
      <c r="Q656" s="94" t="s">
        <v>54</v>
      </c>
      <c r="R656" s="94" t="s">
        <v>808</v>
      </c>
      <c r="S656" s="91"/>
      <c r="T656" s="94"/>
      <c r="U656" s="94"/>
      <c r="V656" s="94" t="s">
        <v>43</v>
      </c>
      <c r="W656" s="94" t="s">
        <v>51</v>
      </c>
      <c r="X656" s="124" t="s">
        <v>52</v>
      </c>
      <c r="Y656" s="124" t="s">
        <v>1045</v>
      </c>
      <c r="Z656" s="91"/>
      <c r="AA656" s="91" t="s">
        <v>778</v>
      </c>
      <c r="AB656" s="91"/>
      <c r="AC656" s="91"/>
      <c r="AD656" s="91"/>
      <c r="AE656" s="91"/>
      <c r="AF656" s="91"/>
      <c r="AG656" s="91"/>
      <c r="AH656" s="91"/>
    </row>
    <row r="657" spans="1:34" s="1" customFormat="1" ht="45">
      <c r="A657" s="120">
        <v>656</v>
      </c>
      <c r="B657" s="120" t="b">
        <f t="shared" ca="1" si="10"/>
        <v>0</v>
      </c>
      <c r="C657" s="121">
        <v>45557</v>
      </c>
      <c r="D657" s="137">
        <v>0.73050925925925925</v>
      </c>
      <c r="E657" s="94">
        <v>2045</v>
      </c>
      <c r="F657" s="142">
        <v>1204</v>
      </c>
      <c r="G657" s="94" t="s">
        <v>34</v>
      </c>
      <c r="H657" s="94">
        <v>1052</v>
      </c>
      <c r="I657" s="115"/>
      <c r="J657" s="94" t="s">
        <v>35</v>
      </c>
      <c r="K657" s="91">
        <v>121.232</v>
      </c>
      <c r="L657" s="122" t="str">
        <f>VLOOKUP(K657,Liste!$L$2:$O$34,4,1)</f>
        <v>GSMR_21/22</v>
      </c>
      <c r="M657" s="133" t="s">
        <v>36</v>
      </c>
      <c r="N657" s="180" t="s">
        <v>37</v>
      </c>
      <c r="O657" s="125" t="s">
        <v>1544</v>
      </c>
      <c r="P657" s="119"/>
      <c r="Q657" s="94" t="s">
        <v>39</v>
      </c>
      <c r="R657" s="94" t="s">
        <v>1032</v>
      </c>
      <c r="S657" s="91" t="s">
        <v>1545</v>
      </c>
      <c r="T657" s="94" t="s">
        <v>101</v>
      </c>
      <c r="U657" s="94" t="s">
        <v>1546</v>
      </c>
      <c r="V657" s="94" t="s">
        <v>51</v>
      </c>
      <c r="W657" s="94" t="s">
        <v>51</v>
      </c>
      <c r="X657" s="124" t="s">
        <v>52</v>
      </c>
      <c r="Y657" s="124" t="s">
        <v>946</v>
      </c>
      <c r="Z657" s="91"/>
      <c r="AA657" s="91" t="s">
        <v>778</v>
      </c>
      <c r="AB657" s="91"/>
      <c r="AC657" s="91"/>
      <c r="AD657" s="91"/>
      <c r="AE657" s="91"/>
      <c r="AF657" s="91"/>
      <c r="AG657" s="91"/>
      <c r="AH657" s="91"/>
    </row>
    <row r="658" spans="1:34" s="1" customFormat="1" ht="60">
      <c r="A658" s="120">
        <v>657</v>
      </c>
      <c r="B658" s="120" t="b">
        <f t="shared" ca="1" si="10"/>
        <v>0</v>
      </c>
      <c r="C658" s="121">
        <v>45557</v>
      </c>
      <c r="D658" s="137">
        <v>0.8569444444444444</v>
      </c>
      <c r="E658" s="91">
        <v>2057</v>
      </c>
      <c r="F658" s="142">
        <v>1210</v>
      </c>
      <c r="G658" s="94" t="s">
        <v>34</v>
      </c>
      <c r="H658" s="94">
        <v>1049</v>
      </c>
      <c r="I658" s="115"/>
      <c r="J658" s="94" t="s">
        <v>35</v>
      </c>
      <c r="K658" s="91">
        <v>139.48099999999999</v>
      </c>
      <c r="L658" s="122" t="s">
        <v>1314</v>
      </c>
      <c r="M658" s="133" t="s">
        <v>36</v>
      </c>
      <c r="N658" s="180" t="s">
        <v>37</v>
      </c>
      <c r="O658" s="125" t="s">
        <v>1547</v>
      </c>
      <c r="P658" s="119"/>
      <c r="Q658" s="94" t="s">
        <v>39</v>
      </c>
      <c r="R658" s="94" t="s">
        <v>1032</v>
      </c>
      <c r="S658" s="91" t="s">
        <v>1548</v>
      </c>
      <c r="T658" s="94" t="s">
        <v>69</v>
      </c>
      <c r="U658" s="94" t="s">
        <v>1549</v>
      </c>
      <c r="V658" s="94" t="s">
        <v>51</v>
      </c>
      <c r="W658" s="94" t="s">
        <v>51</v>
      </c>
      <c r="X658" s="124" t="s">
        <v>52</v>
      </c>
      <c r="Y658" s="124" t="s">
        <v>1045</v>
      </c>
      <c r="Z658" s="91"/>
      <c r="AA658" s="91" t="s">
        <v>1295</v>
      </c>
      <c r="AB658" s="91"/>
      <c r="AC658" s="91"/>
      <c r="AD658" s="91"/>
      <c r="AE658" s="91"/>
      <c r="AF658" s="91"/>
      <c r="AG658" s="91"/>
      <c r="AH658" s="91"/>
    </row>
    <row r="659" spans="1:34" s="1" customFormat="1" ht="45">
      <c r="A659" s="120">
        <v>658</v>
      </c>
      <c r="B659" s="120" t="b">
        <f t="shared" ca="1" si="10"/>
        <v>0</v>
      </c>
      <c r="C659" s="121">
        <v>45558</v>
      </c>
      <c r="D659" s="137">
        <v>0.33690972222222221</v>
      </c>
      <c r="E659" s="94">
        <v>2009</v>
      </c>
      <c r="F659" s="142">
        <v>1209</v>
      </c>
      <c r="G659" s="94" t="s">
        <v>34</v>
      </c>
      <c r="H659" s="94">
        <v>7208</v>
      </c>
      <c r="I659" s="115"/>
      <c r="J659" s="94" t="s">
        <v>35</v>
      </c>
      <c r="K659" s="152">
        <v>6.13</v>
      </c>
      <c r="L659" s="122" t="str">
        <f>VLOOKUP(K659,Liste!$L$2:$O$34,4,1)</f>
        <v>GSMR_02/03</v>
      </c>
      <c r="M659" s="133" t="s">
        <v>36</v>
      </c>
      <c r="N659" s="181" t="s">
        <v>58</v>
      </c>
      <c r="O659" s="125" t="s">
        <v>1550</v>
      </c>
      <c r="P659" s="119"/>
      <c r="Q659" s="94" t="s">
        <v>39</v>
      </c>
      <c r="R659" s="94" t="s">
        <v>1032</v>
      </c>
      <c r="S659" s="91" t="s">
        <v>1551</v>
      </c>
      <c r="T659" s="94" t="s">
        <v>56</v>
      </c>
      <c r="U659" s="94" t="s">
        <v>1526</v>
      </c>
      <c r="V659" s="94" t="s">
        <v>43</v>
      </c>
      <c r="W659" s="94" t="s">
        <v>51</v>
      </c>
      <c r="X659" s="124" t="s">
        <v>52</v>
      </c>
      <c r="Y659" s="124" t="s">
        <v>946</v>
      </c>
      <c r="Z659" s="91"/>
      <c r="AA659" s="91" t="s">
        <v>959</v>
      </c>
      <c r="AB659" s="91"/>
      <c r="AC659" s="91"/>
      <c r="AD659" s="91"/>
      <c r="AE659" s="91"/>
      <c r="AF659" s="91"/>
      <c r="AG659" s="91"/>
      <c r="AH659" s="91"/>
    </row>
    <row r="660" spans="1:34" s="1" customFormat="1" ht="45">
      <c r="A660" s="120">
        <v>659</v>
      </c>
      <c r="B660" s="120" t="b">
        <f t="shared" ca="1" si="10"/>
        <v>0</v>
      </c>
      <c r="C660" s="121">
        <v>45558</v>
      </c>
      <c r="D660" s="137">
        <v>0.68565972222222227</v>
      </c>
      <c r="E660" s="94">
        <v>2041</v>
      </c>
      <c r="F660" s="142">
        <v>1205</v>
      </c>
      <c r="G660" s="94" t="s">
        <v>34</v>
      </c>
      <c r="H660" s="94">
        <v>7218</v>
      </c>
      <c r="I660" s="115"/>
      <c r="J660" s="94" t="s">
        <v>35</v>
      </c>
      <c r="K660" s="91">
        <v>108.206</v>
      </c>
      <c r="L660" s="122" t="str">
        <f>VLOOKUP(K660,Liste!$L$2:$O$34,4,1)</f>
        <v>GSMR_19/20</v>
      </c>
      <c r="M660" s="133" t="s">
        <v>36</v>
      </c>
      <c r="N660" s="180" t="s">
        <v>37</v>
      </c>
      <c r="O660" s="125" t="s">
        <v>1552</v>
      </c>
      <c r="P660" s="119"/>
      <c r="Q660" s="94" t="s">
        <v>39</v>
      </c>
      <c r="R660" s="94" t="s">
        <v>1032</v>
      </c>
      <c r="S660" s="91" t="s">
        <v>1553</v>
      </c>
      <c r="T660" s="94" t="s">
        <v>78</v>
      </c>
      <c r="U660" s="94" t="s">
        <v>1554</v>
      </c>
      <c r="V660" s="94" t="s">
        <v>43</v>
      </c>
      <c r="W660" s="94" t="s">
        <v>51</v>
      </c>
      <c r="X660" s="124" t="s">
        <v>52</v>
      </c>
      <c r="Y660" s="124" t="s">
        <v>946</v>
      </c>
      <c r="Z660" s="91"/>
      <c r="AA660" s="91" t="s">
        <v>778</v>
      </c>
      <c r="AB660" s="91"/>
      <c r="AC660" s="91"/>
      <c r="AD660" s="91"/>
      <c r="AE660" s="91"/>
      <c r="AF660" s="91"/>
      <c r="AG660" s="91"/>
      <c r="AH660" s="91"/>
    </row>
    <row r="661" spans="1:34" s="1" customFormat="1" ht="45">
      <c r="A661" s="120">
        <v>660</v>
      </c>
      <c r="B661" s="120" t="b">
        <f t="shared" ca="1" si="10"/>
        <v>0</v>
      </c>
      <c r="C661" s="121">
        <v>45558</v>
      </c>
      <c r="D661" s="137">
        <v>0.73379629629629628</v>
      </c>
      <c r="E661" s="94">
        <v>2045</v>
      </c>
      <c r="F661" s="142">
        <v>1208</v>
      </c>
      <c r="G661" s="94" t="s">
        <v>34</v>
      </c>
      <c r="H661" s="94">
        <v>1037</v>
      </c>
      <c r="I661" s="115"/>
      <c r="J661" s="94" t="s">
        <v>35</v>
      </c>
      <c r="K661" s="91">
        <v>140.65899999999999</v>
      </c>
      <c r="L661" s="122" t="str">
        <f>VLOOKUP(K661,Liste!$L$2:$O$34,4,1)</f>
        <v>GSMR_24/25</v>
      </c>
      <c r="M661" s="133" t="s">
        <v>36</v>
      </c>
      <c r="N661" s="181" t="s">
        <v>58</v>
      </c>
      <c r="O661" s="125" t="s">
        <v>1555</v>
      </c>
      <c r="P661" s="119"/>
      <c r="Q661" s="94" t="s">
        <v>39</v>
      </c>
      <c r="R661" s="94" t="s">
        <v>1032</v>
      </c>
      <c r="S661" s="91" t="s">
        <v>1556</v>
      </c>
      <c r="T661" s="94" t="s">
        <v>69</v>
      </c>
      <c r="U661" s="94" t="s">
        <v>1509</v>
      </c>
      <c r="V661" s="94" t="s">
        <v>51</v>
      </c>
      <c r="W661" s="94" t="s">
        <v>51</v>
      </c>
      <c r="X661" s="124" t="s">
        <v>52</v>
      </c>
      <c r="Y661" s="124" t="s">
        <v>1557</v>
      </c>
      <c r="Z661" s="91"/>
      <c r="AA661" s="91" t="s">
        <v>778</v>
      </c>
      <c r="AB661" s="91"/>
      <c r="AC661" s="91"/>
      <c r="AD661" s="91"/>
      <c r="AE661" s="91"/>
      <c r="AF661" s="91"/>
      <c r="AG661" s="91"/>
      <c r="AH661" s="91"/>
    </row>
    <row r="662" spans="1:34" s="1" customFormat="1" ht="45">
      <c r="A662" s="120">
        <v>661</v>
      </c>
      <c r="B662" s="120" t="b">
        <f t="shared" ca="1" si="10"/>
        <v>0</v>
      </c>
      <c r="C662" s="121">
        <v>45558</v>
      </c>
      <c r="D662" s="137">
        <v>0.81607638888888889</v>
      </c>
      <c r="E662" s="94">
        <v>2053</v>
      </c>
      <c r="F662" s="142">
        <v>1212</v>
      </c>
      <c r="G662" s="94" t="s">
        <v>34</v>
      </c>
      <c r="H662" s="94">
        <v>1057</v>
      </c>
      <c r="I662" s="115"/>
      <c r="J662" s="94" t="s">
        <v>35</v>
      </c>
      <c r="K662" s="91">
        <v>141.898</v>
      </c>
      <c r="L662" s="122" t="str">
        <f>VLOOKUP(K662,Liste!$L$2:$O$34,4,1)</f>
        <v>GSMR_24/25</v>
      </c>
      <c r="M662" s="133" t="s">
        <v>36</v>
      </c>
      <c r="N662" s="180" t="s">
        <v>37</v>
      </c>
      <c r="O662" s="125" t="s">
        <v>1558</v>
      </c>
      <c r="P662" s="119"/>
      <c r="Q662" s="94" t="s">
        <v>39</v>
      </c>
      <c r="R662" s="94" t="s">
        <v>1032</v>
      </c>
      <c r="S662" s="91" t="s">
        <v>1556</v>
      </c>
      <c r="T662" s="94" t="s">
        <v>78</v>
      </c>
      <c r="U662" s="94" t="s">
        <v>1453</v>
      </c>
      <c r="V662" s="94" t="s">
        <v>51</v>
      </c>
      <c r="W662" s="94" t="s">
        <v>51</v>
      </c>
      <c r="X662" s="124" t="s">
        <v>52</v>
      </c>
      <c r="Y662" s="124" t="s">
        <v>946</v>
      </c>
      <c r="Z662" s="91"/>
      <c r="AA662" s="91" t="s">
        <v>778</v>
      </c>
      <c r="AB662" s="91"/>
      <c r="AC662" s="91"/>
      <c r="AD662" s="91"/>
      <c r="AE662" s="91"/>
      <c r="AF662" s="91"/>
      <c r="AG662" s="91"/>
      <c r="AH662" s="91"/>
    </row>
    <row r="663" spans="1:34" s="1" customFormat="1" ht="45">
      <c r="A663" s="120">
        <v>662</v>
      </c>
      <c r="B663" s="120" t="b">
        <f t="shared" ca="1" si="10"/>
        <v>0</v>
      </c>
      <c r="C663" s="121">
        <v>45559</v>
      </c>
      <c r="D663" s="137">
        <v>0.33697916666666666</v>
      </c>
      <c r="E663" s="94">
        <v>2009</v>
      </c>
      <c r="F663" s="142">
        <v>1206</v>
      </c>
      <c r="G663" s="94" t="s">
        <v>34</v>
      </c>
      <c r="H663" s="94">
        <v>1054</v>
      </c>
      <c r="I663" s="115"/>
      <c r="J663" s="94" t="s">
        <v>35</v>
      </c>
      <c r="K663" s="152">
        <v>6.13</v>
      </c>
      <c r="L663" s="122" t="str">
        <f>VLOOKUP(K663,Liste!$L$2:$O$34,4,1)</f>
        <v>GSMR_02/03</v>
      </c>
      <c r="M663" s="133" t="s">
        <v>36</v>
      </c>
      <c r="N663" s="181" t="s">
        <v>58</v>
      </c>
      <c r="O663" s="125" t="s">
        <v>1559</v>
      </c>
      <c r="P663" s="119"/>
      <c r="Q663" s="94" t="s">
        <v>39</v>
      </c>
      <c r="R663" s="94" t="s">
        <v>1032</v>
      </c>
      <c r="S663" s="91" t="s">
        <v>1560</v>
      </c>
      <c r="T663" s="94" t="s">
        <v>69</v>
      </c>
      <c r="U663" s="94" t="s">
        <v>1468</v>
      </c>
      <c r="V663" s="94" t="s">
        <v>43</v>
      </c>
      <c r="W663" s="94" t="s">
        <v>51</v>
      </c>
      <c r="X663" s="124" t="s">
        <v>52</v>
      </c>
      <c r="Y663" s="124" t="s">
        <v>946</v>
      </c>
      <c r="Z663" s="91"/>
      <c r="AA663" s="91" t="s">
        <v>802</v>
      </c>
      <c r="AB663" s="91"/>
      <c r="AC663" s="91"/>
      <c r="AD663" s="91"/>
      <c r="AE663" s="91"/>
      <c r="AF663" s="91"/>
      <c r="AG663" s="91"/>
      <c r="AH663" s="91"/>
    </row>
    <row r="664" spans="1:34" s="1" customFormat="1" ht="45">
      <c r="A664" s="120">
        <v>663</v>
      </c>
      <c r="B664" s="120" t="b">
        <f t="shared" ca="1" si="10"/>
        <v>0</v>
      </c>
      <c r="C664" s="121">
        <v>45559</v>
      </c>
      <c r="D664" s="137" t="s">
        <v>1561</v>
      </c>
      <c r="E664" s="94">
        <v>1005</v>
      </c>
      <c r="F664" s="142">
        <v>1212</v>
      </c>
      <c r="G664" s="94" t="s">
        <v>71</v>
      </c>
      <c r="H664" s="94">
        <v>1023</v>
      </c>
      <c r="I664" s="115"/>
      <c r="J664" s="94" t="s">
        <v>72</v>
      </c>
      <c r="K664" s="91">
        <v>94.953999999999994</v>
      </c>
      <c r="L664" s="122" t="str">
        <f>VLOOKUP(K664,Liste!$L$2:$O$34,4,1)</f>
        <v>GSMR_17/18</v>
      </c>
      <c r="M664" s="133" t="s">
        <v>36</v>
      </c>
      <c r="N664" s="180" t="s">
        <v>37</v>
      </c>
      <c r="O664" s="125" t="s">
        <v>1562</v>
      </c>
      <c r="P664" s="119"/>
      <c r="Q664" s="94" t="s">
        <v>39</v>
      </c>
      <c r="R664" s="94" t="s">
        <v>1032</v>
      </c>
      <c r="S664" s="91" t="s">
        <v>1563</v>
      </c>
      <c r="T664" s="94" t="s">
        <v>69</v>
      </c>
      <c r="U664" s="94" t="s">
        <v>1484</v>
      </c>
      <c r="V664" s="94" t="s">
        <v>51</v>
      </c>
      <c r="W664" s="94" t="s">
        <v>51</v>
      </c>
      <c r="X664" s="124" t="s">
        <v>52</v>
      </c>
      <c r="Y664" s="124" t="s">
        <v>946</v>
      </c>
      <c r="Z664" s="91"/>
      <c r="AA664" s="91" t="s">
        <v>802</v>
      </c>
      <c r="AB664" s="91"/>
      <c r="AC664" s="91"/>
      <c r="AD664" s="91"/>
      <c r="AE664" s="91"/>
      <c r="AF664" s="91"/>
      <c r="AG664" s="91"/>
      <c r="AH664" s="91"/>
    </row>
    <row r="665" spans="1:34" s="1" customFormat="1" ht="45">
      <c r="A665" s="120">
        <v>664</v>
      </c>
      <c r="B665" s="120" t="b">
        <f t="shared" ca="1" si="10"/>
        <v>0</v>
      </c>
      <c r="C665" s="121">
        <v>45559</v>
      </c>
      <c r="D665" s="137">
        <v>0.37943287037037038</v>
      </c>
      <c r="E665" s="94">
        <v>1006</v>
      </c>
      <c r="F665" s="142">
        <v>1212</v>
      </c>
      <c r="G665" s="94" t="s">
        <v>71</v>
      </c>
      <c r="H665" s="94">
        <v>1058</v>
      </c>
      <c r="I665" s="115"/>
      <c r="J665" s="94" t="s">
        <v>72</v>
      </c>
      <c r="K665" s="152">
        <v>7.3209999999999997</v>
      </c>
      <c r="L665" s="122" t="str">
        <f>VLOOKUP(K665,Liste!$L$2:$O$34,4,1)</f>
        <v>GSMR_02/03</v>
      </c>
      <c r="M665" s="133" t="s">
        <v>36</v>
      </c>
      <c r="N665" s="180" t="s">
        <v>37</v>
      </c>
      <c r="O665" s="125" t="s">
        <v>1564</v>
      </c>
      <c r="P665" s="119"/>
      <c r="Q665" s="94" t="s">
        <v>39</v>
      </c>
      <c r="R665" s="94" t="s">
        <v>1032</v>
      </c>
      <c r="S665" s="91" t="s">
        <v>1277</v>
      </c>
      <c r="T665" s="94" t="s">
        <v>56</v>
      </c>
      <c r="U665" s="94" t="s">
        <v>1526</v>
      </c>
      <c r="V665" s="94" t="s">
        <v>51</v>
      </c>
      <c r="W665" s="94" t="s">
        <v>51</v>
      </c>
      <c r="X665" s="124" t="s">
        <v>52</v>
      </c>
      <c r="Y665" s="124" t="s">
        <v>946</v>
      </c>
      <c r="Z665" s="91"/>
      <c r="AA665" s="91" t="s">
        <v>802</v>
      </c>
      <c r="AB665" s="91"/>
      <c r="AC665" s="91"/>
      <c r="AD665" s="91"/>
      <c r="AE665" s="91"/>
      <c r="AF665" s="91"/>
      <c r="AG665" s="91"/>
      <c r="AH665" s="91"/>
    </row>
    <row r="666" spans="1:34" s="1" customFormat="1" ht="45">
      <c r="A666" s="120">
        <v>665</v>
      </c>
      <c r="B666" s="120" t="b">
        <f t="shared" ca="1" si="10"/>
        <v>0</v>
      </c>
      <c r="C666" s="121">
        <v>45559</v>
      </c>
      <c r="D666" s="137">
        <v>0.4409837962962963</v>
      </c>
      <c r="E666" s="94">
        <v>2017</v>
      </c>
      <c r="F666" s="142">
        <v>1212</v>
      </c>
      <c r="G666" s="94" t="s">
        <v>34</v>
      </c>
      <c r="H666" s="94">
        <v>1057</v>
      </c>
      <c r="I666" s="115"/>
      <c r="J666" s="94" t="s">
        <v>35</v>
      </c>
      <c r="K666" s="91">
        <v>144.32599999999999</v>
      </c>
      <c r="L666" s="122" t="str">
        <f>VLOOKUP(K666,Liste!$L$2:$O$34,4,1)</f>
        <v>GSMR_25/26</v>
      </c>
      <c r="M666" s="133" t="s">
        <v>36</v>
      </c>
      <c r="N666" s="181" t="s">
        <v>58</v>
      </c>
      <c r="O666" s="125" t="s">
        <v>1565</v>
      </c>
      <c r="P666" s="119"/>
      <c r="Q666" s="94" t="s">
        <v>39</v>
      </c>
      <c r="R666" s="94" t="s">
        <v>1032</v>
      </c>
      <c r="S666" s="91" t="s">
        <v>1566</v>
      </c>
      <c r="T666" s="94" t="s">
        <v>69</v>
      </c>
      <c r="U666" s="94" t="s">
        <v>1541</v>
      </c>
      <c r="V666" s="94" t="s">
        <v>51</v>
      </c>
      <c r="W666" s="94" t="s">
        <v>51</v>
      </c>
      <c r="X666" s="124" t="s">
        <v>52</v>
      </c>
      <c r="Y666" s="124" t="s">
        <v>946</v>
      </c>
      <c r="Z666" s="91"/>
      <c r="AA666" s="91" t="s">
        <v>802</v>
      </c>
      <c r="AB666" s="91"/>
      <c r="AC666" s="91"/>
      <c r="AD666" s="91"/>
      <c r="AE666" s="91"/>
      <c r="AF666" s="91"/>
      <c r="AG666" s="91"/>
      <c r="AH666" s="91"/>
    </row>
    <row r="667" spans="1:34" s="1" customFormat="1" ht="45">
      <c r="A667" s="120">
        <v>666</v>
      </c>
      <c r="B667" s="120" t="b">
        <f t="shared" ca="1" si="10"/>
        <v>0</v>
      </c>
      <c r="C667" s="121">
        <v>45559</v>
      </c>
      <c r="D667" s="137">
        <v>0.58725694444444443</v>
      </c>
      <c r="E667" s="94">
        <v>2033</v>
      </c>
      <c r="F667" s="142">
        <v>1206</v>
      </c>
      <c r="G667" s="94" t="s">
        <v>34</v>
      </c>
      <c r="H667" s="94">
        <v>1054</v>
      </c>
      <c r="I667" s="115"/>
      <c r="J667" s="94" t="s">
        <v>35</v>
      </c>
      <c r="K667" s="152">
        <v>6.13</v>
      </c>
      <c r="L667" s="122" t="str">
        <f>VLOOKUP(K667,Liste!$L$2:$O$34,4,1)</f>
        <v>GSMR_02/03</v>
      </c>
      <c r="M667" s="133" t="s">
        <v>36</v>
      </c>
      <c r="N667" s="181" t="s">
        <v>58</v>
      </c>
      <c r="O667" s="125" t="s">
        <v>1567</v>
      </c>
      <c r="P667" s="119"/>
      <c r="Q667" s="94" t="s">
        <v>39</v>
      </c>
      <c r="R667" s="94" t="s">
        <v>1032</v>
      </c>
      <c r="S667" s="91" t="s">
        <v>1232</v>
      </c>
      <c r="T667" s="94" t="s">
        <v>41</v>
      </c>
      <c r="U667" s="94" t="s">
        <v>1449</v>
      </c>
      <c r="V667" s="94" t="s">
        <v>51</v>
      </c>
      <c r="W667" s="94" t="s">
        <v>51</v>
      </c>
      <c r="X667" s="124" t="s">
        <v>52</v>
      </c>
      <c r="Y667" s="124" t="s">
        <v>946</v>
      </c>
      <c r="Z667" s="91"/>
      <c r="AA667" s="91" t="s">
        <v>959</v>
      </c>
      <c r="AB667" s="91"/>
      <c r="AC667" s="91"/>
      <c r="AD667" s="91"/>
      <c r="AE667" s="91"/>
      <c r="AF667" s="91"/>
      <c r="AG667" s="91"/>
      <c r="AH667" s="91"/>
    </row>
    <row r="668" spans="1:34" s="1" customFormat="1" ht="45">
      <c r="A668" s="120">
        <v>667</v>
      </c>
      <c r="B668" s="120" t="b">
        <f t="shared" ca="1" si="10"/>
        <v>0</v>
      </c>
      <c r="C668" s="121">
        <v>45560</v>
      </c>
      <c r="D668" s="137">
        <v>0.32361111111111113</v>
      </c>
      <c r="E668" s="94">
        <v>1001</v>
      </c>
      <c r="F668" s="142">
        <v>1201</v>
      </c>
      <c r="G668" s="94" t="s">
        <v>71</v>
      </c>
      <c r="H668" s="94">
        <v>1060</v>
      </c>
      <c r="I668" s="115"/>
      <c r="J668" s="94" t="s">
        <v>72</v>
      </c>
      <c r="K668" s="91">
        <v>94.95</v>
      </c>
      <c r="L668" s="122" t="str">
        <f>VLOOKUP(K668,Liste!$L$2:$O$34,4,1)</f>
        <v>GSMR_17/18</v>
      </c>
      <c r="M668" s="133" t="s">
        <v>36</v>
      </c>
      <c r="N668" s="180" t="s">
        <v>37</v>
      </c>
      <c r="O668" s="125" t="s">
        <v>1568</v>
      </c>
      <c r="P668" s="119"/>
      <c r="Q668" s="94" t="s">
        <v>39</v>
      </c>
      <c r="R668" s="94" t="s">
        <v>1032</v>
      </c>
      <c r="S668" s="91" t="s">
        <v>1569</v>
      </c>
      <c r="T668" s="94" t="s">
        <v>56</v>
      </c>
      <c r="U668" s="94" t="s">
        <v>1570</v>
      </c>
      <c r="V668" s="94" t="s">
        <v>51</v>
      </c>
      <c r="W668" s="94" t="s">
        <v>51</v>
      </c>
      <c r="X668" s="124" t="s">
        <v>52</v>
      </c>
      <c r="Y668" s="124" t="s">
        <v>946</v>
      </c>
      <c r="Z668" s="91"/>
      <c r="AA668" s="91" t="s">
        <v>802</v>
      </c>
      <c r="AB668" s="91"/>
      <c r="AC668" s="91"/>
      <c r="AD668" s="91"/>
      <c r="AE668" s="91"/>
      <c r="AF668" s="91"/>
      <c r="AG668" s="91"/>
      <c r="AH668" s="91"/>
    </row>
    <row r="669" spans="1:34" s="1" customFormat="1" ht="45">
      <c r="A669" s="120">
        <v>668</v>
      </c>
      <c r="B669" s="120" t="b">
        <f t="shared" ca="1" si="10"/>
        <v>0</v>
      </c>
      <c r="C669" s="121">
        <v>45560</v>
      </c>
      <c r="D669" s="137">
        <v>0.44146990740740738</v>
      </c>
      <c r="E669" s="94">
        <v>2017</v>
      </c>
      <c r="F669" s="142">
        <v>1212</v>
      </c>
      <c r="G669" s="94" t="s">
        <v>34</v>
      </c>
      <c r="H669" s="94">
        <v>1057</v>
      </c>
      <c r="I669" s="115"/>
      <c r="J669" s="94" t="s">
        <v>35</v>
      </c>
      <c r="K669" s="91">
        <v>141.898</v>
      </c>
      <c r="L669" s="122" t="str">
        <f>VLOOKUP(K669,Liste!$L$2:$O$34,4,1)</f>
        <v>GSMR_24/25</v>
      </c>
      <c r="M669" s="133" t="s">
        <v>36</v>
      </c>
      <c r="N669" s="180" t="s">
        <v>37</v>
      </c>
      <c r="O669" s="125" t="s">
        <v>1571</v>
      </c>
      <c r="P669" s="119"/>
      <c r="Q669" s="94" t="s">
        <v>105</v>
      </c>
      <c r="R669" s="94" t="s">
        <v>1072</v>
      </c>
      <c r="S669" s="91" t="s">
        <v>1572</v>
      </c>
      <c r="T669" s="94" t="s">
        <v>69</v>
      </c>
      <c r="U669" s="94" t="s">
        <v>1453</v>
      </c>
      <c r="V669" s="94" t="s">
        <v>51</v>
      </c>
      <c r="W669" s="94" t="s">
        <v>51</v>
      </c>
      <c r="X669" s="124" t="s">
        <v>52</v>
      </c>
      <c r="Y669" s="124" t="s">
        <v>1045</v>
      </c>
      <c r="Z669" s="91"/>
      <c r="AA669" s="91" t="s">
        <v>802</v>
      </c>
      <c r="AB669" s="91"/>
      <c r="AC669" s="91"/>
      <c r="AD669" s="91"/>
      <c r="AE669" s="91"/>
      <c r="AF669" s="91"/>
      <c r="AG669" s="91"/>
      <c r="AH669" s="91"/>
    </row>
    <row r="670" spans="1:34" s="1" customFormat="1" ht="45">
      <c r="A670" s="120">
        <v>669</v>
      </c>
      <c r="B670" s="120" t="b">
        <f t="shared" ca="1" si="10"/>
        <v>0</v>
      </c>
      <c r="C670" s="121">
        <v>45560</v>
      </c>
      <c r="D670" s="137">
        <v>0.44840277777777776</v>
      </c>
      <c r="E670" s="94">
        <v>1013</v>
      </c>
      <c r="F670" s="142">
        <v>1205</v>
      </c>
      <c r="G670" s="94" t="s">
        <v>71</v>
      </c>
      <c r="H670" s="94">
        <v>1035</v>
      </c>
      <c r="I670" s="115"/>
      <c r="J670" s="94" t="s">
        <v>72</v>
      </c>
      <c r="K670" s="91">
        <v>94.95</v>
      </c>
      <c r="L670" s="122" t="str">
        <f>VLOOKUP(K670,Liste!$L$2:$O$34,4,1)</f>
        <v>GSMR_17/18</v>
      </c>
      <c r="M670" s="133" t="s">
        <v>36</v>
      </c>
      <c r="N670" s="180" t="s">
        <v>37</v>
      </c>
      <c r="O670" s="125" t="s">
        <v>1573</v>
      </c>
      <c r="P670" s="119"/>
      <c r="Q670" s="94" t="s">
        <v>54</v>
      </c>
      <c r="R670" s="94" t="s">
        <v>808</v>
      </c>
      <c r="S670" s="91" t="s">
        <v>1569</v>
      </c>
      <c r="T670" s="94" t="s">
        <v>56</v>
      </c>
      <c r="U670" s="94" t="s">
        <v>1574</v>
      </c>
      <c r="V670" s="94" t="s">
        <v>51</v>
      </c>
      <c r="W670" s="94" t="s">
        <v>51</v>
      </c>
      <c r="X670" s="124" t="s">
        <v>52</v>
      </c>
      <c r="Y670" s="124" t="s">
        <v>946</v>
      </c>
      <c r="Z670" s="91"/>
      <c r="AA670" s="91" t="s">
        <v>802</v>
      </c>
      <c r="AB670" s="91"/>
      <c r="AC670" s="91"/>
      <c r="AD670" s="91"/>
      <c r="AE670" s="91"/>
      <c r="AF670" s="91"/>
      <c r="AG670" s="91"/>
      <c r="AH670" s="91"/>
    </row>
    <row r="671" spans="1:34" s="1" customFormat="1" ht="45">
      <c r="A671" s="120">
        <v>670</v>
      </c>
      <c r="B671" s="120" t="b">
        <f t="shared" ca="1" si="10"/>
        <v>0</v>
      </c>
      <c r="C671" s="121">
        <v>45560</v>
      </c>
      <c r="D671" s="137">
        <v>0.46210648148148148</v>
      </c>
      <c r="E671" s="94">
        <v>1013</v>
      </c>
      <c r="F671" s="142">
        <v>1205</v>
      </c>
      <c r="G671" s="94" t="s">
        <v>71</v>
      </c>
      <c r="H671" s="94">
        <v>1034</v>
      </c>
      <c r="I671" s="115"/>
      <c r="J671" s="94" t="s">
        <v>72</v>
      </c>
      <c r="K671" s="152">
        <v>7.3209999999999997</v>
      </c>
      <c r="L671" s="122" t="str">
        <f>VLOOKUP(K671,Liste!$L$2:$O$34,4,1)</f>
        <v>GSMR_02/03</v>
      </c>
      <c r="M671" s="133" t="s">
        <v>36</v>
      </c>
      <c r="N671" s="180" t="s">
        <v>37</v>
      </c>
      <c r="O671" s="125" t="s">
        <v>1575</v>
      </c>
      <c r="P671" s="119"/>
      <c r="Q671" s="94" t="s">
        <v>39</v>
      </c>
      <c r="R671" s="94" t="s">
        <v>1032</v>
      </c>
      <c r="S671" s="91" t="s">
        <v>1576</v>
      </c>
      <c r="T671" s="94" t="s">
        <v>93</v>
      </c>
      <c r="U671" s="94" t="s">
        <v>1468</v>
      </c>
      <c r="V671" s="94" t="s">
        <v>43</v>
      </c>
      <c r="W671" s="94" t="s">
        <v>51</v>
      </c>
      <c r="X671" s="124" t="s">
        <v>52</v>
      </c>
      <c r="Y671" s="124" t="s">
        <v>946</v>
      </c>
      <c r="Z671" s="91"/>
      <c r="AA671" s="91" t="s">
        <v>802</v>
      </c>
      <c r="AB671" s="91"/>
      <c r="AC671" s="91"/>
      <c r="AD671" s="91"/>
      <c r="AE671" s="91"/>
      <c r="AF671" s="91"/>
      <c r="AG671" s="91"/>
      <c r="AH671" s="91"/>
    </row>
    <row r="672" spans="1:34" s="1" customFormat="1" ht="45">
      <c r="A672" s="120">
        <v>671</v>
      </c>
      <c r="B672" s="120" t="b">
        <f t="shared" ca="1" si="10"/>
        <v>0</v>
      </c>
      <c r="C672" s="121">
        <v>45560</v>
      </c>
      <c r="D672" s="137">
        <v>0.5866203703703704</v>
      </c>
      <c r="E672" s="94">
        <v>2033</v>
      </c>
      <c r="F672" s="142">
        <v>1209</v>
      </c>
      <c r="G672" s="94" t="s">
        <v>34</v>
      </c>
      <c r="H672" s="94">
        <v>7208</v>
      </c>
      <c r="I672" s="115"/>
      <c r="J672" s="94" t="s">
        <v>35</v>
      </c>
      <c r="K672" s="152">
        <v>5.73</v>
      </c>
      <c r="L672" s="122" t="str">
        <f>VLOOKUP(K672,Liste!$L$2:$O$34,4,1)</f>
        <v>GSMR_02/03</v>
      </c>
      <c r="M672" s="133" t="s">
        <v>36</v>
      </c>
      <c r="N672" s="181" t="s">
        <v>58</v>
      </c>
      <c r="O672" s="125" t="s">
        <v>1577</v>
      </c>
      <c r="P672" s="119"/>
      <c r="Q672" s="94" t="s">
        <v>39</v>
      </c>
      <c r="R672" s="94" t="s">
        <v>1032</v>
      </c>
      <c r="S672" s="91" t="s">
        <v>1578</v>
      </c>
      <c r="T672" s="94" t="s">
        <v>69</v>
      </c>
      <c r="U672" s="94" t="s">
        <v>1453</v>
      </c>
      <c r="V672" s="94" t="s">
        <v>51</v>
      </c>
      <c r="W672" s="94" t="s">
        <v>51</v>
      </c>
      <c r="X672" s="124" t="s">
        <v>52</v>
      </c>
      <c r="Y672" s="124" t="s">
        <v>946</v>
      </c>
      <c r="Z672" s="91"/>
      <c r="AA672" s="91" t="s">
        <v>802</v>
      </c>
      <c r="AB672" s="91"/>
      <c r="AC672" s="91"/>
      <c r="AD672" s="91"/>
      <c r="AE672" s="91"/>
      <c r="AF672" s="91"/>
      <c r="AG672" s="91"/>
      <c r="AH672" s="91"/>
    </row>
    <row r="673" spans="1:34" s="1" customFormat="1" ht="45">
      <c r="A673" s="120">
        <v>672</v>
      </c>
      <c r="B673" s="120" t="b">
        <f t="shared" ca="1" si="10"/>
        <v>0</v>
      </c>
      <c r="C673" s="121">
        <v>45560</v>
      </c>
      <c r="D673" s="137">
        <v>0.76854166666666668</v>
      </c>
      <c r="E673" s="94">
        <v>1046</v>
      </c>
      <c r="F673" s="142">
        <v>1209</v>
      </c>
      <c r="G673" s="94" t="s">
        <v>71</v>
      </c>
      <c r="H673" s="94">
        <v>1032</v>
      </c>
      <c r="I673" s="115"/>
      <c r="J673" s="94" t="s">
        <v>72</v>
      </c>
      <c r="K673" s="91">
        <v>182.86500000000001</v>
      </c>
      <c r="L673" s="122" t="str">
        <f>VLOOKUP(K673,Liste!$L$2:$O$34,4,1)</f>
        <v>GSMR_31/32</v>
      </c>
      <c r="M673" s="133" t="s">
        <v>36</v>
      </c>
      <c r="N673" s="180" t="s">
        <v>37</v>
      </c>
      <c r="O673" s="125" t="s">
        <v>1579</v>
      </c>
      <c r="P673" s="119"/>
      <c r="Q673" s="94" t="s">
        <v>39</v>
      </c>
      <c r="R673" s="94" t="s">
        <v>1032</v>
      </c>
      <c r="S673" s="91" t="s">
        <v>1580</v>
      </c>
      <c r="T673" s="94" t="s">
        <v>69</v>
      </c>
      <c r="U673" s="94" t="s">
        <v>1453</v>
      </c>
      <c r="V673" s="94" t="s">
        <v>51</v>
      </c>
      <c r="W673" s="94" t="s">
        <v>43</v>
      </c>
      <c r="X673" s="124" t="s">
        <v>52</v>
      </c>
      <c r="Y673" s="124" t="s">
        <v>946</v>
      </c>
      <c r="Z673" s="91"/>
      <c r="AA673" s="91" t="s">
        <v>802</v>
      </c>
      <c r="AB673" s="91"/>
      <c r="AC673" s="91"/>
      <c r="AD673" s="91"/>
      <c r="AE673" s="91"/>
      <c r="AF673" s="91"/>
      <c r="AG673" s="91"/>
      <c r="AH673" s="91"/>
    </row>
    <row r="674" spans="1:34" s="1" customFormat="1" ht="45">
      <c r="A674" s="120">
        <v>673</v>
      </c>
      <c r="B674" s="120" t="b">
        <f t="shared" ca="1" si="10"/>
        <v>0</v>
      </c>
      <c r="C674" s="121">
        <v>45560</v>
      </c>
      <c r="D674" s="137">
        <v>0.79532407407407413</v>
      </c>
      <c r="E674" s="94">
        <v>2053</v>
      </c>
      <c r="F674" s="142">
        <v>1203</v>
      </c>
      <c r="G674" s="94" t="s">
        <v>34</v>
      </c>
      <c r="H674" s="94">
        <v>1032</v>
      </c>
      <c r="I674" s="115"/>
      <c r="J674" s="94" t="s">
        <v>35</v>
      </c>
      <c r="K674" s="152">
        <v>6.13</v>
      </c>
      <c r="L674" s="122" t="str">
        <f>VLOOKUP(K674,Liste!$L$2:$O$34,4,1)</f>
        <v>GSMR_02/03</v>
      </c>
      <c r="M674" s="133" t="s">
        <v>36</v>
      </c>
      <c r="N674" s="180" t="s">
        <v>37</v>
      </c>
      <c r="O674" s="125" t="s">
        <v>1581</v>
      </c>
      <c r="P674" s="119"/>
      <c r="Q674" s="94" t="s">
        <v>39</v>
      </c>
      <c r="R674" s="94" t="s">
        <v>1032</v>
      </c>
      <c r="S674" s="91" t="s">
        <v>1582</v>
      </c>
      <c r="T674" s="94" t="s">
        <v>56</v>
      </c>
      <c r="U674" s="94" t="s">
        <v>1526</v>
      </c>
      <c r="V674" s="94" t="s">
        <v>43</v>
      </c>
      <c r="W674" s="94" t="s">
        <v>51</v>
      </c>
      <c r="X674" s="124" t="s">
        <v>52</v>
      </c>
      <c r="Y674" s="124" t="s">
        <v>946</v>
      </c>
      <c r="Z674" s="91"/>
      <c r="AA674" s="91" t="s">
        <v>802</v>
      </c>
      <c r="AB674" s="91"/>
      <c r="AC674" s="91"/>
      <c r="AD674" s="91"/>
      <c r="AE674" s="91"/>
      <c r="AF674" s="91"/>
      <c r="AG674" s="91"/>
      <c r="AH674" s="91"/>
    </row>
    <row r="675" spans="1:34" s="1" customFormat="1" ht="45">
      <c r="A675" s="120">
        <v>674</v>
      </c>
      <c r="B675" s="120" t="b">
        <f t="shared" ca="1" si="10"/>
        <v>0</v>
      </c>
      <c r="C675" s="121">
        <v>45561</v>
      </c>
      <c r="D675" s="137">
        <v>0.44641203703703702</v>
      </c>
      <c r="E675" s="94">
        <v>2017</v>
      </c>
      <c r="F675" s="142">
        <v>1203</v>
      </c>
      <c r="G675" s="94" t="s">
        <v>34</v>
      </c>
      <c r="H675" s="94">
        <v>1024</v>
      </c>
      <c r="I675" s="115"/>
      <c r="J675" s="94" t="s">
        <v>35</v>
      </c>
      <c r="K675" s="91">
        <v>181.626</v>
      </c>
      <c r="L675" s="122" t="str">
        <f>VLOOKUP(K675,Liste!$L$2:$O$34,4,1)</f>
        <v>GSMR_30/31</v>
      </c>
      <c r="M675" s="133" t="s">
        <v>36</v>
      </c>
      <c r="N675" s="181" t="s">
        <v>58</v>
      </c>
      <c r="O675" s="125" t="s">
        <v>1583</v>
      </c>
      <c r="P675" s="119"/>
      <c r="Q675" s="94" t="s">
        <v>39</v>
      </c>
      <c r="R675" s="94" t="s">
        <v>1032</v>
      </c>
      <c r="S675" s="91" t="s">
        <v>1584</v>
      </c>
      <c r="T675" s="94" t="s">
        <v>69</v>
      </c>
      <c r="U675" s="94" t="s">
        <v>1453</v>
      </c>
      <c r="V675" s="94" t="s">
        <v>51</v>
      </c>
      <c r="W675" s="94" t="s">
        <v>51</v>
      </c>
      <c r="X675" s="124" t="s">
        <v>52</v>
      </c>
      <c r="Y675" s="124" t="s">
        <v>946</v>
      </c>
      <c r="Z675" s="91"/>
      <c r="AA675" s="91" t="s">
        <v>802</v>
      </c>
      <c r="AB675" s="91"/>
      <c r="AC675" s="91"/>
      <c r="AD675" s="91"/>
      <c r="AE675" s="91"/>
      <c r="AF675" s="91"/>
      <c r="AG675" s="91"/>
      <c r="AH675" s="91"/>
    </row>
    <row r="676" spans="1:34" s="1" customFormat="1" ht="45">
      <c r="A676" s="120">
        <v>675</v>
      </c>
      <c r="B676" s="120" t="b">
        <f t="shared" ca="1" si="10"/>
        <v>0</v>
      </c>
      <c r="C676" s="121">
        <v>45561</v>
      </c>
      <c r="D676" s="137">
        <v>0.68092592592592593</v>
      </c>
      <c r="E676" s="94">
        <v>2041</v>
      </c>
      <c r="F676" s="142">
        <v>1204</v>
      </c>
      <c r="G676" s="94" t="s">
        <v>34</v>
      </c>
      <c r="H676" s="94">
        <v>1053</v>
      </c>
      <c r="I676" s="115"/>
      <c r="J676" s="94" t="s">
        <v>35</v>
      </c>
      <c r="K676" s="91">
        <v>70.144000000000005</v>
      </c>
      <c r="L676" s="122" t="str">
        <f>VLOOKUP(K676,Liste!$L$2:$O$34,4,1)</f>
        <v>GSMR_12/13</v>
      </c>
      <c r="M676" s="133" t="s">
        <v>36</v>
      </c>
      <c r="N676" s="180" t="s">
        <v>37</v>
      </c>
      <c r="O676" s="125" t="s">
        <v>1585</v>
      </c>
      <c r="P676" s="119"/>
      <c r="Q676" s="94" t="s">
        <v>39</v>
      </c>
      <c r="R676" s="94" t="s">
        <v>1032</v>
      </c>
      <c r="S676" s="91" t="s">
        <v>1586</v>
      </c>
      <c r="T676" s="94" t="s">
        <v>69</v>
      </c>
      <c r="U676" s="94" t="s">
        <v>1453</v>
      </c>
      <c r="V676" s="94" t="s">
        <v>51</v>
      </c>
      <c r="W676" s="94" t="s">
        <v>43</v>
      </c>
      <c r="X676" s="124" t="s">
        <v>52</v>
      </c>
      <c r="Y676" s="124" t="s">
        <v>946</v>
      </c>
      <c r="Z676" s="91"/>
      <c r="AA676" s="91" t="s">
        <v>959</v>
      </c>
      <c r="AB676" s="91"/>
      <c r="AC676" s="91"/>
      <c r="AD676" s="91"/>
      <c r="AE676" s="91"/>
      <c r="AF676" s="91"/>
      <c r="AG676" s="91"/>
      <c r="AH676" s="91"/>
    </row>
    <row r="677" spans="1:34" s="1" customFormat="1" ht="45">
      <c r="A677" s="120">
        <v>676</v>
      </c>
      <c r="B677" s="120" t="b">
        <f t="shared" ca="1" si="10"/>
        <v>0</v>
      </c>
      <c r="C677" s="121">
        <v>45561</v>
      </c>
      <c r="D677" s="137">
        <v>0.75408564814814816</v>
      </c>
      <c r="E677" s="94">
        <v>2049</v>
      </c>
      <c r="F677" s="142">
        <v>1210</v>
      </c>
      <c r="G677" s="94" t="s">
        <v>34</v>
      </c>
      <c r="H677" s="94">
        <v>1048</v>
      </c>
      <c r="I677" s="115"/>
      <c r="J677" s="94" t="s">
        <v>35</v>
      </c>
      <c r="K677" s="152">
        <v>6.13</v>
      </c>
      <c r="L677" s="122" t="str">
        <f>VLOOKUP(K677,Liste!$L$2:$O$34,4,1)</f>
        <v>GSMR_02/03</v>
      </c>
      <c r="M677" s="133" t="s">
        <v>36</v>
      </c>
      <c r="N677" s="181" t="s">
        <v>58</v>
      </c>
      <c r="O677" s="125" t="s">
        <v>1587</v>
      </c>
      <c r="P677" s="119"/>
      <c r="Q677" s="94" t="s">
        <v>39</v>
      </c>
      <c r="R677" s="94" t="s">
        <v>1032</v>
      </c>
      <c r="S677" s="91" t="s">
        <v>1588</v>
      </c>
      <c r="T677" s="94" t="s">
        <v>93</v>
      </c>
      <c r="U677" s="94" t="s">
        <v>1460</v>
      </c>
      <c r="V677" s="94" t="s">
        <v>43</v>
      </c>
      <c r="W677" s="94" t="s">
        <v>51</v>
      </c>
      <c r="X677" s="124" t="s">
        <v>52</v>
      </c>
      <c r="Y677" s="124" t="s">
        <v>946</v>
      </c>
      <c r="Z677" s="91"/>
      <c r="AA677" s="91" t="s">
        <v>959</v>
      </c>
      <c r="AB677" s="91"/>
      <c r="AC677" s="91"/>
      <c r="AD677" s="91"/>
      <c r="AE677" s="91"/>
      <c r="AF677" s="91"/>
      <c r="AG677" s="91"/>
      <c r="AH677" s="91"/>
    </row>
    <row r="678" spans="1:34" s="1" customFormat="1" ht="105">
      <c r="A678" s="120">
        <v>677</v>
      </c>
      <c r="B678" s="120" t="b">
        <f t="shared" ca="1" si="10"/>
        <v>0</v>
      </c>
      <c r="C678" s="121">
        <v>45561</v>
      </c>
      <c r="D678" s="137">
        <v>0.87638888888888888</v>
      </c>
      <c r="E678" s="94">
        <v>1054</v>
      </c>
      <c r="F678" s="142">
        <v>1204</v>
      </c>
      <c r="G678" s="94" t="s">
        <v>71</v>
      </c>
      <c r="H678" s="94">
        <v>1030</v>
      </c>
      <c r="I678" s="115"/>
      <c r="J678" s="94" t="s">
        <v>72</v>
      </c>
      <c r="K678" s="91">
        <v>16.29</v>
      </c>
      <c r="L678" s="122" t="str">
        <f>VLOOKUP(K678,Liste!$L$2:$O$34,4,1)</f>
        <v>GSMR_03/04</v>
      </c>
      <c r="M678" s="133" t="s">
        <v>36</v>
      </c>
      <c r="N678" s="180" t="s">
        <v>37</v>
      </c>
      <c r="O678" s="125" t="s">
        <v>1589</v>
      </c>
      <c r="P678" s="119"/>
      <c r="Q678" s="94" t="s">
        <v>39</v>
      </c>
      <c r="R678" s="94" t="s">
        <v>1032</v>
      </c>
      <c r="S678" s="91" t="s">
        <v>1590</v>
      </c>
      <c r="T678" s="94" t="s">
        <v>69</v>
      </c>
      <c r="U678" s="94" t="s">
        <v>1453</v>
      </c>
      <c r="V678" s="94" t="s">
        <v>51</v>
      </c>
      <c r="W678" s="94" t="s">
        <v>51</v>
      </c>
      <c r="X678" s="124" t="s">
        <v>52</v>
      </c>
      <c r="Y678" s="124" t="s">
        <v>946</v>
      </c>
      <c r="Z678" s="91"/>
      <c r="AA678" s="91" t="s">
        <v>793</v>
      </c>
      <c r="AB678" s="91"/>
      <c r="AC678" s="91"/>
      <c r="AD678" s="91"/>
      <c r="AE678" s="91"/>
      <c r="AF678" s="91"/>
      <c r="AG678" s="91"/>
      <c r="AH678" s="91"/>
    </row>
    <row r="679" spans="1:34" s="1" customFormat="1" ht="45">
      <c r="A679" s="120">
        <v>678</v>
      </c>
      <c r="B679" s="120" t="b">
        <f t="shared" ca="1" si="10"/>
        <v>0</v>
      </c>
      <c r="C679" s="121">
        <v>45562</v>
      </c>
      <c r="D679" s="137">
        <v>0.32435185185185184</v>
      </c>
      <c r="E679" s="94">
        <v>1001</v>
      </c>
      <c r="F679" s="142">
        <v>1212</v>
      </c>
      <c r="G679" s="94" t="s">
        <v>71</v>
      </c>
      <c r="H679" s="94">
        <v>1023</v>
      </c>
      <c r="I679" s="115"/>
      <c r="J679" s="94" t="s">
        <v>72</v>
      </c>
      <c r="K679" s="91">
        <v>90.108000000000004</v>
      </c>
      <c r="L679" s="122" t="str">
        <f>VLOOKUP(K679,Liste!$L$2:$O$34,4,1)</f>
        <v>GSMR_16/17</v>
      </c>
      <c r="M679" s="133" t="s">
        <v>36</v>
      </c>
      <c r="N679" s="180" t="s">
        <v>37</v>
      </c>
      <c r="O679" s="125" t="s">
        <v>1591</v>
      </c>
      <c r="P679" s="119"/>
      <c r="Q679" s="94" t="s">
        <v>39</v>
      </c>
      <c r="R679" s="94" t="s">
        <v>1032</v>
      </c>
      <c r="S679" s="91" t="s">
        <v>1563</v>
      </c>
      <c r="T679" s="94" t="s">
        <v>41</v>
      </c>
      <c r="U679" s="94" t="s">
        <v>1538</v>
      </c>
      <c r="V679" s="94" t="s">
        <v>51</v>
      </c>
      <c r="W679" s="94" t="s">
        <v>51</v>
      </c>
      <c r="X679" s="124" t="s">
        <v>52</v>
      </c>
      <c r="Y679" s="124" t="s">
        <v>946</v>
      </c>
      <c r="Z679" s="91"/>
      <c r="AA679" s="91" t="s">
        <v>802</v>
      </c>
      <c r="AB679" s="91"/>
      <c r="AC679" s="91"/>
      <c r="AD679" s="91"/>
      <c r="AE679" s="91"/>
      <c r="AF679" s="91"/>
      <c r="AG679" s="91"/>
      <c r="AH679" s="91"/>
    </row>
    <row r="680" spans="1:34" s="1" customFormat="1" ht="45">
      <c r="A680" s="120">
        <v>679</v>
      </c>
      <c r="B680" s="120" t="b">
        <f t="shared" ca="1" si="10"/>
        <v>0</v>
      </c>
      <c r="C680" s="121">
        <v>45563</v>
      </c>
      <c r="D680" s="137" t="s">
        <v>1592</v>
      </c>
      <c r="E680" s="94">
        <v>2013</v>
      </c>
      <c r="F680" s="142">
        <v>1204</v>
      </c>
      <c r="G680" s="94" t="s">
        <v>34</v>
      </c>
      <c r="H680" s="94">
        <v>1053</v>
      </c>
      <c r="I680" s="115"/>
      <c r="J680" s="94" t="s">
        <v>35</v>
      </c>
      <c r="K680" s="91">
        <v>87.715000000000003</v>
      </c>
      <c r="L680" s="122" t="str">
        <f>VLOOKUP(K680,Liste!$L$2:$O$34,4,1)</f>
        <v>GSMR_16/17</v>
      </c>
      <c r="M680" s="133" t="s">
        <v>36</v>
      </c>
      <c r="N680" s="180" t="s">
        <v>37</v>
      </c>
      <c r="O680" s="125" t="s">
        <v>1593</v>
      </c>
      <c r="P680" s="119"/>
      <c r="Q680" s="94" t="s">
        <v>39</v>
      </c>
      <c r="R680" s="94" t="s">
        <v>1032</v>
      </c>
      <c r="S680" s="91" t="s">
        <v>1594</v>
      </c>
      <c r="T680" s="94" t="s">
        <v>101</v>
      </c>
      <c r="U680" s="94" t="s">
        <v>1595</v>
      </c>
      <c r="V680" s="94" t="s">
        <v>51</v>
      </c>
      <c r="W680" s="94" t="s">
        <v>43</v>
      </c>
      <c r="X680" s="124" t="s">
        <v>52</v>
      </c>
      <c r="Y680" s="124" t="s">
        <v>946</v>
      </c>
      <c r="Z680" s="91"/>
      <c r="AA680" s="91" t="s">
        <v>802</v>
      </c>
      <c r="AB680" s="91"/>
      <c r="AC680" s="91"/>
      <c r="AD680" s="91"/>
      <c r="AE680" s="91"/>
      <c r="AF680" s="91"/>
      <c r="AG680" s="91"/>
      <c r="AH680" s="91"/>
    </row>
    <row r="681" spans="1:34" s="1" customFormat="1" ht="45">
      <c r="A681" s="120">
        <v>680</v>
      </c>
      <c r="B681" s="120" t="b">
        <f t="shared" ca="1" si="10"/>
        <v>0</v>
      </c>
      <c r="C681" s="121">
        <v>45563</v>
      </c>
      <c r="D681" s="137" t="s">
        <v>1596</v>
      </c>
      <c r="E681" s="94">
        <v>2017</v>
      </c>
      <c r="F681" s="142">
        <v>1210</v>
      </c>
      <c r="G681" s="94" t="s">
        <v>34</v>
      </c>
      <c r="H681" s="94">
        <v>1049</v>
      </c>
      <c r="I681" s="115"/>
      <c r="J681" s="94" t="s">
        <v>35</v>
      </c>
      <c r="K681" s="91">
        <v>145.54</v>
      </c>
      <c r="L681" s="122" t="str">
        <f>VLOOKUP(K681,Liste!$L$2:$O$34,4,1)</f>
        <v>GSMR_25/26</v>
      </c>
      <c r="M681" s="133" t="s">
        <v>36</v>
      </c>
      <c r="N681" s="180" t="s">
        <v>37</v>
      </c>
      <c r="O681" s="125" t="s">
        <v>1597</v>
      </c>
      <c r="P681" s="119"/>
      <c r="Q681" s="94" t="s">
        <v>105</v>
      </c>
      <c r="R681" s="94" t="s">
        <v>1072</v>
      </c>
      <c r="S681" s="91" t="s">
        <v>1566</v>
      </c>
      <c r="T681" s="94" t="s">
        <v>78</v>
      </c>
      <c r="U681" s="94" t="s">
        <v>1471</v>
      </c>
      <c r="V681" s="94" t="s">
        <v>51</v>
      </c>
      <c r="W681" s="94" t="s">
        <v>51</v>
      </c>
      <c r="X681" s="124" t="s">
        <v>52</v>
      </c>
      <c r="Y681" s="124" t="s">
        <v>1045</v>
      </c>
      <c r="Z681" s="91"/>
      <c r="AA681" s="91" t="s">
        <v>959</v>
      </c>
      <c r="AB681" s="91"/>
      <c r="AC681" s="91"/>
      <c r="AD681" s="91"/>
      <c r="AE681" s="91"/>
      <c r="AF681" s="91"/>
      <c r="AG681" s="91"/>
      <c r="AH681" s="91"/>
    </row>
    <row r="682" spans="1:34" s="1" customFormat="1" ht="45">
      <c r="A682" s="120">
        <v>681</v>
      </c>
      <c r="B682" s="120" t="b">
        <f t="shared" ca="1" si="10"/>
        <v>0</v>
      </c>
      <c r="C682" s="121">
        <v>45563</v>
      </c>
      <c r="D682" s="137">
        <v>0.65589120370370368</v>
      </c>
      <c r="E682" s="94">
        <v>2037</v>
      </c>
      <c r="F682" s="142">
        <v>1201</v>
      </c>
      <c r="G682" s="94" t="s">
        <v>34</v>
      </c>
      <c r="H682" s="94">
        <v>7198</v>
      </c>
      <c r="I682" s="115"/>
      <c r="J682" s="94" t="s">
        <v>35</v>
      </c>
      <c r="K682" s="91">
        <v>186.315</v>
      </c>
      <c r="L682" s="122" t="str">
        <f>VLOOKUP(K682,Liste!$L$2:$O$34,4,1)</f>
        <v>GSMR_32/33</v>
      </c>
      <c r="M682" s="133" t="s">
        <v>36</v>
      </c>
      <c r="N682" s="180" t="s">
        <v>37</v>
      </c>
      <c r="O682" s="125" t="s">
        <v>1598</v>
      </c>
      <c r="P682" s="119"/>
      <c r="Q682" s="94" t="s">
        <v>39</v>
      </c>
      <c r="R682" s="94" t="s">
        <v>1032</v>
      </c>
      <c r="S682" s="91" t="s">
        <v>1599</v>
      </c>
      <c r="T682" s="94" t="s">
        <v>69</v>
      </c>
      <c r="U682" s="94" t="s">
        <v>1460</v>
      </c>
      <c r="V682" s="94" t="s">
        <v>51</v>
      </c>
      <c r="W682" s="94" t="s">
        <v>43</v>
      </c>
      <c r="X682" s="124" t="s">
        <v>52</v>
      </c>
      <c r="Y682" s="124" t="s">
        <v>946</v>
      </c>
      <c r="Z682" s="91"/>
      <c r="AA682" s="91" t="s">
        <v>757</v>
      </c>
      <c r="AB682" s="91"/>
      <c r="AC682" s="91"/>
      <c r="AD682" s="91"/>
      <c r="AE682" s="91"/>
      <c r="AF682" s="91"/>
      <c r="AG682" s="91"/>
      <c r="AH682" s="91"/>
    </row>
    <row r="683" spans="1:34" s="1" customFormat="1" ht="45">
      <c r="A683" s="120">
        <v>682</v>
      </c>
      <c r="B683" s="120" t="b">
        <f t="shared" ca="1" si="10"/>
        <v>0</v>
      </c>
      <c r="C683" s="121">
        <v>45563</v>
      </c>
      <c r="D683" s="137">
        <v>0.75343749999999998</v>
      </c>
      <c r="E683" s="94">
        <v>2049</v>
      </c>
      <c r="F683" s="142">
        <v>1211</v>
      </c>
      <c r="G683" s="94" t="s">
        <v>34</v>
      </c>
      <c r="H683" s="94">
        <v>1028</v>
      </c>
      <c r="I683" s="115"/>
      <c r="J683" s="94" t="s">
        <v>35</v>
      </c>
      <c r="K683" s="152">
        <v>6.13</v>
      </c>
      <c r="L683" s="122" t="str">
        <f>VLOOKUP(K683,Liste!$L$2:$O$34,4,1)</f>
        <v>GSMR_02/03</v>
      </c>
      <c r="M683" s="133" t="s">
        <v>36</v>
      </c>
      <c r="N683" s="181" t="s">
        <v>58</v>
      </c>
      <c r="O683" s="125" t="s">
        <v>1600</v>
      </c>
      <c r="P683" s="119"/>
      <c r="Q683" s="94" t="s">
        <v>39</v>
      </c>
      <c r="R683" s="94" t="s">
        <v>1032</v>
      </c>
      <c r="S683" s="91" t="s">
        <v>1601</v>
      </c>
      <c r="T683" s="94" t="s">
        <v>56</v>
      </c>
      <c r="U683" s="94" t="s">
        <v>1526</v>
      </c>
      <c r="V683" s="94" t="s">
        <v>51</v>
      </c>
      <c r="W683" s="94" t="s">
        <v>51</v>
      </c>
      <c r="X683" s="124" t="s">
        <v>52</v>
      </c>
      <c r="Y683" s="124" t="s">
        <v>946</v>
      </c>
      <c r="Z683" s="91"/>
      <c r="AA683" s="91" t="s">
        <v>757</v>
      </c>
      <c r="AB683" s="91"/>
      <c r="AC683" s="91"/>
      <c r="AD683" s="91"/>
      <c r="AE683" s="91"/>
      <c r="AF683" s="91"/>
      <c r="AG683" s="91"/>
      <c r="AH683" s="91"/>
    </row>
    <row r="684" spans="1:34" s="1" customFormat="1" ht="45">
      <c r="A684" s="120">
        <v>683</v>
      </c>
      <c r="B684" s="120" t="b">
        <f t="shared" ca="1" si="10"/>
        <v>0</v>
      </c>
      <c r="C684" s="121">
        <v>45563</v>
      </c>
      <c r="D684" s="137">
        <v>0.80881944444444442</v>
      </c>
      <c r="E684" s="94">
        <v>1050</v>
      </c>
      <c r="F684" s="142">
        <v>1201</v>
      </c>
      <c r="G684" s="94" t="s">
        <v>71</v>
      </c>
      <c r="H684" s="94">
        <v>1061</v>
      </c>
      <c r="I684" s="115"/>
      <c r="J684" s="94" t="s">
        <v>72</v>
      </c>
      <c r="K684" s="91">
        <v>198.98400000000001</v>
      </c>
      <c r="L684" s="122" t="str">
        <f>VLOOKUP(K684,Liste!$L$2:$O$34,4,1)</f>
        <v>GSMR_33/RAC</v>
      </c>
      <c r="M684" s="133" t="s">
        <v>36</v>
      </c>
      <c r="N684" s="181" t="s">
        <v>58</v>
      </c>
      <c r="O684" s="125" t="s">
        <v>1602</v>
      </c>
      <c r="P684" s="119"/>
      <c r="Q684" s="94" t="s">
        <v>39</v>
      </c>
      <c r="R684" s="94" t="s">
        <v>1032</v>
      </c>
      <c r="S684" s="91" t="s">
        <v>1603</v>
      </c>
      <c r="T684" s="94" t="s">
        <v>69</v>
      </c>
      <c r="U684" s="94" t="s">
        <v>1529</v>
      </c>
      <c r="V684" s="94" t="s">
        <v>51</v>
      </c>
      <c r="W684" s="94" t="s">
        <v>51</v>
      </c>
      <c r="X684" s="124" t="s">
        <v>52</v>
      </c>
      <c r="Y684" s="124" t="s">
        <v>1045</v>
      </c>
      <c r="Z684" s="91"/>
      <c r="AA684" s="91" t="s">
        <v>793</v>
      </c>
      <c r="AB684" s="91"/>
      <c r="AC684" s="91"/>
      <c r="AD684" s="91"/>
      <c r="AE684" s="91"/>
      <c r="AF684" s="91"/>
      <c r="AG684" s="91"/>
      <c r="AH684" s="91"/>
    </row>
    <row r="685" spans="1:34" s="1" customFormat="1" ht="45">
      <c r="A685" s="120">
        <v>684</v>
      </c>
      <c r="B685" s="120" t="b">
        <f t="shared" ca="1" si="10"/>
        <v>0</v>
      </c>
      <c r="C685" s="121">
        <v>45564</v>
      </c>
      <c r="D685" s="137">
        <v>0.83739583333333334</v>
      </c>
      <c r="E685" s="94">
        <v>2057</v>
      </c>
      <c r="F685" s="142">
        <v>1210</v>
      </c>
      <c r="G685" s="94" t="s">
        <v>34</v>
      </c>
      <c r="H685" s="94">
        <v>1048</v>
      </c>
      <c r="I685" s="115"/>
      <c r="J685" s="94" t="s">
        <v>35</v>
      </c>
      <c r="K685" s="152">
        <v>6.13</v>
      </c>
      <c r="L685" s="122" t="str">
        <f>VLOOKUP(K685,Liste!$L$2:$O$34,4,1)</f>
        <v>GSMR_02/03</v>
      </c>
      <c r="M685" s="133" t="s">
        <v>36</v>
      </c>
      <c r="N685" s="181" t="s">
        <v>58</v>
      </c>
      <c r="O685" s="125" t="s">
        <v>1604</v>
      </c>
      <c r="P685" s="119"/>
      <c r="Q685" s="94" t="s">
        <v>39</v>
      </c>
      <c r="R685" s="94" t="s">
        <v>1032</v>
      </c>
      <c r="S685" s="91" t="s">
        <v>1605</v>
      </c>
      <c r="T685" s="94" t="s">
        <v>56</v>
      </c>
      <c r="U685" s="94" t="s">
        <v>1449</v>
      </c>
      <c r="V685" s="94" t="s">
        <v>51</v>
      </c>
      <c r="W685" s="94" t="s">
        <v>51</v>
      </c>
      <c r="X685" s="124" t="s">
        <v>52</v>
      </c>
      <c r="Y685" s="124" t="s">
        <v>946</v>
      </c>
      <c r="Z685" s="91"/>
      <c r="AA685" s="91" t="s">
        <v>793</v>
      </c>
      <c r="AB685" s="91"/>
      <c r="AC685" s="91"/>
      <c r="AD685" s="91"/>
      <c r="AE685" s="91"/>
      <c r="AF685" s="91"/>
      <c r="AG685" s="91"/>
      <c r="AH685" s="91"/>
    </row>
    <row r="686" spans="1:34" s="1" customFormat="1" ht="45">
      <c r="A686" s="120">
        <v>685</v>
      </c>
      <c r="B686" s="120" t="b">
        <f t="shared" ca="1" si="10"/>
        <v>0</v>
      </c>
      <c r="C686" s="121">
        <v>45565</v>
      </c>
      <c r="D686" s="137">
        <v>0.41517361111111112</v>
      </c>
      <c r="E686" s="94">
        <v>1009</v>
      </c>
      <c r="F686" s="142">
        <v>1210</v>
      </c>
      <c r="G686" s="94" t="s">
        <v>71</v>
      </c>
      <c r="H686" s="94">
        <v>1020</v>
      </c>
      <c r="I686" s="115"/>
      <c r="J686" s="94" t="s">
        <v>72</v>
      </c>
      <c r="K686" s="91">
        <v>94.953999999999994</v>
      </c>
      <c r="L686" s="122" t="str">
        <f>VLOOKUP(K686,Liste!$L$2:$O$34,4,1)</f>
        <v>GSMR_17/18</v>
      </c>
      <c r="M686" s="133" t="s">
        <v>36</v>
      </c>
      <c r="N686" s="180" t="s">
        <v>37</v>
      </c>
      <c r="O686" s="125" t="s">
        <v>1606</v>
      </c>
      <c r="P686" s="119"/>
      <c r="Q686" s="94" t="s">
        <v>54</v>
      </c>
      <c r="R686" s="94" t="s">
        <v>808</v>
      </c>
      <c r="S686" s="91" t="s">
        <v>1607</v>
      </c>
      <c r="T686" s="94" t="s">
        <v>56</v>
      </c>
      <c r="U686" s="94" t="s">
        <v>1574</v>
      </c>
      <c r="V686" s="94" t="s">
        <v>51</v>
      </c>
      <c r="W686" s="94" t="s">
        <v>51</v>
      </c>
      <c r="X686" s="124" t="s">
        <v>52</v>
      </c>
      <c r="Y686" s="124" t="s">
        <v>946</v>
      </c>
      <c r="Z686" s="91"/>
      <c r="AA686" s="91" t="s">
        <v>802</v>
      </c>
      <c r="AB686" s="91"/>
      <c r="AC686" s="91"/>
      <c r="AD686" s="91"/>
      <c r="AE686" s="91"/>
      <c r="AF686" s="91"/>
      <c r="AG686" s="91"/>
      <c r="AH686" s="91"/>
    </row>
    <row r="687" spans="1:34" s="1" customFormat="1" ht="45">
      <c r="A687" s="120">
        <v>686</v>
      </c>
      <c r="B687" s="120" t="b">
        <f t="shared" ca="1" si="10"/>
        <v>0</v>
      </c>
      <c r="C687" s="121">
        <v>45565</v>
      </c>
      <c r="D687" s="137" t="s">
        <v>1608</v>
      </c>
      <c r="E687" s="94">
        <v>2025</v>
      </c>
      <c r="F687" s="142">
        <v>1212</v>
      </c>
      <c r="G687" s="94" t="s">
        <v>34</v>
      </c>
      <c r="H687" s="94">
        <v>1056</v>
      </c>
      <c r="I687" s="115"/>
      <c r="J687" s="94" t="s">
        <v>35</v>
      </c>
      <c r="K687" s="152">
        <v>6.13</v>
      </c>
      <c r="L687" s="122" t="str">
        <f>VLOOKUP(K687,Liste!$L$2:$O$34,4,1)</f>
        <v>GSMR_02/03</v>
      </c>
      <c r="M687" s="133" t="s">
        <v>36</v>
      </c>
      <c r="N687" s="180" t="s">
        <v>37</v>
      </c>
      <c r="O687" s="125" t="s">
        <v>1609</v>
      </c>
      <c r="P687" s="119"/>
      <c r="Q687" s="94" t="s">
        <v>39</v>
      </c>
      <c r="R687" s="94" t="s">
        <v>1032</v>
      </c>
      <c r="S687" s="91" t="s">
        <v>1232</v>
      </c>
      <c r="T687" s="94" t="s">
        <v>56</v>
      </c>
      <c r="U687" s="94" t="s">
        <v>1460</v>
      </c>
      <c r="V687" s="94" t="s">
        <v>43</v>
      </c>
      <c r="W687" s="94" t="s">
        <v>51</v>
      </c>
      <c r="X687" s="124" t="s">
        <v>52</v>
      </c>
      <c r="Y687" s="124" t="s">
        <v>946</v>
      </c>
      <c r="Z687" s="91"/>
      <c r="AA687" s="91" t="s">
        <v>802</v>
      </c>
      <c r="AB687" s="91"/>
      <c r="AC687" s="91"/>
      <c r="AD687" s="91"/>
      <c r="AE687" s="91"/>
      <c r="AF687" s="91"/>
      <c r="AG687" s="91"/>
      <c r="AH687" s="91"/>
    </row>
    <row r="688" spans="1:34" s="1" customFormat="1" ht="45">
      <c r="A688" s="120">
        <v>687</v>
      </c>
      <c r="B688" s="120" t="b">
        <f t="shared" ca="1" si="10"/>
        <v>0</v>
      </c>
      <c r="C688" s="121">
        <v>45565</v>
      </c>
      <c r="D688" s="137">
        <v>0.83618055555555559</v>
      </c>
      <c r="E688" s="94">
        <v>1049</v>
      </c>
      <c r="F688" s="142">
        <v>1207</v>
      </c>
      <c r="G688" s="94" t="s">
        <v>71</v>
      </c>
      <c r="H688" s="94">
        <v>1008</v>
      </c>
      <c r="I688" s="115"/>
      <c r="J688" s="94" t="s">
        <v>72</v>
      </c>
      <c r="K688" s="91">
        <v>25.91</v>
      </c>
      <c r="L688" s="122" t="str">
        <f>VLOOKUP(K688,Liste!$L$2:$O$34,4,1)</f>
        <v>GSMR_05/06</v>
      </c>
      <c r="M688" s="133" t="s">
        <v>36</v>
      </c>
      <c r="N688" s="181" t="s">
        <v>58</v>
      </c>
      <c r="O688" s="125" t="s">
        <v>1610</v>
      </c>
      <c r="P688" s="119"/>
      <c r="Q688" s="94" t="s">
        <v>54</v>
      </c>
      <c r="R688" s="94" t="s">
        <v>808</v>
      </c>
      <c r="S688" s="91" t="s">
        <v>1611</v>
      </c>
      <c r="T688" s="94" t="s">
        <v>56</v>
      </c>
      <c r="U688" s="94" t="s">
        <v>1612</v>
      </c>
      <c r="V688" s="94" t="s">
        <v>43</v>
      </c>
      <c r="W688" s="94" t="s">
        <v>51</v>
      </c>
      <c r="X688" s="124" t="s">
        <v>52</v>
      </c>
      <c r="Y688" s="124" t="s">
        <v>946</v>
      </c>
      <c r="Z688" s="91"/>
      <c r="AA688" s="91" t="s">
        <v>772</v>
      </c>
      <c r="AB688" s="91"/>
      <c r="AC688" s="91"/>
      <c r="AD688" s="91"/>
      <c r="AE688" s="91"/>
      <c r="AF688" s="91"/>
      <c r="AG688" s="91"/>
      <c r="AH688" s="91"/>
    </row>
    <row r="689" spans="1:34" s="1" customFormat="1" ht="45">
      <c r="A689" s="120">
        <v>688</v>
      </c>
      <c r="B689" s="120" t="b">
        <f t="shared" ca="1" si="10"/>
        <v>0</v>
      </c>
      <c r="C689" s="121">
        <v>45566</v>
      </c>
      <c r="D689" s="137">
        <v>0.73332175925925924</v>
      </c>
      <c r="E689" s="94">
        <v>2045</v>
      </c>
      <c r="F689" s="142">
        <v>1212</v>
      </c>
      <c r="G689" s="94" t="s">
        <v>34</v>
      </c>
      <c r="H689" s="94">
        <v>1057</v>
      </c>
      <c r="I689" s="115"/>
      <c r="J689" s="94" t="s">
        <v>35</v>
      </c>
      <c r="K689" s="91">
        <v>140.65899999999999</v>
      </c>
      <c r="L689" s="122" t="str">
        <f>VLOOKUP(K689,Liste!$L$2:$O$34,4,1)</f>
        <v>GSMR_24/25</v>
      </c>
      <c r="M689" s="133" t="s">
        <v>36</v>
      </c>
      <c r="N689" s="181" t="s">
        <v>58</v>
      </c>
      <c r="O689" s="125" t="s">
        <v>1613</v>
      </c>
      <c r="P689" s="119"/>
      <c r="Q689" s="94" t="s">
        <v>105</v>
      </c>
      <c r="R689" s="94" t="s">
        <v>1072</v>
      </c>
      <c r="S689" s="91" t="s">
        <v>1614</v>
      </c>
      <c r="T689" s="94" t="s">
        <v>69</v>
      </c>
      <c r="U689" s="94" t="s">
        <v>1465</v>
      </c>
      <c r="V689" s="94" t="s">
        <v>51</v>
      </c>
      <c r="W689" s="94" t="s">
        <v>51</v>
      </c>
      <c r="X689" s="124" t="s">
        <v>52</v>
      </c>
      <c r="Y689" s="124" t="s">
        <v>1615</v>
      </c>
      <c r="Z689" s="91"/>
      <c r="AA689" s="91" t="s">
        <v>772</v>
      </c>
      <c r="AB689" s="91"/>
      <c r="AC689" s="91"/>
      <c r="AD689" s="91"/>
      <c r="AE689" s="91"/>
      <c r="AF689" s="91"/>
      <c r="AG689" s="91"/>
      <c r="AH689" s="91"/>
    </row>
    <row r="690" spans="1:34" s="1" customFormat="1" ht="45">
      <c r="A690" s="120">
        <v>689</v>
      </c>
      <c r="B690" s="120" t="b">
        <f t="shared" ca="1" si="10"/>
        <v>0</v>
      </c>
      <c r="C690" s="121">
        <v>45566</v>
      </c>
      <c r="D690" s="137">
        <v>0.83746527777777779</v>
      </c>
      <c r="E690" s="94">
        <v>1050</v>
      </c>
      <c r="F690" s="142">
        <v>1207</v>
      </c>
      <c r="G690" s="94" t="s">
        <v>71</v>
      </c>
      <c r="H690" s="94">
        <v>1008</v>
      </c>
      <c r="I690" s="115"/>
      <c r="J690" s="94" t="s">
        <v>72</v>
      </c>
      <c r="K690" s="152">
        <v>7.3209999999999997</v>
      </c>
      <c r="L690" s="122" t="str">
        <f>VLOOKUP(K690,Liste!$L$2:$O$34,4,1)</f>
        <v>GSMR_02/03</v>
      </c>
      <c r="M690" s="133" t="s">
        <v>36</v>
      </c>
      <c r="N690" s="180" t="s">
        <v>37</v>
      </c>
      <c r="O690" s="125" t="s">
        <v>1616</v>
      </c>
      <c r="P690" s="119"/>
      <c r="Q690" s="94" t="s">
        <v>39</v>
      </c>
      <c r="R690" s="94" t="s">
        <v>1032</v>
      </c>
      <c r="S690" s="91" t="s">
        <v>1617</v>
      </c>
      <c r="T690" s="94" t="s">
        <v>56</v>
      </c>
      <c r="U690" s="94" t="s">
        <v>1618</v>
      </c>
      <c r="V690" s="94" t="s">
        <v>51</v>
      </c>
      <c r="W690" s="94" t="s">
        <v>51</v>
      </c>
      <c r="X690" s="124" t="s">
        <v>52</v>
      </c>
      <c r="Y690" s="124" t="s">
        <v>946</v>
      </c>
      <c r="Z690" s="91"/>
      <c r="AA690" s="91" t="s">
        <v>772</v>
      </c>
      <c r="AB690" s="91"/>
      <c r="AC690" s="91"/>
      <c r="AD690" s="91"/>
      <c r="AE690" s="91"/>
      <c r="AF690" s="91"/>
      <c r="AG690" s="91"/>
      <c r="AH690" s="91"/>
    </row>
    <row r="691" spans="1:34" s="1" customFormat="1" ht="45">
      <c r="A691" s="120">
        <v>690</v>
      </c>
      <c r="B691" s="120" t="b">
        <f t="shared" ca="1" si="10"/>
        <v>0</v>
      </c>
      <c r="C691" s="121">
        <v>45566</v>
      </c>
      <c r="D691" s="137">
        <v>0.96104166666666668</v>
      </c>
      <c r="E691" s="94">
        <v>1061</v>
      </c>
      <c r="F691" s="142">
        <v>1209</v>
      </c>
      <c r="G691" s="94" t="s">
        <v>71</v>
      </c>
      <c r="H691" s="94">
        <v>1033</v>
      </c>
      <c r="I691" s="115"/>
      <c r="J691" s="94" t="s">
        <v>72</v>
      </c>
      <c r="K691" s="152">
        <v>8.9700000000000006</v>
      </c>
      <c r="L691" s="122" t="str">
        <f>VLOOKUP(K691,Liste!$L$2:$O$34,4,1)</f>
        <v>GSMR_02/03</v>
      </c>
      <c r="M691" s="133" t="s">
        <v>36</v>
      </c>
      <c r="N691" s="181" t="s">
        <v>58</v>
      </c>
      <c r="O691" s="125" t="s">
        <v>1619</v>
      </c>
      <c r="P691" s="119"/>
      <c r="Q691" s="94" t="s">
        <v>39</v>
      </c>
      <c r="R691" s="94" t="s">
        <v>1032</v>
      </c>
      <c r="S691" s="91" t="s">
        <v>1242</v>
      </c>
      <c r="T691" s="94" t="s">
        <v>78</v>
      </c>
      <c r="U691" s="94" t="s">
        <v>1498</v>
      </c>
      <c r="V691" s="94" t="s">
        <v>51</v>
      </c>
      <c r="W691" s="94" t="s">
        <v>51</v>
      </c>
      <c r="X691" s="124" t="s">
        <v>52</v>
      </c>
      <c r="Y691" s="124" t="s">
        <v>946</v>
      </c>
      <c r="Z691" s="91"/>
      <c r="AA691" s="91" t="s">
        <v>778</v>
      </c>
      <c r="AB691" s="91"/>
      <c r="AC691" s="91"/>
      <c r="AD691" s="91"/>
      <c r="AE691" s="91"/>
      <c r="AF691" s="91"/>
      <c r="AG691" s="91"/>
      <c r="AH691" s="91"/>
    </row>
    <row r="692" spans="1:34" s="1" customFormat="1" ht="45">
      <c r="A692" s="120">
        <v>691</v>
      </c>
      <c r="B692" s="120" t="b">
        <f t="shared" ca="1" si="10"/>
        <v>0</v>
      </c>
      <c r="C692" s="121">
        <v>45566</v>
      </c>
      <c r="D692" s="137">
        <v>0.47721064814814818</v>
      </c>
      <c r="E692" s="94">
        <v>2021</v>
      </c>
      <c r="F692" s="142">
        <v>1210</v>
      </c>
      <c r="G692" s="94" t="s">
        <v>34</v>
      </c>
      <c r="H692" s="94">
        <v>1049</v>
      </c>
      <c r="I692" s="115"/>
      <c r="J692" s="94" t="s">
        <v>35</v>
      </c>
      <c r="K692" s="91">
        <v>106.91800000000001</v>
      </c>
      <c r="L692" s="122" t="str">
        <f>VLOOKUP(K692,Liste!$L$2:$O$34,4,1)</f>
        <v>GSMR_19/20</v>
      </c>
      <c r="M692" s="133" t="s">
        <v>36</v>
      </c>
      <c r="N692" s="180" t="s">
        <v>37</v>
      </c>
      <c r="O692" s="125" t="s">
        <v>1620</v>
      </c>
      <c r="P692" s="119"/>
      <c r="Q692" s="94" t="s">
        <v>39</v>
      </c>
      <c r="R692" s="94" t="s">
        <v>1032</v>
      </c>
      <c r="S692" s="91" t="s">
        <v>1621</v>
      </c>
      <c r="T692" s="94" t="s">
        <v>69</v>
      </c>
      <c r="U692" s="94" t="s">
        <v>1622</v>
      </c>
      <c r="V692" s="94" t="s">
        <v>51</v>
      </c>
      <c r="W692" s="94" t="s">
        <v>51</v>
      </c>
      <c r="X692" s="124" t="s">
        <v>52</v>
      </c>
      <c r="Y692" s="124" t="s">
        <v>946</v>
      </c>
      <c r="Z692" s="91"/>
      <c r="AA692" s="91" t="s">
        <v>778</v>
      </c>
      <c r="AB692" s="91"/>
      <c r="AC692" s="91"/>
      <c r="AD692" s="91"/>
      <c r="AE692" s="91"/>
      <c r="AF692" s="91"/>
      <c r="AG692" s="91"/>
      <c r="AH692" s="91"/>
    </row>
    <row r="693" spans="1:34" s="1" customFormat="1" ht="45">
      <c r="A693" s="120">
        <v>692</v>
      </c>
      <c r="B693" s="120" t="b">
        <f t="shared" ca="1" si="10"/>
        <v>0</v>
      </c>
      <c r="C693" s="121">
        <v>45567</v>
      </c>
      <c r="D693" s="137">
        <v>0.54513888888888884</v>
      </c>
      <c r="E693" s="94">
        <v>1021</v>
      </c>
      <c r="F693" s="142">
        <v>1209</v>
      </c>
      <c r="G693" s="94" t="s">
        <v>71</v>
      </c>
      <c r="H693" s="94">
        <v>1033</v>
      </c>
      <c r="I693" s="115"/>
      <c r="J693" s="94" t="s">
        <v>35</v>
      </c>
      <c r="K693" s="152">
        <v>8.9700000000000006</v>
      </c>
      <c r="L693" s="122" t="str">
        <f>VLOOKUP(K693,Liste!$L$2:$O$34,4,1)</f>
        <v>GSMR_02/03</v>
      </c>
      <c r="M693" s="133" t="s">
        <v>36</v>
      </c>
      <c r="N693" s="181" t="s">
        <v>58</v>
      </c>
      <c r="O693" s="125" t="s">
        <v>1623</v>
      </c>
      <c r="P693" s="119"/>
      <c r="Q693" s="94" t="s">
        <v>39</v>
      </c>
      <c r="R693" s="94" t="s">
        <v>1032</v>
      </c>
      <c r="S693" s="91" t="s">
        <v>1242</v>
      </c>
      <c r="T693" s="94" t="s">
        <v>116</v>
      </c>
      <c r="U693" s="94" t="s">
        <v>1463</v>
      </c>
      <c r="V693" s="94" t="s">
        <v>51</v>
      </c>
      <c r="W693" s="94" t="s">
        <v>51</v>
      </c>
      <c r="X693" s="124" t="s">
        <v>52</v>
      </c>
      <c r="Y693" s="124" t="s">
        <v>1615</v>
      </c>
      <c r="Z693" s="91"/>
      <c r="AA693" s="91" t="s">
        <v>802</v>
      </c>
      <c r="AB693" s="91"/>
      <c r="AC693" s="91"/>
      <c r="AD693" s="91"/>
      <c r="AE693" s="91"/>
      <c r="AF693" s="91"/>
      <c r="AG693" s="91"/>
      <c r="AH693" s="91"/>
    </row>
    <row r="694" spans="1:34" s="1" customFormat="1" ht="45">
      <c r="A694" s="120">
        <v>693</v>
      </c>
      <c r="B694" s="120" t="b">
        <f t="shared" ca="1" si="10"/>
        <v>0</v>
      </c>
      <c r="C694" s="121">
        <v>45567</v>
      </c>
      <c r="D694" s="137">
        <v>0.83704861111111106</v>
      </c>
      <c r="E694" s="94">
        <v>1050</v>
      </c>
      <c r="F694" s="142">
        <v>1201</v>
      </c>
      <c r="G694" s="94" t="s">
        <v>71</v>
      </c>
      <c r="H694" s="94">
        <v>1060</v>
      </c>
      <c r="I694" s="115"/>
      <c r="J694" s="94" t="s">
        <v>72</v>
      </c>
      <c r="K694" s="152">
        <v>7.3209999999999997</v>
      </c>
      <c r="L694" s="122" t="str">
        <f>VLOOKUP(K694,Liste!$L$2:$O$34,4,1)</f>
        <v>GSMR_02/03</v>
      </c>
      <c r="M694" s="133" t="s">
        <v>36</v>
      </c>
      <c r="N694" s="180" t="s">
        <v>37</v>
      </c>
      <c r="O694" s="125" t="s">
        <v>1624</v>
      </c>
      <c r="P694" s="119"/>
      <c r="Q694" s="94" t="s">
        <v>39</v>
      </c>
      <c r="R694" s="94" t="s">
        <v>1032</v>
      </c>
      <c r="S694" s="91" t="s">
        <v>1625</v>
      </c>
      <c r="T694" s="94" t="s">
        <v>93</v>
      </c>
      <c r="U694" s="94" t="s">
        <v>1449</v>
      </c>
      <c r="V694" s="94" t="s">
        <v>43</v>
      </c>
      <c r="W694" s="94" t="s">
        <v>51</v>
      </c>
      <c r="X694" s="124" t="s">
        <v>52</v>
      </c>
      <c r="Y694" s="124" t="s">
        <v>946</v>
      </c>
      <c r="Z694" s="91"/>
      <c r="AA694" s="91" t="s">
        <v>1183</v>
      </c>
      <c r="AB694" s="91"/>
      <c r="AC694" s="91"/>
      <c r="AD694" s="91"/>
      <c r="AE694" s="91"/>
      <c r="AF694" s="91"/>
      <c r="AG694" s="91"/>
      <c r="AH694" s="91"/>
    </row>
    <row r="695" spans="1:34" s="1" customFormat="1" ht="45">
      <c r="A695" s="120">
        <v>694</v>
      </c>
      <c r="B695" s="120" t="b">
        <f t="shared" ca="1" si="10"/>
        <v>0</v>
      </c>
      <c r="C695" s="121">
        <v>45568</v>
      </c>
      <c r="D695" s="137">
        <v>0.17343749999999999</v>
      </c>
      <c r="E695" s="94">
        <v>2081</v>
      </c>
      <c r="F695" s="142">
        <v>1207</v>
      </c>
      <c r="G695" s="94" t="s">
        <v>34</v>
      </c>
      <c r="H695" s="94">
        <v>1047</v>
      </c>
      <c r="I695" s="91"/>
      <c r="J695" s="94" t="s">
        <v>35</v>
      </c>
      <c r="K695" s="91">
        <v>14.99</v>
      </c>
      <c r="L695" s="122" t="str">
        <f>VLOOKUP(K695,Liste!$L$2:$O$34,4,1)</f>
        <v>GSMR_03/04</v>
      </c>
      <c r="M695" s="133" t="s">
        <v>36</v>
      </c>
      <c r="N695" s="181" t="s">
        <v>58</v>
      </c>
      <c r="O695" s="125" t="s">
        <v>1626</v>
      </c>
      <c r="P695" s="119"/>
      <c r="Q695" s="94" t="s">
        <v>39</v>
      </c>
      <c r="R695" s="94" t="s">
        <v>1032</v>
      </c>
      <c r="S695" s="91" t="s">
        <v>1627</v>
      </c>
      <c r="T695" s="94" t="s">
        <v>69</v>
      </c>
      <c r="U695" s="94" t="s">
        <v>1453</v>
      </c>
      <c r="V695" s="94" t="s">
        <v>51</v>
      </c>
      <c r="W695" s="94" t="s">
        <v>51</v>
      </c>
      <c r="X695" s="124" t="s">
        <v>52</v>
      </c>
      <c r="Y695" s="124" t="s">
        <v>946</v>
      </c>
      <c r="Z695" s="91"/>
      <c r="AA695" s="91" t="s">
        <v>778</v>
      </c>
      <c r="AB695" s="91"/>
      <c r="AC695" s="91"/>
      <c r="AD695" s="91"/>
      <c r="AE695" s="91"/>
      <c r="AF695" s="91"/>
      <c r="AG695" s="91"/>
      <c r="AH695" s="91"/>
    </row>
    <row r="696" spans="1:34" s="1" customFormat="1" ht="45">
      <c r="A696" s="120">
        <v>695</v>
      </c>
      <c r="B696" s="120" t="b">
        <f t="shared" ca="1" si="10"/>
        <v>0</v>
      </c>
      <c r="C696" s="121">
        <v>45568</v>
      </c>
      <c r="D696" s="137">
        <v>0.34252314814814816</v>
      </c>
      <c r="E696" s="94">
        <v>2009</v>
      </c>
      <c r="F696" s="142">
        <v>1207</v>
      </c>
      <c r="G696" s="94" t="s">
        <v>34</v>
      </c>
      <c r="H696" s="94">
        <v>1046</v>
      </c>
      <c r="I696" s="91"/>
      <c r="J696" s="94" t="s">
        <v>35</v>
      </c>
      <c r="K696" s="91">
        <v>31.350999999999999</v>
      </c>
      <c r="L696" s="122" t="str">
        <f>VLOOKUP(K696,Liste!$L$2:$O$34,4,1)</f>
        <v>GSMR_06/07</v>
      </c>
      <c r="M696" s="133" t="s">
        <v>36</v>
      </c>
      <c r="N696" s="180" t="s">
        <v>37</v>
      </c>
      <c r="O696" s="125" t="s">
        <v>1628</v>
      </c>
      <c r="P696" s="119"/>
      <c r="Q696" s="94" t="s">
        <v>39</v>
      </c>
      <c r="R696" s="94" t="s">
        <v>1032</v>
      </c>
      <c r="S696" s="91" t="s">
        <v>1629</v>
      </c>
      <c r="T696" s="94" t="s">
        <v>69</v>
      </c>
      <c r="U696" s="94" t="s">
        <v>1526</v>
      </c>
      <c r="V696" s="94" t="s">
        <v>51</v>
      </c>
      <c r="W696" s="94" t="s">
        <v>51</v>
      </c>
      <c r="X696" s="124" t="s">
        <v>52</v>
      </c>
      <c r="Y696" s="124" t="s">
        <v>946</v>
      </c>
      <c r="Z696" s="91"/>
      <c r="AA696" s="91" t="s">
        <v>802</v>
      </c>
      <c r="AB696" s="91"/>
      <c r="AC696" s="91"/>
      <c r="AD696" s="91"/>
      <c r="AE696" s="91"/>
      <c r="AF696" s="91"/>
      <c r="AG696" s="91"/>
      <c r="AH696" s="91"/>
    </row>
    <row r="697" spans="1:34" s="1" customFormat="1" ht="45">
      <c r="A697" s="120">
        <v>696</v>
      </c>
      <c r="B697" s="120" t="b">
        <f t="shared" ca="1" si="10"/>
        <v>0</v>
      </c>
      <c r="C697" s="121">
        <v>45568</v>
      </c>
      <c r="D697" s="137">
        <v>0.39984953703703702</v>
      </c>
      <c r="E697" s="94">
        <v>2013</v>
      </c>
      <c r="F697" s="142">
        <v>1211</v>
      </c>
      <c r="G697" s="94" t="s">
        <v>34</v>
      </c>
      <c r="H697" s="94">
        <v>1029</v>
      </c>
      <c r="I697" s="91"/>
      <c r="J697" s="94" t="s">
        <v>35</v>
      </c>
      <c r="K697" s="91">
        <v>144.63200000000001</v>
      </c>
      <c r="L697" s="122" t="str">
        <f>VLOOKUP(K697,Liste!$L$2:$O$34,4,1)</f>
        <v>GSMR_25/26</v>
      </c>
      <c r="M697" s="133" t="s">
        <v>36</v>
      </c>
      <c r="N697" s="180" t="s">
        <v>37</v>
      </c>
      <c r="O697" s="125" t="s">
        <v>1630</v>
      </c>
      <c r="P697" s="119"/>
      <c r="Q697" s="94" t="s">
        <v>39</v>
      </c>
      <c r="R697" s="94" t="s">
        <v>1032</v>
      </c>
      <c r="S697" s="91" t="s">
        <v>1631</v>
      </c>
      <c r="T697" s="94" t="s">
        <v>69</v>
      </c>
      <c r="U697" s="94" t="s">
        <v>1632</v>
      </c>
      <c r="V697" s="94" t="s">
        <v>51</v>
      </c>
      <c r="W697" s="94" t="s">
        <v>51</v>
      </c>
      <c r="X697" s="124" t="s">
        <v>52</v>
      </c>
      <c r="Y697" s="124" t="s">
        <v>946</v>
      </c>
      <c r="Z697" s="91"/>
      <c r="AA697" s="91" t="s">
        <v>745</v>
      </c>
      <c r="AB697" s="91"/>
      <c r="AC697" s="91"/>
      <c r="AD697" s="91"/>
      <c r="AE697" s="91"/>
      <c r="AF697" s="91"/>
      <c r="AG697" s="91"/>
      <c r="AH697" s="91"/>
    </row>
    <row r="698" spans="1:34" s="1" customFormat="1" ht="45">
      <c r="A698" s="120">
        <v>697</v>
      </c>
      <c r="B698" s="120" t="b">
        <f t="shared" ca="1" si="10"/>
        <v>0</v>
      </c>
      <c r="C698" s="121">
        <v>45568</v>
      </c>
      <c r="D698" s="137">
        <v>0.50988425925925929</v>
      </c>
      <c r="E698" s="94">
        <v>2025</v>
      </c>
      <c r="F698" s="142">
        <v>1209</v>
      </c>
      <c r="G698" s="94" t="s">
        <v>34</v>
      </c>
      <c r="H698" s="94">
        <v>7208</v>
      </c>
      <c r="I698" s="91"/>
      <c r="J698" s="94" t="s">
        <v>35</v>
      </c>
      <c r="K698" s="91">
        <v>39.215000000000003</v>
      </c>
      <c r="L698" s="122" t="str">
        <f>VLOOKUP(K698,Liste!$L$2:$O$34,4,1)</f>
        <v>GSMR_07/08</v>
      </c>
      <c r="M698" s="133" t="s">
        <v>36</v>
      </c>
      <c r="N698" s="180" t="s">
        <v>37</v>
      </c>
      <c r="O698" s="125" t="s">
        <v>1633</v>
      </c>
      <c r="P698" s="119"/>
      <c r="Q698" s="94" t="s">
        <v>39</v>
      </c>
      <c r="R698" s="94" t="s">
        <v>1032</v>
      </c>
      <c r="S698" s="91" t="s">
        <v>1634</v>
      </c>
      <c r="T698" s="94" t="s">
        <v>69</v>
      </c>
      <c r="U698" s="94" t="s">
        <v>1538</v>
      </c>
      <c r="V698" s="94" t="s">
        <v>43</v>
      </c>
      <c r="W698" s="94" t="s">
        <v>51</v>
      </c>
      <c r="X698" s="124" t="s">
        <v>52</v>
      </c>
      <c r="Y698" s="124" t="s">
        <v>946</v>
      </c>
      <c r="Z698" s="91"/>
      <c r="AA698" s="91" t="s">
        <v>802</v>
      </c>
      <c r="AB698" s="91"/>
      <c r="AC698" s="91"/>
      <c r="AD698" s="91"/>
      <c r="AE698" s="91"/>
      <c r="AF698" s="91"/>
      <c r="AG698" s="91"/>
      <c r="AH698" s="91"/>
    </row>
    <row r="699" spans="1:34" s="1" customFormat="1" ht="45">
      <c r="A699" s="120">
        <v>698</v>
      </c>
      <c r="B699" s="120" t="b">
        <f t="shared" ca="1" si="10"/>
        <v>0</v>
      </c>
      <c r="C699" s="121">
        <v>45569</v>
      </c>
      <c r="D699" s="137" t="s">
        <v>1635</v>
      </c>
      <c r="E699" s="94">
        <v>2009</v>
      </c>
      <c r="F699" s="142">
        <v>1201</v>
      </c>
      <c r="G699" s="94" t="s">
        <v>34</v>
      </c>
      <c r="H699" s="94">
        <v>7206</v>
      </c>
      <c r="I699" s="91"/>
      <c r="J699" s="94" t="s">
        <v>35</v>
      </c>
      <c r="K699" s="91">
        <v>12.496</v>
      </c>
      <c r="L699" s="122" t="str">
        <f>VLOOKUP(K699,Liste!$L$2:$O$34,4,1)</f>
        <v>GSMR_03/04</v>
      </c>
      <c r="M699" s="133" t="s">
        <v>36</v>
      </c>
      <c r="N699" s="180" t="s">
        <v>37</v>
      </c>
      <c r="O699" s="125" t="s">
        <v>1636</v>
      </c>
      <c r="P699" s="119"/>
      <c r="Q699" s="94" t="s">
        <v>39</v>
      </c>
      <c r="R699" s="94" t="s">
        <v>1032</v>
      </c>
      <c r="S699" s="91" t="s">
        <v>1637</v>
      </c>
      <c r="T699" s="94" t="s">
        <v>69</v>
      </c>
      <c r="U699" s="94" t="s">
        <v>1526</v>
      </c>
      <c r="V699" s="94" t="s">
        <v>51</v>
      </c>
      <c r="W699" s="94" t="s">
        <v>51</v>
      </c>
      <c r="X699" s="124" t="s">
        <v>52</v>
      </c>
      <c r="Y699" s="124" t="s">
        <v>946</v>
      </c>
      <c r="Z699" s="91"/>
      <c r="AA699" s="91" t="s">
        <v>802</v>
      </c>
      <c r="AB699" s="91"/>
      <c r="AC699" s="91"/>
      <c r="AD699" s="91"/>
      <c r="AE699" s="91"/>
      <c r="AF699" s="91"/>
      <c r="AG699" s="91"/>
      <c r="AH699" s="91"/>
    </row>
    <row r="700" spans="1:34" s="1" customFormat="1" ht="45">
      <c r="A700" s="120">
        <v>699</v>
      </c>
      <c r="B700" s="120" t="b">
        <f t="shared" ca="1" si="10"/>
        <v>0</v>
      </c>
      <c r="C700" s="121">
        <v>45569</v>
      </c>
      <c r="D700" s="137" t="s">
        <v>1638</v>
      </c>
      <c r="E700" s="94">
        <v>2045</v>
      </c>
      <c r="F700" s="142">
        <v>1209</v>
      </c>
      <c r="G700" s="94" t="s">
        <v>34</v>
      </c>
      <c r="H700" s="94">
        <v>7208</v>
      </c>
      <c r="I700" s="91"/>
      <c r="J700" s="94" t="s">
        <v>35</v>
      </c>
      <c r="K700" s="152">
        <v>6.13</v>
      </c>
      <c r="L700" s="122" t="str">
        <f>VLOOKUP(K700,Liste!$L$2:$O$34,4,1)</f>
        <v>GSMR_02/03</v>
      </c>
      <c r="M700" s="133" t="s">
        <v>36</v>
      </c>
      <c r="N700" s="181" t="s">
        <v>58</v>
      </c>
      <c r="O700" s="125" t="s">
        <v>1639</v>
      </c>
      <c r="P700" s="119"/>
      <c r="Q700" s="94" t="s">
        <v>39</v>
      </c>
      <c r="R700" s="94" t="s">
        <v>1032</v>
      </c>
      <c r="S700" s="91" t="s">
        <v>1232</v>
      </c>
      <c r="T700" s="94" t="s">
        <v>56</v>
      </c>
      <c r="U700" s="94" t="s">
        <v>1468</v>
      </c>
      <c r="V700" s="94" t="s">
        <v>51</v>
      </c>
      <c r="W700" s="94" t="s">
        <v>51</v>
      </c>
      <c r="X700" s="124" t="s">
        <v>52</v>
      </c>
      <c r="Y700" s="124" t="s">
        <v>946</v>
      </c>
      <c r="Z700" s="91"/>
      <c r="AA700" s="91" t="s">
        <v>793</v>
      </c>
      <c r="AB700" s="91"/>
      <c r="AC700" s="91"/>
      <c r="AD700" s="91"/>
      <c r="AE700" s="91"/>
      <c r="AF700" s="91"/>
      <c r="AG700" s="91"/>
      <c r="AH700" s="91"/>
    </row>
    <row r="701" spans="1:34" s="1" customFormat="1" ht="45">
      <c r="A701" s="120">
        <v>700</v>
      </c>
      <c r="B701" s="120" t="b">
        <f t="shared" ca="1" si="10"/>
        <v>0</v>
      </c>
      <c r="C701" s="121">
        <v>45569</v>
      </c>
      <c r="D701" s="137" t="s">
        <v>1640</v>
      </c>
      <c r="E701" s="94">
        <v>2053</v>
      </c>
      <c r="F701" s="142">
        <v>1208</v>
      </c>
      <c r="G701" s="94" t="s">
        <v>34</v>
      </c>
      <c r="H701" s="94">
        <v>1036</v>
      </c>
      <c r="I701" s="91"/>
      <c r="J701" s="94" t="s">
        <v>35</v>
      </c>
      <c r="K701" s="152">
        <v>6.13</v>
      </c>
      <c r="L701" s="122" t="str">
        <f>VLOOKUP(K701,Liste!$L$2:$O$34,4,1)</f>
        <v>GSMR_02/03</v>
      </c>
      <c r="M701" s="133" t="s">
        <v>36</v>
      </c>
      <c r="N701" s="181" t="s">
        <v>58</v>
      </c>
      <c r="O701" s="125" t="s">
        <v>1641</v>
      </c>
      <c r="P701" s="119"/>
      <c r="Q701" s="94" t="s">
        <v>39</v>
      </c>
      <c r="R701" s="94" t="s">
        <v>1032</v>
      </c>
      <c r="S701" s="91" t="s">
        <v>1232</v>
      </c>
      <c r="T701" s="94" t="s">
        <v>56</v>
      </c>
      <c r="U701" s="94" t="s">
        <v>1526</v>
      </c>
      <c r="V701" s="94" t="s">
        <v>51</v>
      </c>
      <c r="W701" s="94" t="s">
        <v>51</v>
      </c>
      <c r="X701" s="124" t="s">
        <v>52</v>
      </c>
      <c r="Y701" s="124" t="s">
        <v>946</v>
      </c>
      <c r="Z701" s="91"/>
      <c r="AA701" s="91" t="s">
        <v>793</v>
      </c>
      <c r="AB701" s="91"/>
      <c r="AC701" s="91"/>
      <c r="AD701" s="91"/>
      <c r="AE701" s="91"/>
      <c r="AF701" s="91"/>
      <c r="AG701" s="91"/>
      <c r="AH701" s="91"/>
    </row>
    <row r="702" spans="1:34" s="1" customFormat="1" ht="45">
      <c r="A702" s="120">
        <v>701</v>
      </c>
      <c r="B702" s="120" t="b">
        <f t="shared" ca="1" si="10"/>
        <v>0</v>
      </c>
      <c r="C702" s="121">
        <v>45569</v>
      </c>
      <c r="D702" s="137">
        <v>0.72270833333333329</v>
      </c>
      <c r="E702" s="94">
        <v>2045</v>
      </c>
      <c r="F702" s="142">
        <v>1209</v>
      </c>
      <c r="G702" s="94" t="s">
        <v>34</v>
      </c>
      <c r="H702" s="94">
        <v>1058</v>
      </c>
      <c r="I702" s="91"/>
      <c r="J702" s="94" t="s">
        <v>35</v>
      </c>
      <c r="K702" s="91">
        <v>57.661999999999999</v>
      </c>
      <c r="L702" s="122" t="str">
        <f>VLOOKUP(K702,Liste!$L$2:$O$34,4,1)</f>
        <v>GSMR_10/11</v>
      </c>
      <c r="M702" s="133" t="s">
        <v>36</v>
      </c>
      <c r="N702" s="180" t="s">
        <v>37</v>
      </c>
      <c r="O702" s="125" t="s">
        <v>1642</v>
      </c>
      <c r="P702" s="119"/>
      <c r="Q702" s="94" t="s">
        <v>39</v>
      </c>
      <c r="R702" s="94" t="s">
        <v>1643</v>
      </c>
      <c r="S702" s="91" t="s">
        <v>1644</v>
      </c>
      <c r="T702" s="94"/>
      <c r="U702" s="94"/>
      <c r="V702" s="94" t="s">
        <v>1645</v>
      </c>
      <c r="W702" s="94" t="s">
        <v>51</v>
      </c>
      <c r="X702" s="124" t="s">
        <v>52</v>
      </c>
      <c r="Y702" s="124" t="s">
        <v>946</v>
      </c>
      <c r="Z702" s="91"/>
      <c r="AA702" s="91" t="s">
        <v>778</v>
      </c>
      <c r="AB702" s="91"/>
      <c r="AC702" s="91"/>
      <c r="AD702" s="91"/>
      <c r="AE702" s="91"/>
      <c r="AF702" s="91"/>
      <c r="AG702" s="91"/>
      <c r="AH702" s="91"/>
    </row>
    <row r="703" spans="1:34" s="1" customFormat="1" ht="45">
      <c r="A703" s="120">
        <v>702</v>
      </c>
      <c r="B703" s="120" t="b">
        <f t="shared" ca="1" si="10"/>
        <v>0</v>
      </c>
      <c r="C703" s="121">
        <v>45570</v>
      </c>
      <c r="D703" s="137" t="s">
        <v>1646</v>
      </c>
      <c r="E703" s="94">
        <v>2013</v>
      </c>
      <c r="F703" s="142">
        <v>1210</v>
      </c>
      <c r="G703" s="94" t="s">
        <v>34</v>
      </c>
      <c r="H703" s="94">
        <v>1048</v>
      </c>
      <c r="I703" s="91"/>
      <c r="J703" s="94" t="s">
        <v>35</v>
      </c>
      <c r="K703" s="152">
        <v>6.13</v>
      </c>
      <c r="L703" s="122" t="str">
        <f>VLOOKUP(K703,Liste!$L$2:$O$34,4,1)</f>
        <v>GSMR_02/03</v>
      </c>
      <c r="M703" s="133" t="s">
        <v>36</v>
      </c>
      <c r="N703" s="181" t="s">
        <v>58</v>
      </c>
      <c r="O703" s="125" t="s">
        <v>1647</v>
      </c>
      <c r="P703" s="119"/>
      <c r="Q703" s="94" t="s">
        <v>39</v>
      </c>
      <c r="R703" s="94" t="s">
        <v>1032</v>
      </c>
      <c r="S703" s="91" t="s">
        <v>1551</v>
      </c>
      <c r="T703" s="94" t="s">
        <v>56</v>
      </c>
      <c r="U703" s="94" t="s">
        <v>1449</v>
      </c>
      <c r="V703" s="94" t="s">
        <v>43</v>
      </c>
      <c r="W703" s="94" t="s">
        <v>51</v>
      </c>
      <c r="X703" s="124" t="s">
        <v>52</v>
      </c>
      <c r="Y703" s="124" t="s">
        <v>946</v>
      </c>
      <c r="Z703" s="91"/>
      <c r="AA703" s="91" t="s">
        <v>802</v>
      </c>
      <c r="AB703" s="91"/>
      <c r="AC703" s="91"/>
      <c r="AD703" s="91"/>
      <c r="AE703" s="91"/>
      <c r="AF703" s="91"/>
      <c r="AG703" s="91"/>
      <c r="AH703" s="91"/>
    </row>
    <row r="704" spans="1:34" s="1" customFormat="1" ht="45">
      <c r="A704" s="120">
        <v>703</v>
      </c>
      <c r="B704" s="120" t="b">
        <f t="shared" ca="1" si="10"/>
        <v>0</v>
      </c>
      <c r="C704" s="121">
        <v>45570</v>
      </c>
      <c r="D704" s="137" t="s">
        <v>1648</v>
      </c>
      <c r="E704" s="94">
        <v>1022</v>
      </c>
      <c r="F704" s="142">
        <v>1209</v>
      </c>
      <c r="G704" s="94" t="s">
        <v>71</v>
      </c>
      <c r="H704" s="94">
        <v>7206</v>
      </c>
      <c r="I704" s="91"/>
      <c r="J704" s="94" t="s">
        <v>72</v>
      </c>
      <c r="K704" s="91">
        <v>16.29</v>
      </c>
      <c r="L704" s="122" t="str">
        <f>VLOOKUP(K704,Liste!$L$2:$O$34,4,1)</f>
        <v>GSMR_03/04</v>
      </c>
      <c r="M704" s="133" t="s">
        <v>36</v>
      </c>
      <c r="N704" s="180" t="s">
        <v>37</v>
      </c>
      <c r="O704" s="125" t="s">
        <v>1649</v>
      </c>
      <c r="P704" s="119"/>
      <c r="Q704" s="94" t="s">
        <v>39</v>
      </c>
      <c r="R704" s="94" t="s">
        <v>1032</v>
      </c>
      <c r="S704" s="91" t="s">
        <v>1650</v>
      </c>
      <c r="T704" s="94" t="s">
        <v>69</v>
      </c>
      <c r="U704" s="94" t="s">
        <v>1622</v>
      </c>
      <c r="V704" s="94" t="s">
        <v>51</v>
      </c>
      <c r="W704" s="94" t="s">
        <v>51</v>
      </c>
      <c r="X704" s="124" t="s">
        <v>52</v>
      </c>
      <c r="Y704" s="124" t="s">
        <v>946</v>
      </c>
      <c r="Z704" s="91"/>
      <c r="AA704" s="91" t="s">
        <v>793</v>
      </c>
      <c r="AB704" s="91"/>
      <c r="AC704" s="91"/>
      <c r="AD704" s="91"/>
      <c r="AE704" s="91"/>
      <c r="AF704" s="91"/>
      <c r="AG704" s="91"/>
      <c r="AH704" s="91"/>
    </row>
    <row r="705" spans="1:34" s="1" customFormat="1" ht="45">
      <c r="A705" s="120">
        <v>704</v>
      </c>
      <c r="B705" s="120" t="b">
        <f t="shared" ca="1" si="10"/>
        <v>0</v>
      </c>
      <c r="C705" s="121">
        <v>45570</v>
      </c>
      <c r="D705" s="137">
        <v>0.6287152777777778</v>
      </c>
      <c r="E705" s="94">
        <v>2037</v>
      </c>
      <c r="F705" s="142">
        <v>1210</v>
      </c>
      <c r="G705" s="94" t="s">
        <v>34</v>
      </c>
      <c r="H705" s="94">
        <v>1048</v>
      </c>
      <c r="I705" s="91"/>
      <c r="J705" s="94" t="s">
        <v>35</v>
      </c>
      <c r="K705" s="152">
        <v>6.13</v>
      </c>
      <c r="L705" s="122" t="str">
        <f>VLOOKUP(K705,Liste!$L$2:$O$34,4,1)</f>
        <v>GSMR_02/03</v>
      </c>
      <c r="M705" s="133" t="s">
        <v>36</v>
      </c>
      <c r="N705" s="181" t="s">
        <v>58</v>
      </c>
      <c r="O705" s="125" t="s">
        <v>1651</v>
      </c>
      <c r="P705" s="119"/>
      <c r="Q705" s="94" t="s">
        <v>39</v>
      </c>
      <c r="R705" s="94" t="s">
        <v>1032</v>
      </c>
      <c r="S705" s="91" t="s">
        <v>1652</v>
      </c>
      <c r="T705" s="94" t="s">
        <v>56</v>
      </c>
      <c r="U705" s="94" t="s">
        <v>1509</v>
      </c>
      <c r="V705" s="94" t="s">
        <v>43</v>
      </c>
      <c r="W705" s="94" t="s">
        <v>51</v>
      </c>
      <c r="X705" s="124" t="s">
        <v>52</v>
      </c>
      <c r="Y705" s="124" t="s">
        <v>946</v>
      </c>
      <c r="Z705" s="91"/>
      <c r="AA705" s="91" t="s">
        <v>793</v>
      </c>
      <c r="AB705" s="91"/>
      <c r="AC705" s="91"/>
      <c r="AD705" s="91"/>
      <c r="AE705" s="91"/>
      <c r="AF705" s="91"/>
      <c r="AG705" s="91"/>
      <c r="AH705" s="91"/>
    </row>
    <row r="706" spans="1:34" s="1" customFormat="1" ht="45">
      <c r="A706" s="120">
        <v>705</v>
      </c>
      <c r="B706" s="120" t="b">
        <f t="shared" ref="B706:B769" ca="1" si="11">AND(C706&gt;=TODAY()-7, C706&lt;=TODAY()-1)</f>
        <v>0</v>
      </c>
      <c r="C706" s="121">
        <v>45571</v>
      </c>
      <c r="D706" s="137">
        <v>0.4788310185185185</v>
      </c>
      <c r="E706" s="94">
        <v>2021</v>
      </c>
      <c r="F706" s="142">
        <v>1206</v>
      </c>
      <c r="G706" s="94" t="s">
        <v>34</v>
      </c>
      <c r="H706" s="94">
        <v>1055</v>
      </c>
      <c r="I706" s="91"/>
      <c r="J706" s="94" t="s">
        <v>35</v>
      </c>
      <c r="K706" s="91">
        <v>118.562</v>
      </c>
      <c r="L706" s="122" t="str">
        <f>VLOOKUP(K706,Liste!$L$2:$O$34,4,1)</f>
        <v>GSMR_20/21</v>
      </c>
      <c r="M706" s="133" t="s">
        <v>36</v>
      </c>
      <c r="N706" s="180" t="s">
        <v>37</v>
      </c>
      <c r="O706" s="125" t="s">
        <v>1653</v>
      </c>
      <c r="P706" s="119"/>
      <c r="Q706" s="94" t="s">
        <v>39</v>
      </c>
      <c r="R706" s="94" t="s">
        <v>1032</v>
      </c>
      <c r="S706" s="91" t="s">
        <v>1654</v>
      </c>
      <c r="T706" s="94" t="s">
        <v>69</v>
      </c>
      <c r="U706" s="94" t="s">
        <v>1453</v>
      </c>
      <c r="V706" s="94" t="s">
        <v>51</v>
      </c>
      <c r="W706" s="94" t="s">
        <v>51</v>
      </c>
      <c r="X706" s="124" t="s">
        <v>52</v>
      </c>
      <c r="Y706" s="124" t="s">
        <v>946</v>
      </c>
      <c r="Z706" s="91"/>
      <c r="AA706" s="91" t="s">
        <v>772</v>
      </c>
      <c r="AB706" s="91"/>
      <c r="AC706" s="91"/>
      <c r="AD706" s="91"/>
      <c r="AE706" s="91"/>
      <c r="AF706" s="91"/>
      <c r="AG706" s="91"/>
      <c r="AH706" s="91"/>
    </row>
    <row r="707" spans="1:34" s="1" customFormat="1" ht="45">
      <c r="A707" s="120">
        <v>706</v>
      </c>
      <c r="B707" s="120" t="b">
        <f t="shared" ca="1" si="11"/>
        <v>0</v>
      </c>
      <c r="C707" s="121">
        <v>45571</v>
      </c>
      <c r="D707" s="137">
        <v>0.62862268518518516</v>
      </c>
      <c r="E707" s="94">
        <v>2037</v>
      </c>
      <c r="F707" s="142">
        <v>1212</v>
      </c>
      <c r="G707" s="94" t="s">
        <v>34</v>
      </c>
      <c r="H707" s="94">
        <v>1055</v>
      </c>
      <c r="I707" s="91"/>
      <c r="J707" s="94" t="s">
        <v>35</v>
      </c>
      <c r="K707" s="152">
        <v>6.13</v>
      </c>
      <c r="L707" s="122" t="str">
        <f>VLOOKUP(K707,Liste!$L$2:$O$34,4,1)</f>
        <v>GSMR_02/03</v>
      </c>
      <c r="M707" s="133" t="s">
        <v>36</v>
      </c>
      <c r="N707" s="180" t="s">
        <v>37</v>
      </c>
      <c r="O707" s="125" t="s">
        <v>1655</v>
      </c>
      <c r="P707" s="119"/>
      <c r="Q707" s="94" t="s">
        <v>39</v>
      </c>
      <c r="R707" s="94" t="s">
        <v>1032</v>
      </c>
      <c r="S707" s="91" t="s">
        <v>1551</v>
      </c>
      <c r="T707" s="94" t="s">
        <v>56</v>
      </c>
      <c r="U707" s="94" t="s">
        <v>1526</v>
      </c>
      <c r="V707" s="94" t="s">
        <v>51</v>
      </c>
      <c r="W707" s="94" t="s">
        <v>51</v>
      </c>
      <c r="X707" s="124" t="s">
        <v>52</v>
      </c>
      <c r="Y707" s="124" t="s">
        <v>1045</v>
      </c>
      <c r="Z707" s="91"/>
      <c r="AA707" s="91" t="s">
        <v>793</v>
      </c>
      <c r="AB707" s="91"/>
      <c r="AC707" s="91"/>
      <c r="AD707" s="91"/>
      <c r="AE707" s="91"/>
      <c r="AF707" s="91"/>
      <c r="AG707" s="91"/>
      <c r="AH707" s="91"/>
    </row>
    <row r="708" spans="1:34" s="1" customFormat="1" ht="45">
      <c r="A708" s="120">
        <v>707</v>
      </c>
      <c r="B708" s="120" t="b">
        <f t="shared" ca="1" si="11"/>
        <v>0</v>
      </c>
      <c r="C708" s="121">
        <v>45571</v>
      </c>
      <c r="D708" s="137">
        <v>0.85791666666666666</v>
      </c>
      <c r="E708" s="94">
        <v>2057</v>
      </c>
      <c r="F708" s="142">
        <v>1209</v>
      </c>
      <c r="G708" s="94" t="s">
        <v>34</v>
      </c>
      <c r="H708" s="94">
        <v>1058</v>
      </c>
      <c r="I708" s="91"/>
      <c r="J708" s="94" t="s">
        <v>35</v>
      </c>
      <c r="K708" s="91">
        <v>144.32599999999999</v>
      </c>
      <c r="L708" s="122" t="str">
        <f>VLOOKUP(K708,Liste!$L$2:$O$34,4,1)</f>
        <v>GSMR_25/26</v>
      </c>
      <c r="M708" s="133" t="s">
        <v>36</v>
      </c>
      <c r="N708" s="180" t="s">
        <v>37</v>
      </c>
      <c r="O708" s="125" t="s">
        <v>1656</v>
      </c>
      <c r="P708" s="119"/>
      <c r="Q708" s="94" t="s">
        <v>105</v>
      </c>
      <c r="R708" s="94" t="s">
        <v>1072</v>
      </c>
      <c r="S708" s="91" t="s">
        <v>1657</v>
      </c>
      <c r="T708" s="94" t="s">
        <v>101</v>
      </c>
      <c r="U708" s="94" t="s">
        <v>1498</v>
      </c>
      <c r="V708" s="94" t="s">
        <v>1658</v>
      </c>
      <c r="W708" s="94" t="s">
        <v>51</v>
      </c>
      <c r="X708" s="124" t="s">
        <v>52</v>
      </c>
      <c r="Y708" s="124" t="s">
        <v>1045</v>
      </c>
      <c r="Z708" s="91"/>
      <c r="AA708" s="91" t="s">
        <v>754</v>
      </c>
      <c r="AB708" s="91"/>
      <c r="AC708" s="91"/>
      <c r="AD708" s="91"/>
      <c r="AE708" s="91"/>
      <c r="AF708" s="91"/>
      <c r="AG708" s="91"/>
      <c r="AH708" s="91"/>
    </row>
    <row r="709" spans="1:34" s="1" customFormat="1" ht="45">
      <c r="A709" s="120">
        <v>708</v>
      </c>
      <c r="B709" s="120" t="b">
        <f t="shared" ca="1" si="11"/>
        <v>0</v>
      </c>
      <c r="C709" s="121">
        <v>45571</v>
      </c>
      <c r="D709" s="137">
        <v>0.87877314814814811</v>
      </c>
      <c r="E709" s="94">
        <v>2061</v>
      </c>
      <c r="F709" s="142">
        <v>1207</v>
      </c>
      <c r="G709" s="94" t="s">
        <v>34</v>
      </c>
      <c r="H709" s="94">
        <v>1046</v>
      </c>
      <c r="I709" s="91"/>
      <c r="J709" s="94" t="s">
        <v>35</v>
      </c>
      <c r="K709" s="152">
        <v>6.13</v>
      </c>
      <c r="L709" s="122" t="str">
        <f>VLOOKUP(K709,Liste!$L$2:$O$34,4,1)</f>
        <v>GSMR_02/03</v>
      </c>
      <c r="M709" s="133" t="s">
        <v>36</v>
      </c>
      <c r="N709" s="181" t="s">
        <v>58</v>
      </c>
      <c r="O709" s="125" t="s">
        <v>1659</v>
      </c>
      <c r="P709" s="119"/>
      <c r="Q709" s="94" t="s">
        <v>39</v>
      </c>
      <c r="R709" s="94" t="s">
        <v>1032</v>
      </c>
      <c r="S709" s="91" t="s">
        <v>1660</v>
      </c>
      <c r="T709" s="94" t="s">
        <v>93</v>
      </c>
      <c r="U709" s="94" t="s">
        <v>1449</v>
      </c>
      <c r="V709" s="94" t="s">
        <v>1661</v>
      </c>
      <c r="W709" s="94" t="s">
        <v>51</v>
      </c>
      <c r="X709" s="124" t="s">
        <v>52</v>
      </c>
      <c r="Y709" s="124" t="s">
        <v>946</v>
      </c>
      <c r="Z709" s="91"/>
      <c r="AA709" s="91" t="s">
        <v>754</v>
      </c>
      <c r="AB709" s="91"/>
      <c r="AC709" s="91"/>
      <c r="AD709" s="91"/>
      <c r="AE709" s="91"/>
      <c r="AF709" s="91"/>
      <c r="AG709" s="91"/>
      <c r="AH709" s="91"/>
    </row>
    <row r="710" spans="1:34" s="1" customFormat="1" ht="45">
      <c r="A710" s="120">
        <v>709</v>
      </c>
      <c r="B710" s="120" t="b">
        <f t="shared" ca="1" si="11"/>
        <v>0</v>
      </c>
      <c r="C710" s="121">
        <v>45572</v>
      </c>
      <c r="D710" s="137">
        <v>0.25741898148148146</v>
      </c>
      <c r="E710" s="94">
        <v>2001</v>
      </c>
      <c r="F710" s="142">
        <v>1201</v>
      </c>
      <c r="G710" s="94" t="s">
        <v>34</v>
      </c>
      <c r="H710" s="94">
        <v>7198</v>
      </c>
      <c r="I710" s="91"/>
      <c r="J710" s="94" t="s">
        <v>35</v>
      </c>
      <c r="K710" s="91">
        <v>21.55</v>
      </c>
      <c r="L710" s="122" t="str">
        <f>VLOOKUP(K710,Liste!$L$2:$O$34,4,1)</f>
        <v>GSMR_04/05</v>
      </c>
      <c r="M710" s="133" t="s">
        <v>36</v>
      </c>
      <c r="N710" s="180" t="s">
        <v>37</v>
      </c>
      <c r="O710" s="125" t="s">
        <v>1662</v>
      </c>
      <c r="P710" s="119"/>
      <c r="Q710" s="94" t="s">
        <v>39</v>
      </c>
      <c r="R710" s="94" t="s">
        <v>1032</v>
      </c>
      <c r="S710" s="91" t="s">
        <v>1663</v>
      </c>
      <c r="T710" s="94" t="s">
        <v>69</v>
      </c>
      <c r="U710" s="94" t="s">
        <v>1549</v>
      </c>
      <c r="V710" s="94" t="s">
        <v>1661</v>
      </c>
      <c r="W710" s="94" t="s">
        <v>51</v>
      </c>
      <c r="X710" s="124" t="s">
        <v>52</v>
      </c>
      <c r="Y710" s="124" t="s">
        <v>946</v>
      </c>
      <c r="Z710" s="91"/>
      <c r="AA710" s="91" t="s">
        <v>754</v>
      </c>
      <c r="AB710" s="91"/>
      <c r="AC710" s="91"/>
      <c r="AD710" s="91"/>
      <c r="AE710" s="91"/>
      <c r="AF710" s="91"/>
      <c r="AG710" s="91"/>
      <c r="AH710" s="91"/>
    </row>
    <row r="711" spans="1:34" s="1" customFormat="1" ht="45">
      <c r="A711" s="120">
        <v>710</v>
      </c>
      <c r="B711" s="120" t="b">
        <f t="shared" ca="1" si="11"/>
        <v>0</v>
      </c>
      <c r="C711" s="121">
        <v>45572</v>
      </c>
      <c r="D711" s="137">
        <v>0.38252314814814814</v>
      </c>
      <c r="E711" s="94">
        <v>1005</v>
      </c>
      <c r="F711" s="142">
        <v>1208</v>
      </c>
      <c r="G711" s="94" t="s">
        <v>71</v>
      </c>
      <c r="H711" s="94">
        <v>1045</v>
      </c>
      <c r="I711" s="91"/>
      <c r="J711" s="94" t="s">
        <v>72</v>
      </c>
      <c r="K711" s="91">
        <v>94.953999999999994</v>
      </c>
      <c r="L711" s="122" t="str">
        <f>VLOOKUP(K711,Liste!$L$2:$O$34,4,1)</f>
        <v>GSMR_17/18</v>
      </c>
      <c r="M711" s="133" t="s">
        <v>36</v>
      </c>
      <c r="N711" s="180" t="s">
        <v>37</v>
      </c>
      <c r="O711" s="125" t="s">
        <v>1664</v>
      </c>
      <c r="P711" s="119"/>
      <c r="Q711" s="94" t="s">
        <v>54</v>
      </c>
      <c r="R711" s="94" t="s">
        <v>808</v>
      </c>
      <c r="S711" s="91" t="s">
        <v>1665</v>
      </c>
      <c r="T711" s="94" t="s">
        <v>93</v>
      </c>
      <c r="U711" s="94" t="s">
        <v>1666</v>
      </c>
      <c r="V711" s="94" t="s">
        <v>1658</v>
      </c>
      <c r="W711" s="94" t="s">
        <v>51</v>
      </c>
      <c r="X711" s="124" t="s">
        <v>52</v>
      </c>
      <c r="Y711" s="124" t="s">
        <v>946</v>
      </c>
      <c r="Z711" s="91"/>
      <c r="AA711" s="91" t="s">
        <v>1183</v>
      </c>
      <c r="AB711" s="91"/>
      <c r="AC711" s="91"/>
      <c r="AD711" s="91"/>
      <c r="AE711" s="91"/>
      <c r="AF711" s="91"/>
      <c r="AG711" s="91"/>
      <c r="AH711" s="91"/>
    </row>
    <row r="712" spans="1:34" s="1" customFormat="1" ht="45">
      <c r="A712" s="120">
        <v>711</v>
      </c>
      <c r="B712" s="120" t="b">
        <f t="shared" ca="1" si="11"/>
        <v>0</v>
      </c>
      <c r="C712" s="121">
        <v>45572</v>
      </c>
      <c r="D712" s="137">
        <v>0.97841435185185188</v>
      </c>
      <c r="E712" s="94">
        <v>15652</v>
      </c>
      <c r="F712" s="142">
        <v>1203</v>
      </c>
      <c r="G712" s="94" t="s">
        <v>71</v>
      </c>
      <c r="H712" s="94">
        <v>1026</v>
      </c>
      <c r="I712" s="91"/>
      <c r="J712" s="94" t="s">
        <v>72</v>
      </c>
      <c r="K712" s="91">
        <v>133.49199999999999</v>
      </c>
      <c r="L712" s="122" t="str">
        <f>VLOOKUP(K712,Liste!$L$2:$O$34,4,1)</f>
        <v>GSMR_23/24</v>
      </c>
      <c r="M712" s="133" t="s">
        <v>36</v>
      </c>
      <c r="N712" s="181" t="s">
        <v>58</v>
      </c>
      <c r="O712" s="125" t="s">
        <v>1667</v>
      </c>
      <c r="P712" s="119"/>
      <c r="Q712" s="94" t="s">
        <v>54</v>
      </c>
      <c r="R712" s="94" t="s">
        <v>808</v>
      </c>
      <c r="S712" s="91" t="s">
        <v>1668</v>
      </c>
      <c r="T712" s="94" t="s">
        <v>56</v>
      </c>
      <c r="U712" s="94" t="s">
        <v>1538</v>
      </c>
      <c r="V712" s="94" t="s">
        <v>1658</v>
      </c>
      <c r="W712" s="94" t="s">
        <v>51</v>
      </c>
      <c r="X712" s="124" t="s">
        <v>52</v>
      </c>
      <c r="Y712" s="124" t="s">
        <v>946</v>
      </c>
      <c r="Z712" s="91"/>
      <c r="AA712" s="91" t="s">
        <v>754</v>
      </c>
      <c r="AB712" s="91"/>
      <c r="AC712" s="91"/>
      <c r="AD712" s="91"/>
      <c r="AE712" s="91"/>
      <c r="AF712" s="91"/>
      <c r="AG712" s="91"/>
      <c r="AH712" s="91"/>
    </row>
    <row r="713" spans="1:34" s="1" customFormat="1" ht="45">
      <c r="A713" s="120">
        <v>712</v>
      </c>
      <c r="B713" s="120" t="b">
        <f t="shared" ca="1" si="11"/>
        <v>0</v>
      </c>
      <c r="C713" s="121">
        <v>45573</v>
      </c>
      <c r="D713" s="137">
        <v>0.26810185185185187</v>
      </c>
      <c r="E713" s="94">
        <v>2001</v>
      </c>
      <c r="F713" s="142">
        <v>1212</v>
      </c>
      <c r="G713" s="94" t="s">
        <v>34</v>
      </c>
      <c r="H713" s="94">
        <v>1057</v>
      </c>
      <c r="I713" s="91"/>
      <c r="J713" s="94" t="s">
        <v>35</v>
      </c>
      <c r="K713" s="91">
        <v>73.585999999999999</v>
      </c>
      <c r="L713" s="122" t="str">
        <f>VLOOKUP(K713,Liste!$L$2:$O$34,4,1)</f>
        <v>GSMR_13/14</v>
      </c>
      <c r="M713" s="133" t="s">
        <v>36</v>
      </c>
      <c r="N713" s="180" t="s">
        <v>37</v>
      </c>
      <c r="O713" s="125" t="s">
        <v>1669</v>
      </c>
      <c r="P713" s="119"/>
      <c r="Q713" s="94" t="s">
        <v>39</v>
      </c>
      <c r="R713" s="94" t="s">
        <v>1032</v>
      </c>
      <c r="S713" s="91" t="s">
        <v>1670</v>
      </c>
      <c r="T713" s="94" t="s">
        <v>69</v>
      </c>
      <c r="U713" s="94" t="s">
        <v>1595</v>
      </c>
      <c r="V713" s="94" t="s">
        <v>1658</v>
      </c>
      <c r="W713" s="94" t="s">
        <v>51</v>
      </c>
      <c r="X713" s="124" t="s">
        <v>52</v>
      </c>
      <c r="Y713" s="124" t="s">
        <v>946</v>
      </c>
      <c r="Z713" s="91"/>
      <c r="AA713" s="91" t="s">
        <v>754</v>
      </c>
      <c r="AB713" s="91"/>
      <c r="AC713" s="91"/>
      <c r="AD713" s="91"/>
      <c r="AE713" s="91"/>
      <c r="AF713" s="91"/>
      <c r="AG713" s="91"/>
      <c r="AH713" s="91"/>
    </row>
    <row r="714" spans="1:34" s="1" customFormat="1" ht="45">
      <c r="A714" s="120">
        <v>713</v>
      </c>
      <c r="B714" s="120" t="b">
        <f t="shared" ca="1" si="11"/>
        <v>0</v>
      </c>
      <c r="C714" s="121">
        <v>45573</v>
      </c>
      <c r="D714" s="137">
        <v>0.27693287037037034</v>
      </c>
      <c r="E714" s="94">
        <v>15652</v>
      </c>
      <c r="F714" s="142">
        <v>1203</v>
      </c>
      <c r="G714" s="94" t="s">
        <v>71</v>
      </c>
      <c r="H714" s="94">
        <v>1026</v>
      </c>
      <c r="I714" s="91"/>
      <c r="J714" s="94" t="s">
        <v>72</v>
      </c>
      <c r="K714" s="152">
        <v>7.3209999999999997</v>
      </c>
      <c r="L714" s="122" t="str">
        <f>VLOOKUP(K714,Liste!$L$2:$O$34,4,1)</f>
        <v>GSMR_02/03</v>
      </c>
      <c r="M714" s="133" t="s">
        <v>36</v>
      </c>
      <c r="N714" s="181" t="s">
        <v>58</v>
      </c>
      <c r="O714" s="125" t="s">
        <v>1671</v>
      </c>
      <c r="P714" s="119"/>
      <c r="Q714" s="94" t="s">
        <v>39</v>
      </c>
      <c r="R714" s="94" t="s">
        <v>1032</v>
      </c>
      <c r="S714" s="91" t="s">
        <v>1672</v>
      </c>
      <c r="T714" s="94" t="s">
        <v>56</v>
      </c>
      <c r="U714" s="94" t="s">
        <v>1509</v>
      </c>
      <c r="V714" s="94" t="s">
        <v>1658</v>
      </c>
      <c r="W714" s="94" t="s">
        <v>51</v>
      </c>
      <c r="X714" s="124" t="s">
        <v>52</v>
      </c>
      <c r="Y714" s="124" t="s">
        <v>946</v>
      </c>
      <c r="Z714" s="91"/>
      <c r="AA714" s="91" t="s">
        <v>754</v>
      </c>
      <c r="AB714" s="91"/>
      <c r="AC714" s="91"/>
      <c r="AD714" s="91"/>
      <c r="AE714" s="91"/>
      <c r="AF714" s="91"/>
      <c r="AG714" s="91"/>
      <c r="AH714" s="91"/>
    </row>
    <row r="715" spans="1:34" s="1" customFormat="1" ht="45">
      <c r="A715" s="120">
        <v>714</v>
      </c>
      <c r="B715" s="120" t="b">
        <f t="shared" ca="1" si="11"/>
        <v>0</v>
      </c>
      <c r="C715" s="121">
        <v>45573</v>
      </c>
      <c r="D715" s="137">
        <v>0.49407407407407405</v>
      </c>
      <c r="E715" s="94">
        <v>1018</v>
      </c>
      <c r="F715" s="142">
        <v>1210</v>
      </c>
      <c r="G715" s="94" t="s">
        <v>71</v>
      </c>
      <c r="H715" s="94">
        <v>1072</v>
      </c>
      <c r="I715" s="91"/>
      <c r="J715" s="94" t="s">
        <v>72</v>
      </c>
      <c r="K715" s="91">
        <v>94.953999999999994</v>
      </c>
      <c r="L715" s="122" t="str">
        <f>VLOOKUP(K715,Liste!$L$2:$O$34,4,1)</f>
        <v>GSMR_17/18</v>
      </c>
      <c r="M715" s="133" t="s">
        <v>36</v>
      </c>
      <c r="N715" s="180" t="s">
        <v>37</v>
      </c>
      <c r="O715" s="125" t="s">
        <v>1673</v>
      </c>
      <c r="P715" s="119"/>
      <c r="Q715" s="94" t="s">
        <v>54</v>
      </c>
      <c r="R715" s="94" t="s">
        <v>808</v>
      </c>
      <c r="S715" s="91" t="s">
        <v>1674</v>
      </c>
      <c r="T715" s="94" t="s">
        <v>56</v>
      </c>
      <c r="U715" s="94" t="s">
        <v>1574</v>
      </c>
      <c r="V715" s="94" t="s">
        <v>1658</v>
      </c>
      <c r="W715" s="94" t="s">
        <v>51</v>
      </c>
      <c r="X715" s="124" t="s">
        <v>52</v>
      </c>
      <c r="Y715" s="124" t="s">
        <v>946</v>
      </c>
      <c r="Z715" s="91"/>
      <c r="AA715" s="91" t="s">
        <v>1118</v>
      </c>
      <c r="AB715" s="91"/>
      <c r="AC715" s="91"/>
      <c r="AD715" s="91"/>
      <c r="AE715" s="91"/>
      <c r="AF715" s="91"/>
      <c r="AG715" s="91"/>
      <c r="AH715" s="91"/>
    </row>
    <row r="716" spans="1:34" s="1" customFormat="1" ht="45">
      <c r="A716" s="120">
        <v>715</v>
      </c>
      <c r="B716" s="120" t="b">
        <f t="shared" ca="1" si="11"/>
        <v>0</v>
      </c>
      <c r="C716" s="121">
        <v>45573</v>
      </c>
      <c r="D716" s="137">
        <v>0.52458333333333329</v>
      </c>
      <c r="E716" s="94">
        <v>1018</v>
      </c>
      <c r="F716" s="142">
        <v>1212</v>
      </c>
      <c r="G716" s="94" t="s">
        <v>34</v>
      </c>
      <c r="H716" s="94">
        <v>1057</v>
      </c>
      <c r="I716" s="91"/>
      <c r="J716" s="94" t="s">
        <v>35</v>
      </c>
      <c r="K716" s="91">
        <v>143.11199999999999</v>
      </c>
      <c r="L716" s="122" t="str">
        <f>VLOOKUP(K716,Liste!$L$2:$O$34,4,1)</f>
        <v>GSMR_24/25</v>
      </c>
      <c r="M716" s="133" t="s">
        <v>36</v>
      </c>
      <c r="N716" s="180" t="s">
        <v>37</v>
      </c>
      <c r="O716" s="125" t="s">
        <v>1675</v>
      </c>
      <c r="P716" s="119"/>
      <c r="Q716" s="94" t="s">
        <v>39</v>
      </c>
      <c r="R716" s="94" t="s">
        <v>1032</v>
      </c>
      <c r="S716" s="91" t="s">
        <v>1676</v>
      </c>
      <c r="T716" s="94" t="s">
        <v>69</v>
      </c>
      <c r="U716" s="94" t="s">
        <v>1526</v>
      </c>
      <c r="V716" s="94" t="s">
        <v>1658</v>
      </c>
      <c r="W716" s="94" t="s">
        <v>51</v>
      </c>
      <c r="X716" s="124" t="s">
        <v>52</v>
      </c>
      <c r="Y716" s="124" t="s">
        <v>946</v>
      </c>
      <c r="Z716" s="91"/>
      <c r="AA716" s="91" t="s">
        <v>1183</v>
      </c>
      <c r="AB716" s="91"/>
      <c r="AC716" s="91"/>
      <c r="AD716" s="91"/>
      <c r="AE716" s="91"/>
      <c r="AF716" s="91"/>
      <c r="AG716" s="91"/>
      <c r="AH716" s="91"/>
    </row>
    <row r="717" spans="1:34" s="1" customFormat="1" ht="45">
      <c r="A717" s="120">
        <v>716</v>
      </c>
      <c r="B717" s="120" t="b">
        <f t="shared" ca="1" si="11"/>
        <v>0</v>
      </c>
      <c r="C717" s="121">
        <v>45574</v>
      </c>
      <c r="D717" s="137">
        <v>0.26590277777777777</v>
      </c>
      <c r="E717" s="94">
        <v>2001</v>
      </c>
      <c r="F717" s="142">
        <v>1211</v>
      </c>
      <c r="G717" s="94" t="s">
        <v>34</v>
      </c>
      <c r="H717" s="94">
        <v>1029</v>
      </c>
      <c r="I717" s="91"/>
      <c r="J717" s="94" t="s">
        <v>35</v>
      </c>
      <c r="K717" s="91">
        <v>81.777000000000001</v>
      </c>
      <c r="L717" s="122" t="str">
        <f>VLOOKUP(K717,Liste!$L$2:$O$34,4,1)</f>
        <v>GSMR_15/16</v>
      </c>
      <c r="M717" s="133" t="s">
        <v>36</v>
      </c>
      <c r="N717" s="180" t="s">
        <v>37</v>
      </c>
      <c r="O717" s="125" t="s">
        <v>1677</v>
      </c>
      <c r="P717" s="119"/>
      <c r="Q717" s="94" t="s">
        <v>39</v>
      </c>
      <c r="R717" s="94" t="s">
        <v>1032</v>
      </c>
      <c r="S717" s="91" t="s">
        <v>1678</v>
      </c>
      <c r="T717" s="94" t="s">
        <v>41</v>
      </c>
      <c r="U717" s="94" t="s">
        <v>1446</v>
      </c>
      <c r="V717" s="94" t="s">
        <v>1661</v>
      </c>
      <c r="W717" s="94" t="s">
        <v>51</v>
      </c>
      <c r="X717" s="124" t="s">
        <v>52</v>
      </c>
      <c r="Y717" s="124" t="s">
        <v>946</v>
      </c>
      <c r="Z717" s="91"/>
      <c r="AA717" s="91" t="s">
        <v>754</v>
      </c>
      <c r="AB717" s="91"/>
      <c r="AC717" s="91"/>
      <c r="AD717" s="91"/>
      <c r="AE717" s="91"/>
      <c r="AF717" s="91"/>
      <c r="AG717" s="91"/>
      <c r="AH717" s="91"/>
    </row>
    <row r="718" spans="1:34" s="1" customFormat="1" ht="45">
      <c r="A718" s="120">
        <v>717</v>
      </c>
      <c r="B718" s="120" t="b">
        <f t="shared" ca="1" si="11"/>
        <v>0</v>
      </c>
      <c r="C718" s="121">
        <v>45574</v>
      </c>
      <c r="D718" s="137">
        <v>0.57400462962962961</v>
      </c>
      <c r="E718" s="94">
        <v>2001</v>
      </c>
      <c r="F718" s="142">
        <v>1212</v>
      </c>
      <c r="G718" s="94" t="s">
        <v>71</v>
      </c>
      <c r="H718" s="94">
        <v>1023</v>
      </c>
      <c r="I718" s="91"/>
      <c r="J718" s="94" t="s">
        <v>72</v>
      </c>
      <c r="K718" s="91">
        <v>94.944999999999993</v>
      </c>
      <c r="L718" s="122" t="str">
        <f>VLOOKUP(K718,Liste!$L$2:$O$34,4,1)</f>
        <v>GSMR_17/18</v>
      </c>
      <c r="M718" s="133" t="s">
        <v>36</v>
      </c>
      <c r="N718" s="180" t="s">
        <v>37</v>
      </c>
      <c r="O718" s="125" t="s">
        <v>1679</v>
      </c>
      <c r="P718" s="119"/>
      <c r="Q718" s="94" t="s">
        <v>54</v>
      </c>
      <c r="R718" s="94" t="s">
        <v>808</v>
      </c>
      <c r="S718" s="91" t="s">
        <v>1607</v>
      </c>
      <c r="T718" s="94" t="s">
        <v>56</v>
      </c>
      <c r="U718" s="94" t="s">
        <v>1680</v>
      </c>
      <c r="V718" s="94" t="s">
        <v>51</v>
      </c>
      <c r="W718" s="94" t="s">
        <v>51</v>
      </c>
      <c r="X718" s="124" t="s">
        <v>52</v>
      </c>
      <c r="Y718" s="124" t="s">
        <v>946</v>
      </c>
      <c r="Z718" s="91"/>
      <c r="AA718" s="91" t="s">
        <v>1118</v>
      </c>
      <c r="AB718" s="91"/>
      <c r="AC718" s="91"/>
      <c r="AD718" s="91"/>
      <c r="AE718" s="91"/>
      <c r="AF718" s="91"/>
      <c r="AG718" s="91"/>
      <c r="AH718" s="91"/>
    </row>
    <row r="719" spans="1:34" s="1" customFormat="1" ht="45">
      <c r="A719" s="120">
        <v>718</v>
      </c>
      <c r="B719" s="120" t="b">
        <f t="shared" ca="1" si="11"/>
        <v>0</v>
      </c>
      <c r="C719" s="121">
        <v>45574</v>
      </c>
      <c r="D719" s="137">
        <v>0.58729166666666666</v>
      </c>
      <c r="E719" s="94">
        <v>1025</v>
      </c>
      <c r="F719" s="142">
        <v>1212</v>
      </c>
      <c r="G719" s="94" t="s">
        <v>71</v>
      </c>
      <c r="H719" s="94">
        <v>1022</v>
      </c>
      <c r="I719" s="91"/>
      <c r="J719" s="94" t="s">
        <v>72</v>
      </c>
      <c r="K719" s="152">
        <v>7.3209999999999997</v>
      </c>
      <c r="L719" s="122" t="str">
        <f>VLOOKUP(K719,Liste!$L$2:$O$34,4,1)</f>
        <v>GSMR_02/03</v>
      </c>
      <c r="M719" s="133" t="s">
        <v>36</v>
      </c>
      <c r="N719" s="180" t="s">
        <v>37</v>
      </c>
      <c r="O719" s="125" t="s">
        <v>1681</v>
      </c>
      <c r="P719" s="119"/>
      <c r="Q719" s="94" t="s">
        <v>39</v>
      </c>
      <c r="R719" s="94" t="s">
        <v>1032</v>
      </c>
      <c r="S719" s="91" t="s">
        <v>1682</v>
      </c>
      <c r="T719" s="94" t="s">
        <v>209</v>
      </c>
      <c r="U719" s="94" t="s">
        <v>1463</v>
      </c>
      <c r="V719" s="94" t="s">
        <v>51</v>
      </c>
      <c r="W719" s="94" t="s">
        <v>51</v>
      </c>
      <c r="X719" s="124" t="s">
        <v>52</v>
      </c>
      <c r="Y719" s="124" t="s">
        <v>946</v>
      </c>
      <c r="Z719" s="91"/>
      <c r="AA719" s="91" t="s">
        <v>802</v>
      </c>
      <c r="AB719" s="91"/>
      <c r="AC719" s="91"/>
      <c r="AD719" s="91"/>
      <c r="AE719" s="91"/>
      <c r="AF719" s="91"/>
      <c r="AG719" s="91"/>
      <c r="AH719" s="91"/>
    </row>
    <row r="720" spans="1:34" s="1" customFormat="1" ht="45">
      <c r="A720" s="120">
        <v>719</v>
      </c>
      <c r="B720" s="120" t="b">
        <f t="shared" ca="1" si="11"/>
        <v>0</v>
      </c>
      <c r="C720" s="121">
        <v>45574</v>
      </c>
      <c r="D720" s="137">
        <v>0.73534722222222226</v>
      </c>
      <c r="E720" s="94">
        <v>2054</v>
      </c>
      <c r="F720" s="142">
        <v>1201</v>
      </c>
      <c r="G720" s="94" t="s">
        <v>34</v>
      </c>
      <c r="H720" s="94">
        <v>7206</v>
      </c>
      <c r="I720" s="91"/>
      <c r="J720" s="94" t="s">
        <v>35</v>
      </c>
      <c r="K720" s="91">
        <v>160.60900000000001</v>
      </c>
      <c r="L720" s="122" t="str">
        <f>VLOOKUP(K720,Liste!$L$2:$O$34,4,1)</f>
        <v>GSMR_27/28</v>
      </c>
      <c r="M720" s="133" t="s">
        <v>36</v>
      </c>
      <c r="N720" s="180" t="s">
        <v>37</v>
      </c>
      <c r="O720" s="125" t="s">
        <v>1683</v>
      </c>
      <c r="P720" s="119"/>
      <c r="Q720" s="94" t="s">
        <v>39</v>
      </c>
      <c r="R720" s="94" t="s">
        <v>1032</v>
      </c>
      <c r="S720" s="91" t="s">
        <v>1684</v>
      </c>
      <c r="T720" s="94" t="s">
        <v>69</v>
      </c>
      <c r="U720" s="94" t="s">
        <v>1453</v>
      </c>
      <c r="V720" s="94" t="s">
        <v>51</v>
      </c>
      <c r="W720" s="94" t="s">
        <v>43</v>
      </c>
      <c r="X720" s="124" t="s">
        <v>52</v>
      </c>
      <c r="Y720" s="124" t="s">
        <v>946</v>
      </c>
      <c r="Z720" s="91"/>
      <c r="AA720" s="91" t="s">
        <v>778</v>
      </c>
      <c r="AB720" s="91"/>
      <c r="AC720" s="91"/>
      <c r="AD720" s="91"/>
      <c r="AE720" s="91"/>
      <c r="AF720" s="91"/>
      <c r="AG720" s="91"/>
      <c r="AH720" s="91"/>
    </row>
    <row r="721" spans="1:34" s="1" customFormat="1" ht="45">
      <c r="A721" s="120">
        <v>720</v>
      </c>
      <c r="B721" s="120" t="b">
        <f t="shared" ca="1" si="11"/>
        <v>0</v>
      </c>
      <c r="C721" s="121">
        <v>45574</v>
      </c>
      <c r="D721" s="137">
        <v>0.81917824074074075</v>
      </c>
      <c r="E721" s="94">
        <v>1049</v>
      </c>
      <c r="F721" s="142">
        <v>1212</v>
      </c>
      <c r="G721" s="94" t="s">
        <v>71</v>
      </c>
      <c r="H721" s="94">
        <v>1022</v>
      </c>
      <c r="I721" s="91"/>
      <c r="J721" s="94" t="s">
        <v>72</v>
      </c>
      <c r="K721" s="91">
        <v>160.60900000000001</v>
      </c>
      <c r="L721" s="122" t="str">
        <f>VLOOKUP(K721,Liste!$L$2:$O$34,4,1)</f>
        <v>GSMR_27/28</v>
      </c>
      <c r="M721" s="133" t="s">
        <v>36</v>
      </c>
      <c r="N721" s="180" t="s">
        <v>37</v>
      </c>
      <c r="O721" s="125" t="s">
        <v>1685</v>
      </c>
      <c r="P721" s="119"/>
      <c r="Q721" s="94" t="s">
        <v>39</v>
      </c>
      <c r="R721" s="94" t="s">
        <v>1032</v>
      </c>
      <c r="S721" s="91" t="s">
        <v>1686</v>
      </c>
      <c r="T721" s="94" t="s">
        <v>101</v>
      </c>
      <c r="U721" s="94" t="s">
        <v>1509</v>
      </c>
      <c r="V721" s="94" t="s">
        <v>51</v>
      </c>
      <c r="W721" s="94" t="s">
        <v>51</v>
      </c>
      <c r="X721" s="124" t="s">
        <v>52</v>
      </c>
      <c r="Y721" s="124" t="s">
        <v>946</v>
      </c>
      <c r="Z721" s="91"/>
      <c r="AA721" s="91" t="s">
        <v>778</v>
      </c>
      <c r="AB721" s="91"/>
      <c r="AC721" s="91"/>
      <c r="AD721" s="91"/>
      <c r="AE721" s="91"/>
      <c r="AF721" s="91"/>
      <c r="AG721" s="91"/>
      <c r="AH721" s="91"/>
    </row>
    <row r="722" spans="1:34" s="1" customFormat="1" ht="45">
      <c r="A722" s="120">
        <v>721</v>
      </c>
      <c r="B722" s="120" t="b">
        <f t="shared" ca="1" si="11"/>
        <v>0</v>
      </c>
      <c r="C722" s="121">
        <v>45574</v>
      </c>
      <c r="D722" s="137">
        <v>0.89981481481481485</v>
      </c>
      <c r="E722" s="94">
        <v>2061</v>
      </c>
      <c r="F722" s="142">
        <v>1212</v>
      </c>
      <c r="G722" s="94" t="s">
        <v>34</v>
      </c>
      <c r="H722" s="94">
        <v>1057</v>
      </c>
      <c r="I722" s="91"/>
      <c r="J722" s="94" t="s">
        <v>35</v>
      </c>
      <c r="K722" s="91">
        <v>140.65899999999999</v>
      </c>
      <c r="L722" s="122" t="str">
        <f>VLOOKUP(K722,Liste!$L$2:$O$34,4,1)</f>
        <v>GSMR_24/25</v>
      </c>
      <c r="M722" s="133" t="s">
        <v>36</v>
      </c>
      <c r="N722" s="181" t="s">
        <v>58</v>
      </c>
      <c r="O722" s="125" t="s">
        <v>1687</v>
      </c>
      <c r="P722" s="119"/>
      <c r="Q722" s="94" t="s">
        <v>105</v>
      </c>
      <c r="R722" s="94" t="s">
        <v>1072</v>
      </c>
      <c r="S722" s="91" t="s">
        <v>1572</v>
      </c>
      <c r="T722" s="94" t="s">
        <v>69</v>
      </c>
      <c r="U722" s="94" t="s">
        <v>1688</v>
      </c>
      <c r="V722" s="94" t="s">
        <v>51</v>
      </c>
      <c r="W722" s="94" t="s">
        <v>51</v>
      </c>
      <c r="X722" s="124" t="s">
        <v>52</v>
      </c>
      <c r="Y722" s="124" t="s">
        <v>1045</v>
      </c>
      <c r="Z722" s="91"/>
      <c r="AA722" s="91" t="s">
        <v>754</v>
      </c>
      <c r="AB722" s="91"/>
      <c r="AC722" s="91"/>
      <c r="AD722" s="91"/>
      <c r="AE722" s="91"/>
      <c r="AF722" s="91"/>
      <c r="AG722" s="91"/>
      <c r="AH722" s="91"/>
    </row>
    <row r="723" spans="1:34" s="1" customFormat="1" ht="45">
      <c r="A723" s="120">
        <v>722</v>
      </c>
      <c r="B723" s="120" t="b">
        <f t="shared" ca="1" si="11"/>
        <v>0</v>
      </c>
      <c r="C723" s="121">
        <v>45575</v>
      </c>
      <c r="D723" s="137">
        <v>0.37868055555555558</v>
      </c>
      <c r="E723" s="94">
        <v>2013</v>
      </c>
      <c r="F723" s="142">
        <v>1209</v>
      </c>
      <c r="G723" s="94" t="s">
        <v>34</v>
      </c>
      <c r="H723" s="94">
        <v>1058</v>
      </c>
      <c r="I723" s="91"/>
      <c r="J723" s="94" t="s">
        <v>35</v>
      </c>
      <c r="K723" s="152">
        <v>6.13</v>
      </c>
      <c r="L723" s="122" t="str">
        <f>VLOOKUP(K723,Liste!$L$2:$O$34,4,1)</f>
        <v>GSMR_02/03</v>
      </c>
      <c r="M723" s="133" t="s">
        <v>36</v>
      </c>
      <c r="N723" s="180" t="s">
        <v>37</v>
      </c>
      <c r="O723" s="125" t="s">
        <v>1689</v>
      </c>
      <c r="P723" s="119"/>
      <c r="Q723" s="94" t="s">
        <v>39</v>
      </c>
      <c r="R723" s="94" t="s">
        <v>1032</v>
      </c>
      <c r="S723" s="91" t="s">
        <v>903</v>
      </c>
      <c r="T723" s="94" t="s">
        <v>78</v>
      </c>
      <c r="U723" s="94" t="s">
        <v>1595</v>
      </c>
      <c r="V723" s="94" t="s">
        <v>51</v>
      </c>
      <c r="W723" s="94" t="s">
        <v>51</v>
      </c>
      <c r="X723" s="124" t="s">
        <v>52</v>
      </c>
      <c r="Y723" s="124" t="s">
        <v>946</v>
      </c>
      <c r="Z723" s="91"/>
      <c r="AA723" s="91" t="s">
        <v>802</v>
      </c>
      <c r="AB723" s="91"/>
      <c r="AC723" s="91"/>
      <c r="AD723" s="91"/>
      <c r="AE723" s="91"/>
      <c r="AF723" s="91"/>
      <c r="AG723" s="91"/>
      <c r="AH723" s="91"/>
    </row>
    <row r="724" spans="1:34" s="1" customFormat="1" ht="45">
      <c r="A724" s="120">
        <v>723</v>
      </c>
      <c r="B724" s="120" t="b">
        <f t="shared" ca="1" si="11"/>
        <v>0</v>
      </c>
      <c r="C724" s="121">
        <v>45575</v>
      </c>
      <c r="D724" s="137" t="s">
        <v>1690</v>
      </c>
      <c r="E724" s="94">
        <v>1025</v>
      </c>
      <c r="F724" s="142">
        <v>1209</v>
      </c>
      <c r="G724" s="94" t="s">
        <v>71</v>
      </c>
      <c r="H724" s="94">
        <v>1032</v>
      </c>
      <c r="I724" s="91"/>
      <c r="J724" s="94" t="s">
        <v>72</v>
      </c>
      <c r="K724" s="152">
        <v>7.3209999999999997</v>
      </c>
      <c r="L724" s="122" t="str">
        <f>VLOOKUP(K724,Liste!$L$2:$O$34,4,1)</f>
        <v>GSMR_02/03</v>
      </c>
      <c r="M724" s="133" t="s">
        <v>36</v>
      </c>
      <c r="N724" s="180" t="s">
        <v>37</v>
      </c>
      <c r="O724" s="125" t="s">
        <v>1691</v>
      </c>
      <c r="P724" s="119"/>
      <c r="Q724" s="94" t="s">
        <v>39</v>
      </c>
      <c r="R724" s="94" t="s">
        <v>1032</v>
      </c>
      <c r="S724" s="91" t="s">
        <v>1692</v>
      </c>
      <c r="T724" s="94" t="s">
        <v>56</v>
      </c>
      <c r="U724" s="94" t="s">
        <v>1693</v>
      </c>
      <c r="V724" s="94" t="s">
        <v>51</v>
      </c>
      <c r="W724" s="94" t="s">
        <v>51</v>
      </c>
      <c r="X724" s="124" t="s">
        <v>52</v>
      </c>
      <c r="Y724" s="124" t="s">
        <v>946</v>
      </c>
      <c r="Z724" s="91"/>
      <c r="AA724" s="91" t="s">
        <v>802</v>
      </c>
      <c r="AB724" s="91"/>
      <c r="AC724" s="91"/>
      <c r="AD724" s="91"/>
      <c r="AE724" s="91"/>
      <c r="AF724" s="91"/>
      <c r="AG724" s="91"/>
      <c r="AH724" s="91"/>
    </row>
    <row r="725" spans="1:34" s="1" customFormat="1" ht="45">
      <c r="A725" s="120">
        <v>724</v>
      </c>
      <c r="B725" s="120" t="b">
        <f t="shared" ca="1" si="11"/>
        <v>0</v>
      </c>
      <c r="C725" s="121">
        <v>45575</v>
      </c>
      <c r="D725" s="137">
        <v>0.6909953703703704</v>
      </c>
      <c r="E725" s="94">
        <v>2041</v>
      </c>
      <c r="F725" s="142">
        <v>1201</v>
      </c>
      <c r="G725" s="94" t="s">
        <v>34</v>
      </c>
      <c r="H725" s="94">
        <v>7198</v>
      </c>
      <c r="I725" s="91"/>
      <c r="J725" s="94" t="s">
        <v>35</v>
      </c>
      <c r="K725" s="91">
        <v>105.55500000000001</v>
      </c>
      <c r="L725" s="122" t="str">
        <f>VLOOKUP(K725,Liste!$L$2:$O$34,4,1)</f>
        <v>GSMR_19/20</v>
      </c>
      <c r="M725" s="133" t="s">
        <v>36</v>
      </c>
      <c r="N725" s="180" t="s">
        <v>37</v>
      </c>
      <c r="O725" s="125" t="s">
        <v>1694</v>
      </c>
      <c r="P725" s="119"/>
      <c r="Q725" s="94" t="s">
        <v>105</v>
      </c>
      <c r="R725" s="94" t="s">
        <v>1072</v>
      </c>
      <c r="S725" s="91" t="s">
        <v>1695</v>
      </c>
      <c r="T725" s="94" t="s">
        <v>69</v>
      </c>
      <c r="U725" s="94" t="s">
        <v>1453</v>
      </c>
      <c r="V725" s="94" t="s">
        <v>51</v>
      </c>
      <c r="W725" s="94" t="s">
        <v>51</v>
      </c>
      <c r="X725" s="124" t="s">
        <v>52</v>
      </c>
      <c r="Y725" s="124" t="s">
        <v>1045</v>
      </c>
      <c r="Z725" s="91"/>
      <c r="AA725" s="91" t="s">
        <v>778</v>
      </c>
      <c r="AB725" s="91"/>
      <c r="AC725" s="91"/>
      <c r="AD725" s="91"/>
      <c r="AE725" s="91"/>
      <c r="AF725" s="91"/>
      <c r="AG725" s="91"/>
      <c r="AH725" s="91"/>
    </row>
    <row r="726" spans="1:34" s="1" customFormat="1" ht="45">
      <c r="A726" s="120">
        <v>725</v>
      </c>
      <c r="B726" s="120" t="b">
        <f t="shared" ca="1" si="11"/>
        <v>0</v>
      </c>
      <c r="C726" s="121">
        <v>45575</v>
      </c>
      <c r="D726" s="137">
        <v>0.71481481481481479</v>
      </c>
      <c r="E726" s="94">
        <v>2045</v>
      </c>
      <c r="F726" s="142">
        <v>1206</v>
      </c>
      <c r="G726" s="94" t="s">
        <v>34</v>
      </c>
      <c r="H726" s="94">
        <v>1054</v>
      </c>
      <c r="I726" s="91"/>
      <c r="J726" s="94" t="s">
        <v>35</v>
      </c>
      <c r="K726" s="91">
        <v>14.99</v>
      </c>
      <c r="L726" s="122" t="str">
        <f>VLOOKUP(K726,Liste!$L$2:$O$34,4,1)</f>
        <v>GSMR_03/04</v>
      </c>
      <c r="M726" s="133" t="s">
        <v>36</v>
      </c>
      <c r="N726" s="180" t="s">
        <v>37</v>
      </c>
      <c r="O726" s="125" t="s">
        <v>1696</v>
      </c>
      <c r="P726" s="119"/>
      <c r="Q726" s="94" t="s">
        <v>39</v>
      </c>
      <c r="R726" s="94" t="s">
        <v>1032</v>
      </c>
      <c r="S726" s="91" t="s">
        <v>1697</v>
      </c>
      <c r="T726" s="94" t="s">
        <v>69</v>
      </c>
      <c r="U726" s="94" t="s">
        <v>1453</v>
      </c>
      <c r="V726" s="94" t="s">
        <v>51</v>
      </c>
      <c r="W726" s="94" t="s">
        <v>51</v>
      </c>
      <c r="X726" s="124" t="s">
        <v>52</v>
      </c>
      <c r="Y726" s="124" t="s">
        <v>946</v>
      </c>
      <c r="Z726" s="91"/>
      <c r="AA726" s="91" t="s">
        <v>778</v>
      </c>
      <c r="AB726" s="91"/>
      <c r="AC726" s="91"/>
      <c r="AD726" s="91"/>
      <c r="AE726" s="91"/>
      <c r="AF726" s="91"/>
      <c r="AG726" s="91"/>
      <c r="AH726" s="91"/>
    </row>
    <row r="727" spans="1:34" s="1" customFormat="1" ht="45">
      <c r="A727" s="120">
        <v>726</v>
      </c>
      <c r="B727" s="120" t="b">
        <f t="shared" ca="1" si="11"/>
        <v>0</v>
      </c>
      <c r="C727" s="121">
        <v>45576</v>
      </c>
      <c r="D727" s="137">
        <v>0.46214120370370371</v>
      </c>
      <c r="E727" s="94">
        <v>2021</v>
      </c>
      <c r="F727" s="142">
        <v>1202</v>
      </c>
      <c r="G727" s="94" t="s">
        <v>34</v>
      </c>
      <c r="H727" s="94">
        <v>1042</v>
      </c>
      <c r="I727" s="91"/>
      <c r="J727" s="94" t="s">
        <v>35</v>
      </c>
      <c r="K727" s="152">
        <v>6.13</v>
      </c>
      <c r="L727" s="122" t="str">
        <f>VLOOKUP(K727,Liste!$L$2:$O$34,4,1)</f>
        <v>GSMR_02/03</v>
      </c>
      <c r="M727" s="133" t="s">
        <v>36</v>
      </c>
      <c r="N727" s="181" t="s">
        <v>58</v>
      </c>
      <c r="O727" s="125" t="s">
        <v>1698</v>
      </c>
      <c r="P727" s="119"/>
      <c r="Q727" s="94" t="s">
        <v>39</v>
      </c>
      <c r="R727" s="94" t="s">
        <v>1032</v>
      </c>
      <c r="S727" s="91" t="s">
        <v>1699</v>
      </c>
      <c r="T727" s="94" t="s">
        <v>56</v>
      </c>
      <c r="U727" s="94" t="s">
        <v>1526</v>
      </c>
      <c r="V727" s="94" t="s">
        <v>51</v>
      </c>
      <c r="W727" s="94" t="s">
        <v>51</v>
      </c>
      <c r="X727" s="124" t="s">
        <v>52</v>
      </c>
      <c r="Y727" s="124" t="s">
        <v>1700</v>
      </c>
      <c r="Z727" s="91"/>
      <c r="AA727" s="91" t="s">
        <v>1118</v>
      </c>
      <c r="AB727" s="91"/>
      <c r="AC727" s="91"/>
      <c r="AD727" s="91"/>
      <c r="AE727" s="91"/>
      <c r="AF727" s="91"/>
      <c r="AG727" s="91"/>
      <c r="AH727" s="91"/>
    </row>
    <row r="728" spans="1:34" s="1" customFormat="1" ht="45">
      <c r="A728" s="120">
        <v>727</v>
      </c>
      <c r="B728" s="120" t="b">
        <f t="shared" ca="1" si="11"/>
        <v>0</v>
      </c>
      <c r="C728" s="121">
        <v>45576</v>
      </c>
      <c r="D728" s="137">
        <v>0.50373842592592588</v>
      </c>
      <c r="E728" s="94">
        <v>2025</v>
      </c>
      <c r="F728" s="142">
        <v>1201</v>
      </c>
      <c r="G728" s="94" t="s">
        <v>34</v>
      </c>
      <c r="H728" s="94">
        <v>7206</v>
      </c>
      <c r="I728" s="91"/>
      <c r="J728" s="94" t="s">
        <v>35</v>
      </c>
      <c r="K728" s="152" t="s">
        <v>1701</v>
      </c>
      <c r="L728" s="122" t="s">
        <v>790</v>
      </c>
      <c r="M728" s="133" t="s">
        <v>36</v>
      </c>
      <c r="N728" s="180" t="s">
        <v>37</v>
      </c>
      <c r="O728" s="125" t="s">
        <v>1702</v>
      </c>
      <c r="P728" s="119"/>
      <c r="Q728" s="94" t="s">
        <v>39</v>
      </c>
      <c r="R728" s="94" t="s">
        <v>1032</v>
      </c>
      <c r="S728" s="91" t="s">
        <v>1703</v>
      </c>
      <c r="T728" s="94" t="s">
        <v>56</v>
      </c>
      <c r="U728" s="94" t="s">
        <v>1460</v>
      </c>
      <c r="V728" s="94" t="s">
        <v>43</v>
      </c>
      <c r="W728" s="94" t="s">
        <v>51</v>
      </c>
      <c r="X728" s="124" t="s">
        <v>52</v>
      </c>
      <c r="Y728" s="124" t="s">
        <v>946</v>
      </c>
      <c r="Z728" s="91"/>
      <c r="AA728" s="91" t="s">
        <v>802</v>
      </c>
      <c r="AB728" s="91"/>
      <c r="AC728" s="91"/>
      <c r="AD728" s="91"/>
      <c r="AE728" s="91"/>
      <c r="AF728" s="91"/>
      <c r="AG728" s="91"/>
      <c r="AH728" s="91"/>
    </row>
    <row r="729" spans="1:34" s="1" customFormat="1" ht="45">
      <c r="A729" s="120">
        <v>728</v>
      </c>
      <c r="B729" s="120" t="b">
        <f t="shared" ca="1" si="11"/>
        <v>0</v>
      </c>
      <c r="C729" s="121">
        <v>45576</v>
      </c>
      <c r="D729" s="137">
        <v>0.75521990740740741</v>
      </c>
      <c r="E729" s="94">
        <v>1041</v>
      </c>
      <c r="F729" s="142">
        <v>1209</v>
      </c>
      <c r="G729" s="94" t="s">
        <v>71</v>
      </c>
      <c r="H729" s="94">
        <v>1032</v>
      </c>
      <c r="I729" s="91"/>
      <c r="J729" s="94" t="s">
        <v>72</v>
      </c>
      <c r="K729" s="152">
        <v>7.3209999999999997</v>
      </c>
      <c r="L729" s="122" t="s">
        <v>790</v>
      </c>
      <c r="M729" s="133" t="s">
        <v>36</v>
      </c>
      <c r="N729" s="180" t="s">
        <v>37</v>
      </c>
      <c r="O729" s="125" t="s">
        <v>1704</v>
      </c>
      <c r="P729" s="119"/>
      <c r="Q729" s="94" t="s">
        <v>39</v>
      </c>
      <c r="R729" s="94" t="s">
        <v>1032</v>
      </c>
      <c r="S729" s="91" t="s">
        <v>1705</v>
      </c>
      <c r="T729" s="94" t="s">
        <v>69</v>
      </c>
      <c r="U729" s="94" t="s">
        <v>1484</v>
      </c>
      <c r="V729" s="94" t="s">
        <v>51</v>
      </c>
      <c r="W729" s="94" t="s">
        <v>43</v>
      </c>
      <c r="X729" s="124" t="s">
        <v>52</v>
      </c>
      <c r="Y729" s="124" t="s">
        <v>946</v>
      </c>
      <c r="Z729" s="91"/>
      <c r="AA729" s="91" t="s">
        <v>778</v>
      </c>
      <c r="AB729" s="91"/>
      <c r="AC729" s="91"/>
      <c r="AD729" s="91"/>
      <c r="AE729" s="91"/>
      <c r="AF729" s="91"/>
      <c r="AG729" s="91"/>
      <c r="AH729" s="91"/>
    </row>
    <row r="730" spans="1:34" s="1" customFormat="1" ht="45">
      <c r="A730" s="120">
        <v>729</v>
      </c>
      <c r="B730" s="120" t="b">
        <f t="shared" ca="1" si="11"/>
        <v>0</v>
      </c>
      <c r="C730" s="121">
        <v>45577</v>
      </c>
      <c r="D730" s="137">
        <v>0.59143518518518523</v>
      </c>
      <c r="E730" s="94">
        <v>2033</v>
      </c>
      <c r="F730" s="142">
        <v>1206</v>
      </c>
      <c r="G730" s="94" t="s">
        <v>34</v>
      </c>
      <c r="H730" s="94">
        <v>1054</v>
      </c>
      <c r="I730" s="91"/>
      <c r="J730" s="94" t="s">
        <v>35</v>
      </c>
      <c r="K730" s="91">
        <v>22.91</v>
      </c>
      <c r="L730" s="122" t="str">
        <f>VLOOKUP(K730,Liste!$L$2:$O$34,4,1)</f>
        <v>GSMR_04/05</v>
      </c>
      <c r="M730" s="133" t="s">
        <v>36</v>
      </c>
      <c r="N730" s="180" t="s">
        <v>37</v>
      </c>
      <c r="O730" s="125" t="s">
        <v>1706</v>
      </c>
      <c r="P730" s="119"/>
      <c r="Q730" s="94" t="s">
        <v>39</v>
      </c>
      <c r="R730" s="94" t="s">
        <v>1032</v>
      </c>
      <c r="S730" s="91" t="s">
        <v>1707</v>
      </c>
      <c r="T730" s="94" t="s">
        <v>78</v>
      </c>
      <c r="U730" s="94" t="s">
        <v>1453</v>
      </c>
      <c r="V730" s="94" t="s">
        <v>51</v>
      </c>
      <c r="W730" s="94" t="s">
        <v>51</v>
      </c>
      <c r="X730" s="124" t="s">
        <v>52</v>
      </c>
      <c r="Y730" s="124" t="s">
        <v>946</v>
      </c>
      <c r="Z730" s="91"/>
      <c r="AA730" s="91" t="s">
        <v>778</v>
      </c>
      <c r="AB730" s="91"/>
      <c r="AC730" s="91"/>
      <c r="AD730" s="91"/>
      <c r="AE730" s="91"/>
      <c r="AF730" s="91"/>
      <c r="AG730" s="91"/>
      <c r="AH730" s="91"/>
    </row>
    <row r="731" spans="1:34" s="1" customFormat="1" ht="45">
      <c r="A731" s="120">
        <v>730</v>
      </c>
      <c r="B731" s="120" t="b">
        <f t="shared" ca="1" si="11"/>
        <v>0</v>
      </c>
      <c r="C731" s="121">
        <v>45577</v>
      </c>
      <c r="D731" s="137">
        <v>0.69844907407407408</v>
      </c>
      <c r="E731" s="94">
        <v>1038</v>
      </c>
      <c r="F731" s="142">
        <v>1201</v>
      </c>
      <c r="G731" s="94" t="s">
        <v>71</v>
      </c>
      <c r="H731" s="94">
        <v>1061</v>
      </c>
      <c r="I731" s="91"/>
      <c r="J731" s="94" t="s">
        <v>72</v>
      </c>
      <c r="K731" s="91">
        <v>130.48400000000001</v>
      </c>
      <c r="L731" s="122" t="str">
        <f>VLOOKUP(K731,Liste!$L$2:$O$34,4,1)</f>
        <v>GSMR_23/24</v>
      </c>
      <c r="M731" s="133" t="s">
        <v>36</v>
      </c>
      <c r="N731" s="180" t="s">
        <v>37</v>
      </c>
      <c r="O731" s="125" t="s">
        <v>1708</v>
      </c>
      <c r="P731" s="119"/>
      <c r="Q731" s="94" t="s">
        <v>39</v>
      </c>
      <c r="R731" s="94" t="s">
        <v>1032</v>
      </c>
      <c r="S731" s="91" t="s">
        <v>1404</v>
      </c>
      <c r="T731" s="94" t="s">
        <v>69</v>
      </c>
      <c r="U731" s="94" t="s">
        <v>1453</v>
      </c>
      <c r="V731" s="94" t="s">
        <v>51</v>
      </c>
      <c r="W731" s="94" t="s">
        <v>51</v>
      </c>
      <c r="X731" s="124" t="s">
        <v>52</v>
      </c>
      <c r="Y731" s="124" t="s">
        <v>946</v>
      </c>
      <c r="Z731" s="91"/>
      <c r="AA731" s="91" t="s">
        <v>778</v>
      </c>
      <c r="AB731" s="91"/>
      <c r="AC731" s="91"/>
      <c r="AD731" s="91"/>
      <c r="AE731" s="91"/>
      <c r="AF731" s="91"/>
      <c r="AG731" s="91"/>
      <c r="AH731" s="91"/>
    </row>
    <row r="732" spans="1:34" s="1" customFormat="1" ht="45">
      <c r="A732" s="120">
        <v>731</v>
      </c>
      <c r="B732" s="120" t="b">
        <f t="shared" ca="1" si="11"/>
        <v>0</v>
      </c>
      <c r="C732" s="121">
        <v>45577</v>
      </c>
      <c r="D732" s="137">
        <v>0.71702546296296299</v>
      </c>
      <c r="E732" s="94">
        <v>1038</v>
      </c>
      <c r="F732" s="142">
        <v>1201</v>
      </c>
      <c r="G732" s="94" t="s">
        <v>71</v>
      </c>
      <c r="H732" s="94">
        <v>1060</v>
      </c>
      <c r="I732" s="91"/>
      <c r="J732" s="94" t="s">
        <v>72</v>
      </c>
      <c r="K732" s="152">
        <v>7.3209999999999997</v>
      </c>
      <c r="L732" s="122" t="str">
        <f>VLOOKUP(K732,Liste!$L$2:$O$34,4,1)</f>
        <v>GSMR_02/03</v>
      </c>
      <c r="M732" s="133" t="s">
        <v>36</v>
      </c>
      <c r="N732" s="180" t="s">
        <v>37</v>
      </c>
      <c r="O732" s="125" t="s">
        <v>1709</v>
      </c>
      <c r="P732" s="119"/>
      <c r="Q732" s="94" t="s">
        <v>39</v>
      </c>
      <c r="R732" s="94" t="s">
        <v>1032</v>
      </c>
      <c r="S732" s="91" t="s">
        <v>1255</v>
      </c>
      <c r="T732" s="94" t="s">
        <v>56</v>
      </c>
      <c r="U732" s="94" t="s">
        <v>1710</v>
      </c>
      <c r="V732" s="94" t="s">
        <v>51</v>
      </c>
      <c r="W732" s="94" t="s">
        <v>43</v>
      </c>
      <c r="X732" s="124" t="s">
        <v>52</v>
      </c>
      <c r="Y732" s="124" t="s">
        <v>946</v>
      </c>
      <c r="Z732" s="91"/>
      <c r="AA732" s="91" t="s">
        <v>778</v>
      </c>
      <c r="AB732" s="91"/>
      <c r="AC732" s="91"/>
      <c r="AD732" s="91"/>
      <c r="AE732" s="91"/>
      <c r="AF732" s="91"/>
      <c r="AG732" s="91"/>
      <c r="AH732" s="91"/>
    </row>
    <row r="733" spans="1:34" s="1" customFormat="1" ht="45">
      <c r="A733" s="120">
        <v>732</v>
      </c>
      <c r="B733" s="120" t="b">
        <f t="shared" ca="1" si="11"/>
        <v>0</v>
      </c>
      <c r="C733" s="121">
        <v>45577</v>
      </c>
      <c r="D733" s="137">
        <v>0.8187268518518519</v>
      </c>
      <c r="E733" s="94">
        <v>1050</v>
      </c>
      <c r="F733" s="142">
        <v>1205</v>
      </c>
      <c r="G733" s="94" t="s">
        <v>71</v>
      </c>
      <c r="H733" s="94">
        <v>1060</v>
      </c>
      <c r="I733" s="91"/>
      <c r="J733" s="94" t="s">
        <v>72</v>
      </c>
      <c r="K733" s="91">
        <v>134.30000000000001</v>
      </c>
      <c r="L733" s="122" t="str">
        <f>VLOOKUP(K733,Liste!$L$2:$O$34,4,1)</f>
        <v>GSMR_23/24</v>
      </c>
      <c r="M733" s="133" t="s">
        <v>36</v>
      </c>
      <c r="N733" s="180" t="s">
        <v>37</v>
      </c>
      <c r="O733" s="125" t="s">
        <v>1711</v>
      </c>
      <c r="P733" s="119"/>
      <c r="Q733" s="94" t="s">
        <v>39</v>
      </c>
      <c r="R733" s="94" t="s">
        <v>1032</v>
      </c>
      <c r="S733" s="91" t="s">
        <v>1712</v>
      </c>
      <c r="T733" s="94" t="s">
        <v>69</v>
      </c>
      <c r="U733" s="94" t="s">
        <v>1632</v>
      </c>
      <c r="V733" s="94" t="s">
        <v>51</v>
      </c>
      <c r="W733" s="94" t="s">
        <v>51</v>
      </c>
      <c r="X733" s="124" t="s">
        <v>52</v>
      </c>
      <c r="Y733" s="124" t="s">
        <v>946</v>
      </c>
      <c r="Z733" s="91"/>
      <c r="AA733" s="91" t="s">
        <v>778</v>
      </c>
      <c r="AB733" s="91"/>
      <c r="AC733" s="91"/>
      <c r="AD733" s="91"/>
      <c r="AE733" s="91"/>
      <c r="AF733" s="91"/>
      <c r="AG733" s="91"/>
      <c r="AH733" s="91"/>
    </row>
    <row r="734" spans="1:34" s="1" customFormat="1" ht="45">
      <c r="A734" s="120">
        <v>733</v>
      </c>
      <c r="B734" s="120" t="b">
        <f t="shared" ca="1" si="11"/>
        <v>0</v>
      </c>
      <c r="C734" s="121">
        <v>45577</v>
      </c>
      <c r="D734" s="137">
        <v>0.94755787037037043</v>
      </c>
      <c r="E734" s="94">
        <v>2061</v>
      </c>
      <c r="F734" s="142">
        <v>1202</v>
      </c>
      <c r="G734" s="94" t="s">
        <v>34</v>
      </c>
      <c r="H734" s="94">
        <v>1042</v>
      </c>
      <c r="I734" s="91"/>
      <c r="J734" s="94" t="s">
        <v>35</v>
      </c>
      <c r="K734" s="152">
        <v>8.1999999999999993</v>
      </c>
      <c r="L734" s="122" t="str">
        <f>VLOOKUP(K734,Liste!$L$2:$O$34,4,1)</f>
        <v>GSMR_02/03</v>
      </c>
      <c r="M734" s="133" t="s">
        <v>36</v>
      </c>
      <c r="N734" s="180" t="s">
        <v>37</v>
      </c>
      <c r="O734" s="125" t="s">
        <v>1713</v>
      </c>
      <c r="P734" s="119"/>
      <c r="Q734" s="94" t="s">
        <v>39</v>
      </c>
      <c r="R734" s="94" t="s">
        <v>1032</v>
      </c>
      <c r="S734" s="91" t="s">
        <v>1255</v>
      </c>
      <c r="T734" s="94" t="s">
        <v>56</v>
      </c>
      <c r="U734" s="94" t="s">
        <v>1632</v>
      </c>
      <c r="V734" s="94" t="s">
        <v>43</v>
      </c>
      <c r="W734" s="94" t="s">
        <v>51</v>
      </c>
      <c r="X734" s="124" t="s">
        <v>52</v>
      </c>
      <c r="Y734" s="124" t="s">
        <v>1714</v>
      </c>
      <c r="Z734" s="91"/>
      <c r="AA734" s="91" t="s">
        <v>772</v>
      </c>
      <c r="AB734" s="91"/>
      <c r="AC734" s="91"/>
      <c r="AD734" s="91"/>
      <c r="AE734" s="91"/>
      <c r="AF734" s="91"/>
      <c r="AG734" s="91"/>
      <c r="AH734" s="91"/>
    </row>
    <row r="735" spans="1:34" s="1" customFormat="1" ht="45">
      <c r="A735" s="120">
        <v>734</v>
      </c>
      <c r="B735" s="120" t="b">
        <f t="shared" ca="1" si="11"/>
        <v>0</v>
      </c>
      <c r="C735" s="121">
        <v>45577</v>
      </c>
      <c r="D735" s="137">
        <v>0.87858796296296293</v>
      </c>
      <c r="E735" s="94">
        <v>2061</v>
      </c>
      <c r="F735" s="142">
        <v>1205</v>
      </c>
      <c r="G735" s="94" t="s">
        <v>34</v>
      </c>
      <c r="H735" s="94">
        <v>7217</v>
      </c>
      <c r="I735" s="91"/>
      <c r="J735" s="94" t="s">
        <v>35</v>
      </c>
      <c r="K735" s="152">
        <v>8.1999999999999993</v>
      </c>
      <c r="L735" s="122" t="str">
        <f>VLOOKUP(K735,Liste!$L$2:$O$34,4,1)</f>
        <v>GSMR_02/03</v>
      </c>
      <c r="M735" s="133" t="s">
        <v>36</v>
      </c>
      <c r="N735" s="181" t="s">
        <v>58</v>
      </c>
      <c r="O735" s="125" t="s">
        <v>1715</v>
      </c>
      <c r="P735" s="119"/>
      <c r="Q735" s="94" t="s">
        <v>39</v>
      </c>
      <c r="R735" s="94" t="s">
        <v>1032</v>
      </c>
      <c r="S735" s="91" t="s">
        <v>1551</v>
      </c>
      <c r="T735" s="94" t="s">
        <v>56</v>
      </c>
      <c r="U735" s="94" t="s">
        <v>1632</v>
      </c>
      <c r="V735" s="94" t="s">
        <v>43</v>
      </c>
      <c r="W735" s="94" t="s">
        <v>51</v>
      </c>
      <c r="X735" s="124" t="s">
        <v>52</v>
      </c>
      <c r="Y735" s="124" t="s">
        <v>1714</v>
      </c>
      <c r="Z735" s="91"/>
      <c r="AA735" s="91" t="s">
        <v>772</v>
      </c>
      <c r="AB735" s="91"/>
      <c r="AC735" s="91"/>
      <c r="AD735" s="91"/>
      <c r="AE735" s="91"/>
      <c r="AF735" s="91"/>
      <c r="AG735" s="91"/>
      <c r="AH735" s="91"/>
    </row>
    <row r="736" spans="1:34" s="1" customFormat="1" ht="45">
      <c r="A736" s="120">
        <v>735</v>
      </c>
      <c r="B736" s="120" t="b">
        <f t="shared" ca="1" si="11"/>
        <v>0</v>
      </c>
      <c r="C736" s="121">
        <v>45578</v>
      </c>
      <c r="D736" s="137">
        <v>0.23300925925925925</v>
      </c>
      <c r="E736" s="94">
        <v>10071</v>
      </c>
      <c r="F736" s="142">
        <v>1212</v>
      </c>
      <c r="G736" s="94" t="s">
        <v>34</v>
      </c>
      <c r="H736" s="94">
        <v>1057</v>
      </c>
      <c r="I736" s="91"/>
      <c r="J736" s="94" t="s">
        <v>35</v>
      </c>
      <c r="K736" s="91">
        <v>93.757999999999996</v>
      </c>
      <c r="L736" s="122" t="str">
        <f>VLOOKUP(K736,Liste!$L$2:$O$34,4,1)</f>
        <v>GSMR_17/18</v>
      </c>
      <c r="M736" s="133" t="s">
        <v>36</v>
      </c>
      <c r="N736" s="180" t="s">
        <v>37</v>
      </c>
      <c r="O736" s="125" t="s">
        <v>1716</v>
      </c>
      <c r="P736" s="119"/>
      <c r="Q736" s="94" t="s">
        <v>105</v>
      </c>
      <c r="R736" s="94" t="s">
        <v>1072</v>
      </c>
      <c r="S736" s="91" t="s">
        <v>1717</v>
      </c>
      <c r="T736" s="94" t="s">
        <v>69</v>
      </c>
      <c r="U736" s="94" t="s">
        <v>1718</v>
      </c>
      <c r="V736" s="94" t="s">
        <v>51</v>
      </c>
      <c r="W736" s="94" t="s">
        <v>51</v>
      </c>
      <c r="X736" s="124" t="s">
        <v>52</v>
      </c>
      <c r="Y736" s="124" t="s">
        <v>1714</v>
      </c>
      <c r="Z736" s="91"/>
      <c r="AA736" s="91" t="s">
        <v>772</v>
      </c>
      <c r="AB736" s="91"/>
      <c r="AC736" s="91"/>
      <c r="AD736" s="91"/>
      <c r="AE736" s="91"/>
      <c r="AF736" s="91"/>
      <c r="AG736" s="91"/>
      <c r="AH736" s="91"/>
    </row>
    <row r="737" spans="1:34" s="1" customFormat="1" ht="45">
      <c r="A737" s="120">
        <v>736</v>
      </c>
      <c r="B737" s="120" t="b">
        <f t="shared" ca="1" si="11"/>
        <v>0</v>
      </c>
      <c r="C737" s="121">
        <v>45578</v>
      </c>
      <c r="D737" s="137">
        <v>0.3775810185185185</v>
      </c>
      <c r="E737" s="94">
        <v>1006</v>
      </c>
      <c r="F737" s="142">
        <v>1201</v>
      </c>
      <c r="G737" s="94" t="s">
        <v>71</v>
      </c>
      <c r="H737" s="94">
        <v>1061</v>
      </c>
      <c r="I737" s="91"/>
      <c r="J737" s="94" t="s">
        <v>72</v>
      </c>
      <c r="K737" s="91">
        <v>26.739000000000001</v>
      </c>
      <c r="L737" s="122" t="str">
        <f>VLOOKUP(K737,Liste!$L$2:$O$34,4,1)</f>
        <v>GSMR_05/06</v>
      </c>
      <c r="M737" s="133" t="s">
        <v>36</v>
      </c>
      <c r="N737" s="181" t="s">
        <v>58</v>
      </c>
      <c r="O737" s="125" t="s">
        <v>1719</v>
      </c>
      <c r="P737" s="119"/>
      <c r="Q737" s="94" t="s">
        <v>54</v>
      </c>
      <c r="R737" s="94" t="s">
        <v>1479</v>
      </c>
      <c r="S737" s="91" t="s">
        <v>1720</v>
      </c>
      <c r="T737" s="94" t="s">
        <v>78</v>
      </c>
      <c r="U737" s="94" t="s">
        <v>1721</v>
      </c>
      <c r="V737" s="94" t="s">
        <v>51</v>
      </c>
      <c r="W737" s="94" t="s">
        <v>51</v>
      </c>
      <c r="X737" s="124" t="s">
        <v>52</v>
      </c>
      <c r="Y737" s="124" t="s">
        <v>622</v>
      </c>
      <c r="Z737" s="91"/>
      <c r="AA737" s="91" t="s">
        <v>793</v>
      </c>
      <c r="AB737" s="91"/>
      <c r="AC737" s="91"/>
      <c r="AD737" s="91"/>
      <c r="AE737" s="91"/>
      <c r="AF737" s="91"/>
      <c r="AG737" s="91"/>
      <c r="AH737" s="91"/>
    </row>
    <row r="738" spans="1:34" s="1" customFormat="1" ht="45">
      <c r="A738" s="120">
        <v>737</v>
      </c>
      <c r="B738" s="120" t="b">
        <f t="shared" ca="1" si="11"/>
        <v>0</v>
      </c>
      <c r="C738" s="121">
        <v>45578</v>
      </c>
      <c r="D738" s="137">
        <v>0.4382638888888889</v>
      </c>
      <c r="E738" s="94">
        <v>1006</v>
      </c>
      <c r="F738" s="142">
        <v>1201</v>
      </c>
      <c r="G738" s="94" t="s">
        <v>34</v>
      </c>
      <c r="H738" s="94">
        <v>7198</v>
      </c>
      <c r="I738" s="91"/>
      <c r="J738" s="94" t="s">
        <v>35</v>
      </c>
      <c r="K738" s="91">
        <v>129.18</v>
      </c>
      <c r="L738" s="122" t="str">
        <f>VLOOKUP(K738,Liste!$L$2:$O$34,4,1)</f>
        <v>GSMR_23/24</v>
      </c>
      <c r="M738" s="133" t="s">
        <v>36</v>
      </c>
      <c r="N738" s="180" t="s">
        <v>37</v>
      </c>
      <c r="O738" s="125" t="s">
        <v>1722</v>
      </c>
      <c r="P738" s="119"/>
      <c r="Q738" s="94" t="s">
        <v>39</v>
      </c>
      <c r="R738" s="94" t="s">
        <v>1032</v>
      </c>
      <c r="S738" s="91" t="s">
        <v>1723</v>
      </c>
      <c r="T738" s="94" t="s">
        <v>78</v>
      </c>
      <c r="U738" s="94" t="s">
        <v>1453</v>
      </c>
      <c r="V738" s="94" t="s">
        <v>51</v>
      </c>
      <c r="W738" s="94" t="s">
        <v>51</v>
      </c>
      <c r="X738" s="124" t="s">
        <v>52</v>
      </c>
      <c r="Y738" s="124" t="s">
        <v>622</v>
      </c>
      <c r="Z738" s="91"/>
      <c r="AA738" s="91" t="s">
        <v>793</v>
      </c>
      <c r="AB738" s="91"/>
      <c r="AC738" s="91"/>
      <c r="AD738" s="91"/>
      <c r="AE738" s="91"/>
      <c r="AF738" s="91"/>
      <c r="AG738" s="91"/>
      <c r="AH738" s="91"/>
    </row>
    <row r="739" spans="1:34" s="1" customFormat="1" ht="45">
      <c r="A739" s="120">
        <v>738</v>
      </c>
      <c r="B739" s="120" t="b">
        <f t="shared" ca="1" si="11"/>
        <v>0</v>
      </c>
      <c r="C739" s="121">
        <v>45578</v>
      </c>
      <c r="D739" s="137">
        <v>0.65637731481481476</v>
      </c>
      <c r="E739" s="94">
        <v>1034</v>
      </c>
      <c r="F739" s="142">
        <v>1210</v>
      </c>
      <c r="G739" s="94" t="s">
        <v>71</v>
      </c>
      <c r="H739" s="94">
        <v>1072</v>
      </c>
      <c r="I739" s="91"/>
      <c r="J739" s="94" t="s">
        <v>72</v>
      </c>
      <c r="K739" s="91">
        <v>94.953999999999994</v>
      </c>
      <c r="L739" s="122" t="str">
        <f>VLOOKUP(K739,Liste!$L$2:$O$34,4,1)</f>
        <v>GSMR_17/18</v>
      </c>
      <c r="M739" s="133" t="s">
        <v>36</v>
      </c>
      <c r="N739" s="180" t="s">
        <v>37</v>
      </c>
      <c r="O739" s="125" t="s">
        <v>1724</v>
      </c>
      <c r="P739" s="119"/>
      <c r="Q739" s="94" t="s">
        <v>39</v>
      </c>
      <c r="R739" s="94" t="s">
        <v>1032</v>
      </c>
      <c r="S739" s="91" t="s">
        <v>1725</v>
      </c>
      <c r="T739" s="94" t="s">
        <v>56</v>
      </c>
      <c r="U739" s="94" t="s">
        <v>1570</v>
      </c>
      <c r="V739" s="94" t="s">
        <v>51</v>
      </c>
      <c r="W739" s="94" t="s">
        <v>51</v>
      </c>
      <c r="X739" s="124" t="s">
        <v>52</v>
      </c>
      <c r="Y739" s="124" t="s">
        <v>622</v>
      </c>
      <c r="Z739" s="91"/>
      <c r="AA739" s="91" t="s">
        <v>778</v>
      </c>
      <c r="AB739" s="91"/>
      <c r="AC739" s="91"/>
      <c r="AD739" s="91"/>
      <c r="AE739" s="91"/>
      <c r="AF739" s="91"/>
      <c r="AG739" s="91"/>
      <c r="AH739" s="91"/>
    </row>
    <row r="740" spans="1:34" s="1" customFormat="1" ht="45">
      <c r="A740" s="120">
        <v>739</v>
      </c>
      <c r="B740" s="120" t="b">
        <f t="shared" ca="1" si="11"/>
        <v>0</v>
      </c>
      <c r="C740" s="121">
        <v>45579</v>
      </c>
      <c r="D740" s="137">
        <v>0.18974537037037037</v>
      </c>
      <c r="E740" s="94">
        <v>2041</v>
      </c>
      <c r="F740" s="142">
        <v>1205</v>
      </c>
      <c r="G740" s="94" t="s">
        <v>34</v>
      </c>
      <c r="H740" s="94">
        <v>7218</v>
      </c>
      <c r="I740" s="91"/>
      <c r="J740" s="94" t="s">
        <v>35</v>
      </c>
      <c r="K740" s="91">
        <v>75.84</v>
      </c>
      <c r="L740" s="122" t="str">
        <f>VLOOKUP(K740,Liste!$L$2:$O$34,4,1)</f>
        <v>GSMR_13/14</v>
      </c>
      <c r="M740" s="133" t="s">
        <v>36</v>
      </c>
      <c r="N740" s="180" t="s">
        <v>37</v>
      </c>
      <c r="O740" s="125" t="s">
        <v>1726</v>
      </c>
      <c r="P740" s="127"/>
      <c r="Q740" s="91" t="s">
        <v>47</v>
      </c>
      <c r="R740" s="94" t="s">
        <v>808</v>
      </c>
      <c r="S740" s="91" t="s">
        <v>1727</v>
      </c>
      <c r="T740" s="94" t="s">
        <v>69</v>
      </c>
      <c r="U740" s="94" t="s">
        <v>1453</v>
      </c>
      <c r="V740" s="94" t="s">
        <v>51</v>
      </c>
      <c r="W740" s="94" t="s">
        <v>51</v>
      </c>
      <c r="X740" s="124" t="s">
        <v>52</v>
      </c>
      <c r="Y740" s="124" t="s">
        <v>622</v>
      </c>
      <c r="Z740" s="91"/>
      <c r="AA740" s="91" t="s">
        <v>772</v>
      </c>
      <c r="AB740" s="91"/>
      <c r="AC740" s="91"/>
      <c r="AD740" s="91"/>
      <c r="AE740" s="91"/>
      <c r="AF740" s="91"/>
      <c r="AG740" s="91"/>
      <c r="AH740" s="91"/>
    </row>
    <row r="741" spans="1:34" s="1" customFormat="1" ht="45">
      <c r="A741" s="120">
        <v>740</v>
      </c>
      <c r="B741" s="120" t="b">
        <f t="shared" ca="1" si="11"/>
        <v>0</v>
      </c>
      <c r="C741" s="121">
        <v>45579</v>
      </c>
      <c r="D741" s="137">
        <v>0.31199074074074074</v>
      </c>
      <c r="E741" s="94">
        <v>1002</v>
      </c>
      <c r="F741" s="142">
        <v>1212</v>
      </c>
      <c r="G741" s="94" t="s">
        <v>71</v>
      </c>
      <c r="H741" s="94">
        <v>1022</v>
      </c>
      <c r="I741" s="91"/>
      <c r="J741" s="94" t="s">
        <v>72</v>
      </c>
      <c r="K741" s="91">
        <v>39.215000000000003</v>
      </c>
      <c r="L741" s="122" t="str">
        <f>VLOOKUP(K741,Liste!$L$2:$O$34,4,1)</f>
        <v>GSMR_07/08</v>
      </c>
      <c r="M741" s="133" t="s">
        <v>36</v>
      </c>
      <c r="N741" s="180" t="s">
        <v>37</v>
      </c>
      <c r="O741" s="125" t="s">
        <v>1728</v>
      </c>
      <c r="P741" s="119"/>
      <c r="Q741" s="94" t="s">
        <v>39</v>
      </c>
      <c r="R741" s="94" t="s">
        <v>1032</v>
      </c>
      <c r="S741" s="91" t="s">
        <v>1729</v>
      </c>
      <c r="T741" s="94" t="s">
        <v>69</v>
      </c>
      <c r="U741" s="94" t="s">
        <v>1730</v>
      </c>
      <c r="V741" s="94" t="s">
        <v>51</v>
      </c>
      <c r="W741" s="94" t="s">
        <v>51</v>
      </c>
      <c r="X741" s="124" t="s">
        <v>52</v>
      </c>
      <c r="Y741" s="124" t="s">
        <v>622</v>
      </c>
      <c r="Z741" s="91"/>
      <c r="AA741" s="91" t="s">
        <v>793</v>
      </c>
      <c r="AB741" s="91"/>
      <c r="AC741" s="91"/>
      <c r="AD741" s="91"/>
      <c r="AE741" s="91"/>
      <c r="AF741" s="91"/>
      <c r="AG741" s="91"/>
      <c r="AH741" s="91"/>
    </row>
    <row r="742" spans="1:34" s="1" customFormat="1" ht="45">
      <c r="A742" s="120">
        <v>741</v>
      </c>
      <c r="B742" s="120" t="b">
        <f t="shared" ca="1" si="11"/>
        <v>0</v>
      </c>
      <c r="C742" s="121">
        <v>45579</v>
      </c>
      <c r="D742" s="137">
        <v>0.58695601851851853</v>
      </c>
      <c r="E742" s="94">
        <v>2033</v>
      </c>
      <c r="F742" s="142">
        <v>1210</v>
      </c>
      <c r="G742" s="94" t="s">
        <v>34</v>
      </c>
      <c r="H742" s="94">
        <v>1048</v>
      </c>
      <c r="I742" s="91"/>
      <c r="J742" s="94" t="s">
        <v>35</v>
      </c>
      <c r="K742" s="152">
        <v>6.13</v>
      </c>
      <c r="L742" s="122" t="str">
        <f>VLOOKUP(K742,Liste!$L$2:$O$34,4,1)</f>
        <v>GSMR_02/03</v>
      </c>
      <c r="M742" s="133" t="s">
        <v>36</v>
      </c>
      <c r="N742" s="180" t="s">
        <v>37</v>
      </c>
      <c r="O742" s="125" t="s">
        <v>1731</v>
      </c>
      <c r="P742" s="119"/>
      <c r="Q742" s="94" t="s">
        <v>39</v>
      </c>
      <c r="R742" s="94" t="s">
        <v>1032</v>
      </c>
      <c r="S742" s="91" t="s">
        <v>1732</v>
      </c>
      <c r="T742" s="94" t="s">
        <v>56</v>
      </c>
      <c r="U742" s="94" t="s">
        <v>1526</v>
      </c>
      <c r="V742" s="94" t="s">
        <v>43</v>
      </c>
      <c r="W742" s="94" t="s">
        <v>51</v>
      </c>
      <c r="X742" s="124" t="s">
        <v>52</v>
      </c>
      <c r="Y742" s="124" t="s">
        <v>622</v>
      </c>
      <c r="Z742" s="91"/>
      <c r="AA742" s="91" t="s">
        <v>1118</v>
      </c>
      <c r="AB742" s="91"/>
      <c r="AC742" s="91"/>
      <c r="AD742" s="91"/>
      <c r="AE742" s="91"/>
      <c r="AF742" s="91"/>
      <c r="AG742" s="91"/>
      <c r="AH742" s="91"/>
    </row>
    <row r="743" spans="1:34" s="1" customFormat="1" ht="45">
      <c r="A743" s="120">
        <v>742</v>
      </c>
      <c r="B743" s="120" t="b">
        <f t="shared" ca="1" si="11"/>
        <v>0</v>
      </c>
      <c r="C743" s="121">
        <v>45579</v>
      </c>
      <c r="D743" s="137">
        <v>0.73252314814814812</v>
      </c>
      <c r="E743" s="94">
        <v>2045</v>
      </c>
      <c r="F743" s="142">
        <v>1208</v>
      </c>
      <c r="G743" s="94" t="s">
        <v>34</v>
      </c>
      <c r="H743" s="94">
        <v>1036</v>
      </c>
      <c r="I743" s="91"/>
      <c r="J743" s="94" t="s">
        <v>35</v>
      </c>
      <c r="K743" s="91">
        <v>143.11199999999999</v>
      </c>
      <c r="L743" s="122" t="str">
        <f>VLOOKUP(K743,Liste!$L$2:$O$34,4,1)</f>
        <v>GSMR_24/25</v>
      </c>
      <c r="M743" s="133" t="s">
        <v>36</v>
      </c>
      <c r="N743" s="180" t="s">
        <v>37</v>
      </c>
      <c r="O743" s="125" t="s">
        <v>1733</v>
      </c>
      <c r="P743" s="119"/>
      <c r="Q743" s="94" t="s">
        <v>54</v>
      </c>
      <c r="R743" s="94" t="s">
        <v>1479</v>
      </c>
      <c r="S743" s="91" t="s">
        <v>1734</v>
      </c>
      <c r="T743" s="94" t="s">
        <v>69</v>
      </c>
      <c r="U743" s="94" t="s">
        <v>1549</v>
      </c>
      <c r="V743" s="94" t="s">
        <v>51</v>
      </c>
      <c r="W743" s="94" t="s">
        <v>51</v>
      </c>
      <c r="X743" s="124" t="s">
        <v>52</v>
      </c>
      <c r="Y743" s="124" t="s">
        <v>227</v>
      </c>
      <c r="Z743" s="91"/>
      <c r="AA743" s="91" t="s">
        <v>1118</v>
      </c>
      <c r="AB743" s="91"/>
      <c r="AC743" s="91"/>
      <c r="AD743" s="91"/>
      <c r="AE743" s="91"/>
      <c r="AF743" s="91"/>
      <c r="AG743" s="91"/>
      <c r="AH743" s="91"/>
    </row>
    <row r="744" spans="1:34" s="1" customFormat="1" ht="45">
      <c r="A744" s="120">
        <v>743</v>
      </c>
      <c r="B744" s="120" t="b">
        <f t="shared" ca="1" si="11"/>
        <v>0</v>
      </c>
      <c r="C744" s="121">
        <v>45579</v>
      </c>
      <c r="D744" s="137">
        <v>0.74140046296296291</v>
      </c>
      <c r="E744" s="94">
        <v>1042</v>
      </c>
      <c r="F744" s="142">
        <v>1201</v>
      </c>
      <c r="G744" s="94" t="s">
        <v>71</v>
      </c>
      <c r="H744" s="94">
        <v>1061</v>
      </c>
      <c r="I744" s="91"/>
      <c r="J744" s="94" t="s">
        <v>72</v>
      </c>
      <c r="K744" s="91">
        <v>87.186999999999998</v>
      </c>
      <c r="L744" s="122" t="str">
        <f>VLOOKUP(K744,Liste!$L$2:$O$34,4,1)</f>
        <v>GSMR_16/17</v>
      </c>
      <c r="M744" s="133" t="s">
        <v>36</v>
      </c>
      <c r="N744" s="180" t="s">
        <v>37</v>
      </c>
      <c r="O744" s="125" t="s">
        <v>1735</v>
      </c>
      <c r="P744" s="119"/>
      <c r="Q744" s="94" t="s">
        <v>39</v>
      </c>
      <c r="R744" s="94" t="s">
        <v>1032</v>
      </c>
      <c r="S744" s="91" t="s">
        <v>1736</v>
      </c>
      <c r="T744" s="94" t="s">
        <v>69</v>
      </c>
      <c r="U744" s="94" t="s">
        <v>1622</v>
      </c>
      <c r="V744" s="94" t="s">
        <v>51</v>
      </c>
      <c r="W744" s="94" t="s">
        <v>51</v>
      </c>
      <c r="X744" s="124" t="s">
        <v>52</v>
      </c>
      <c r="Y744" s="124" t="s">
        <v>622</v>
      </c>
      <c r="Z744" s="91"/>
      <c r="AA744" s="91" t="s">
        <v>1118</v>
      </c>
      <c r="AB744" s="91"/>
      <c r="AC744" s="91"/>
      <c r="AD744" s="91"/>
      <c r="AE744" s="91"/>
      <c r="AF744" s="91"/>
      <c r="AG744" s="91"/>
      <c r="AH744" s="91"/>
    </row>
    <row r="745" spans="1:34" s="1" customFormat="1" ht="45">
      <c r="A745" s="120">
        <v>744</v>
      </c>
      <c r="B745" s="120" t="b">
        <f t="shared" ca="1" si="11"/>
        <v>0</v>
      </c>
      <c r="C745" s="121">
        <v>45579</v>
      </c>
      <c r="D745" s="137">
        <v>0.86918981481481483</v>
      </c>
      <c r="E745" s="94">
        <v>1054</v>
      </c>
      <c r="F745" s="142">
        <v>1211</v>
      </c>
      <c r="G745" s="94" t="s">
        <v>71</v>
      </c>
      <c r="H745" s="94">
        <v>3062</v>
      </c>
      <c r="I745" s="91"/>
      <c r="J745" s="94" t="s">
        <v>72</v>
      </c>
      <c r="K745" s="91">
        <v>64.387</v>
      </c>
      <c r="L745" s="122" t="str">
        <f>VLOOKUP(K745,Liste!$L$2:$O$34,4,1)</f>
        <v>GSMR_11/12</v>
      </c>
      <c r="M745" s="133" t="s">
        <v>36</v>
      </c>
      <c r="N745" s="180" t="s">
        <v>37</v>
      </c>
      <c r="O745" s="125" t="s">
        <v>1737</v>
      </c>
      <c r="P745" s="119"/>
      <c r="Q745" s="94" t="s">
        <v>1738</v>
      </c>
      <c r="R745" s="94" t="s">
        <v>808</v>
      </c>
      <c r="S745" s="91" t="s">
        <v>1739</v>
      </c>
      <c r="T745" s="94" t="s">
        <v>78</v>
      </c>
      <c r="U745" s="94" t="s">
        <v>1465</v>
      </c>
      <c r="V745" s="94" t="s">
        <v>51</v>
      </c>
      <c r="W745" s="94" t="s">
        <v>51</v>
      </c>
      <c r="X745" s="124" t="s">
        <v>52</v>
      </c>
      <c r="Y745" s="124" t="s">
        <v>721</v>
      </c>
      <c r="Z745" s="91"/>
      <c r="AA745" s="91" t="s">
        <v>772</v>
      </c>
      <c r="AB745" s="91"/>
      <c r="AC745" s="91"/>
      <c r="AD745" s="91"/>
      <c r="AE745" s="91"/>
      <c r="AF745" s="91"/>
      <c r="AG745" s="91"/>
      <c r="AH745" s="91"/>
    </row>
    <row r="746" spans="1:34" s="1" customFormat="1" ht="45">
      <c r="A746" s="120">
        <v>745</v>
      </c>
      <c r="B746" s="120" t="b">
        <f t="shared" ca="1" si="11"/>
        <v>0</v>
      </c>
      <c r="C746" s="121">
        <v>45580</v>
      </c>
      <c r="D746" s="137">
        <v>0.62883101851851853</v>
      </c>
      <c r="E746" s="94">
        <v>2037</v>
      </c>
      <c r="F746" s="142">
        <v>1206</v>
      </c>
      <c r="G746" s="94" t="s">
        <v>34</v>
      </c>
      <c r="H746" s="94">
        <v>1054</v>
      </c>
      <c r="I746" s="91"/>
      <c r="J746" s="94" t="s">
        <v>35</v>
      </c>
      <c r="K746" s="152">
        <v>6.13</v>
      </c>
      <c r="L746" s="122" t="str">
        <f>VLOOKUP(K746,Liste!$L$2:$O$34,4,1)</f>
        <v>GSMR_02/03</v>
      </c>
      <c r="M746" s="133" t="s">
        <v>36</v>
      </c>
      <c r="N746" s="180" t="s">
        <v>37</v>
      </c>
      <c r="O746" s="125" t="s">
        <v>1740</v>
      </c>
      <c r="P746" s="119"/>
      <c r="Q746" s="94" t="s">
        <v>39</v>
      </c>
      <c r="R746" s="94" t="s">
        <v>1032</v>
      </c>
      <c r="S746" s="91" t="s">
        <v>1741</v>
      </c>
      <c r="T746" s="94" t="s">
        <v>56</v>
      </c>
      <c r="U746" s="94" t="s">
        <v>1468</v>
      </c>
      <c r="V746" s="94" t="s">
        <v>51</v>
      </c>
      <c r="W746" s="94" t="s">
        <v>51</v>
      </c>
      <c r="X746" s="124" t="s">
        <v>52</v>
      </c>
      <c r="Y746" s="124" t="s">
        <v>622</v>
      </c>
      <c r="Z746" s="91"/>
      <c r="AA746" s="91" t="s">
        <v>1118</v>
      </c>
      <c r="AB746" s="91"/>
      <c r="AC746" s="91"/>
      <c r="AD746" s="91"/>
      <c r="AE746" s="91"/>
      <c r="AF746" s="91"/>
      <c r="AG746" s="91"/>
      <c r="AH746" s="91"/>
    </row>
    <row r="747" spans="1:34" s="1" customFormat="1" ht="45">
      <c r="A747" s="120">
        <v>746</v>
      </c>
      <c r="B747" s="120" t="b">
        <f t="shared" ca="1" si="11"/>
        <v>0</v>
      </c>
      <c r="C747" s="121">
        <v>45580</v>
      </c>
      <c r="D747" s="137">
        <v>0.72597222222222224</v>
      </c>
      <c r="E747" s="94">
        <v>2045</v>
      </c>
      <c r="F747" s="142">
        <v>1209</v>
      </c>
      <c r="G747" s="94" t="s">
        <v>34</v>
      </c>
      <c r="H747" s="94">
        <v>1058</v>
      </c>
      <c r="I747" s="91"/>
      <c r="J747" s="94" t="s">
        <v>35</v>
      </c>
      <c r="K747" s="91">
        <v>93.757999999999996</v>
      </c>
      <c r="L747" s="122" t="str">
        <f>VLOOKUP(K747,Liste!$L$2:$O$34,4,1)</f>
        <v>GSMR_17/18</v>
      </c>
      <c r="M747" s="133" t="s">
        <v>36</v>
      </c>
      <c r="N747" s="180" t="s">
        <v>37</v>
      </c>
      <c r="O747" s="125" t="s">
        <v>1742</v>
      </c>
      <c r="P747" s="119"/>
      <c r="Q747" s="94" t="s">
        <v>54</v>
      </c>
      <c r="R747" s="94" t="s">
        <v>1479</v>
      </c>
      <c r="S747" s="91" t="s">
        <v>1741</v>
      </c>
      <c r="T747" s="94" t="s">
        <v>56</v>
      </c>
      <c r="U747" s="94" t="s">
        <v>1468</v>
      </c>
      <c r="V747" s="94" t="s">
        <v>51</v>
      </c>
      <c r="W747" s="94" t="s">
        <v>51</v>
      </c>
      <c r="X747" s="124" t="s">
        <v>52</v>
      </c>
      <c r="Y747" s="124" t="s">
        <v>622</v>
      </c>
      <c r="Z747" s="91"/>
      <c r="AA747" s="91" t="s">
        <v>1118</v>
      </c>
      <c r="AB747" s="91"/>
      <c r="AC747" s="91"/>
      <c r="AD747" s="91"/>
      <c r="AE747" s="91"/>
      <c r="AF747" s="91"/>
      <c r="AG747" s="91"/>
      <c r="AH747" s="91"/>
    </row>
    <row r="748" spans="1:34" s="1" customFormat="1" ht="45">
      <c r="A748" s="120">
        <v>747</v>
      </c>
      <c r="B748" s="120" t="b">
        <f t="shared" ca="1" si="11"/>
        <v>0</v>
      </c>
      <c r="C748" s="121">
        <v>45580</v>
      </c>
      <c r="D748" s="137">
        <v>0.74471064814814814</v>
      </c>
      <c r="E748" s="94">
        <v>2045</v>
      </c>
      <c r="F748" s="142">
        <v>1209</v>
      </c>
      <c r="G748" s="94" t="s">
        <v>34</v>
      </c>
      <c r="H748" s="94">
        <v>7208</v>
      </c>
      <c r="I748" s="91"/>
      <c r="J748" s="94" t="s">
        <v>35</v>
      </c>
      <c r="K748" s="91">
        <v>165.298</v>
      </c>
      <c r="L748" s="122" t="str">
        <f>VLOOKUP(K748,Liste!$L$2:$O$34,4,1)</f>
        <v>GSMR_28/29</v>
      </c>
      <c r="M748" s="133" t="s">
        <v>36</v>
      </c>
      <c r="N748" s="181" t="s">
        <v>58</v>
      </c>
      <c r="O748" s="125" t="s">
        <v>1743</v>
      </c>
      <c r="P748" s="119"/>
      <c r="Q748" s="94" t="s">
        <v>39</v>
      </c>
      <c r="R748" s="94" t="s">
        <v>1032</v>
      </c>
      <c r="S748" s="91" t="s">
        <v>1744</v>
      </c>
      <c r="T748" s="94" t="s">
        <v>41</v>
      </c>
      <c r="U748" s="94" t="s">
        <v>1745</v>
      </c>
      <c r="V748" s="94" t="s">
        <v>51</v>
      </c>
      <c r="W748" s="94" t="s">
        <v>51</v>
      </c>
      <c r="X748" s="124" t="s">
        <v>52</v>
      </c>
      <c r="Y748" s="124" t="s">
        <v>622</v>
      </c>
      <c r="Z748" s="91"/>
      <c r="AA748" s="91" t="s">
        <v>1118</v>
      </c>
      <c r="AB748" s="91"/>
      <c r="AC748" s="91"/>
      <c r="AD748" s="91"/>
      <c r="AE748" s="91"/>
      <c r="AF748" s="91"/>
      <c r="AG748" s="91"/>
      <c r="AH748" s="91"/>
    </row>
    <row r="749" spans="1:34" s="1" customFormat="1" ht="45">
      <c r="A749" s="120">
        <v>748</v>
      </c>
      <c r="B749" s="120" t="b">
        <f t="shared" ca="1" si="11"/>
        <v>0</v>
      </c>
      <c r="C749" s="121">
        <v>45580</v>
      </c>
      <c r="D749" s="137">
        <v>0.75810185185185186</v>
      </c>
      <c r="E749" s="94">
        <v>2049</v>
      </c>
      <c r="F749" s="142">
        <v>1210</v>
      </c>
      <c r="G749" s="94" t="s">
        <v>34</v>
      </c>
      <c r="H749" s="94">
        <v>1049</v>
      </c>
      <c r="I749" s="91"/>
      <c r="J749" s="94" t="s">
        <v>35</v>
      </c>
      <c r="K749" s="91">
        <v>25.91</v>
      </c>
      <c r="L749" s="122" t="str">
        <f>VLOOKUP(K749,Liste!$L$2:$O$34,4,1)</f>
        <v>GSMR_05/06</v>
      </c>
      <c r="M749" s="133" t="s">
        <v>36</v>
      </c>
      <c r="N749" s="180" t="s">
        <v>37</v>
      </c>
      <c r="O749" s="125" t="s">
        <v>1746</v>
      </c>
      <c r="P749" s="119"/>
      <c r="Q749" s="94" t="s">
        <v>39</v>
      </c>
      <c r="R749" s="94" t="s">
        <v>1032</v>
      </c>
      <c r="S749" s="91" t="s">
        <v>1747</v>
      </c>
      <c r="T749" s="94" t="s">
        <v>41</v>
      </c>
      <c r="U749" s="94" t="s">
        <v>1721</v>
      </c>
      <c r="V749" s="94" t="s">
        <v>51</v>
      </c>
      <c r="W749" s="94" t="s">
        <v>51</v>
      </c>
      <c r="X749" s="124" t="s">
        <v>52</v>
      </c>
      <c r="Y749" s="124" t="s">
        <v>622</v>
      </c>
      <c r="Z749" s="91"/>
      <c r="AA749" s="91" t="s">
        <v>1118</v>
      </c>
      <c r="AB749" s="91"/>
      <c r="AC749" s="91"/>
      <c r="AD749" s="91"/>
      <c r="AE749" s="91"/>
      <c r="AF749" s="91"/>
      <c r="AG749" s="91"/>
      <c r="AH749" s="91"/>
    </row>
    <row r="750" spans="1:34" s="1" customFormat="1" ht="45">
      <c r="A750" s="120">
        <v>749</v>
      </c>
      <c r="B750" s="120" t="b">
        <f t="shared" ca="1" si="11"/>
        <v>0</v>
      </c>
      <c r="C750" s="121">
        <v>45580</v>
      </c>
      <c r="D750" s="137">
        <v>0.76006944444444446</v>
      </c>
      <c r="E750" s="94">
        <v>2049</v>
      </c>
      <c r="F750" s="142">
        <v>1210</v>
      </c>
      <c r="G750" s="94" t="s">
        <v>34</v>
      </c>
      <c r="H750" s="94">
        <v>1048</v>
      </c>
      <c r="I750" s="91"/>
      <c r="J750" s="94" t="s">
        <v>35</v>
      </c>
      <c r="K750" s="91">
        <v>35.259</v>
      </c>
      <c r="L750" s="122" t="str">
        <f>VLOOKUP(K750,Liste!$L$2:$O$34,4,1)</f>
        <v>GSMR_06/07</v>
      </c>
      <c r="M750" s="133" t="s">
        <v>36</v>
      </c>
      <c r="N750" s="180" t="s">
        <v>37</v>
      </c>
      <c r="O750" s="125" t="s">
        <v>1748</v>
      </c>
      <c r="P750" s="119"/>
      <c r="Q750" s="94" t="s">
        <v>1738</v>
      </c>
      <c r="R750" s="94" t="s">
        <v>1749</v>
      </c>
      <c r="S750" s="91" t="s">
        <v>1750</v>
      </c>
      <c r="T750" s="94" t="s">
        <v>1751</v>
      </c>
      <c r="U750" s="94" t="s">
        <v>1752</v>
      </c>
      <c r="V750" s="94" t="s">
        <v>1751</v>
      </c>
      <c r="W750" s="94" t="s">
        <v>51</v>
      </c>
      <c r="X750" s="124" t="s">
        <v>52</v>
      </c>
      <c r="Y750" s="124" t="s">
        <v>622</v>
      </c>
      <c r="Z750" s="91"/>
      <c r="AA750" s="91" t="s">
        <v>1118</v>
      </c>
      <c r="AB750" s="91"/>
      <c r="AC750" s="91"/>
      <c r="AD750" s="91"/>
      <c r="AE750" s="91"/>
      <c r="AF750" s="91"/>
      <c r="AG750" s="91"/>
      <c r="AH750" s="91"/>
    </row>
    <row r="751" spans="1:34" s="1" customFormat="1" ht="45">
      <c r="A751" s="120">
        <v>750</v>
      </c>
      <c r="B751" s="120" t="b">
        <f t="shared" ca="1" si="11"/>
        <v>0</v>
      </c>
      <c r="C751" s="121">
        <v>45580</v>
      </c>
      <c r="D751" s="137">
        <v>0.79530092592592594</v>
      </c>
      <c r="E751" s="94">
        <v>2053</v>
      </c>
      <c r="F751" s="142">
        <v>1203</v>
      </c>
      <c r="G751" s="94" t="s">
        <v>34</v>
      </c>
      <c r="H751" s="94">
        <v>1025</v>
      </c>
      <c r="I751" s="91"/>
      <c r="J751" s="94" t="s">
        <v>35</v>
      </c>
      <c r="K751" s="152">
        <v>6.13</v>
      </c>
      <c r="L751" s="122" t="str">
        <f>VLOOKUP(K751,Liste!$L$2:$O$34,4,1)</f>
        <v>GSMR_02/03</v>
      </c>
      <c r="M751" s="133" t="s">
        <v>36</v>
      </c>
      <c r="N751" s="181" t="s">
        <v>58</v>
      </c>
      <c r="O751" s="125" t="s">
        <v>1753</v>
      </c>
      <c r="P751" s="119"/>
      <c r="Q751" s="94" t="s">
        <v>39</v>
      </c>
      <c r="R751" s="94" t="s">
        <v>1032</v>
      </c>
      <c r="S751" s="91" t="s">
        <v>1754</v>
      </c>
      <c r="T751" s="94" t="s">
        <v>56</v>
      </c>
      <c r="U751" s="94" t="s">
        <v>1463</v>
      </c>
      <c r="V751" s="94" t="s">
        <v>43</v>
      </c>
      <c r="W751" s="94" t="s">
        <v>51</v>
      </c>
      <c r="X751" s="124" t="s">
        <v>52</v>
      </c>
      <c r="Y751" s="124" t="s">
        <v>622</v>
      </c>
      <c r="Z751" s="91"/>
      <c r="AA751" s="91" t="s">
        <v>1118</v>
      </c>
      <c r="AB751" s="91"/>
      <c r="AC751" s="91"/>
      <c r="AD751" s="91"/>
      <c r="AE751" s="91"/>
      <c r="AF751" s="91"/>
      <c r="AG751" s="91"/>
      <c r="AH751" s="91"/>
    </row>
    <row r="752" spans="1:34" s="1" customFormat="1" ht="45">
      <c r="A752" s="120">
        <v>751</v>
      </c>
      <c r="B752" s="120" t="b">
        <f t="shared" ca="1" si="11"/>
        <v>0</v>
      </c>
      <c r="C752" s="121">
        <v>45581</v>
      </c>
      <c r="D752" s="137">
        <v>0.6705902777777778</v>
      </c>
      <c r="E752" s="94">
        <v>1033</v>
      </c>
      <c r="F752" s="142">
        <v>1203</v>
      </c>
      <c r="G752" s="94" t="s">
        <v>71</v>
      </c>
      <c r="H752" s="94">
        <v>1027</v>
      </c>
      <c r="I752" s="91"/>
      <c r="J752" s="94" t="s">
        <v>72</v>
      </c>
      <c r="K752" s="152">
        <v>7.3810000000000002</v>
      </c>
      <c r="L752" s="122" t="str">
        <f>VLOOKUP(K752,Liste!$L$2:$O$34,4,1)</f>
        <v>GSMR_02/03</v>
      </c>
      <c r="M752" s="133" t="s">
        <v>36</v>
      </c>
      <c r="N752" s="180" t="s">
        <v>37</v>
      </c>
      <c r="O752" s="125" t="s">
        <v>1755</v>
      </c>
      <c r="P752" s="119"/>
      <c r="Q752" s="94" t="s">
        <v>39</v>
      </c>
      <c r="R752" s="94" t="s">
        <v>1032</v>
      </c>
      <c r="S752" s="91" t="s">
        <v>1756</v>
      </c>
      <c r="T752" s="94" t="s">
        <v>78</v>
      </c>
      <c r="U752" s="94" t="s">
        <v>1538</v>
      </c>
      <c r="V752" s="94" t="s">
        <v>51</v>
      </c>
      <c r="W752" s="94" t="s">
        <v>51</v>
      </c>
      <c r="X752" s="124" t="s">
        <v>52</v>
      </c>
      <c r="Y752" s="124" t="s">
        <v>622</v>
      </c>
      <c r="Z752" s="91"/>
      <c r="AA752" s="91" t="s">
        <v>1118</v>
      </c>
      <c r="AB752" s="91"/>
      <c r="AC752" s="91"/>
      <c r="AD752" s="91"/>
      <c r="AE752" s="91"/>
      <c r="AF752" s="91"/>
      <c r="AG752" s="91"/>
      <c r="AH752" s="91"/>
    </row>
    <row r="753" spans="1:34" s="1" customFormat="1" ht="45">
      <c r="A753" s="120">
        <v>752</v>
      </c>
      <c r="B753" s="120" t="b">
        <f t="shared" ca="1" si="11"/>
        <v>0</v>
      </c>
      <c r="C753" s="121">
        <v>45581</v>
      </c>
      <c r="D753" s="137">
        <v>0.71129629629629632</v>
      </c>
      <c r="E753" s="94">
        <v>1038</v>
      </c>
      <c r="F753" s="142">
        <v>1210</v>
      </c>
      <c r="G753" s="94" t="s">
        <v>71</v>
      </c>
      <c r="H753" s="94">
        <v>1027</v>
      </c>
      <c r="I753" s="91"/>
      <c r="J753" s="94" t="s">
        <v>72</v>
      </c>
      <c r="K753" s="152">
        <v>8.9700000000000006</v>
      </c>
      <c r="L753" s="122" t="str">
        <f>VLOOKUP(K753,Liste!$L$2:$O$34,4,1)</f>
        <v>GSMR_02/03</v>
      </c>
      <c r="M753" s="133" t="s">
        <v>36</v>
      </c>
      <c r="N753" s="180" t="s">
        <v>37</v>
      </c>
      <c r="O753" s="125" t="s">
        <v>1757</v>
      </c>
      <c r="P753" s="119"/>
      <c r="Q753" s="94" t="s">
        <v>39</v>
      </c>
      <c r="R753" s="94" t="s">
        <v>1032</v>
      </c>
      <c r="S753" s="91" t="s">
        <v>1756</v>
      </c>
      <c r="T753" s="94" t="s">
        <v>101</v>
      </c>
      <c r="U753" s="94" t="s">
        <v>1745</v>
      </c>
      <c r="V753" s="94" t="s">
        <v>43</v>
      </c>
      <c r="W753" s="94" t="s">
        <v>51</v>
      </c>
      <c r="X753" s="124" t="s">
        <v>52</v>
      </c>
      <c r="Y753" s="124" t="s">
        <v>622</v>
      </c>
      <c r="Z753" s="91"/>
      <c r="AA753" s="91" t="s">
        <v>1118</v>
      </c>
      <c r="AB753" s="91"/>
      <c r="AC753" s="91"/>
      <c r="AD753" s="91"/>
      <c r="AE753" s="91"/>
      <c r="AF753" s="91"/>
      <c r="AG753" s="91"/>
      <c r="AH753" s="91"/>
    </row>
    <row r="754" spans="1:34" s="1" customFormat="1" ht="45">
      <c r="A754" s="120">
        <v>753</v>
      </c>
      <c r="B754" s="120" t="b">
        <f t="shared" ca="1" si="11"/>
        <v>0</v>
      </c>
      <c r="C754" s="121">
        <v>45581</v>
      </c>
      <c r="D754" s="137">
        <v>0.71278935185185188</v>
      </c>
      <c r="E754" s="94">
        <v>2045</v>
      </c>
      <c r="F754" s="142">
        <v>1203</v>
      </c>
      <c r="G754" s="94" t="s">
        <v>34</v>
      </c>
      <c r="H754" s="94">
        <v>1024</v>
      </c>
      <c r="I754" s="91"/>
      <c r="J754" s="94" t="s">
        <v>35</v>
      </c>
      <c r="K754" s="152">
        <v>7.3810000000000002</v>
      </c>
      <c r="L754" s="122" t="str">
        <f>VLOOKUP(K754,Liste!$L$2:$O$34,4,1)</f>
        <v>GSMR_02/03</v>
      </c>
      <c r="M754" s="133" t="s">
        <v>36</v>
      </c>
      <c r="N754" s="181" t="s">
        <v>58</v>
      </c>
      <c r="O754" s="125" t="s">
        <v>1758</v>
      </c>
      <c r="P754" s="119"/>
      <c r="Q754" s="94" t="s">
        <v>39</v>
      </c>
      <c r="R754" s="94" t="s">
        <v>1032</v>
      </c>
      <c r="S754" s="91" t="s">
        <v>1759</v>
      </c>
      <c r="T754" s="94" t="s">
        <v>101</v>
      </c>
      <c r="U754" s="94" t="s">
        <v>1463</v>
      </c>
      <c r="V754" s="94" t="s">
        <v>51</v>
      </c>
      <c r="W754" s="94" t="s">
        <v>51</v>
      </c>
      <c r="X754" s="124" t="s">
        <v>52</v>
      </c>
      <c r="Y754" s="124" t="s">
        <v>622</v>
      </c>
      <c r="Z754" s="91"/>
      <c r="AA754" s="91" t="s">
        <v>1118</v>
      </c>
      <c r="AB754" s="91"/>
      <c r="AC754" s="91"/>
      <c r="AD754" s="91"/>
      <c r="AE754" s="91"/>
      <c r="AF754" s="91"/>
      <c r="AG754" s="91"/>
      <c r="AH754" s="91"/>
    </row>
    <row r="755" spans="1:34" s="1" customFormat="1" ht="45">
      <c r="A755" s="120">
        <v>754</v>
      </c>
      <c r="B755" s="120" t="b">
        <f t="shared" ca="1" si="11"/>
        <v>0</v>
      </c>
      <c r="C755" s="121">
        <v>45581</v>
      </c>
      <c r="D755" s="137">
        <v>0.87857638888888889</v>
      </c>
      <c r="E755" s="94">
        <v>2061</v>
      </c>
      <c r="F755" s="142">
        <v>1205</v>
      </c>
      <c r="G755" s="94" t="s">
        <v>34</v>
      </c>
      <c r="H755" s="94">
        <v>1024</v>
      </c>
      <c r="I755" s="91"/>
      <c r="J755" s="94" t="s">
        <v>35</v>
      </c>
      <c r="K755" s="152">
        <v>6.13</v>
      </c>
      <c r="L755" s="122" t="str">
        <f>VLOOKUP(K755,Liste!$L$2:$O$34,4,1)</f>
        <v>GSMR_02/03</v>
      </c>
      <c r="M755" s="133" t="s">
        <v>36</v>
      </c>
      <c r="N755" s="181" t="s">
        <v>58</v>
      </c>
      <c r="O755" s="125" t="s">
        <v>1760</v>
      </c>
      <c r="P755" s="119"/>
      <c r="Q755" s="94" t="s">
        <v>39</v>
      </c>
      <c r="R755" s="94" t="s">
        <v>1032</v>
      </c>
      <c r="S755" s="91" t="s">
        <v>1761</v>
      </c>
      <c r="T755" s="94" t="s">
        <v>56</v>
      </c>
      <c r="U755" s="94" t="s">
        <v>1449</v>
      </c>
      <c r="V755" s="94" t="s">
        <v>43</v>
      </c>
      <c r="W755" s="94" t="s">
        <v>51</v>
      </c>
      <c r="X755" s="124" t="s">
        <v>52</v>
      </c>
      <c r="Y755" s="124" t="s">
        <v>622</v>
      </c>
      <c r="Z755" s="91"/>
      <c r="AA755" s="91" t="s">
        <v>793</v>
      </c>
      <c r="AB755" s="91"/>
      <c r="AC755" s="91"/>
      <c r="AD755" s="91"/>
      <c r="AE755" s="91"/>
      <c r="AF755" s="91"/>
      <c r="AG755" s="91"/>
      <c r="AH755" s="91"/>
    </row>
    <row r="756" spans="1:34" s="1" customFormat="1" ht="45">
      <c r="A756" s="120">
        <v>755</v>
      </c>
      <c r="B756" s="120" t="b">
        <f t="shared" ca="1" si="11"/>
        <v>0</v>
      </c>
      <c r="C756" s="121">
        <v>45582</v>
      </c>
      <c r="D756" s="137">
        <v>0.75278935185185181</v>
      </c>
      <c r="E756" s="94">
        <v>1041</v>
      </c>
      <c r="F756" s="142">
        <v>1203</v>
      </c>
      <c r="G756" s="94" t="s">
        <v>71</v>
      </c>
      <c r="H756" s="94">
        <v>1027</v>
      </c>
      <c r="I756" s="91"/>
      <c r="J756" s="94" t="s">
        <v>72</v>
      </c>
      <c r="K756" s="152">
        <v>7.3810000000000002</v>
      </c>
      <c r="L756" s="122" t="str">
        <f>VLOOKUP(K756,Liste!$L$2:$O$34,4,1)</f>
        <v>GSMR_02/03</v>
      </c>
      <c r="M756" s="133" t="s">
        <v>36</v>
      </c>
      <c r="N756" s="180" t="s">
        <v>37</v>
      </c>
      <c r="O756" s="125" t="s">
        <v>1762</v>
      </c>
      <c r="P756" s="119"/>
      <c r="Q756" s="94" t="s">
        <v>105</v>
      </c>
      <c r="R756" s="94" t="s">
        <v>1763</v>
      </c>
      <c r="S756" s="91" t="s">
        <v>1764</v>
      </c>
      <c r="T756" s="94" t="s">
        <v>78</v>
      </c>
      <c r="U756" s="94" t="s">
        <v>1546</v>
      </c>
      <c r="V756" s="94" t="s">
        <v>43</v>
      </c>
      <c r="W756" s="94" t="s">
        <v>51</v>
      </c>
      <c r="X756" s="124" t="s">
        <v>52</v>
      </c>
      <c r="Y756" s="124" t="s">
        <v>622</v>
      </c>
      <c r="Z756" s="91"/>
      <c r="AA756" s="91" t="s">
        <v>1118</v>
      </c>
      <c r="AB756" s="91"/>
      <c r="AC756" s="91"/>
      <c r="AD756" s="91"/>
      <c r="AE756" s="91"/>
      <c r="AF756" s="91"/>
      <c r="AG756" s="91"/>
      <c r="AH756" s="91"/>
    </row>
    <row r="757" spans="1:34" s="1" customFormat="1" ht="45">
      <c r="A757" s="120">
        <v>756</v>
      </c>
      <c r="B757" s="120" t="b">
        <f t="shared" ca="1" si="11"/>
        <v>0</v>
      </c>
      <c r="C757" s="121">
        <v>45582</v>
      </c>
      <c r="D757" s="137">
        <v>0.78447916666666662</v>
      </c>
      <c r="E757" s="94">
        <v>1045</v>
      </c>
      <c r="F757" s="142">
        <v>1202</v>
      </c>
      <c r="G757" s="94" t="s">
        <v>71</v>
      </c>
      <c r="H757" s="94">
        <v>1031</v>
      </c>
      <c r="I757" s="91"/>
      <c r="J757" s="94" t="s">
        <v>72</v>
      </c>
      <c r="K757" s="91">
        <v>78.155000000000001</v>
      </c>
      <c r="L757" s="122" t="str">
        <f>VLOOKUP(K757,Liste!$L$2:$O$34,4,1)</f>
        <v>GSMR_14/15</v>
      </c>
      <c r="M757" s="133" t="s">
        <v>36</v>
      </c>
      <c r="N757" s="180" t="s">
        <v>37</v>
      </c>
      <c r="O757" s="125" t="s">
        <v>1765</v>
      </c>
      <c r="P757" s="119"/>
      <c r="Q757" s="94" t="s">
        <v>39</v>
      </c>
      <c r="R757" s="94" t="s">
        <v>1766</v>
      </c>
      <c r="S757" s="91" t="s">
        <v>1767</v>
      </c>
      <c r="T757" s="94" t="s">
        <v>69</v>
      </c>
      <c r="U757" s="94" t="s">
        <v>1468</v>
      </c>
      <c r="V757" s="94" t="s">
        <v>51</v>
      </c>
      <c r="W757" s="94" t="s">
        <v>51</v>
      </c>
      <c r="X757" s="124" t="s">
        <v>52</v>
      </c>
      <c r="Y757" s="124" t="s">
        <v>622</v>
      </c>
      <c r="Z757" s="91"/>
      <c r="AA757" s="91" t="s">
        <v>1118</v>
      </c>
      <c r="AB757" s="91"/>
      <c r="AC757" s="91"/>
      <c r="AD757" s="91"/>
      <c r="AE757" s="91"/>
      <c r="AF757" s="91"/>
      <c r="AG757" s="91"/>
      <c r="AH757" s="91"/>
    </row>
    <row r="758" spans="1:34" s="1" customFormat="1" ht="45">
      <c r="A758" s="120">
        <v>757</v>
      </c>
      <c r="B758" s="120" t="b">
        <f t="shared" ca="1" si="11"/>
        <v>0</v>
      </c>
      <c r="C758" s="121">
        <v>45582</v>
      </c>
      <c r="D758" s="137">
        <v>0.79493055555555558</v>
      </c>
      <c r="E758" s="94">
        <v>2053</v>
      </c>
      <c r="F758" s="142">
        <v>1208</v>
      </c>
      <c r="G758" s="94" t="s">
        <v>34</v>
      </c>
      <c r="H758" s="94">
        <v>1031</v>
      </c>
      <c r="I758" s="91"/>
      <c r="J758" s="94" t="s">
        <v>35</v>
      </c>
      <c r="K758" s="152">
        <v>6.13</v>
      </c>
      <c r="L758" s="122" t="str">
        <f>VLOOKUP(K758,Liste!$L$2:$O$34,4,1)</f>
        <v>GSMR_02/03</v>
      </c>
      <c r="M758" s="133" t="s">
        <v>36</v>
      </c>
      <c r="N758" s="181" t="s">
        <v>58</v>
      </c>
      <c r="O758" s="125" t="s">
        <v>1768</v>
      </c>
      <c r="P758" s="119"/>
      <c r="Q758" s="94" t="s">
        <v>39</v>
      </c>
      <c r="R758" s="94" t="s">
        <v>1032</v>
      </c>
      <c r="S758" s="91" t="s">
        <v>1769</v>
      </c>
      <c r="T758" s="94" t="s">
        <v>56</v>
      </c>
      <c r="U758" s="94" t="s">
        <v>1449</v>
      </c>
      <c r="V758" s="94" t="s">
        <v>51</v>
      </c>
      <c r="W758" s="94" t="s">
        <v>51</v>
      </c>
      <c r="X758" s="124" t="s">
        <v>52</v>
      </c>
      <c r="Y758" s="124" t="s">
        <v>622</v>
      </c>
      <c r="Z758" s="91"/>
      <c r="AA758" s="91" t="s">
        <v>1118</v>
      </c>
      <c r="AB758" s="91"/>
      <c r="AC758" s="91"/>
      <c r="AD758" s="91"/>
      <c r="AE758" s="91"/>
      <c r="AF758" s="91"/>
      <c r="AG758" s="91"/>
      <c r="AH758" s="91"/>
    </row>
    <row r="759" spans="1:34" s="1" customFormat="1" ht="45">
      <c r="A759" s="120">
        <v>758</v>
      </c>
      <c r="B759" s="120" t="b">
        <f t="shared" ca="1" si="11"/>
        <v>0</v>
      </c>
      <c r="C759" s="121">
        <v>45582</v>
      </c>
      <c r="D759" s="137">
        <v>0.87873842592592588</v>
      </c>
      <c r="E759" s="94">
        <v>2061</v>
      </c>
      <c r="F759" s="142">
        <v>1212</v>
      </c>
      <c r="G759" s="94" t="s">
        <v>34</v>
      </c>
      <c r="H759" s="94">
        <v>1056</v>
      </c>
      <c r="I759" s="91"/>
      <c r="J759" s="94" t="s">
        <v>35</v>
      </c>
      <c r="K759" s="152">
        <v>6.13</v>
      </c>
      <c r="L759" s="122" t="str">
        <f>VLOOKUP(K759,Liste!$L$2:$O$34,4,1)</f>
        <v>GSMR_02/03</v>
      </c>
      <c r="M759" s="133" t="s">
        <v>36</v>
      </c>
      <c r="N759" s="180" t="s">
        <v>37</v>
      </c>
      <c r="O759" s="125" t="s">
        <v>1770</v>
      </c>
      <c r="P759" s="119"/>
      <c r="Q759" s="94" t="s">
        <v>39</v>
      </c>
      <c r="R759" s="94" t="s">
        <v>1032</v>
      </c>
      <c r="S759" s="91" t="s">
        <v>1771</v>
      </c>
      <c r="T759" s="94" t="s">
        <v>69</v>
      </c>
      <c r="U759" s="94" t="s">
        <v>1453</v>
      </c>
      <c r="V759" s="94" t="s">
        <v>51</v>
      </c>
      <c r="W759" s="94" t="s">
        <v>51</v>
      </c>
      <c r="X759" s="124" t="s">
        <v>52</v>
      </c>
      <c r="Y759" s="124" t="s">
        <v>622</v>
      </c>
      <c r="Z759" s="91"/>
      <c r="AA759" s="91" t="s">
        <v>793</v>
      </c>
      <c r="AB759" s="91"/>
      <c r="AC759" s="91"/>
      <c r="AD759" s="91"/>
      <c r="AE759" s="91"/>
      <c r="AF759" s="91"/>
      <c r="AG759" s="91"/>
      <c r="AH759" s="91"/>
    </row>
    <row r="760" spans="1:34" s="1" customFormat="1" ht="45">
      <c r="A760" s="120">
        <v>759</v>
      </c>
      <c r="B760" s="120" t="b">
        <f t="shared" ca="1" si="11"/>
        <v>0</v>
      </c>
      <c r="C760" s="121">
        <v>45583</v>
      </c>
      <c r="D760" s="137">
        <v>0.17810185185185184</v>
      </c>
      <c r="E760" s="94">
        <v>2081</v>
      </c>
      <c r="F760" s="142">
        <v>1207</v>
      </c>
      <c r="G760" s="94" t="s">
        <v>34</v>
      </c>
      <c r="H760" s="94">
        <v>1047</v>
      </c>
      <c r="I760" s="91"/>
      <c r="J760" s="94" t="s">
        <v>35</v>
      </c>
      <c r="K760" s="91">
        <v>31.350999999999999</v>
      </c>
      <c r="L760" s="122" t="str">
        <f>VLOOKUP(K760,Liste!$L$2:$O$34,4,1)</f>
        <v>GSMR_06/07</v>
      </c>
      <c r="M760" s="133" t="s">
        <v>36</v>
      </c>
      <c r="N760" s="180" t="s">
        <v>37</v>
      </c>
      <c r="O760" s="125" t="s">
        <v>1772</v>
      </c>
      <c r="P760" s="119"/>
      <c r="Q760" s="94" t="s">
        <v>39</v>
      </c>
      <c r="R760" s="94" t="s">
        <v>1032</v>
      </c>
      <c r="S760" s="91" t="s">
        <v>1773</v>
      </c>
      <c r="T760" s="94" t="s">
        <v>69</v>
      </c>
      <c r="U760" s="94" t="s">
        <v>1453</v>
      </c>
      <c r="V760" s="94" t="s">
        <v>51</v>
      </c>
      <c r="W760" s="94" t="s">
        <v>51</v>
      </c>
      <c r="X760" s="124" t="s">
        <v>52</v>
      </c>
      <c r="Y760" s="124" t="s">
        <v>622</v>
      </c>
      <c r="Z760" s="91"/>
      <c r="AA760" s="91" t="s">
        <v>793</v>
      </c>
      <c r="AB760" s="91"/>
      <c r="AC760" s="91"/>
      <c r="AD760" s="91"/>
      <c r="AE760" s="91"/>
      <c r="AF760" s="91"/>
      <c r="AG760" s="91"/>
      <c r="AH760" s="91"/>
    </row>
    <row r="761" spans="1:34" s="1" customFormat="1" ht="45">
      <c r="A761" s="120">
        <v>760</v>
      </c>
      <c r="B761" s="120" t="b">
        <f t="shared" ca="1" si="11"/>
        <v>0</v>
      </c>
      <c r="C761" s="121">
        <v>45583</v>
      </c>
      <c r="D761" s="137">
        <v>0.25380787037037039</v>
      </c>
      <c r="E761" s="94">
        <v>2001</v>
      </c>
      <c r="F761" s="142">
        <v>1201</v>
      </c>
      <c r="G761" s="94" t="s">
        <v>34</v>
      </c>
      <c r="H761" s="94">
        <v>1043</v>
      </c>
      <c r="I761" s="91"/>
      <c r="J761" s="94" t="s">
        <v>35</v>
      </c>
      <c r="K761" s="152">
        <v>7.3810000000000002</v>
      </c>
      <c r="L761" s="122" t="str">
        <f>VLOOKUP(K761,Liste!$L$2:$O$34,4,1)</f>
        <v>GSMR_02/03</v>
      </c>
      <c r="M761" s="133" t="s">
        <v>36</v>
      </c>
      <c r="N761" s="181" t="s">
        <v>58</v>
      </c>
      <c r="O761" s="125" t="s">
        <v>1774</v>
      </c>
      <c r="P761" s="119"/>
      <c r="Q761" s="94" t="s">
        <v>39</v>
      </c>
      <c r="R761" s="94" t="s">
        <v>1032</v>
      </c>
      <c r="S761" s="91" t="s">
        <v>1775</v>
      </c>
      <c r="T761" s="94" t="s">
        <v>69</v>
      </c>
      <c r="U761" s="94" t="s">
        <v>1718</v>
      </c>
      <c r="V761" s="94" t="s">
        <v>51</v>
      </c>
      <c r="W761" s="94" t="s">
        <v>51</v>
      </c>
      <c r="X761" s="124" t="s">
        <v>52</v>
      </c>
      <c r="Y761" s="124" t="s">
        <v>622</v>
      </c>
      <c r="Z761" s="91"/>
      <c r="AA761" s="91" t="s">
        <v>793</v>
      </c>
      <c r="AB761" s="91"/>
      <c r="AC761" s="91"/>
      <c r="AD761" s="91"/>
      <c r="AE761" s="91"/>
      <c r="AF761" s="91"/>
      <c r="AG761" s="91"/>
      <c r="AH761" s="91"/>
    </row>
    <row r="762" spans="1:34" s="1" customFormat="1" ht="45">
      <c r="A762" s="120">
        <v>761</v>
      </c>
      <c r="B762" s="120" t="b">
        <f t="shared" ca="1" si="11"/>
        <v>0</v>
      </c>
      <c r="C762" s="121">
        <v>45583</v>
      </c>
      <c r="D762" s="137">
        <v>0.36565972222222221</v>
      </c>
      <c r="E762" s="94">
        <v>1005</v>
      </c>
      <c r="F762" s="142">
        <v>1212</v>
      </c>
      <c r="G762" s="94" t="s">
        <v>71</v>
      </c>
      <c r="H762" s="94">
        <v>1023</v>
      </c>
      <c r="I762" s="94"/>
      <c r="J762" s="94" t="s">
        <v>72</v>
      </c>
      <c r="K762" s="91">
        <v>94.953999999999994</v>
      </c>
      <c r="L762" s="122" t="str">
        <f>VLOOKUP(K762,Liste!$L$2:$O$34,4,1)</f>
        <v>GSMR_17/18</v>
      </c>
      <c r="M762" s="133" t="s">
        <v>36</v>
      </c>
      <c r="N762" s="180" t="s">
        <v>37</v>
      </c>
      <c r="O762" s="125" t="s">
        <v>1776</v>
      </c>
      <c r="P762" s="119"/>
      <c r="Q762" s="94" t="s">
        <v>54</v>
      </c>
      <c r="R762" s="94" t="s">
        <v>1479</v>
      </c>
      <c r="S762" s="91" t="s">
        <v>1725</v>
      </c>
      <c r="T762" s="94" t="s">
        <v>56</v>
      </c>
      <c r="U762" s="94" t="s">
        <v>1666</v>
      </c>
      <c r="V762" s="94" t="s">
        <v>51</v>
      </c>
      <c r="W762" s="94" t="s">
        <v>51</v>
      </c>
      <c r="X762" s="124" t="s">
        <v>52</v>
      </c>
      <c r="Y762" s="124" t="s">
        <v>1777</v>
      </c>
      <c r="Z762" s="91"/>
      <c r="AA762" s="91" t="s">
        <v>778</v>
      </c>
      <c r="AB762" s="91"/>
      <c r="AC762" s="91"/>
      <c r="AD762" s="91"/>
      <c r="AE762" s="91"/>
      <c r="AF762" s="91"/>
      <c r="AG762" s="91"/>
      <c r="AH762" s="91"/>
    </row>
    <row r="763" spans="1:34" s="1" customFormat="1" ht="45">
      <c r="A763" s="120">
        <v>762</v>
      </c>
      <c r="B763" s="120" t="b">
        <f t="shared" ca="1" si="11"/>
        <v>0</v>
      </c>
      <c r="C763" s="121">
        <v>45583</v>
      </c>
      <c r="D763" s="137">
        <v>0.50624999999999998</v>
      </c>
      <c r="E763" s="94">
        <v>1018</v>
      </c>
      <c r="F763" s="142">
        <v>1203</v>
      </c>
      <c r="G763" s="94" t="s">
        <v>71</v>
      </c>
      <c r="H763" s="94">
        <v>1023</v>
      </c>
      <c r="I763" s="94"/>
      <c r="J763" s="94" t="s">
        <v>72</v>
      </c>
      <c r="K763" s="152">
        <v>9.07</v>
      </c>
      <c r="L763" s="122" t="str">
        <f>VLOOKUP(K763,Liste!$L$2:$O$34,4,1)</f>
        <v>GSMR_02/03</v>
      </c>
      <c r="M763" s="133" t="s">
        <v>36</v>
      </c>
      <c r="N763" s="181" t="s">
        <v>58</v>
      </c>
      <c r="O763" s="125" t="s">
        <v>1778</v>
      </c>
      <c r="P763" s="119"/>
      <c r="Q763" s="94" t="s">
        <v>39</v>
      </c>
      <c r="R763" s="94" t="s">
        <v>1032</v>
      </c>
      <c r="S763" s="91" t="s">
        <v>1779</v>
      </c>
      <c r="T763" s="94" t="s">
        <v>69</v>
      </c>
      <c r="U763" s="94" t="s">
        <v>1745</v>
      </c>
      <c r="V763" s="94" t="s">
        <v>51</v>
      </c>
      <c r="W763" s="94" t="s">
        <v>43</v>
      </c>
      <c r="X763" s="124" t="s">
        <v>52</v>
      </c>
      <c r="Y763" s="124" t="s">
        <v>1777</v>
      </c>
      <c r="Z763" s="91"/>
      <c r="AA763" s="91" t="s">
        <v>778</v>
      </c>
      <c r="AB763" s="91"/>
      <c r="AC763" s="91"/>
      <c r="AD763" s="91"/>
      <c r="AE763" s="91"/>
      <c r="AF763" s="91"/>
      <c r="AG763" s="91"/>
      <c r="AH763" s="91"/>
    </row>
    <row r="764" spans="1:34" s="1" customFormat="1" ht="45">
      <c r="A764" s="120">
        <v>763</v>
      </c>
      <c r="B764" s="120" t="b">
        <f t="shared" ca="1" si="11"/>
        <v>0</v>
      </c>
      <c r="C764" s="121">
        <v>45583</v>
      </c>
      <c r="D764" s="137">
        <v>0.50402777777777774</v>
      </c>
      <c r="E764" s="94">
        <v>2025</v>
      </c>
      <c r="F764" s="142">
        <v>1202</v>
      </c>
      <c r="G764" s="94" t="s">
        <v>34</v>
      </c>
      <c r="H764" s="94">
        <v>1042</v>
      </c>
      <c r="I764" s="94"/>
      <c r="J764" s="94" t="s">
        <v>35</v>
      </c>
      <c r="K764" s="152">
        <v>7.3810000000000002</v>
      </c>
      <c r="L764" s="122" t="str">
        <f>VLOOKUP(K764,Liste!$L$2:$O$34,4,1)</f>
        <v>GSMR_02/03</v>
      </c>
      <c r="M764" s="133" t="s">
        <v>36</v>
      </c>
      <c r="N764" s="181" t="s">
        <v>58</v>
      </c>
      <c r="O764" s="125" t="s">
        <v>1780</v>
      </c>
      <c r="P764" s="119"/>
      <c r="Q764" s="94" t="s">
        <v>39</v>
      </c>
      <c r="R764" s="94" t="s">
        <v>1032</v>
      </c>
      <c r="S764" s="91" t="s">
        <v>1781</v>
      </c>
      <c r="T764" s="94" t="s">
        <v>93</v>
      </c>
      <c r="U764" s="94" t="s">
        <v>1782</v>
      </c>
      <c r="V764" s="94" t="s">
        <v>51</v>
      </c>
      <c r="W764" s="94" t="s">
        <v>51</v>
      </c>
      <c r="X764" s="124" t="s">
        <v>52</v>
      </c>
      <c r="Y764" s="124" t="s">
        <v>622</v>
      </c>
      <c r="Z764" s="91"/>
      <c r="AA764" s="91" t="s">
        <v>778</v>
      </c>
      <c r="AB764" s="91"/>
      <c r="AC764" s="91"/>
      <c r="AD764" s="91"/>
      <c r="AE764" s="91"/>
      <c r="AF764" s="91"/>
      <c r="AG764" s="91"/>
      <c r="AH764" s="91"/>
    </row>
    <row r="765" spans="1:34" s="1" customFormat="1" ht="45">
      <c r="A765" s="120">
        <v>764</v>
      </c>
      <c r="B765" s="120" t="b">
        <f t="shared" ca="1" si="11"/>
        <v>0</v>
      </c>
      <c r="C765" s="121">
        <v>45583</v>
      </c>
      <c r="D765" s="137">
        <v>0.54473379629629626</v>
      </c>
      <c r="E765" s="94">
        <v>1021</v>
      </c>
      <c r="F765" s="142">
        <v>1209</v>
      </c>
      <c r="G765" s="94" t="s">
        <v>71</v>
      </c>
      <c r="H765" s="94">
        <v>1016</v>
      </c>
      <c r="I765" s="94"/>
      <c r="J765" s="94" t="s">
        <v>72</v>
      </c>
      <c r="K765" s="152">
        <v>8.9700000000000006</v>
      </c>
      <c r="L765" s="122" t="str">
        <f>VLOOKUP(K765,Liste!$L$2:$O$34,4,1)</f>
        <v>GSMR_02/03</v>
      </c>
      <c r="M765" s="133" t="s">
        <v>36</v>
      </c>
      <c r="N765" s="180" t="s">
        <v>37</v>
      </c>
      <c r="O765" s="125" t="s">
        <v>1783</v>
      </c>
      <c r="P765" s="119"/>
      <c r="Q765" s="94" t="s">
        <v>39</v>
      </c>
      <c r="R765" s="94" t="s">
        <v>1032</v>
      </c>
      <c r="S765" s="91" t="s">
        <v>1779</v>
      </c>
      <c r="T765" s="94" t="s">
        <v>69</v>
      </c>
      <c r="U765" s="94" t="s">
        <v>1541</v>
      </c>
      <c r="V765" s="94" t="s">
        <v>51</v>
      </c>
      <c r="W765" s="94" t="s">
        <v>51</v>
      </c>
      <c r="X765" s="124" t="s">
        <v>52</v>
      </c>
      <c r="Y765" s="124" t="s">
        <v>622</v>
      </c>
      <c r="Z765" s="91"/>
      <c r="AA765" s="91" t="s">
        <v>1118</v>
      </c>
      <c r="AB765" s="91"/>
      <c r="AC765" s="91"/>
      <c r="AD765" s="91"/>
      <c r="AE765" s="91"/>
      <c r="AF765" s="91"/>
      <c r="AG765" s="91"/>
      <c r="AH765" s="91"/>
    </row>
    <row r="766" spans="1:34" s="1" customFormat="1" ht="45">
      <c r="A766" s="120">
        <v>765</v>
      </c>
      <c r="B766" s="120" t="b">
        <f t="shared" ca="1" si="11"/>
        <v>0</v>
      </c>
      <c r="C766" s="121">
        <v>45583</v>
      </c>
      <c r="D766" s="137">
        <v>0.83872685185185181</v>
      </c>
      <c r="E766" s="94">
        <v>1049</v>
      </c>
      <c r="F766" s="142">
        <v>1205</v>
      </c>
      <c r="G766" s="94" t="s">
        <v>71</v>
      </c>
      <c r="H766" s="94">
        <v>1034</v>
      </c>
      <c r="I766" s="94"/>
      <c r="J766" s="94" t="s">
        <v>72</v>
      </c>
      <c r="K766" s="152">
        <v>7.3810000000000002</v>
      </c>
      <c r="L766" s="122" t="str">
        <f>VLOOKUP(K766,Liste!$L$2:$O$34,4,1)</f>
        <v>GSMR_02/03</v>
      </c>
      <c r="M766" s="133" t="s">
        <v>36</v>
      </c>
      <c r="N766" s="181" t="s">
        <v>58</v>
      </c>
      <c r="O766" s="125" t="s">
        <v>1784</v>
      </c>
      <c r="P766" s="119"/>
      <c r="Q766" s="94" t="s">
        <v>39</v>
      </c>
      <c r="R766" s="94" t="s">
        <v>1032</v>
      </c>
      <c r="S766" s="91" t="s">
        <v>1785</v>
      </c>
      <c r="T766" s="94" t="s">
        <v>56</v>
      </c>
      <c r="U766" s="94" t="s">
        <v>1460</v>
      </c>
      <c r="V766" s="94" t="s">
        <v>51</v>
      </c>
      <c r="W766" s="94" t="s">
        <v>51</v>
      </c>
      <c r="X766" s="124" t="s">
        <v>52</v>
      </c>
      <c r="Y766" s="124" t="s">
        <v>622</v>
      </c>
      <c r="Z766" s="91"/>
      <c r="AA766" s="91" t="s">
        <v>1118</v>
      </c>
      <c r="AB766" s="91"/>
      <c r="AC766" s="91"/>
      <c r="AD766" s="91"/>
      <c r="AE766" s="91"/>
      <c r="AF766" s="91"/>
      <c r="AG766" s="91"/>
      <c r="AH766" s="91"/>
    </row>
    <row r="767" spans="1:34" s="1" customFormat="1" ht="45">
      <c r="A767" s="120">
        <v>766</v>
      </c>
      <c r="B767" s="120" t="b">
        <f t="shared" ca="1" si="11"/>
        <v>0</v>
      </c>
      <c r="C767" s="121">
        <v>45583</v>
      </c>
      <c r="D767" s="137">
        <v>0.87719907407407405</v>
      </c>
      <c r="E767" s="94">
        <v>1054</v>
      </c>
      <c r="F767" s="142">
        <v>1206</v>
      </c>
      <c r="G767" s="94" t="s">
        <v>71</v>
      </c>
      <c r="H767" s="94">
        <v>1041</v>
      </c>
      <c r="I767" s="94"/>
      <c r="J767" s="94" t="s">
        <v>72</v>
      </c>
      <c r="K767" s="152">
        <v>8.9700000000000006</v>
      </c>
      <c r="L767" s="122" t="str">
        <f>VLOOKUP(K767,Liste!$L$2:$O$34,4,1)</f>
        <v>GSMR_02/03</v>
      </c>
      <c r="M767" s="133" t="s">
        <v>36</v>
      </c>
      <c r="N767" s="181" t="s">
        <v>58</v>
      </c>
      <c r="O767" s="125" t="s">
        <v>1786</v>
      </c>
      <c r="P767" s="119"/>
      <c r="Q767" s="94" t="s">
        <v>39</v>
      </c>
      <c r="R767" s="94" t="s">
        <v>1032</v>
      </c>
      <c r="S767" s="91" t="s">
        <v>1779</v>
      </c>
      <c r="T767" s="94" t="s">
        <v>69</v>
      </c>
      <c r="U767" s="94" t="s">
        <v>1453</v>
      </c>
      <c r="V767" s="94" t="s">
        <v>51</v>
      </c>
      <c r="W767" s="94" t="s">
        <v>51</v>
      </c>
      <c r="X767" s="124" t="s">
        <v>52</v>
      </c>
      <c r="Y767" s="124" t="s">
        <v>622</v>
      </c>
      <c r="Z767" s="91"/>
      <c r="AA767" s="91" t="s">
        <v>793</v>
      </c>
      <c r="AB767" s="91"/>
      <c r="AC767" s="91"/>
      <c r="AD767" s="91"/>
      <c r="AE767" s="91"/>
      <c r="AF767" s="91"/>
      <c r="AG767" s="91"/>
      <c r="AH767" s="91"/>
    </row>
    <row r="768" spans="1:34" s="1" customFormat="1" ht="45">
      <c r="A768" s="120">
        <v>767</v>
      </c>
      <c r="B768" s="120" t="b">
        <f t="shared" ca="1" si="11"/>
        <v>0</v>
      </c>
      <c r="C768" s="121">
        <v>45584</v>
      </c>
      <c r="D768" s="137">
        <v>0.37815972222222222</v>
      </c>
      <c r="E768" s="94">
        <v>1005</v>
      </c>
      <c r="F768" s="142">
        <v>1205</v>
      </c>
      <c r="G768" s="94" t="s">
        <v>71</v>
      </c>
      <c r="H768" s="94">
        <v>1035</v>
      </c>
      <c r="I768" s="94"/>
      <c r="J768" s="94" t="s">
        <v>72</v>
      </c>
      <c r="K768" s="152">
        <v>8.9700000000000006</v>
      </c>
      <c r="L768" s="122" t="str">
        <f>VLOOKUP(K768,Liste!$L$2:$O$34,4,1)</f>
        <v>GSMR_02/03</v>
      </c>
      <c r="M768" s="133" t="s">
        <v>36</v>
      </c>
      <c r="N768" s="180" t="s">
        <v>37</v>
      </c>
      <c r="O768" s="125" t="s">
        <v>1787</v>
      </c>
      <c r="P768" s="119"/>
      <c r="Q768" s="94" t="s">
        <v>39</v>
      </c>
      <c r="R768" s="94" t="s">
        <v>1032</v>
      </c>
      <c r="S768" s="91" t="s">
        <v>1779</v>
      </c>
      <c r="T768" s="94" t="s">
        <v>69</v>
      </c>
      <c r="U768" s="94" t="s">
        <v>1529</v>
      </c>
      <c r="V768" s="94" t="s">
        <v>51</v>
      </c>
      <c r="W768" s="94" t="s">
        <v>51</v>
      </c>
      <c r="X768" s="124" t="s">
        <v>52</v>
      </c>
      <c r="Y768" s="124" t="s">
        <v>622</v>
      </c>
      <c r="Z768" s="91"/>
      <c r="AA768" s="91" t="s">
        <v>778</v>
      </c>
      <c r="AB768" s="91"/>
      <c r="AC768" s="91"/>
      <c r="AD768" s="91"/>
      <c r="AE768" s="91"/>
      <c r="AF768" s="91"/>
      <c r="AG768" s="91"/>
      <c r="AH768" s="91"/>
    </row>
    <row r="769" spans="1:34" s="1" customFormat="1" ht="45">
      <c r="A769" s="120">
        <v>768</v>
      </c>
      <c r="B769" s="120" t="b">
        <f t="shared" ca="1" si="11"/>
        <v>0</v>
      </c>
      <c r="C769" s="121">
        <v>45584</v>
      </c>
      <c r="D769" s="137">
        <v>0.5446643518518518</v>
      </c>
      <c r="E769" s="94">
        <v>1021</v>
      </c>
      <c r="F769" s="142">
        <v>1202</v>
      </c>
      <c r="G769" s="94" t="s">
        <v>71</v>
      </c>
      <c r="H769" s="94">
        <v>1031</v>
      </c>
      <c r="I769" s="94"/>
      <c r="J769" s="94" t="s">
        <v>72</v>
      </c>
      <c r="K769" s="152">
        <v>8.9700000000000006</v>
      </c>
      <c r="L769" s="122" t="str">
        <f>VLOOKUP(K769,Liste!$L$2:$O$34,4,1)</f>
        <v>GSMR_02/03</v>
      </c>
      <c r="M769" s="133" t="s">
        <v>36</v>
      </c>
      <c r="N769" s="181" t="s">
        <v>58</v>
      </c>
      <c r="O769" s="125" t="s">
        <v>1788</v>
      </c>
      <c r="P769" s="119"/>
      <c r="Q769" s="94" t="s">
        <v>39</v>
      </c>
      <c r="R769" s="94" t="s">
        <v>1032</v>
      </c>
      <c r="S769" s="91" t="s">
        <v>1789</v>
      </c>
      <c r="T769" s="94" t="s">
        <v>116</v>
      </c>
      <c r="U769" s="94" t="s">
        <v>1453</v>
      </c>
      <c r="V769" s="94" t="s">
        <v>51</v>
      </c>
      <c r="W769" s="94" t="s">
        <v>43</v>
      </c>
      <c r="X769" s="124" t="s">
        <v>52</v>
      </c>
      <c r="Y769" s="124" t="s">
        <v>622</v>
      </c>
      <c r="Z769" s="91"/>
      <c r="AA769" s="91" t="s">
        <v>778</v>
      </c>
      <c r="AB769" s="91"/>
      <c r="AC769" s="91"/>
      <c r="AD769" s="91"/>
      <c r="AE769" s="91"/>
      <c r="AF769" s="91"/>
      <c r="AG769" s="91"/>
      <c r="AH769" s="91"/>
    </row>
    <row r="770" spans="1:34" s="1" customFormat="1" ht="60">
      <c r="A770" s="120">
        <v>769</v>
      </c>
      <c r="B770" s="120" t="b">
        <f t="shared" ref="B770:B833" ca="1" si="12">AND(C770&gt;=TODAY()-7, C770&lt;=TODAY()-1)</f>
        <v>0</v>
      </c>
      <c r="C770" s="121">
        <v>45584</v>
      </c>
      <c r="D770" s="137">
        <v>0.58751157407407406</v>
      </c>
      <c r="E770" s="94">
        <v>2033</v>
      </c>
      <c r="F770" s="142">
        <v>1210</v>
      </c>
      <c r="G770" s="94" t="s">
        <v>34</v>
      </c>
      <c r="H770" s="94">
        <v>1049</v>
      </c>
      <c r="I770" s="94"/>
      <c r="J770" s="94" t="s">
        <v>35</v>
      </c>
      <c r="K770" s="152">
        <v>7.3810000000000002</v>
      </c>
      <c r="L770" s="122" t="str">
        <f>VLOOKUP(K770,Liste!$L$2:$O$34,4,1)</f>
        <v>GSMR_02/03</v>
      </c>
      <c r="M770" s="133" t="s">
        <v>36</v>
      </c>
      <c r="N770" s="181" t="s">
        <v>58</v>
      </c>
      <c r="O770" s="125" t="s">
        <v>1790</v>
      </c>
      <c r="P770" s="119"/>
      <c r="Q770" s="94" t="s">
        <v>39</v>
      </c>
      <c r="R770" s="94" t="s">
        <v>1032</v>
      </c>
      <c r="S770" s="91" t="s">
        <v>1791</v>
      </c>
      <c r="T770" s="94" t="s">
        <v>101</v>
      </c>
      <c r="U770" s="94" t="s">
        <v>1782</v>
      </c>
      <c r="V770" s="94" t="s">
        <v>51</v>
      </c>
      <c r="W770" s="94" t="s">
        <v>51</v>
      </c>
      <c r="X770" s="124" t="s">
        <v>52</v>
      </c>
      <c r="Y770" s="124" t="s">
        <v>622</v>
      </c>
      <c r="Z770" s="91"/>
      <c r="AA770" s="91" t="s">
        <v>772</v>
      </c>
      <c r="AB770" s="91"/>
      <c r="AC770" s="91"/>
      <c r="AD770" s="91"/>
      <c r="AE770" s="91"/>
      <c r="AF770" s="91"/>
      <c r="AG770" s="91"/>
      <c r="AH770" s="91"/>
    </row>
    <row r="771" spans="1:34" s="1" customFormat="1" ht="60">
      <c r="A771" s="120">
        <v>770</v>
      </c>
      <c r="B771" s="120" t="b">
        <f t="shared" ca="1" si="12"/>
        <v>0</v>
      </c>
      <c r="C771" s="121">
        <v>45584</v>
      </c>
      <c r="D771" s="137">
        <v>0.59208333333333329</v>
      </c>
      <c r="E771" s="94">
        <v>1026</v>
      </c>
      <c r="F771" s="142">
        <v>1212</v>
      </c>
      <c r="G771" s="94" t="s">
        <v>71</v>
      </c>
      <c r="H771" s="94">
        <v>1022</v>
      </c>
      <c r="I771" s="94"/>
      <c r="J771" s="94" t="s">
        <v>72</v>
      </c>
      <c r="K771" s="152">
        <v>8.9700000000000006</v>
      </c>
      <c r="L771" s="122" t="str">
        <f>VLOOKUP(K771,Liste!$L$2:$O$34,4,1)</f>
        <v>GSMR_02/03</v>
      </c>
      <c r="M771" s="133" t="s">
        <v>36</v>
      </c>
      <c r="N771" s="181" t="s">
        <v>58</v>
      </c>
      <c r="O771" s="125" t="s">
        <v>1792</v>
      </c>
      <c r="P771" s="119"/>
      <c r="Q771" s="94" t="s">
        <v>39</v>
      </c>
      <c r="R771" s="94" t="s">
        <v>1032</v>
      </c>
      <c r="S771" s="91" t="s">
        <v>1785</v>
      </c>
      <c r="T771" s="94" t="s">
        <v>56</v>
      </c>
      <c r="U771" s="94" t="s">
        <v>1490</v>
      </c>
      <c r="V771" s="94" t="s">
        <v>51</v>
      </c>
      <c r="W771" s="94" t="s">
        <v>51</v>
      </c>
      <c r="X771" s="124" t="s">
        <v>52</v>
      </c>
      <c r="Y771" s="124" t="s">
        <v>1045</v>
      </c>
      <c r="Z771" s="91"/>
      <c r="AA771" s="91" t="s">
        <v>772</v>
      </c>
      <c r="AB771" s="91"/>
      <c r="AC771" s="91"/>
      <c r="AD771" s="91"/>
      <c r="AE771" s="91"/>
      <c r="AF771" s="91"/>
      <c r="AG771" s="91"/>
      <c r="AH771" s="91"/>
    </row>
    <row r="772" spans="1:34" s="1" customFormat="1" ht="45">
      <c r="A772" s="120">
        <v>771</v>
      </c>
      <c r="B772" s="120" t="b">
        <f t="shared" ca="1" si="12"/>
        <v>0</v>
      </c>
      <c r="C772" s="121">
        <v>45584</v>
      </c>
      <c r="D772" s="137">
        <v>0.62878472222222226</v>
      </c>
      <c r="E772" s="94">
        <v>2037</v>
      </c>
      <c r="F772" s="142">
        <v>1212</v>
      </c>
      <c r="G772" s="94" t="s">
        <v>34</v>
      </c>
      <c r="H772" s="94">
        <v>1057</v>
      </c>
      <c r="I772" s="94"/>
      <c r="J772" s="94" t="s">
        <v>35</v>
      </c>
      <c r="K772" s="152">
        <v>6.13</v>
      </c>
      <c r="L772" s="122" t="str">
        <f>VLOOKUP(K772,Liste!$L$2:$O$34,4,1)</f>
        <v>GSMR_02/03</v>
      </c>
      <c r="M772" s="133" t="s">
        <v>36</v>
      </c>
      <c r="N772" s="181" t="s">
        <v>58</v>
      </c>
      <c r="O772" s="125" t="s">
        <v>1793</v>
      </c>
      <c r="P772" s="119"/>
      <c r="Q772" s="94" t="s">
        <v>39</v>
      </c>
      <c r="R772" s="94" t="s">
        <v>1032</v>
      </c>
      <c r="S772" s="91" t="s">
        <v>1794</v>
      </c>
      <c r="T772" s="94" t="s">
        <v>69</v>
      </c>
      <c r="U772" s="94" t="s">
        <v>1520</v>
      </c>
      <c r="V772" s="94" t="s">
        <v>51</v>
      </c>
      <c r="W772" s="94" t="s">
        <v>51</v>
      </c>
      <c r="X772" s="124" t="s">
        <v>52</v>
      </c>
      <c r="Y772" s="124" t="s">
        <v>1045</v>
      </c>
      <c r="Z772" s="91"/>
      <c r="AA772" s="91" t="s">
        <v>772</v>
      </c>
      <c r="AB772" s="91"/>
      <c r="AC772" s="91"/>
      <c r="AD772" s="91"/>
      <c r="AE772" s="91"/>
      <c r="AF772" s="91"/>
      <c r="AG772" s="91"/>
      <c r="AH772" s="91"/>
    </row>
    <row r="773" spans="1:34" s="1" customFormat="1" ht="45">
      <c r="A773" s="120">
        <v>772</v>
      </c>
      <c r="B773" s="120" t="b">
        <f t="shared" ca="1" si="12"/>
        <v>0</v>
      </c>
      <c r="C773" s="121">
        <v>45585</v>
      </c>
      <c r="D773" s="137">
        <v>0.33908564814814812</v>
      </c>
      <c r="E773" s="94">
        <v>2009</v>
      </c>
      <c r="F773" s="142">
        <v>1208</v>
      </c>
      <c r="G773" s="94" t="s">
        <v>34</v>
      </c>
      <c r="H773" s="94">
        <v>1037</v>
      </c>
      <c r="I773" s="94"/>
      <c r="J773" s="94" t="s">
        <v>35</v>
      </c>
      <c r="K773" s="91">
        <v>16.29</v>
      </c>
      <c r="L773" s="122" t="str">
        <f>VLOOKUP(K773,Liste!$L$2:$O$34,4,1)</f>
        <v>GSMR_03/04</v>
      </c>
      <c r="M773" s="133" t="s">
        <v>36</v>
      </c>
      <c r="N773" s="180" t="s">
        <v>37</v>
      </c>
      <c r="O773" s="125" t="s">
        <v>1795</v>
      </c>
      <c r="P773" s="119"/>
      <c r="Q773" s="94" t="s">
        <v>39</v>
      </c>
      <c r="R773" s="94" t="s">
        <v>1032</v>
      </c>
      <c r="S773" s="91" t="s">
        <v>1796</v>
      </c>
      <c r="T773" s="94" t="s">
        <v>69</v>
      </c>
      <c r="U773" s="94" t="s">
        <v>1453</v>
      </c>
      <c r="V773" s="94" t="s">
        <v>51</v>
      </c>
      <c r="W773" s="94" t="s">
        <v>51</v>
      </c>
      <c r="X773" s="124" t="s">
        <v>52</v>
      </c>
      <c r="Y773" s="124" t="s">
        <v>946</v>
      </c>
      <c r="Z773" s="91"/>
      <c r="AA773" s="91" t="s">
        <v>1118</v>
      </c>
      <c r="AB773" s="91"/>
      <c r="AC773" s="91"/>
      <c r="AD773" s="91"/>
      <c r="AE773" s="91"/>
      <c r="AF773" s="91"/>
      <c r="AG773" s="91"/>
      <c r="AH773" s="91"/>
    </row>
    <row r="774" spans="1:34" s="1" customFormat="1" ht="45">
      <c r="A774" s="120">
        <v>773</v>
      </c>
      <c r="B774" s="120" t="b">
        <f t="shared" ca="1" si="12"/>
        <v>0</v>
      </c>
      <c r="C774" s="121">
        <v>45585</v>
      </c>
      <c r="D774" s="137">
        <v>0.39953703703703702</v>
      </c>
      <c r="E774" s="94">
        <v>2013</v>
      </c>
      <c r="F774" s="142">
        <v>1205</v>
      </c>
      <c r="G774" s="94" t="s">
        <v>34</v>
      </c>
      <c r="H774" s="94">
        <v>7218</v>
      </c>
      <c r="I774" s="94"/>
      <c r="J774" s="94" t="s">
        <v>35</v>
      </c>
      <c r="K774" s="91">
        <v>145.6</v>
      </c>
      <c r="L774" s="122" t="str">
        <f>VLOOKUP(K774,Liste!$L$2:$O$34,4,1)</f>
        <v>GSMR_25/26</v>
      </c>
      <c r="M774" s="133" t="s">
        <v>36</v>
      </c>
      <c r="N774" s="180" t="s">
        <v>37</v>
      </c>
      <c r="O774" s="125" t="s">
        <v>1797</v>
      </c>
      <c r="P774" s="119"/>
      <c r="Q774" s="94" t="s">
        <v>105</v>
      </c>
      <c r="R774" s="94" t="s">
        <v>1763</v>
      </c>
      <c r="S774" s="91" t="s">
        <v>1798</v>
      </c>
      <c r="T774" s="94" t="s">
        <v>69</v>
      </c>
      <c r="U774" s="94" t="s">
        <v>1493</v>
      </c>
      <c r="V774" s="94" t="s">
        <v>51</v>
      </c>
      <c r="W774" s="94" t="s">
        <v>51</v>
      </c>
      <c r="X774" s="124" t="s">
        <v>52</v>
      </c>
      <c r="Y774" s="124" t="s">
        <v>946</v>
      </c>
      <c r="Z774" s="91"/>
      <c r="AA774" s="91" t="s">
        <v>1118</v>
      </c>
      <c r="AB774" s="91"/>
      <c r="AC774" s="91"/>
      <c r="AD774" s="91"/>
      <c r="AE774" s="91"/>
      <c r="AF774" s="91"/>
      <c r="AG774" s="91"/>
      <c r="AH774" s="91"/>
    </row>
    <row r="775" spans="1:34" s="1" customFormat="1" ht="45">
      <c r="A775" s="120">
        <v>774</v>
      </c>
      <c r="B775" s="120" t="b">
        <f t="shared" ca="1" si="12"/>
        <v>0</v>
      </c>
      <c r="C775" s="121">
        <v>45585</v>
      </c>
      <c r="D775" s="137">
        <v>0.5326967592592593</v>
      </c>
      <c r="E775" s="94">
        <v>1017</v>
      </c>
      <c r="F775" s="142">
        <v>1208</v>
      </c>
      <c r="G775" s="94" t="s">
        <v>71</v>
      </c>
      <c r="H775" s="94">
        <v>1045</v>
      </c>
      <c r="I775" s="94"/>
      <c r="J775" s="94" t="s">
        <v>35</v>
      </c>
      <c r="K775" s="91">
        <v>90.108000000000004</v>
      </c>
      <c r="L775" s="122" t="str">
        <f>VLOOKUP(K775,Liste!$L$2:$O$34,4,1)</f>
        <v>GSMR_16/17</v>
      </c>
      <c r="M775" s="133" t="s">
        <v>36</v>
      </c>
      <c r="N775" s="180" t="s">
        <v>37</v>
      </c>
      <c r="O775" s="125" t="s">
        <v>1799</v>
      </c>
      <c r="P775" s="119"/>
      <c r="Q775" s="94" t="s">
        <v>39</v>
      </c>
      <c r="R775" s="94" t="s">
        <v>1032</v>
      </c>
      <c r="S775" s="91" t="s">
        <v>1800</v>
      </c>
      <c r="T775" s="94" t="s">
        <v>69</v>
      </c>
      <c r="U775" s="94" t="s">
        <v>1520</v>
      </c>
      <c r="V775" s="94" t="s">
        <v>51</v>
      </c>
      <c r="W775" s="94" t="s">
        <v>51</v>
      </c>
      <c r="X775" s="124" t="s">
        <v>52</v>
      </c>
      <c r="Y775" s="124" t="s">
        <v>946</v>
      </c>
      <c r="Z775" s="91"/>
      <c r="AA775" s="91" t="s">
        <v>1118</v>
      </c>
      <c r="AB775" s="91"/>
      <c r="AC775" s="91"/>
      <c r="AD775" s="91"/>
      <c r="AE775" s="91"/>
      <c r="AF775" s="91"/>
      <c r="AG775" s="91"/>
      <c r="AH775" s="91"/>
    </row>
    <row r="776" spans="1:34" s="1" customFormat="1" ht="45">
      <c r="A776" s="120">
        <v>775</v>
      </c>
      <c r="B776" s="120" t="b">
        <f t="shared" ca="1" si="12"/>
        <v>0</v>
      </c>
      <c r="C776" s="121">
        <v>45585</v>
      </c>
      <c r="D776" s="137">
        <v>0.60821759259259256</v>
      </c>
      <c r="E776" s="94">
        <v>2033</v>
      </c>
      <c r="F776" s="142">
        <v>1208</v>
      </c>
      <c r="G776" s="94" t="s">
        <v>34</v>
      </c>
      <c r="H776" s="94">
        <v>1037</v>
      </c>
      <c r="I776" s="94"/>
      <c r="J776" s="94" t="s">
        <v>35</v>
      </c>
      <c r="K776" s="91">
        <v>144.32599999999999</v>
      </c>
      <c r="L776" s="122" t="str">
        <f>VLOOKUP(K776,Liste!$L$2:$O$34,4,1)</f>
        <v>GSMR_25/26</v>
      </c>
      <c r="M776" s="133" t="s">
        <v>36</v>
      </c>
      <c r="N776" s="181" t="s">
        <v>58</v>
      </c>
      <c r="O776" s="125" t="s">
        <v>1801</v>
      </c>
      <c r="P776" s="119"/>
      <c r="Q776" s="94" t="s">
        <v>39</v>
      </c>
      <c r="R776" s="94" t="s">
        <v>1032</v>
      </c>
      <c r="S776" s="91" t="s">
        <v>1800</v>
      </c>
      <c r="T776" s="94" t="s">
        <v>69</v>
      </c>
      <c r="U776" s="94" t="s">
        <v>1463</v>
      </c>
      <c r="V776" s="94" t="s">
        <v>51</v>
      </c>
      <c r="W776" s="94" t="s">
        <v>51</v>
      </c>
      <c r="X776" s="124" t="s">
        <v>52</v>
      </c>
      <c r="Y776" s="124" t="s">
        <v>946</v>
      </c>
      <c r="Z776" s="91"/>
      <c r="AA776" s="91" t="s">
        <v>772</v>
      </c>
      <c r="AB776" s="91"/>
      <c r="AC776" s="91"/>
      <c r="AD776" s="91"/>
      <c r="AE776" s="91"/>
      <c r="AF776" s="91"/>
      <c r="AG776" s="91"/>
      <c r="AH776" s="91"/>
    </row>
    <row r="777" spans="1:34" s="1" customFormat="1" ht="45">
      <c r="A777" s="120">
        <v>776</v>
      </c>
      <c r="B777" s="120" t="b">
        <f t="shared" ca="1" si="12"/>
        <v>0</v>
      </c>
      <c r="C777" s="121">
        <v>45585</v>
      </c>
      <c r="D777" s="137">
        <v>0.60847222222222219</v>
      </c>
      <c r="E777" s="94">
        <v>2033</v>
      </c>
      <c r="F777" s="142">
        <v>1208</v>
      </c>
      <c r="G777" s="94" t="s">
        <v>34</v>
      </c>
      <c r="H777" s="94">
        <v>1045</v>
      </c>
      <c r="I777" s="94"/>
      <c r="J777" s="94" t="s">
        <v>35</v>
      </c>
      <c r="K777" s="91">
        <v>152.86199999999999</v>
      </c>
      <c r="L777" s="122" t="str">
        <f>VLOOKUP(K777,Liste!$L$2:$O$34,4,1)</f>
        <v>GSMR_26/27</v>
      </c>
      <c r="M777" s="133" t="s">
        <v>36</v>
      </c>
      <c r="N777" s="181" t="s">
        <v>58</v>
      </c>
      <c r="O777" s="125" t="s">
        <v>1802</v>
      </c>
      <c r="P777" s="119"/>
      <c r="Q777" s="94" t="s">
        <v>54</v>
      </c>
      <c r="R777" s="94" t="s">
        <v>1479</v>
      </c>
      <c r="S777" s="91" t="s">
        <v>1803</v>
      </c>
      <c r="T777" s="94" t="s">
        <v>56</v>
      </c>
      <c r="U777" s="94" t="s">
        <v>1490</v>
      </c>
      <c r="V777" s="94" t="s">
        <v>51</v>
      </c>
      <c r="W777" s="94" t="s">
        <v>51</v>
      </c>
      <c r="X777" s="124" t="s">
        <v>52</v>
      </c>
      <c r="Y777" s="124" t="s">
        <v>946</v>
      </c>
      <c r="Z777" s="91"/>
      <c r="AA777" s="91" t="s">
        <v>772</v>
      </c>
      <c r="AB777" s="91"/>
      <c r="AC777" s="91"/>
      <c r="AD777" s="91"/>
      <c r="AE777" s="91"/>
      <c r="AF777" s="91"/>
      <c r="AG777" s="91"/>
      <c r="AH777" s="91"/>
    </row>
    <row r="778" spans="1:34" s="1" customFormat="1" ht="45">
      <c r="A778" s="120">
        <v>777</v>
      </c>
      <c r="B778" s="120" t="b">
        <f t="shared" ca="1" si="12"/>
        <v>0</v>
      </c>
      <c r="C778" s="121">
        <v>45585</v>
      </c>
      <c r="D778" s="137">
        <v>0.66910879629629627</v>
      </c>
      <c r="E778" s="94">
        <v>1034</v>
      </c>
      <c r="F778" s="142">
        <v>1209</v>
      </c>
      <c r="G778" s="94" t="s">
        <v>71</v>
      </c>
      <c r="H778" s="94">
        <v>1033</v>
      </c>
      <c r="I778" s="94"/>
      <c r="J778" s="94" t="s">
        <v>72</v>
      </c>
      <c r="K778" s="152">
        <v>8.9700000000000006</v>
      </c>
      <c r="L778" s="122" t="str">
        <f>VLOOKUP(K778,Liste!$L$2:$O$34,4,1)</f>
        <v>GSMR_02/03</v>
      </c>
      <c r="M778" s="133" t="s">
        <v>36</v>
      </c>
      <c r="N778" s="181" t="s">
        <v>58</v>
      </c>
      <c r="O778" s="125" t="s">
        <v>1804</v>
      </c>
      <c r="P778" s="119"/>
      <c r="Q778" s="94" t="s">
        <v>39</v>
      </c>
      <c r="R778" s="94" t="s">
        <v>1032</v>
      </c>
      <c r="S778" s="91" t="s">
        <v>1805</v>
      </c>
      <c r="T778" s="94" t="s">
        <v>116</v>
      </c>
      <c r="U778" s="94" t="s">
        <v>1493</v>
      </c>
      <c r="V778" s="94" t="s">
        <v>51</v>
      </c>
      <c r="W778" s="94" t="s">
        <v>51</v>
      </c>
      <c r="X778" s="124" t="s">
        <v>52</v>
      </c>
      <c r="Y778" s="124" t="s">
        <v>946</v>
      </c>
      <c r="Z778" s="91"/>
      <c r="AA778" s="91" t="s">
        <v>772</v>
      </c>
      <c r="AB778" s="91"/>
      <c r="AC778" s="91"/>
      <c r="AD778" s="91"/>
      <c r="AE778" s="91"/>
      <c r="AF778" s="91"/>
      <c r="AG778" s="91"/>
      <c r="AH778" s="91"/>
    </row>
    <row r="779" spans="1:34" s="1" customFormat="1" ht="45">
      <c r="A779" s="120">
        <v>778</v>
      </c>
      <c r="B779" s="120" t="b">
        <f t="shared" ca="1" si="12"/>
        <v>0</v>
      </c>
      <c r="C779" s="121">
        <v>45585</v>
      </c>
      <c r="D779" s="137">
        <v>0.67739583333333331</v>
      </c>
      <c r="E779" s="94">
        <v>2041</v>
      </c>
      <c r="F779" s="142">
        <v>1212</v>
      </c>
      <c r="G779" s="94" t="s">
        <v>34</v>
      </c>
      <c r="H779" s="94">
        <v>1057</v>
      </c>
      <c r="I779" s="94"/>
      <c r="J779" s="94" t="s">
        <v>35</v>
      </c>
      <c r="K779" s="91">
        <v>43.170999999999999</v>
      </c>
      <c r="L779" s="122" t="str">
        <f>VLOOKUP(K779,Liste!$L$2:$O$34,4,1)</f>
        <v>GSMR_08/09</v>
      </c>
      <c r="M779" s="133" t="s">
        <v>36</v>
      </c>
      <c r="N779" s="180" t="s">
        <v>37</v>
      </c>
      <c r="O779" s="125" t="s">
        <v>1806</v>
      </c>
      <c r="P779" s="119"/>
      <c r="Q779" s="94" t="s">
        <v>39</v>
      </c>
      <c r="R779" s="94" t="s">
        <v>1032</v>
      </c>
      <c r="S779" s="91" t="s">
        <v>1807</v>
      </c>
      <c r="T779" s="94" t="s">
        <v>41</v>
      </c>
      <c r="U779" s="94" t="s">
        <v>1490</v>
      </c>
      <c r="V779" s="94" t="s">
        <v>51</v>
      </c>
      <c r="W779" s="94" t="s">
        <v>51</v>
      </c>
      <c r="X779" s="124" t="s">
        <v>52</v>
      </c>
      <c r="Y779" s="124" t="s">
        <v>946</v>
      </c>
      <c r="Z779" s="91"/>
      <c r="AA779" s="91" t="s">
        <v>772</v>
      </c>
      <c r="AB779" s="91"/>
      <c r="AC779" s="91"/>
      <c r="AD779" s="91"/>
      <c r="AE779" s="91"/>
      <c r="AF779" s="91"/>
      <c r="AG779" s="91"/>
      <c r="AH779" s="91"/>
    </row>
    <row r="780" spans="1:34" s="1" customFormat="1" ht="45">
      <c r="A780" s="120">
        <v>779</v>
      </c>
      <c r="B780" s="120" t="b">
        <f t="shared" ca="1" si="12"/>
        <v>0</v>
      </c>
      <c r="C780" s="121">
        <v>45585</v>
      </c>
      <c r="D780" s="137">
        <v>0.71168981481481486</v>
      </c>
      <c r="E780" s="94">
        <v>2045</v>
      </c>
      <c r="F780" s="142">
        <v>1209</v>
      </c>
      <c r="G780" s="94" t="s">
        <v>34</v>
      </c>
      <c r="H780" s="94">
        <v>7208</v>
      </c>
      <c r="I780" s="94"/>
      <c r="J780" s="94" t="s">
        <v>35</v>
      </c>
      <c r="K780" s="152">
        <v>6.13</v>
      </c>
      <c r="L780" s="122" t="str">
        <f>VLOOKUP(K780,Liste!$L$2:$O$34,4,1)</f>
        <v>GSMR_02/03</v>
      </c>
      <c r="M780" s="133" t="s">
        <v>36</v>
      </c>
      <c r="N780" s="181" t="s">
        <v>58</v>
      </c>
      <c r="O780" s="125" t="s">
        <v>1808</v>
      </c>
      <c r="P780" s="119"/>
      <c r="Q780" s="94" t="s">
        <v>39</v>
      </c>
      <c r="R780" s="94" t="s">
        <v>1032</v>
      </c>
      <c r="S780" s="91" t="s">
        <v>1809</v>
      </c>
      <c r="T780" s="94" t="s">
        <v>93</v>
      </c>
      <c r="U780" s="94" t="s">
        <v>1468</v>
      </c>
      <c r="V780" s="94" t="s">
        <v>43</v>
      </c>
      <c r="W780" s="94" t="s">
        <v>51</v>
      </c>
      <c r="X780" s="124" t="s">
        <v>52</v>
      </c>
      <c r="Y780" s="124" t="s">
        <v>1714</v>
      </c>
      <c r="Z780" s="91"/>
      <c r="AA780" s="91" t="s">
        <v>772</v>
      </c>
      <c r="AB780" s="91"/>
      <c r="AC780" s="91"/>
      <c r="AD780" s="91"/>
      <c r="AE780" s="91"/>
      <c r="AF780" s="91"/>
      <c r="AG780" s="91"/>
      <c r="AH780" s="91"/>
    </row>
    <row r="781" spans="1:34" s="1" customFormat="1" ht="45">
      <c r="A781" s="120">
        <v>780</v>
      </c>
      <c r="B781" s="120" t="b">
        <f t="shared" ca="1" si="12"/>
        <v>0</v>
      </c>
      <c r="C781" s="121">
        <v>45585</v>
      </c>
      <c r="D781" s="137">
        <v>0.71168981481481486</v>
      </c>
      <c r="E781" s="94">
        <v>2049</v>
      </c>
      <c r="F781" s="142">
        <v>1210</v>
      </c>
      <c r="G781" s="94" t="s">
        <v>34</v>
      </c>
      <c r="H781" s="94">
        <v>1048</v>
      </c>
      <c r="I781" s="94"/>
      <c r="J781" s="94" t="s">
        <v>35</v>
      </c>
      <c r="K781" s="152">
        <v>6.13</v>
      </c>
      <c r="L781" s="122" t="str">
        <f>VLOOKUP(K781,Liste!$L$2:$O$34,4,1)</f>
        <v>GSMR_02/03</v>
      </c>
      <c r="M781" s="133" t="s">
        <v>36</v>
      </c>
      <c r="N781" s="181" t="s">
        <v>58</v>
      </c>
      <c r="O781" s="125" t="s">
        <v>1810</v>
      </c>
      <c r="P781" s="119"/>
      <c r="Q781" s="94" t="s">
        <v>39</v>
      </c>
      <c r="R781" s="94" t="s">
        <v>1032</v>
      </c>
      <c r="S781" s="91" t="s">
        <v>1811</v>
      </c>
      <c r="T781" s="94" t="s">
        <v>56</v>
      </c>
      <c r="U781" s="94" t="s">
        <v>1526</v>
      </c>
      <c r="V781" s="94" t="s">
        <v>43</v>
      </c>
      <c r="W781" s="94" t="s">
        <v>51</v>
      </c>
      <c r="X781" s="124" t="s">
        <v>52</v>
      </c>
      <c r="Y781" s="124" t="s">
        <v>1714</v>
      </c>
      <c r="Z781" s="91"/>
      <c r="AA781" s="91" t="s">
        <v>772</v>
      </c>
      <c r="AB781" s="91"/>
      <c r="AC781" s="91"/>
      <c r="AD781" s="91"/>
      <c r="AE781" s="91"/>
      <c r="AF781" s="91"/>
      <c r="AG781" s="91"/>
      <c r="AH781" s="91"/>
    </row>
    <row r="782" spans="1:34" s="1" customFormat="1" ht="45">
      <c r="A782" s="120">
        <v>781</v>
      </c>
      <c r="B782" s="120" t="b">
        <f t="shared" ca="1" si="12"/>
        <v>0</v>
      </c>
      <c r="C782" s="121">
        <v>45585</v>
      </c>
      <c r="D782" s="137">
        <v>0.88665509259259256</v>
      </c>
      <c r="E782" s="94">
        <v>2061</v>
      </c>
      <c r="F782" s="142">
        <v>1205</v>
      </c>
      <c r="G782" s="94" t="s">
        <v>34</v>
      </c>
      <c r="H782" s="94">
        <v>7218</v>
      </c>
      <c r="I782" s="94"/>
      <c r="J782" s="94" t="s">
        <v>35</v>
      </c>
      <c r="K782" s="91">
        <v>53.600999999999999</v>
      </c>
      <c r="L782" s="122" t="str">
        <f>VLOOKUP(K782,Liste!$L$2:$O$34,4,1)</f>
        <v>GSMR_09/10</v>
      </c>
      <c r="M782" s="133" t="s">
        <v>36</v>
      </c>
      <c r="N782" s="180" t="s">
        <v>37</v>
      </c>
      <c r="O782" s="125" t="s">
        <v>1812</v>
      </c>
      <c r="P782" s="119"/>
      <c r="Q782" s="94" t="s">
        <v>39</v>
      </c>
      <c r="R782" s="94" t="s">
        <v>1032</v>
      </c>
      <c r="S782" s="91" t="s">
        <v>1813</v>
      </c>
      <c r="T782" s="94" t="s">
        <v>69</v>
      </c>
      <c r="U782" s="94" t="s">
        <v>1453</v>
      </c>
      <c r="V782" s="94" t="s">
        <v>51</v>
      </c>
      <c r="W782" s="94" t="s">
        <v>51</v>
      </c>
      <c r="X782" s="124" t="s">
        <v>52</v>
      </c>
      <c r="Y782" s="124" t="s">
        <v>946</v>
      </c>
      <c r="Z782" s="91"/>
      <c r="AA782" s="91" t="s">
        <v>793</v>
      </c>
      <c r="AB782" s="91"/>
      <c r="AC782" s="91"/>
      <c r="AD782" s="91"/>
      <c r="AE782" s="91"/>
      <c r="AF782" s="91"/>
      <c r="AG782" s="91"/>
      <c r="AH782" s="91"/>
    </row>
    <row r="783" spans="1:34" s="1" customFormat="1" ht="45">
      <c r="A783" s="120">
        <v>782</v>
      </c>
      <c r="B783" s="120" t="b">
        <f t="shared" ca="1" si="12"/>
        <v>0</v>
      </c>
      <c r="C783" s="121">
        <v>45586</v>
      </c>
      <c r="D783" s="137">
        <v>0.17834490740740741</v>
      </c>
      <c r="E783" s="94">
        <v>2081</v>
      </c>
      <c r="F783" s="142">
        <v>1202</v>
      </c>
      <c r="G783" s="94" t="s">
        <v>34</v>
      </c>
      <c r="H783" s="94">
        <v>1043</v>
      </c>
      <c r="I783" s="94"/>
      <c r="J783" s="94" t="s">
        <v>35</v>
      </c>
      <c r="K783" s="91">
        <v>32.625999999999998</v>
      </c>
      <c r="L783" s="122" t="str">
        <f>VLOOKUP(K783,Liste!$L$2:$O$34,4,1)</f>
        <v>GSMR_06/07</v>
      </c>
      <c r="M783" s="133" t="s">
        <v>36</v>
      </c>
      <c r="N783" s="180" t="s">
        <v>37</v>
      </c>
      <c r="O783" s="125" t="s">
        <v>1814</v>
      </c>
      <c r="P783" s="119"/>
      <c r="Q783" s="94" t="s">
        <v>39</v>
      </c>
      <c r="R783" s="94" t="s">
        <v>1032</v>
      </c>
      <c r="S783" s="91" t="s">
        <v>1815</v>
      </c>
      <c r="T783" s="94" t="s">
        <v>69</v>
      </c>
      <c r="U783" s="94" t="s">
        <v>1449</v>
      </c>
      <c r="V783" s="94" t="s">
        <v>51</v>
      </c>
      <c r="W783" s="94" t="s">
        <v>51</v>
      </c>
      <c r="X783" s="124" t="s">
        <v>52</v>
      </c>
      <c r="Y783" s="124" t="s">
        <v>946</v>
      </c>
      <c r="Z783" s="91"/>
      <c r="AA783" s="91" t="s">
        <v>793</v>
      </c>
      <c r="AB783" s="91"/>
      <c r="AC783" s="91"/>
      <c r="AD783" s="91"/>
      <c r="AE783" s="91"/>
      <c r="AF783" s="91"/>
      <c r="AG783" s="91"/>
      <c r="AH783" s="91"/>
    </row>
    <row r="784" spans="1:34" s="1" customFormat="1" ht="45">
      <c r="A784" s="120">
        <v>783</v>
      </c>
      <c r="B784" s="120" t="b">
        <f t="shared" ca="1" si="12"/>
        <v>0</v>
      </c>
      <c r="C784" s="121">
        <v>45586</v>
      </c>
      <c r="D784" s="137">
        <v>0.54518518518518522</v>
      </c>
      <c r="E784" s="94">
        <v>1021</v>
      </c>
      <c r="F784" s="142">
        <v>1202</v>
      </c>
      <c r="G784" s="94" t="s">
        <v>71</v>
      </c>
      <c r="H784" s="94">
        <v>1030</v>
      </c>
      <c r="I784" s="94"/>
      <c r="J784" s="94" t="s">
        <v>72</v>
      </c>
      <c r="K784" s="152">
        <v>7.3209999999999997</v>
      </c>
      <c r="L784" s="122" t="str">
        <f>VLOOKUP(K784,Liste!$L$2:$O$34,4,1)</f>
        <v>GSMR_02/03</v>
      </c>
      <c r="M784" s="133" t="s">
        <v>36</v>
      </c>
      <c r="N784" s="180" t="s">
        <v>37</v>
      </c>
      <c r="O784" s="125" t="s">
        <v>1816</v>
      </c>
      <c r="P784" s="119"/>
      <c r="Q784" s="94" t="s">
        <v>39</v>
      </c>
      <c r="R784" s="94" t="s">
        <v>1032</v>
      </c>
      <c r="S784" s="91" t="s">
        <v>1817</v>
      </c>
      <c r="T784" s="94" t="s">
        <v>56</v>
      </c>
      <c r="U784" s="94" t="s">
        <v>1498</v>
      </c>
      <c r="V784" s="94" t="s">
        <v>51</v>
      </c>
      <c r="W784" s="94" t="s">
        <v>51</v>
      </c>
      <c r="X784" s="124" t="s">
        <v>52</v>
      </c>
      <c r="Y784" s="124" t="s">
        <v>946</v>
      </c>
      <c r="Z784" s="91"/>
      <c r="AA784" s="91" t="s">
        <v>802</v>
      </c>
      <c r="AB784" s="91"/>
      <c r="AC784" s="91"/>
      <c r="AD784" s="91"/>
      <c r="AE784" s="91"/>
      <c r="AF784" s="91"/>
      <c r="AG784" s="91"/>
      <c r="AH784" s="91"/>
    </row>
    <row r="785" spans="1:34" s="1" customFormat="1" ht="45">
      <c r="A785" s="120">
        <v>784</v>
      </c>
      <c r="B785" s="120" t="b">
        <f t="shared" ca="1" si="12"/>
        <v>0</v>
      </c>
      <c r="C785" s="121">
        <v>45586</v>
      </c>
      <c r="D785" s="137">
        <v>0.60797453703703708</v>
      </c>
      <c r="E785" s="94">
        <v>2033</v>
      </c>
      <c r="F785" s="142">
        <v>1203</v>
      </c>
      <c r="G785" s="94" t="s">
        <v>34</v>
      </c>
      <c r="H785" s="94">
        <v>1031</v>
      </c>
      <c r="I785" s="94"/>
      <c r="J785" s="94" t="s">
        <v>35</v>
      </c>
      <c r="K785" s="91">
        <v>138.30199999999999</v>
      </c>
      <c r="L785" s="122" t="str">
        <f>VLOOKUP(K785,Liste!$L$2:$O$34,4,1)</f>
        <v>GSMR_24/25</v>
      </c>
      <c r="M785" s="133" t="s">
        <v>36</v>
      </c>
      <c r="N785" s="180" t="s">
        <v>37</v>
      </c>
      <c r="O785" s="125" t="s">
        <v>1818</v>
      </c>
      <c r="P785" s="119"/>
      <c r="Q785" s="94" t="s">
        <v>105</v>
      </c>
      <c r="R785" s="94" t="s">
        <v>1763</v>
      </c>
      <c r="S785" s="91" t="s">
        <v>1819</v>
      </c>
      <c r="T785" s="94" t="s">
        <v>101</v>
      </c>
      <c r="U785" s="94" t="s">
        <v>1549</v>
      </c>
      <c r="V785" s="94" t="s">
        <v>51</v>
      </c>
      <c r="W785" s="94" t="s">
        <v>51</v>
      </c>
      <c r="X785" s="124" t="s">
        <v>52</v>
      </c>
      <c r="Y785" s="124" t="s">
        <v>1042</v>
      </c>
      <c r="Z785" s="91"/>
      <c r="AA785" s="91" t="s">
        <v>802</v>
      </c>
      <c r="AB785" s="91"/>
      <c r="AC785" s="91"/>
      <c r="AD785" s="91"/>
      <c r="AE785" s="91"/>
      <c r="AF785" s="91"/>
      <c r="AG785" s="91"/>
      <c r="AH785" s="91"/>
    </row>
    <row r="786" spans="1:34" s="1" customFormat="1" ht="45">
      <c r="A786" s="120">
        <v>785</v>
      </c>
      <c r="B786" s="120" t="b">
        <f t="shared" ca="1" si="12"/>
        <v>0</v>
      </c>
      <c r="C786" s="121">
        <v>45586</v>
      </c>
      <c r="D786" s="137">
        <v>0.62836805555555553</v>
      </c>
      <c r="E786" s="94">
        <v>2037</v>
      </c>
      <c r="F786" s="142">
        <v>1209</v>
      </c>
      <c r="G786" s="94" t="s">
        <v>34</v>
      </c>
      <c r="H786" s="94">
        <v>7208</v>
      </c>
      <c r="I786" s="94"/>
      <c r="J786" s="94" t="s">
        <v>35</v>
      </c>
      <c r="K786" s="152">
        <v>6.13</v>
      </c>
      <c r="L786" s="122" t="str">
        <f>VLOOKUP(K786,Liste!$L$2:$O$34,4,1)</f>
        <v>GSMR_02/03</v>
      </c>
      <c r="M786" s="133" t="s">
        <v>36</v>
      </c>
      <c r="N786" s="180" t="s">
        <v>37</v>
      </c>
      <c r="O786" s="125" t="s">
        <v>1820</v>
      </c>
      <c r="P786" s="119"/>
      <c r="Q786" s="94" t="s">
        <v>39</v>
      </c>
      <c r="R786" s="94" t="s">
        <v>1032</v>
      </c>
      <c r="S786" s="91" t="s">
        <v>1821</v>
      </c>
      <c r="T786" s="94" t="s">
        <v>56</v>
      </c>
      <c r="U786" s="94" t="s">
        <v>1526</v>
      </c>
      <c r="V786" s="94" t="s">
        <v>43</v>
      </c>
      <c r="W786" s="94" t="s">
        <v>51</v>
      </c>
      <c r="X786" s="124" t="s">
        <v>52</v>
      </c>
      <c r="Y786" s="124" t="s">
        <v>946</v>
      </c>
      <c r="Z786" s="91"/>
      <c r="AA786" s="91" t="s">
        <v>802</v>
      </c>
      <c r="AB786" s="91"/>
      <c r="AC786" s="91"/>
      <c r="AD786" s="91"/>
      <c r="AE786" s="91"/>
      <c r="AF786" s="91"/>
      <c r="AG786" s="91"/>
      <c r="AH786" s="91"/>
    </row>
    <row r="787" spans="1:34" s="1" customFormat="1" ht="45">
      <c r="A787" s="120">
        <v>786</v>
      </c>
      <c r="B787" s="120" t="b">
        <f t="shared" ca="1" si="12"/>
        <v>0</v>
      </c>
      <c r="C787" s="121">
        <v>45586</v>
      </c>
      <c r="D787" s="137">
        <v>0.68582175925925926</v>
      </c>
      <c r="E787" s="94">
        <v>2041</v>
      </c>
      <c r="F787" s="142">
        <v>1210</v>
      </c>
      <c r="G787" s="94" t="s">
        <v>34</v>
      </c>
      <c r="H787" s="94">
        <v>1048</v>
      </c>
      <c r="I787" s="94"/>
      <c r="J787" s="94" t="s">
        <v>35</v>
      </c>
      <c r="K787" s="91">
        <v>109.495</v>
      </c>
      <c r="L787" s="122" t="str">
        <f>VLOOKUP(K787,Liste!$L$2:$O$34,4,1)</f>
        <v>GSMR_19/20</v>
      </c>
      <c r="M787" s="133" t="s">
        <v>36</v>
      </c>
      <c r="N787" s="180" t="s">
        <v>37</v>
      </c>
      <c r="O787" s="125" t="s">
        <v>1822</v>
      </c>
      <c r="P787" s="119"/>
      <c r="Q787" s="94" t="s">
        <v>54</v>
      </c>
      <c r="R787" s="94" t="s">
        <v>1479</v>
      </c>
      <c r="S787" s="91" t="s">
        <v>1823</v>
      </c>
      <c r="T787" s="94" t="s">
        <v>93</v>
      </c>
      <c r="U787" s="94" t="s">
        <v>1509</v>
      </c>
      <c r="V787" s="94" t="s">
        <v>51</v>
      </c>
      <c r="W787" s="94" t="s">
        <v>51</v>
      </c>
      <c r="X787" s="124" t="s">
        <v>52</v>
      </c>
      <c r="Y787" s="124" t="s">
        <v>946</v>
      </c>
      <c r="Z787" s="91"/>
      <c r="AA787" s="91" t="s">
        <v>772</v>
      </c>
      <c r="AB787" s="91"/>
      <c r="AC787" s="91"/>
      <c r="AD787" s="91"/>
      <c r="AE787" s="91"/>
      <c r="AF787" s="91"/>
      <c r="AG787" s="91"/>
      <c r="AH787" s="91"/>
    </row>
    <row r="788" spans="1:34" s="1" customFormat="1" ht="45">
      <c r="A788" s="120">
        <v>787</v>
      </c>
      <c r="B788" s="120" t="b">
        <f t="shared" ca="1" si="12"/>
        <v>0</v>
      </c>
      <c r="C788" s="121">
        <v>45586</v>
      </c>
      <c r="D788" s="137">
        <v>0.68502314814814813</v>
      </c>
      <c r="E788" s="94">
        <v>1034</v>
      </c>
      <c r="F788" s="142">
        <v>1205</v>
      </c>
      <c r="G788" s="94" t="s">
        <v>71</v>
      </c>
      <c r="H788" s="94">
        <v>1034</v>
      </c>
      <c r="I788" s="94"/>
      <c r="J788" s="94" t="s">
        <v>72</v>
      </c>
      <c r="K788" s="152">
        <v>7.3209999999999997</v>
      </c>
      <c r="L788" s="122" t="str">
        <f>VLOOKUP(K788,Liste!$L$2:$O$34,4,1)</f>
        <v>GSMR_02/03</v>
      </c>
      <c r="M788" s="133" t="s">
        <v>36</v>
      </c>
      <c r="N788" s="180" t="s">
        <v>37</v>
      </c>
      <c r="O788" s="125" t="s">
        <v>1824</v>
      </c>
      <c r="P788" s="119"/>
      <c r="Q788" s="94" t="s">
        <v>39</v>
      </c>
      <c r="R788" s="94" t="s">
        <v>1032</v>
      </c>
      <c r="S788" s="91" t="s">
        <v>1825</v>
      </c>
      <c r="T788" s="94" t="s">
        <v>116</v>
      </c>
      <c r="U788" s="94" t="s">
        <v>1468</v>
      </c>
      <c r="V788" s="94" t="s">
        <v>43</v>
      </c>
      <c r="W788" s="94" t="s">
        <v>51</v>
      </c>
      <c r="X788" s="124" t="s">
        <v>52</v>
      </c>
      <c r="Y788" s="124" t="s">
        <v>946</v>
      </c>
      <c r="Z788" s="91"/>
      <c r="AA788" s="91" t="s">
        <v>772</v>
      </c>
      <c r="AB788" s="91"/>
      <c r="AC788" s="91"/>
      <c r="AD788" s="91"/>
      <c r="AE788" s="91"/>
      <c r="AF788" s="91"/>
      <c r="AG788" s="91"/>
      <c r="AH788" s="91"/>
    </row>
    <row r="789" spans="1:34" s="1" customFormat="1" ht="45">
      <c r="A789" s="120">
        <v>788</v>
      </c>
      <c r="B789" s="120" t="b">
        <f t="shared" ca="1" si="12"/>
        <v>0</v>
      </c>
      <c r="C789" s="121">
        <v>45586</v>
      </c>
      <c r="D789" s="137">
        <v>0.87903935185185189</v>
      </c>
      <c r="E789" s="94">
        <v>2061</v>
      </c>
      <c r="F789" s="142">
        <v>1209</v>
      </c>
      <c r="G789" s="94" t="s">
        <v>34</v>
      </c>
      <c r="H789" s="94">
        <v>7208</v>
      </c>
      <c r="I789" s="94"/>
      <c r="J789" s="94" t="s">
        <v>35</v>
      </c>
      <c r="K789" s="152">
        <v>6.13</v>
      </c>
      <c r="L789" s="122" t="str">
        <f>VLOOKUP(K789,Liste!$L$2:$O$34,4,1)</f>
        <v>GSMR_02/03</v>
      </c>
      <c r="M789" s="133" t="s">
        <v>36</v>
      </c>
      <c r="N789" s="180" t="s">
        <v>37</v>
      </c>
      <c r="O789" s="125" t="s">
        <v>1826</v>
      </c>
      <c r="P789" s="119"/>
      <c r="Q789" s="94" t="s">
        <v>39</v>
      </c>
      <c r="R789" s="94" t="s">
        <v>1032</v>
      </c>
      <c r="S789" s="91" t="s">
        <v>1827</v>
      </c>
      <c r="T789" s="94" t="s">
        <v>56</v>
      </c>
      <c r="U789" s="94" t="s">
        <v>1622</v>
      </c>
      <c r="V789" s="94" t="s">
        <v>43</v>
      </c>
      <c r="W789" s="94" t="s">
        <v>51</v>
      </c>
      <c r="X789" s="124" t="s">
        <v>52</v>
      </c>
      <c r="Y789" s="124" t="s">
        <v>946</v>
      </c>
      <c r="Z789" s="91"/>
      <c r="AA789" s="91" t="s">
        <v>778</v>
      </c>
      <c r="AB789" s="91"/>
      <c r="AC789" s="91"/>
      <c r="AD789" s="91"/>
      <c r="AE789" s="91"/>
      <c r="AF789" s="91"/>
      <c r="AG789" s="91"/>
      <c r="AH789" s="91"/>
    </row>
    <row r="790" spans="1:34" s="1" customFormat="1" ht="45">
      <c r="A790" s="120">
        <v>789</v>
      </c>
      <c r="B790" s="120" t="b">
        <f t="shared" ca="1" si="12"/>
        <v>0</v>
      </c>
      <c r="C790" s="121">
        <v>45587</v>
      </c>
      <c r="D790" s="137">
        <v>0.69917824074074075</v>
      </c>
      <c r="E790" s="94">
        <v>1038</v>
      </c>
      <c r="F790" s="142">
        <v>1205</v>
      </c>
      <c r="G790" s="94" t="s">
        <v>71</v>
      </c>
      <c r="H790" s="94">
        <v>1035</v>
      </c>
      <c r="I790" s="94"/>
      <c r="J790" s="94" t="s">
        <v>72</v>
      </c>
      <c r="K790" s="91">
        <v>94.953999999999994</v>
      </c>
      <c r="L790" s="122" t="str">
        <f>VLOOKUP(K790,Liste!$L$2:$O$34,4,1)</f>
        <v>GSMR_17/18</v>
      </c>
      <c r="M790" s="133" t="s">
        <v>36</v>
      </c>
      <c r="N790" s="180" t="s">
        <v>37</v>
      </c>
      <c r="O790" s="125" t="s">
        <v>1828</v>
      </c>
      <c r="P790" s="119"/>
      <c r="Q790" s="94" t="s">
        <v>39</v>
      </c>
      <c r="R790" s="94" t="s">
        <v>1032</v>
      </c>
      <c r="S790" s="91" t="s">
        <v>1829</v>
      </c>
      <c r="T790" s="94" t="s">
        <v>69</v>
      </c>
      <c r="U790" s="94" t="s">
        <v>1622</v>
      </c>
      <c r="V790" s="94" t="s">
        <v>43</v>
      </c>
      <c r="W790" s="94" t="s">
        <v>51</v>
      </c>
      <c r="X790" s="124" t="s">
        <v>52</v>
      </c>
      <c r="Y790" s="124" t="s">
        <v>946</v>
      </c>
      <c r="Z790" s="91"/>
      <c r="AA790" s="91" t="s">
        <v>772</v>
      </c>
      <c r="AB790" s="91"/>
      <c r="AC790" s="91"/>
      <c r="AD790" s="91"/>
      <c r="AE790" s="91"/>
      <c r="AF790" s="91"/>
      <c r="AG790" s="91"/>
      <c r="AH790" s="91"/>
    </row>
    <row r="791" spans="1:34" s="1" customFormat="1" ht="45">
      <c r="A791" s="120">
        <v>790</v>
      </c>
      <c r="B791" s="120" t="b">
        <f t="shared" ca="1" si="12"/>
        <v>0</v>
      </c>
      <c r="C791" s="121">
        <v>45588</v>
      </c>
      <c r="D791" s="137" t="s">
        <v>1830</v>
      </c>
      <c r="E791" s="94">
        <v>2017</v>
      </c>
      <c r="F791" s="142">
        <v>1206</v>
      </c>
      <c r="G791" s="94" t="s">
        <v>34</v>
      </c>
      <c r="H791" s="94">
        <v>1055</v>
      </c>
      <c r="I791" s="94"/>
      <c r="J791" s="94" t="s">
        <v>35</v>
      </c>
      <c r="K791" s="91">
        <v>33.960999999999999</v>
      </c>
      <c r="L791" s="122" t="str">
        <f>VLOOKUP(K791,Liste!$L$2:$O$34,4,1)</f>
        <v>GSMR_06/07</v>
      </c>
      <c r="M791" s="133" t="s">
        <v>36</v>
      </c>
      <c r="N791" s="180" t="s">
        <v>37</v>
      </c>
      <c r="O791" s="125" t="s">
        <v>1831</v>
      </c>
      <c r="P791" s="119"/>
      <c r="Q791" s="94" t="s">
        <v>39</v>
      </c>
      <c r="R791" s="94" t="s">
        <v>1032</v>
      </c>
      <c r="S791" s="91" t="s">
        <v>1832</v>
      </c>
      <c r="T791" s="94" t="s">
        <v>69</v>
      </c>
      <c r="U791" s="94" t="s">
        <v>1453</v>
      </c>
      <c r="V791" s="94" t="s">
        <v>51</v>
      </c>
      <c r="W791" s="94" t="s">
        <v>51</v>
      </c>
      <c r="X791" s="124" t="s">
        <v>52</v>
      </c>
      <c r="Y791" s="124" t="s">
        <v>946</v>
      </c>
      <c r="Z791" s="91"/>
      <c r="AA791" s="91" t="s">
        <v>802</v>
      </c>
      <c r="AB791" s="91"/>
      <c r="AC791" s="91"/>
      <c r="AD791" s="91"/>
      <c r="AE791" s="91"/>
      <c r="AF791" s="91"/>
      <c r="AG791" s="91"/>
      <c r="AH791" s="91"/>
    </row>
    <row r="792" spans="1:34" s="1" customFormat="1" ht="45">
      <c r="A792" s="120">
        <v>791</v>
      </c>
      <c r="B792" s="120" t="b">
        <f t="shared" ca="1" si="12"/>
        <v>0</v>
      </c>
      <c r="C792" s="121">
        <v>45588</v>
      </c>
      <c r="D792" s="137" t="s">
        <v>1833</v>
      </c>
      <c r="E792" s="94">
        <v>2017</v>
      </c>
      <c r="F792" s="142">
        <v>1206</v>
      </c>
      <c r="G792" s="94" t="s">
        <v>34</v>
      </c>
      <c r="H792" s="94">
        <v>1054</v>
      </c>
      <c r="I792" s="94"/>
      <c r="J792" s="94" t="s">
        <v>35</v>
      </c>
      <c r="K792" s="91">
        <v>161.72200000000001</v>
      </c>
      <c r="L792" s="122" t="str">
        <f>VLOOKUP(K792,Liste!$L$2:$O$34,4,1)</f>
        <v>GSMR_27/28</v>
      </c>
      <c r="M792" s="133" t="s">
        <v>36</v>
      </c>
      <c r="N792" s="181" t="s">
        <v>58</v>
      </c>
      <c r="O792" s="125" t="s">
        <v>1834</v>
      </c>
      <c r="P792" s="119"/>
      <c r="Q792" s="94" t="s">
        <v>39</v>
      </c>
      <c r="R792" s="94" t="s">
        <v>1032</v>
      </c>
      <c r="S792" s="91" t="s">
        <v>1835</v>
      </c>
      <c r="T792" s="94" t="s">
        <v>69</v>
      </c>
      <c r="U792" s="94" t="s">
        <v>1453</v>
      </c>
      <c r="V792" s="94" t="s">
        <v>51</v>
      </c>
      <c r="W792" s="94" t="s">
        <v>51</v>
      </c>
      <c r="X792" s="124" t="s">
        <v>52</v>
      </c>
      <c r="Y792" s="124" t="s">
        <v>946</v>
      </c>
      <c r="Z792" s="91"/>
      <c r="AA792" s="91" t="s">
        <v>802</v>
      </c>
      <c r="AB792" s="91"/>
      <c r="AC792" s="91"/>
      <c r="AD792" s="91"/>
      <c r="AE792" s="91"/>
      <c r="AF792" s="91"/>
      <c r="AG792" s="91"/>
      <c r="AH792" s="91"/>
    </row>
    <row r="793" spans="1:34" s="1" customFormat="1" ht="45">
      <c r="A793" s="120">
        <v>792</v>
      </c>
      <c r="B793" s="120" t="b">
        <f t="shared" ca="1" si="12"/>
        <v>0</v>
      </c>
      <c r="C793" s="121">
        <v>45588</v>
      </c>
      <c r="D793" s="137">
        <v>0.44767361111111109</v>
      </c>
      <c r="E793" s="94">
        <v>1012</v>
      </c>
      <c r="F793" s="142">
        <v>1202</v>
      </c>
      <c r="G793" s="94" t="s">
        <v>71</v>
      </c>
      <c r="H793" s="94">
        <v>1055</v>
      </c>
      <c r="I793" s="94"/>
      <c r="J793" s="94" t="s">
        <v>72</v>
      </c>
      <c r="K793" s="142" t="s">
        <v>1836</v>
      </c>
      <c r="L793" s="128" t="s">
        <v>416</v>
      </c>
      <c r="M793" s="133" t="s">
        <v>36</v>
      </c>
      <c r="N793" s="180" t="s">
        <v>37</v>
      </c>
      <c r="O793" s="125" t="s">
        <v>1837</v>
      </c>
      <c r="P793" s="119"/>
      <c r="Q793" s="94" t="s">
        <v>39</v>
      </c>
      <c r="R793" s="94" t="s">
        <v>1032</v>
      </c>
      <c r="S793" s="91" t="s">
        <v>1838</v>
      </c>
      <c r="T793" s="94" t="s">
        <v>69</v>
      </c>
      <c r="U793" s="94" t="s">
        <v>1481</v>
      </c>
      <c r="V793" s="94" t="s">
        <v>43</v>
      </c>
      <c r="W793" s="94" t="s">
        <v>51</v>
      </c>
      <c r="X793" s="124" t="s">
        <v>52</v>
      </c>
      <c r="Y793" s="124" t="s">
        <v>946</v>
      </c>
      <c r="Z793" s="91"/>
      <c r="AA793" s="91" t="s">
        <v>802</v>
      </c>
      <c r="AB793" s="91"/>
      <c r="AC793" s="91"/>
      <c r="AD793" s="91"/>
      <c r="AE793" s="91"/>
      <c r="AF793" s="91"/>
      <c r="AG793" s="91"/>
      <c r="AH793" s="91"/>
    </row>
    <row r="794" spans="1:34" s="1" customFormat="1" ht="45">
      <c r="A794" s="120">
        <v>793</v>
      </c>
      <c r="B794" s="120" t="b">
        <f t="shared" ca="1" si="12"/>
        <v>0</v>
      </c>
      <c r="C794" s="121">
        <v>45588</v>
      </c>
      <c r="D794" s="137" t="s">
        <v>1839</v>
      </c>
      <c r="E794" s="94">
        <v>2037</v>
      </c>
      <c r="F794" s="142" t="s">
        <v>1840</v>
      </c>
      <c r="G794" s="94" t="s">
        <v>34</v>
      </c>
      <c r="H794" s="94">
        <v>1029</v>
      </c>
      <c r="I794" s="94"/>
      <c r="J794" s="94" t="s">
        <v>35</v>
      </c>
      <c r="K794" s="152">
        <v>6.13</v>
      </c>
      <c r="L794" s="122" t="str">
        <f>VLOOKUP(K794,Liste!$L$2:$O$34,4,1)</f>
        <v>GSMR_02/03</v>
      </c>
      <c r="M794" s="133" t="s">
        <v>36</v>
      </c>
      <c r="N794" s="180" t="s">
        <v>37</v>
      </c>
      <c r="O794" s="125" t="s">
        <v>1841</v>
      </c>
      <c r="P794" s="119"/>
      <c r="Q794" s="94" t="s">
        <v>39</v>
      </c>
      <c r="R794" s="94" t="s">
        <v>1032</v>
      </c>
      <c r="S794" s="91" t="s">
        <v>1255</v>
      </c>
      <c r="T794" s="94" t="s">
        <v>78</v>
      </c>
      <c r="U794" s="94" t="s">
        <v>1745</v>
      </c>
      <c r="V794" s="94" t="s">
        <v>43</v>
      </c>
      <c r="W794" s="94" t="s">
        <v>51</v>
      </c>
      <c r="X794" s="124" t="s">
        <v>52</v>
      </c>
      <c r="Y794" s="124" t="s">
        <v>946</v>
      </c>
      <c r="Z794" s="91"/>
      <c r="AA794" s="91" t="s">
        <v>772</v>
      </c>
      <c r="AB794" s="91"/>
      <c r="AC794" s="91"/>
      <c r="AD794" s="91"/>
      <c r="AE794" s="91"/>
      <c r="AF794" s="91"/>
      <c r="AG794" s="91"/>
      <c r="AH794" s="91"/>
    </row>
    <row r="795" spans="1:34" s="1" customFormat="1" ht="45">
      <c r="A795" s="120">
        <v>794</v>
      </c>
      <c r="B795" s="120" t="b">
        <f t="shared" ca="1" si="12"/>
        <v>0</v>
      </c>
      <c r="C795" s="121">
        <v>45588</v>
      </c>
      <c r="D795" s="137">
        <v>0.71179398148148143</v>
      </c>
      <c r="E795" s="94">
        <v>2045</v>
      </c>
      <c r="F795" s="142">
        <v>1203</v>
      </c>
      <c r="G795" s="94" t="s">
        <v>34</v>
      </c>
      <c r="H795" s="94">
        <v>1025</v>
      </c>
      <c r="I795" s="94"/>
      <c r="J795" s="94" t="s">
        <v>35</v>
      </c>
      <c r="K795" s="152">
        <v>6.13</v>
      </c>
      <c r="L795" s="122" t="str">
        <f>VLOOKUP(K795,Liste!$L$2:$O$34,4,1)</f>
        <v>GSMR_02/03</v>
      </c>
      <c r="M795" s="133" t="s">
        <v>36</v>
      </c>
      <c r="N795" s="180" t="s">
        <v>37</v>
      </c>
      <c r="O795" s="125" t="s">
        <v>1842</v>
      </c>
      <c r="P795" s="119"/>
      <c r="Q795" s="94" t="s">
        <v>39</v>
      </c>
      <c r="R795" s="94" t="s">
        <v>1032</v>
      </c>
      <c r="S795" s="91" t="s">
        <v>1843</v>
      </c>
      <c r="T795" s="94" t="s">
        <v>78</v>
      </c>
      <c r="U795" s="94" t="s">
        <v>1538</v>
      </c>
      <c r="V795" s="94" t="s">
        <v>43</v>
      </c>
      <c r="W795" s="94" t="s">
        <v>51</v>
      </c>
      <c r="X795" s="124" t="s">
        <v>52</v>
      </c>
      <c r="Y795" s="124" t="s">
        <v>946</v>
      </c>
      <c r="Z795" s="91"/>
      <c r="AA795" s="91" t="s">
        <v>772</v>
      </c>
      <c r="AB795" s="91"/>
      <c r="AC795" s="91"/>
      <c r="AD795" s="91"/>
      <c r="AE795" s="91"/>
      <c r="AF795" s="91"/>
      <c r="AG795" s="91"/>
      <c r="AH795" s="91"/>
    </row>
    <row r="796" spans="1:34" s="1" customFormat="1" ht="45">
      <c r="A796" s="120">
        <v>795</v>
      </c>
      <c r="B796" s="120" t="b">
        <f t="shared" ca="1" si="12"/>
        <v>0</v>
      </c>
      <c r="C796" s="121">
        <v>45589</v>
      </c>
      <c r="D796" s="137">
        <v>0.54493055555555558</v>
      </c>
      <c r="E796" s="94">
        <v>1021</v>
      </c>
      <c r="F796" s="142">
        <v>1210</v>
      </c>
      <c r="G796" s="94" t="s">
        <v>71</v>
      </c>
      <c r="H796" s="94">
        <v>1072</v>
      </c>
      <c r="I796" s="94"/>
      <c r="J796" s="94" t="s">
        <v>72</v>
      </c>
      <c r="K796" s="152">
        <v>7.3209999999999997</v>
      </c>
      <c r="L796" s="122" t="str">
        <f>VLOOKUP(K796,Liste!$L$2:$O$34,4,1)</f>
        <v>GSMR_02/03</v>
      </c>
      <c r="M796" s="133" t="s">
        <v>36</v>
      </c>
      <c r="N796" s="180" t="s">
        <v>37</v>
      </c>
      <c r="O796" s="125" t="s">
        <v>1844</v>
      </c>
      <c r="P796" s="119"/>
      <c r="Q796" s="94" t="s">
        <v>39</v>
      </c>
      <c r="R796" s="94" t="s">
        <v>1032</v>
      </c>
      <c r="S796" s="91" t="s">
        <v>1617</v>
      </c>
      <c r="T796" s="94" t="s">
        <v>116</v>
      </c>
      <c r="U796" s="94" t="s">
        <v>1526</v>
      </c>
      <c r="V796" s="94" t="s">
        <v>43</v>
      </c>
      <c r="W796" s="94" t="s">
        <v>51</v>
      </c>
      <c r="X796" s="124" t="s">
        <v>52</v>
      </c>
      <c r="Y796" s="124" t="s">
        <v>946</v>
      </c>
      <c r="Z796" s="91"/>
      <c r="AA796" s="91" t="s">
        <v>1118</v>
      </c>
      <c r="AB796" s="91"/>
      <c r="AC796" s="91"/>
      <c r="AD796" s="91"/>
      <c r="AE796" s="91"/>
      <c r="AF796" s="91"/>
      <c r="AG796" s="91"/>
      <c r="AH796" s="91"/>
    </row>
    <row r="797" spans="1:34" s="1" customFormat="1" ht="45">
      <c r="A797" s="120">
        <v>796</v>
      </c>
      <c r="B797" s="120" t="b">
        <f t="shared" ca="1" si="12"/>
        <v>0</v>
      </c>
      <c r="C797" s="121">
        <v>45589</v>
      </c>
      <c r="D797" s="137">
        <v>0.76826388888888886</v>
      </c>
      <c r="E797" s="94">
        <v>1046</v>
      </c>
      <c r="F797" s="142">
        <v>1210</v>
      </c>
      <c r="G797" s="94" t="s">
        <v>71</v>
      </c>
      <c r="H797" s="94">
        <v>1072</v>
      </c>
      <c r="I797" s="94"/>
      <c r="J797" s="94" t="s">
        <v>72</v>
      </c>
      <c r="K797" s="91">
        <v>188.05600000000001</v>
      </c>
      <c r="L797" s="122" t="str">
        <f>VLOOKUP(K797,Liste!$L$2:$O$34,4,1)</f>
        <v>GSMR_33/RAC</v>
      </c>
      <c r="M797" s="133" t="s">
        <v>36</v>
      </c>
      <c r="N797" s="180" t="s">
        <v>37</v>
      </c>
      <c r="O797" s="125" t="s">
        <v>1845</v>
      </c>
      <c r="P797" s="119"/>
      <c r="Q797" s="94" t="s">
        <v>39</v>
      </c>
      <c r="R797" s="94" t="s">
        <v>1032</v>
      </c>
      <c r="S797" s="91" t="s">
        <v>1477</v>
      </c>
      <c r="T797" s="94" t="s">
        <v>78</v>
      </c>
      <c r="U797" s="94" t="s">
        <v>1526</v>
      </c>
      <c r="V797" s="94" t="s">
        <v>51</v>
      </c>
      <c r="W797" s="94" t="s">
        <v>51</v>
      </c>
      <c r="X797" s="124" t="s">
        <v>52</v>
      </c>
      <c r="Y797" s="124" t="s">
        <v>946</v>
      </c>
      <c r="Z797" s="91"/>
      <c r="AA797" s="91" t="s">
        <v>793</v>
      </c>
      <c r="AB797" s="91"/>
      <c r="AC797" s="91"/>
      <c r="AD797" s="91"/>
      <c r="AE797" s="91"/>
      <c r="AF797" s="91"/>
      <c r="AG797" s="91"/>
      <c r="AH797" s="91"/>
    </row>
    <row r="798" spans="1:34" s="1" customFormat="1" ht="45">
      <c r="A798" s="120">
        <v>797</v>
      </c>
      <c r="B798" s="120" t="b">
        <f t="shared" ca="1" si="12"/>
        <v>0</v>
      </c>
      <c r="C798" s="121">
        <v>45589</v>
      </c>
      <c r="D798" s="137">
        <v>0.87888888888888894</v>
      </c>
      <c r="E798" s="94">
        <v>2061</v>
      </c>
      <c r="F798" s="142">
        <v>1212</v>
      </c>
      <c r="G798" s="94" t="s">
        <v>34</v>
      </c>
      <c r="H798" s="94">
        <v>1056</v>
      </c>
      <c r="I798" s="94"/>
      <c r="J798" s="94" t="s">
        <v>35</v>
      </c>
      <c r="K798" s="152">
        <v>6.13</v>
      </c>
      <c r="L798" s="122" t="str">
        <f>VLOOKUP(K798,Liste!$L$2:$O$34,4,1)</f>
        <v>GSMR_02/03</v>
      </c>
      <c r="M798" s="133" t="s">
        <v>36</v>
      </c>
      <c r="N798" s="181" t="s">
        <v>58</v>
      </c>
      <c r="O798" s="125" t="s">
        <v>1846</v>
      </c>
      <c r="P798" s="119"/>
      <c r="Q798" s="94" t="s">
        <v>39</v>
      </c>
      <c r="R798" s="94" t="s">
        <v>1032</v>
      </c>
      <c r="S798" s="91" t="s">
        <v>1255</v>
      </c>
      <c r="T798" s="94" t="s">
        <v>56</v>
      </c>
      <c r="U798" s="94" t="s">
        <v>1574</v>
      </c>
      <c r="V798" s="94" t="s">
        <v>43</v>
      </c>
      <c r="W798" s="94" t="s">
        <v>51</v>
      </c>
      <c r="X798" s="124" t="s">
        <v>52</v>
      </c>
      <c r="Y798" s="124" t="s">
        <v>946</v>
      </c>
      <c r="Z798" s="91"/>
      <c r="AA798" s="91" t="s">
        <v>778</v>
      </c>
      <c r="AB798" s="91"/>
      <c r="AC798" s="91"/>
      <c r="AD798" s="91"/>
      <c r="AE798" s="91"/>
      <c r="AF798" s="91"/>
      <c r="AG798" s="91"/>
      <c r="AH798" s="91"/>
    </row>
    <row r="799" spans="1:34" s="1" customFormat="1" ht="45">
      <c r="A799" s="120">
        <v>798</v>
      </c>
      <c r="B799" s="120" t="b">
        <f t="shared" ca="1" si="12"/>
        <v>0</v>
      </c>
      <c r="C799" s="121">
        <v>45589</v>
      </c>
      <c r="D799" s="137">
        <v>0.94847222222222227</v>
      </c>
      <c r="E799" s="94">
        <v>1062</v>
      </c>
      <c r="F799" s="142">
        <v>1202</v>
      </c>
      <c r="G799" s="94" t="s">
        <v>71</v>
      </c>
      <c r="H799" s="94">
        <v>1031</v>
      </c>
      <c r="I799" s="94"/>
      <c r="J799" s="94" t="s">
        <v>72</v>
      </c>
      <c r="K799" s="91">
        <v>94.953999999999994</v>
      </c>
      <c r="L799" s="122" t="str">
        <f>VLOOKUP(K799,Liste!$L$2:$O$34,4,1)</f>
        <v>GSMR_17/18</v>
      </c>
      <c r="M799" s="133" t="s">
        <v>36</v>
      </c>
      <c r="N799" s="180" t="s">
        <v>37</v>
      </c>
      <c r="O799" s="125" t="s">
        <v>1847</v>
      </c>
      <c r="P799" s="119"/>
      <c r="Q799" s="94" t="s">
        <v>39</v>
      </c>
      <c r="R799" s="94" t="s">
        <v>1032</v>
      </c>
      <c r="S799" s="91" t="s">
        <v>1725</v>
      </c>
      <c r="T799" s="94" t="s">
        <v>56</v>
      </c>
      <c r="U799" s="94" t="s">
        <v>1570</v>
      </c>
      <c r="V799" s="94" t="s">
        <v>51</v>
      </c>
      <c r="W799" s="94" t="s">
        <v>51</v>
      </c>
      <c r="X799" s="124" t="s">
        <v>52</v>
      </c>
      <c r="Y799" s="124" t="s">
        <v>946</v>
      </c>
      <c r="Z799" s="91"/>
      <c r="AA799" s="91" t="s">
        <v>778</v>
      </c>
      <c r="AB799" s="91"/>
      <c r="AC799" s="91"/>
      <c r="AD799" s="91"/>
      <c r="AE799" s="91"/>
      <c r="AF799" s="91"/>
      <c r="AG799" s="91"/>
      <c r="AH799" s="91"/>
    </row>
    <row r="800" spans="1:34" s="1" customFormat="1" ht="45">
      <c r="A800" s="120">
        <v>799</v>
      </c>
      <c r="B800" s="120" t="b">
        <f t="shared" ca="1" si="12"/>
        <v>0</v>
      </c>
      <c r="C800" s="121">
        <v>45590</v>
      </c>
      <c r="D800" s="137" t="s">
        <v>1848</v>
      </c>
      <c r="E800" s="94">
        <v>1013</v>
      </c>
      <c r="F800" s="142">
        <v>1201</v>
      </c>
      <c r="G800" s="94" t="s">
        <v>71</v>
      </c>
      <c r="H800" s="94">
        <v>1061</v>
      </c>
      <c r="I800" s="94"/>
      <c r="J800" s="94" t="s">
        <v>72</v>
      </c>
      <c r="K800" s="152" t="s">
        <v>1849</v>
      </c>
      <c r="L800" s="122" t="s">
        <v>790</v>
      </c>
      <c r="M800" s="133" t="s">
        <v>36</v>
      </c>
      <c r="N800" s="180" t="s">
        <v>37</v>
      </c>
      <c r="O800" s="125" t="s">
        <v>1850</v>
      </c>
      <c r="P800" s="119"/>
      <c r="Q800" s="94" t="s">
        <v>39</v>
      </c>
      <c r="R800" s="94" t="s">
        <v>1032</v>
      </c>
      <c r="S800" s="91" t="s">
        <v>1851</v>
      </c>
      <c r="T800" s="94" t="s">
        <v>78</v>
      </c>
      <c r="U800" s="94" t="s">
        <v>1490</v>
      </c>
      <c r="V800" s="94" t="s">
        <v>51</v>
      </c>
      <c r="W800" s="94" t="s">
        <v>51</v>
      </c>
      <c r="X800" s="124" t="s">
        <v>52</v>
      </c>
      <c r="Y800" s="124" t="s">
        <v>946</v>
      </c>
      <c r="Z800" s="91"/>
      <c r="AA800" s="91" t="s">
        <v>802</v>
      </c>
      <c r="AB800" s="91"/>
      <c r="AC800" s="91"/>
      <c r="AD800" s="91"/>
      <c r="AE800" s="91"/>
      <c r="AF800" s="91"/>
      <c r="AG800" s="91"/>
      <c r="AH800" s="91"/>
    </row>
    <row r="801" spans="1:34" s="1" customFormat="1" ht="45">
      <c r="A801" s="120">
        <v>800</v>
      </c>
      <c r="B801" s="120" t="b">
        <f t="shared" ca="1" si="12"/>
        <v>0</v>
      </c>
      <c r="C801" s="121">
        <v>45590</v>
      </c>
      <c r="D801" s="137" t="s">
        <v>1852</v>
      </c>
      <c r="E801" s="94">
        <v>2057</v>
      </c>
      <c r="F801" s="142">
        <v>1208</v>
      </c>
      <c r="G801" s="94" t="s">
        <v>34</v>
      </c>
      <c r="H801" s="94">
        <v>1036</v>
      </c>
      <c r="I801" s="94"/>
      <c r="J801" s="94" t="s">
        <v>35</v>
      </c>
      <c r="K801" s="91">
        <v>33.960999999999999</v>
      </c>
      <c r="L801" s="122" t="str">
        <f>VLOOKUP(K801,Liste!$L$2:$O$34,4,1)</f>
        <v>GSMR_06/07</v>
      </c>
      <c r="M801" s="133" t="s">
        <v>36</v>
      </c>
      <c r="N801" s="180" t="s">
        <v>37</v>
      </c>
      <c r="O801" s="125" t="s">
        <v>1853</v>
      </c>
      <c r="P801" s="119"/>
      <c r="Q801" s="94" t="s">
        <v>39</v>
      </c>
      <c r="R801" s="94" t="s">
        <v>1032</v>
      </c>
      <c r="S801" s="91" t="s">
        <v>1832</v>
      </c>
      <c r="T801" s="94" t="s">
        <v>69</v>
      </c>
      <c r="U801" s="94" t="s">
        <v>1453</v>
      </c>
      <c r="V801" s="94" t="s">
        <v>51</v>
      </c>
      <c r="W801" s="94" t="s">
        <v>51</v>
      </c>
      <c r="X801" s="124" t="s">
        <v>52</v>
      </c>
      <c r="Y801" s="124" t="s">
        <v>946</v>
      </c>
      <c r="Z801" s="91"/>
      <c r="AA801" s="91" t="s">
        <v>793</v>
      </c>
      <c r="AB801" s="91"/>
      <c r="AC801" s="91"/>
      <c r="AD801" s="91"/>
      <c r="AE801" s="91"/>
      <c r="AF801" s="91"/>
      <c r="AG801" s="91"/>
      <c r="AH801" s="91"/>
    </row>
    <row r="802" spans="1:34" s="1" customFormat="1" ht="45">
      <c r="A802" s="120">
        <v>801</v>
      </c>
      <c r="B802" s="120" t="b">
        <f t="shared" ca="1" si="12"/>
        <v>0</v>
      </c>
      <c r="C802" s="121">
        <v>45590</v>
      </c>
      <c r="D802" s="137">
        <v>0.96782407407407411</v>
      </c>
      <c r="E802" s="94">
        <v>1061</v>
      </c>
      <c r="F802" s="142">
        <v>1201</v>
      </c>
      <c r="G802" s="94" t="s">
        <v>71</v>
      </c>
      <c r="H802" s="94">
        <v>1060</v>
      </c>
      <c r="I802" s="94"/>
      <c r="J802" s="94" t="s">
        <v>35</v>
      </c>
      <c r="K802" s="152">
        <v>5.73</v>
      </c>
      <c r="L802" s="122" t="str">
        <f>VLOOKUP(K802,Liste!$L$2:$O$34,4,1)</f>
        <v>GSMR_02/03</v>
      </c>
      <c r="M802" s="133" t="s">
        <v>36</v>
      </c>
      <c r="N802" s="180" t="s">
        <v>37</v>
      </c>
      <c r="O802" s="125" t="s">
        <v>1854</v>
      </c>
      <c r="P802" s="119"/>
      <c r="Q802" s="94" t="s">
        <v>39</v>
      </c>
      <c r="R802" s="94" t="s">
        <v>1032</v>
      </c>
      <c r="S802" s="91" t="s">
        <v>1339</v>
      </c>
      <c r="T802" s="94" t="s">
        <v>93</v>
      </c>
      <c r="U802" s="94" t="s">
        <v>1622</v>
      </c>
      <c r="V802" s="94" t="s">
        <v>43</v>
      </c>
      <c r="W802" s="94" t="s">
        <v>43</v>
      </c>
      <c r="X802" s="124" t="s">
        <v>52</v>
      </c>
      <c r="Y802" s="124" t="s">
        <v>946</v>
      </c>
      <c r="Z802" s="91"/>
      <c r="AA802" s="91" t="s">
        <v>778</v>
      </c>
      <c r="AB802" s="91"/>
      <c r="AC802" s="91"/>
      <c r="AD802" s="91"/>
      <c r="AE802" s="91"/>
      <c r="AF802" s="91"/>
      <c r="AG802" s="91"/>
      <c r="AH802" s="91"/>
    </row>
    <row r="803" spans="1:34" s="1" customFormat="1" ht="45">
      <c r="A803" s="120">
        <v>802</v>
      </c>
      <c r="B803" s="120" t="b">
        <f t="shared" ca="1" si="12"/>
        <v>0</v>
      </c>
      <c r="C803" s="121">
        <v>45592</v>
      </c>
      <c r="D803" s="137">
        <v>0.3787962962962963</v>
      </c>
      <c r="E803" s="94">
        <v>2013</v>
      </c>
      <c r="F803" s="142">
        <v>1202</v>
      </c>
      <c r="G803" s="94" t="s">
        <v>34</v>
      </c>
      <c r="H803" s="94">
        <v>1042</v>
      </c>
      <c r="I803" s="94"/>
      <c r="J803" s="94" t="s">
        <v>35</v>
      </c>
      <c r="K803" s="152">
        <v>6.13</v>
      </c>
      <c r="L803" s="122" t="str">
        <f>VLOOKUP(K803,Liste!$L$2:$O$34,4,1)</f>
        <v>GSMR_02/03</v>
      </c>
      <c r="M803" s="133" t="s">
        <v>36</v>
      </c>
      <c r="N803" s="180" t="s">
        <v>37</v>
      </c>
      <c r="O803" s="125" t="s">
        <v>1855</v>
      </c>
      <c r="P803" s="119"/>
      <c r="Q803" s="94" t="s">
        <v>39</v>
      </c>
      <c r="R803" s="94" t="s">
        <v>1032</v>
      </c>
      <c r="S803" s="91" t="s">
        <v>1856</v>
      </c>
      <c r="T803" s="94" t="s">
        <v>56</v>
      </c>
      <c r="U803" s="94" t="s">
        <v>1526</v>
      </c>
      <c r="V803" s="94" t="s">
        <v>43</v>
      </c>
      <c r="W803" s="94" t="s">
        <v>51</v>
      </c>
      <c r="X803" s="124" t="s">
        <v>52</v>
      </c>
      <c r="Y803" s="124" t="s">
        <v>946</v>
      </c>
      <c r="Z803" s="91"/>
      <c r="AA803" s="91" t="s">
        <v>772</v>
      </c>
      <c r="AB803" s="91"/>
      <c r="AC803" s="91"/>
      <c r="AD803" s="91"/>
      <c r="AE803" s="91"/>
      <c r="AF803" s="91"/>
      <c r="AG803" s="91"/>
      <c r="AH803" s="91"/>
    </row>
    <row r="804" spans="1:34" s="1" customFormat="1" ht="45">
      <c r="A804" s="120">
        <v>803</v>
      </c>
      <c r="B804" s="120" t="b">
        <f t="shared" ca="1" si="12"/>
        <v>0</v>
      </c>
      <c r="C804" s="121">
        <v>45592</v>
      </c>
      <c r="D804" s="137">
        <v>0.42601851851851852</v>
      </c>
      <c r="E804" s="94">
        <v>2013</v>
      </c>
      <c r="F804" s="142">
        <v>1209</v>
      </c>
      <c r="G804" s="94" t="s">
        <v>71</v>
      </c>
      <c r="H804" s="94">
        <v>1032</v>
      </c>
      <c r="I804" s="94"/>
      <c r="J804" s="94" t="s">
        <v>72</v>
      </c>
      <c r="K804" s="91">
        <v>76.968000000000004</v>
      </c>
      <c r="L804" s="122" t="str">
        <f>VLOOKUP(K804,Liste!$L$2:$O$34,4,1)</f>
        <v>GSMR_14/15</v>
      </c>
      <c r="M804" s="133" t="s">
        <v>36</v>
      </c>
      <c r="N804" s="180" t="s">
        <v>37</v>
      </c>
      <c r="O804" s="125" t="s">
        <v>1857</v>
      </c>
      <c r="P804" s="119"/>
      <c r="Q804" s="94" t="s">
        <v>39</v>
      </c>
      <c r="R804" s="94" t="s">
        <v>1032</v>
      </c>
      <c r="S804" s="91" t="s">
        <v>1858</v>
      </c>
      <c r="T804" s="94" t="s">
        <v>69</v>
      </c>
      <c r="U804" s="94" t="s">
        <v>1453</v>
      </c>
      <c r="V804" s="94" t="s">
        <v>51</v>
      </c>
      <c r="W804" s="94" t="s">
        <v>51</v>
      </c>
      <c r="X804" s="124" t="s">
        <v>52</v>
      </c>
      <c r="Y804" s="124" t="s">
        <v>946</v>
      </c>
      <c r="Z804" s="91"/>
      <c r="AA804" s="91" t="s">
        <v>772</v>
      </c>
      <c r="AB804" s="91"/>
      <c r="AC804" s="91"/>
      <c r="AD804" s="91"/>
      <c r="AE804" s="91"/>
      <c r="AF804" s="91"/>
      <c r="AG804" s="91"/>
      <c r="AH804" s="91"/>
    </row>
    <row r="805" spans="1:34" s="1" customFormat="1" ht="45">
      <c r="A805" s="120">
        <v>804</v>
      </c>
      <c r="B805" s="120" t="b">
        <f t="shared" ca="1" si="12"/>
        <v>0</v>
      </c>
      <c r="C805" s="121">
        <v>45592</v>
      </c>
      <c r="D805" s="137">
        <v>0.75340277777777775</v>
      </c>
      <c r="E805" s="94">
        <v>2049</v>
      </c>
      <c r="F805" s="142">
        <v>1203</v>
      </c>
      <c r="G805" s="94" t="s">
        <v>34</v>
      </c>
      <c r="H805" s="94">
        <v>1025</v>
      </c>
      <c r="I805" s="94"/>
      <c r="J805" s="94" t="s">
        <v>35</v>
      </c>
      <c r="K805" s="152">
        <v>6.13</v>
      </c>
      <c r="L805" s="122" t="str">
        <f>VLOOKUP(K805,Liste!$L$2:$O$34,4,1)</f>
        <v>GSMR_02/03</v>
      </c>
      <c r="M805" s="133" t="s">
        <v>36</v>
      </c>
      <c r="N805" s="180" t="s">
        <v>37</v>
      </c>
      <c r="O805" s="125" t="s">
        <v>1859</v>
      </c>
      <c r="P805" s="119"/>
      <c r="Q805" s="94" t="s">
        <v>39</v>
      </c>
      <c r="R805" s="94" t="s">
        <v>1032</v>
      </c>
      <c r="S805" s="91" t="s">
        <v>1617</v>
      </c>
      <c r="T805" s="94" t="s">
        <v>56</v>
      </c>
      <c r="U805" s="94" t="s">
        <v>1498</v>
      </c>
      <c r="V805" s="94" t="s">
        <v>51</v>
      </c>
      <c r="W805" s="94" t="s">
        <v>51</v>
      </c>
      <c r="X805" s="124" t="s">
        <v>52</v>
      </c>
      <c r="Y805" s="124" t="s">
        <v>946</v>
      </c>
      <c r="Z805" s="91"/>
      <c r="AA805" s="91" t="s">
        <v>793</v>
      </c>
      <c r="AB805" s="91"/>
      <c r="AC805" s="91"/>
      <c r="AD805" s="91"/>
      <c r="AE805" s="91"/>
      <c r="AF805" s="91"/>
      <c r="AG805" s="91"/>
      <c r="AH805" s="91"/>
    </row>
    <row r="806" spans="1:34" s="1" customFormat="1" ht="45">
      <c r="A806" s="120">
        <v>805</v>
      </c>
      <c r="B806" s="120" t="b">
        <f t="shared" ca="1" si="12"/>
        <v>0</v>
      </c>
      <c r="C806" s="121">
        <v>45592</v>
      </c>
      <c r="D806" s="137">
        <v>0.79526620370370371</v>
      </c>
      <c r="E806" s="94">
        <v>1046</v>
      </c>
      <c r="F806" s="142">
        <v>1201</v>
      </c>
      <c r="G806" s="94" t="s">
        <v>71</v>
      </c>
      <c r="H806" s="94">
        <v>1025</v>
      </c>
      <c r="I806" s="94"/>
      <c r="J806" s="94" t="s">
        <v>72</v>
      </c>
      <c r="K806" s="152">
        <v>5.73</v>
      </c>
      <c r="L806" s="122" t="str">
        <f>VLOOKUP(K806,Liste!$L$2:$O$34,4,1)</f>
        <v>GSMR_02/03</v>
      </c>
      <c r="M806" s="133" t="s">
        <v>36</v>
      </c>
      <c r="N806" s="180" t="s">
        <v>37</v>
      </c>
      <c r="O806" s="125" t="s">
        <v>1860</v>
      </c>
      <c r="P806" s="119"/>
      <c r="Q806" s="94" t="s">
        <v>39</v>
      </c>
      <c r="R806" s="94" t="s">
        <v>1032</v>
      </c>
      <c r="S806" s="91" t="s">
        <v>1360</v>
      </c>
      <c r="T806" s="94" t="s">
        <v>56</v>
      </c>
      <c r="U806" s="94" t="s">
        <v>1622</v>
      </c>
      <c r="V806" s="94" t="s">
        <v>51</v>
      </c>
      <c r="W806" s="94" t="s">
        <v>51</v>
      </c>
      <c r="X806" s="124" t="s">
        <v>52</v>
      </c>
      <c r="Y806" s="124" t="s">
        <v>946</v>
      </c>
      <c r="Z806" s="91"/>
      <c r="AA806" s="91" t="s">
        <v>793</v>
      </c>
      <c r="AB806" s="91"/>
      <c r="AC806" s="91"/>
      <c r="AD806" s="91"/>
      <c r="AE806" s="91"/>
      <c r="AF806" s="91"/>
      <c r="AG806" s="91"/>
      <c r="AH806" s="91"/>
    </row>
    <row r="807" spans="1:34" s="1" customFormat="1" ht="45">
      <c r="A807" s="120">
        <v>806</v>
      </c>
      <c r="B807" s="120" t="b">
        <f t="shared" ca="1" si="12"/>
        <v>0</v>
      </c>
      <c r="C807" s="121">
        <v>45592</v>
      </c>
      <c r="D807" s="137">
        <v>0.8504976851851852</v>
      </c>
      <c r="E807" s="94">
        <v>1053</v>
      </c>
      <c r="F807" s="142">
        <v>1207</v>
      </c>
      <c r="G807" s="94" t="s">
        <v>71</v>
      </c>
      <c r="H807" s="94">
        <v>1008</v>
      </c>
      <c r="I807" s="115"/>
      <c r="J807" s="94" t="s">
        <v>72</v>
      </c>
      <c r="K807" s="91">
        <v>198.98400000000001</v>
      </c>
      <c r="L807" s="122" t="str">
        <f>VLOOKUP(K807,Liste!$L$2:$O$34,4,1)</f>
        <v>GSMR_33/RAC</v>
      </c>
      <c r="M807" s="133" t="s">
        <v>36</v>
      </c>
      <c r="N807" s="181" t="s">
        <v>58</v>
      </c>
      <c r="O807" s="125" t="s">
        <v>1861</v>
      </c>
      <c r="P807" s="119"/>
      <c r="Q807" s="94" t="s">
        <v>105</v>
      </c>
      <c r="R807" s="94" t="s">
        <v>1763</v>
      </c>
      <c r="S807" s="91"/>
      <c r="T807" s="94" t="s">
        <v>69</v>
      </c>
      <c r="U807" s="94" t="s">
        <v>1460</v>
      </c>
      <c r="V807" s="94" t="s">
        <v>51</v>
      </c>
      <c r="W807" s="94" t="s">
        <v>51</v>
      </c>
      <c r="X807" s="124" t="s">
        <v>52</v>
      </c>
      <c r="Y807" s="124" t="s">
        <v>1042</v>
      </c>
      <c r="Z807" s="91"/>
      <c r="AA807" s="91" t="s">
        <v>754</v>
      </c>
      <c r="AB807" s="91"/>
      <c r="AC807" s="91"/>
      <c r="AD807" s="91"/>
      <c r="AE807" s="91"/>
      <c r="AF807" s="91"/>
      <c r="AG807" s="91"/>
      <c r="AH807" s="91"/>
    </row>
    <row r="808" spans="1:34" s="1" customFormat="1" ht="45">
      <c r="A808" s="120">
        <v>807</v>
      </c>
      <c r="B808" s="120" t="b">
        <f t="shared" ca="1" si="12"/>
        <v>0</v>
      </c>
      <c r="C808" s="121">
        <v>45593</v>
      </c>
      <c r="D808" s="137">
        <v>0.57685185185185184</v>
      </c>
      <c r="E808" s="94">
        <v>1025</v>
      </c>
      <c r="F808" s="142">
        <v>1212</v>
      </c>
      <c r="G808" s="94" t="s">
        <v>71</v>
      </c>
      <c r="H808" s="94">
        <v>1023</v>
      </c>
      <c r="I808" s="115"/>
      <c r="J808" s="94" t="s">
        <v>72</v>
      </c>
      <c r="K808" s="91">
        <v>75.84</v>
      </c>
      <c r="L808" s="122" t="str">
        <f>VLOOKUP(K808,Liste!$L$2:$O$34,4,1)</f>
        <v>GSMR_13/14</v>
      </c>
      <c r="M808" s="133" t="s">
        <v>36</v>
      </c>
      <c r="N808" s="180" t="s">
        <v>37</v>
      </c>
      <c r="O808" s="125" t="s">
        <v>1862</v>
      </c>
      <c r="P808" s="119"/>
      <c r="Q808" s="94" t="s">
        <v>39</v>
      </c>
      <c r="R808" s="94" t="s">
        <v>1032</v>
      </c>
      <c r="S808" s="91" t="s">
        <v>1863</v>
      </c>
      <c r="T808" s="94" t="s">
        <v>41</v>
      </c>
      <c r="U808" s="94" t="s">
        <v>1541</v>
      </c>
      <c r="V808" s="94" t="s">
        <v>51</v>
      </c>
      <c r="W808" s="94" t="s">
        <v>51</v>
      </c>
      <c r="X808" s="124" t="s">
        <v>52</v>
      </c>
      <c r="Y808" s="124" t="s">
        <v>946</v>
      </c>
      <c r="Z808" s="91"/>
      <c r="AA808" s="91" t="s">
        <v>802</v>
      </c>
      <c r="AB808" s="91"/>
      <c r="AC808" s="91"/>
      <c r="AD808" s="91"/>
      <c r="AE808" s="91"/>
      <c r="AF808" s="91"/>
      <c r="AG808" s="91"/>
      <c r="AH808" s="91"/>
    </row>
    <row r="809" spans="1:34" s="1" customFormat="1" ht="45">
      <c r="A809" s="120">
        <v>808</v>
      </c>
      <c r="B809" s="120" t="b">
        <f t="shared" ca="1" si="12"/>
        <v>0</v>
      </c>
      <c r="C809" s="121">
        <v>45593</v>
      </c>
      <c r="D809" s="137">
        <v>0.6746875</v>
      </c>
      <c r="E809" s="94">
        <v>2041</v>
      </c>
      <c r="F809" s="142">
        <v>1203</v>
      </c>
      <c r="G809" s="94" t="s">
        <v>34</v>
      </c>
      <c r="H809" s="94">
        <v>1025</v>
      </c>
      <c r="I809" s="115"/>
      <c r="J809" s="94" t="s">
        <v>72</v>
      </c>
      <c r="K809" s="91">
        <v>25.91</v>
      </c>
      <c r="L809" s="122" t="str">
        <f>VLOOKUP(K809,Liste!$L$2:$O$34,4,1)</f>
        <v>GSMR_05/06</v>
      </c>
      <c r="M809" s="133" t="s">
        <v>36</v>
      </c>
      <c r="N809" s="180" t="s">
        <v>37</v>
      </c>
      <c r="O809" s="125" t="s">
        <v>1864</v>
      </c>
      <c r="P809" s="119"/>
      <c r="Q809" s="94" t="s">
        <v>39</v>
      </c>
      <c r="R809" s="94" t="s">
        <v>1032</v>
      </c>
      <c r="S809" s="91" t="s">
        <v>1865</v>
      </c>
      <c r="T809" s="94" t="s">
        <v>101</v>
      </c>
      <c r="U809" s="94" t="s">
        <v>1745</v>
      </c>
      <c r="V809" s="94" t="s">
        <v>51</v>
      </c>
      <c r="W809" s="94" t="s">
        <v>51</v>
      </c>
      <c r="X809" s="124" t="s">
        <v>52</v>
      </c>
      <c r="Y809" s="124" t="s">
        <v>946</v>
      </c>
      <c r="Z809" s="91"/>
      <c r="AA809" s="91" t="s">
        <v>772</v>
      </c>
      <c r="AB809" s="91"/>
      <c r="AC809" s="91"/>
      <c r="AD809" s="91"/>
      <c r="AE809" s="91"/>
      <c r="AF809" s="91"/>
      <c r="AG809" s="91"/>
      <c r="AH809" s="91"/>
    </row>
    <row r="810" spans="1:34" s="1" customFormat="1" ht="45">
      <c r="A810" s="120">
        <v>809</v>
      </c>
      <c r="B810" s="120" t="b">
        <f t="shared" ca="1" si="12"/>
        <v>0</v>
      </c>
      <c r="C810" s="121">
        <v>45593</v>
      </c>
      <c r="D810" s="137">
        <v>0.77465277777777775</v>
      </c>
      <c r="E810" s="94">
        <v>2049</v>
      </c>
      <c r="F810" s="142">
        <v>1208</v>
      </c>
      <c r="G810" s="94" t="s">
        <v>34</v>
      </c>
      <c r="H810" s="94">
        <v>1037</v>
      </c>
      <c r="I810" s="115"/>
      <c r="J810" s="94" t="s">
        <v>35</v>
      </c>
      <c r="K810" s="91">
        <v>145.6</v>
      </c>
      <c r="L810" s="122" t="str">
        <f>VLOOKUP(K810,Liste!$L$2:$O$34,4,1)</f>
        <v>GSMR_25/26</v>
      </c>
      <c r="M810" s="133" t="s">
        <v>36</v>
      </c>
      <c r="N810" s="180" t="s">
        <v>37</v>
      </c>
      <c r="O810" s="125" t="s">
        <v>1866</v>
      </c>
      <c r="P810" s="119"/>
      <c r="Q810" s="94" t="s">
        <v>39</v>
      </c>
      <c r="R810" s="94" t="s">
        <v>1032</v>
      </c>
      <c r="S810" s="91" t="s">
        <v>1614</v>
      </c>
      <c r="T810" s="94" t="s">
        <v>41</v>
      </c>
      <c r="U810" s="94" t="s">
        <v>1782</v>
      </c>
      <c r="V810" s="94" t="s">
        <v>51</v>
      </c>
      <c r="W810" s="94" t="s">
        <v>51</v>
      </c>
      <c r="X810" s="124" t="s">
        <v>52</v>
      </c>
      <c r="Y810" s="124" t="s">
        <v>946</v>
      </c>
      <c r="Z810" s="91"/>
      <c r="AA810" s="91" t="s">
        <v>772</v>
      </c>
      <c r="AB810" s="91"/>
      <c r="AC810" s="91"/>
      <c r="AD810" s="91"/>
      <c r="AE810" s="91"/>
      <c r="AF810" s="91"/>
      <c r="AG810" s="91"/>
      <c r="AH810" s="91"/>
    </row>
    <row r="811" spans="1:34" s="1" customFormat="1" ht="45">
      <c r="A811" s="120">
        <v>810</v>
      </c>
      <c r="B811" s="120" t="b">
        <f t="shared" ca="1" si="12"/>
        <v>0</v>
      </c>
      <c r="C811" s="121">
        <v>45593</v>
      </c>
      <c r="D811" s="137">
        <v>0.7807291666666667</v>
      </c>
      <c r="E811" s="94">
        <v>1046</v>
      </c>
      <c r="F811" s="142">
        <v>1209</v>
      </c>
      <c r="G811" s="94" t="s">
        <v>34</v>
      </c>
      <c r="H811" s="94">
        <v>1033</v>
      </c>
      <c r="I811" s="115"/>
      <c r="J811" s="94" t="s">
        <v>72</v>
      </c>
      <c r="K811" s="91">
        <v>131.78899999999999</v>
      </c>
      <c r="L811" s="122" t="str">
        <f>VLOOKUP(K811,Liste!$L$2:$O$34,4,1)</f>
        <v>GSMR_23/24</v>
      </c>
      <c r="M811" s="133" t="s">
        <v>36</v>
      </c>
      <c r="N811" s="180" t="s">
        <v>37</v>
      </c>
      <c r="O811" s="125" t="s">
        <v>1867</v>
      </c>
      <c r="P811" s="119"/>
      <c r="Q811" s="94" t="s">
        <v>39</v>
      </c>
      <c r="R811" s="94" t="s">
        <v>1032</v>
      </c>
      <c r="S811" s="91" t="s">
        <v>1868</v>
      </c>
      <c r="T811" s="94" t="s">
        <v>78</v>
      </c>
      <c r="U811" s="94" t="s">
        <v>1453</v>
      </c>
      <c r="V811" s="94" t="s">
        <v>51</v>
      </c>
      <c r="W811" s="94" t="s">
        <v>51</v>
      </c>
      <c r="X811" s="124" t="s">
        <v>52</v>
      </c>
      <c r="Y811" s="124" t="s">
        <v>946</v>
      </c>
      <c r="Z811" s="91"/>
      <c r="AA811" s="91" t="s">
        <v>772</v>
      </c>
      <c r="AB811" s="91"/>
      <c r="AC811" s="91"/>
      <c r="AD811" s="91"/>
      <c r="AE811" s="91"/>
      <c r="AF811" s="91"/>
      <c r="AG811" s="91"/>
      <c r="AH811" s="91"/>
    </row>
    <row r="812" spans="1:34" s="1" customFormat="1" ht="45">
      <c r="A812" s="120">
        <v>811</v>
      </c>
      <c r="B812" s="120" t="b">
        <f t="shared" ca="1" si="12"/>
        <v>0</v>
      </c>
      <c r="C812" s="121">
        <v>45594</v>
      </c>
      <c r="D812" s="137">
        <v>0.26333333333333331</v>
      </c>
      <c r="E812" s="94">
        <v>2001</v>
      </c>
      <c r="F812" s="142">
        <v>1208</v>
      </c>
      <c r="G812" s="94" t="s">
        <v>34</v>
      </c>
      <c r="H812" s="94">
        <v>1037</v>
      </c>
      <c r="I812" s="115"/>
      <c r="J812" s="94" t="s">
        <v>35</v>
      </c>
      <c r="K812" s="91">
        <v>65.513999999999996</v>
      </c>
      <c r="L812" s="122" t="str">
        <f>VLOOKUP(K812,Liste!$L$2:$O$34,4,1)</f>
        <v>GSMR_11/12</v>
      </c>
      <c r="M812" s="133" t="s">
        <v>36</v>
      </c>
      <c r="N812" s="180" t="s">
        <v>37</v>
      </c>
      <c r="O812" s="125" t="s">
        <v>1869</v>
      </c>
      <c r="P812" s="119"/>
      <c r="Q812" s="94" t="s">
        <v>39</v>
      </c>
      <c r="R812" s="94" t="s">
        <v>1032</v>
      </c>
      <c r="S812" s="91" t="s">
        <v>1870</v>
      </c>
      <c r="T812" s="94" t="s">
        <v>69</v>
      </c>
      <c r="U812" s="94" t="s">
        <v>1453</v>
      </c>
      <c r="V812" s="94" t="s">
        <v>51</v>
      </c>
      <c r="W812" s="94" t="s">
        <v>51</v>
      </c>
      <c r="X812" s="124" t="s">
        <v>52</v>
      </c>
      <c r="Y812" s="124" t="s">
        <v>946</v>
      </c>
      <c r="Z812" s="91"/>
      <c r="AA812" s="91" t="s">
        <v>754</v>
      </c>
      <c r="AB812" s="91"/>
      <c r="AC812" s="91"/>
      <c r="AD812" s="91"/>
      <c r="AE812" s="91"/>
      <c r="AF812" s="91"/>
      <c r="AG812" s="91"/>
      <c r="AH812" s="91"/>
    </row>
    <row r="813" spans="1:34" s="1" customFormat="1" ht="45">
      <c r="A813" s="120">
        <v>812</v>
      </c>
      <c r="B813" s="120" t="b">
        <f t="shared" ca="1" si="12"/>
        <v>0</v>
      </c>
      <c r="C813" s="121">
        <v>45594</v>
      </c>
      <c r="D813" s="137">
        <v>0.60526620370370365</v>
      </c>
      <c r="E813" s="94">
        <v>2033</v>
      </c>
      <c r="F813" s="142">
        <v>1207</v>
      </c>
      <c r="G813" s="94" t="s">
        <v>34</v>
      </c>
      <c r="H813" s="94">
        <v>1047</v>
      </c>
      <c r="I813" s="115"/>
      <c r="J813" s="94" t="s">
        <v>35</v>
      </c>
      <c r="K813" s="91">
        <v>123.901</v>
      </c>
      <c r="L813" s="122" t="str">
        <f>VLOOKUP(K813,Liste!$L$2:$O$34,4,1)</f>
        <v>GSMR_21/22</v>
      </c>
      <c r="M813" s="133" t="s">
        <v>36</v>
      </c>
      <c r="N813" s="180" t="s">
        <v>37</v>
      </c>
      <c r="O813" s="125" t="s">
        <v>1871</v>
      </c>
      <c r="P813" s="119"/>
      <c r="Q813" s="94" t="s">
        <v>39</v>
      </c>
      <c r="R813" s="94" t="s">
        <v>1032</v>
      </c>
      <c r="S813" s="91" t="s">
        <v>1872</v>
      </c>
      <c r="T813" s="94" t="s">
        <v>101</v>
      </c>
      <c r="U813" s="94" t="s">
        <v>1453</v>
      </c>
      <c r="V813" s="94" t="s">
        <v>51</v>
      </c>
      <c r="W813" s="94" t="s">
        <v>51</v>
      </c>
      <c r="X813" s="124" t="s">
        <v>52</v>
      </c>
      <c r="Y813" s="124" t="s">
        <v>946</v>
      </c>
      <c r="Z813" s="91"/>
      <c r="AA813" s="91" t="s">
        <v>1118</v>
      </c>
      <c r="AB813" s="91"/>
      <c r="AC813" s="91"/>
      <c r="AD813" s="91"/>
      <c r="AE813" s="91"/>
      <c r="AF813" s="91"/>
      <c r="AG813" s="91"/>
      <c r="AH813" s="91"/>
    </row>
    <row r="814" spans="1:34" s="1" customFormat="1" ht="45">
      <c r="A814" s="120">
        <v>813</v>
      </c>
      <c r="B814" s="120" t="b">
        <f t="shared" ca="1" si="12"/>
        <v>0</v>
      </c>
      <c r="C814" s="121">
        <v>45594</v>
      </c>
      <c r="D814" s="137">
        <v>0.7122222222222222</v>
      </c>
      <c r="E814" s="94">
        <v>1037</v>
      </c>
      <c r="F814" s="142">
        <v>1208</v>
      </c>
      <c r="G814" s="94" t="s">
        <v>71</v>
      </c>
      <c r="H814" s="94">
        <v>1044</v>
      </c>
      <c r="I814" s="115"/>
      <c r="J814" s="94" t="s">
        <v>72</v>
      </c>
      <c r="K814" s="152">
        <v>7.3209999999999997</v>
      </c>
      <c r="L814" s="122" t="str">
        <f>VLOOKUP(K814,Liste!$L$2:$O$34,4,1)</f>
        <v>GSMR_02/03</v>
      </c>
      <c r="M814" s="133" t="s">
        <v>36</v>
      </c>
      <c r="N814" s="180" t="s">
        <v>37</v>
      </c>
      <c r="O814" s="125" t="s">
        <v>1873</v>
      </c>
      <c r="P814" s="119"/>
      <c r="Q814" s="94" t="s">
        <v>39</v>
      </c>
      <c r="R814" s="94" t="s">
        <v>1032</v>
      </c>
      <c r="S814" s="91" t="s">
        <v>1255</v>
      </c>
      <c r="T814" s="94" t="s">
        <v>56</v>
      </c>
      <c r="U814" s="94" t="s">
        <v>1490</v>
      </c>
      <c r="V814" s="94" t="s">
        <v>43</v>
      </c>
      <c r="W814" s="94" t="s">
        <v>51</v>
      </c>
      <c r="X814" s="124" t="s">
        <v>52</v>
      </c>
      <c r="Y814" s="124" t="s">
        <v>946</v>
      </c>
      <c r="Z814" s="91"/>
      <c r="AA814" s="91" t="s">
        <v>778</v>
      </c>
      <c r="AB814" s="91"/>
      <c r="AC814" s="91"/>
      <c r="AD814" s="91"/>
      <c r="AE814" s="91"/>
      <c r="AF814" s="91"/>
      <c r="AG814" s="91"/>
      <c r="AH814" s="91"/>
    </row>
    <row r="815" spans="1:34" s="1" customFormat="1" ht="45">
      <c r="A815" s="120">
        <v>814</v>
      </c>
      <c r="B815" s="120" t="b">
        <f t="shared" ca="1" si="12"/>
        <v>0</v>
      </c>
      <c r="C815" s="121">
        <v>45594</v>
      </c>
      <c r="D815" s="137">
        <v>0.73313657407407407</v>
      </c>
      <c r="E815" s="94">
        <v>2045</v>
      </c>
      <c r="F815" s="142">
        <v>1212</v>
      </c>
      <c r="G815" s="94" t="s">
        <v>34</v>
      </c>
      <c r="H815" s="94">
        <v>1057</v>
      </c>
      <c r="I815" s="115"/>
      <c r="J815" s="94" t="s">
        <v>35</v>
      </c>
      <c r="K815" s="91">
        <v>140.65899999999999</v>
      </c>
      <c r="L815" s="122" t="str">
        <f>VLOOKUP(K815,Liste!$L$2:$O$34,4,1)</f>
        <v>GSMR_24/25</v>
      </c>
      <c r="M815" s="133" t="s">
        <v>36</v>
      </c>
      <c r="N815" s="181" t="s">
        <v>58</v>
      </c>
      <c r="O815" s="125" t="s">
        <v>1874</v>
      </c>
      <c r="P815" s="119"/>
      <c r="Q815" s="94" t="s">
        <v>105</v>
      </c>
      <c r="R815" s="94" t="s">
        <v>1763</v>
      </c>
      <c r="S815" s="91" t="s">
        <v>1875</v>
      </c>
      <c r="T815" s="94" t="s">
        <v>69</v>
      </c>
      <c r="U815" s="94" t="s">
        <v>1595</v>
      </c>
      <c r="V815" s="94" t="s">
        <v>51</v>
      </c>
      <c r="W815" s="94" t="s">
        <v>51</v>
      </c>
      <c r="X815" s="124" t="s">
        <v>52</v>
      </c>
      <c r="Y815" s="124" t="s">
        <v>1042</v>
      </c>
      <c r="Z815" s="91"/>
      <c r="AA815" s="91" t="s">
        <v>778</v>
      </c>
      <c r="AB815" s="91"/>
      <c r="AC815" s="91"/>
      <c r="AD815" s="91"/>
      <c r="AE815" s="91"/>
      <c r="AF815" s="91"/>
      <c r="AG815" s="91"/>
      <c r="AH815" s="91"/>
    </row>
    <row r="816" spans="1:34" s="1" customFormat="1" ht="45">
      <c r="A816" s="120">
        <v>815</v>
      </c>
      <c r="B816" s="120" t="b">
        <f t="shared" ca="1" si="12"/>
        <v>0</v>
      </c>
      <c r="C816" s="121">
        <v>45595</v>
      </c>
      <c r="D816" s="137">
        <v>0.25621527777777775</v>
      </c>
      <c r="E816" s="94">
        <v>1081</v>
      </c>
      <c r="F816" s="142">
        <v>1211</v>
      </c>
      <c r="G816" s="94" t="s">
        <v>71</v>
      </c>
      <c r="H816" s="94">
        <v>3063</v>
      </c>
      <c r="I816" s="115"/>
      <c r="J816" s="94" t="s">
        <v>72</v>
      </c>
      <c r="K816" s="91">
        <v>154.82400000000001</v>
      </c>
      <c r="L816" s="122" t="str">
        <f>VLOOKUP(K816,Liste!$L$2:$O$34,4,1)</f>
        <v>GSMR_26/27</v>
      </c>
      <c r="M816" s="133" t="s">
        <v>36</v>
      </c>
      <c r="N816" s="180" t="s">
        <v>37</v>
      </c>
      <c r="O816" s="125" t="s">
        <v>1876</v>
      </c>
      <c r="P816" s="119"/>
      <c r="Q816" s="94" t="s">
        <v>39</v>
      </c>
      <c r="R816" s="94" t="s">
        <v>1032</v>
      </c>
      <c r="S816" s="91" t="s">
        <v>1877</v>
      </c>
      <c r="T816" s="94" t="s">
        <v>69</v>
      </c>
      <c r="U816" s="94" t="s">
        <v>1688</v>
      </c>
      <c r="V816" s="94" t="s">
        <v>51</v>
      </c>
      <c r="W816" s="94" t="s">
        <v>51</v>
      </c>
      <c r="X816" s="124" t="s">
        <v>52</v>
      </c>
      <c r="Y816" s="124" t="s">
        <v>946</v>
      </c>
      <c r="Z816" s="91"/>
      <c r="AA816" s="91" t="s">
        <v>754</v>
      </c>
      <c r="AB816" s="91"/>
      <c r="AC816" s="91"/>
      <c r="AD816" s="91"/>
      <c r="AE816" s="91"/>
      <c r="AF816" s="91"/>
      <c r="AG816" s="91"/>
      <c r="AH816" s="91"/>
    </row>
    <row r="817" spans="1:34" s="1" customFormat="1" ht="45">
      <c r="A817" s="120">
        <v>816</v>
      </c>
      <c r="B817" s="120" t="b">
        <f t="shared" ca="1" si="12"/>
        <v>0</v>
      </c>
      <c r="C817" s="121">
        <v>45595</v>
      </c>
      <c r="D817" s="137">
        <v>0.58711805555555552</v>
      </c>
      <c r="E817" s="94">
        <v>2033</v>
      </c>
      <c r="F817" s="142">
        <v>1211</v>
      </c>
      <c r="G817" s="94" t="s">
        <v>34</v>
      </c>
      <c r="H817" s="94">
        <v>3064</v>
      </c>
      <c r="I817" s="115"/>
      <c r="J817" s="94" t="s">
        <v>35</v>
      </c>
      <c r="K817" s="152">
        <v>6.13</v>
      </c>
      <c r="L817" s="122" t="str">
        <f>VLOOKUP(K817,Liste!$L$2:$O$34,4,1)</f>
        <v>GSMR_02/03</v>
      </c>
      <c r="M817" s="133" t="s">
        <v>36</v>
      </c>
      <c r="N817" s="180" t="s">
        <v>37</v>
      </c>
      <c r="O817" s="125" t="s">
        <v>1878</v>
      </c>
      <c r="P817" s="119"/>
      <c r="Q817" s="94" t="s">
        <v>39</v>
      </c>
      <c r="R817" s="94" t="s">
        <v>1032</v>
      </c>
      <c r="S817" s="91" t="s">
        <v>1879</v>
      </c>
      <c r="T817" s="94" t="s">
        <v>41</v>
      </c>
      <c r="U817" s="94" t="s">
        <v>1549</v>
      </c>
      <c r="V817" s="94" t="s">
        <v>51</v>
      </c>
      <c r="W817" s="94" t="s">
        <v>51</v>
      </c>
      <c r="X817" s="124" t="s">
        <v>52</v>
      </c>
      <c r="Y817" s="124" t="s">
        <v>946</v>
      </c>
      <c r="Z817" s="91"/>
      <c r="AA817" s="91" t="s">
        <v>802</v>
      </c>
      <c r="AB817" s="91"/>
      <c r="AC817" s="91"/>
      <c r="AD817" s="91"/>
      <c r="AE817" s="91"/>
      <c r="AF817" s="91"/>
      <c r="AG817" s="91"/>
      <c r="AH817" s="91"/>
    </row>
    <row r="818" spans="1:34" s="1" customFormat="1" ht="45">
      <c r="A818" s="120">
        <v>817</v>
      </c>
      <c r="B818" s="120" t="b">
        <f t="shared" ca="1" si="12"/>
        <v>0</v>
      </c>
      <c r="C818" s="121">
        <v>45596</v>
      </c>
      <c r="D818" s="137" t="s">
        <v>1880</v>
      </c>
      <c r="E818" s="94">
        <v>2021</v>
      </c>
      <c r="F818" s="142">
        <v>1201</v>
      </c>
      <c r="G818" s="94" t="s">
        <v>34</v>
      </c>
      <c r="H818" s="94">
        <v>7198</v>
      </c>
      <c r="I818" s="115"/>
      <c r="J818" s="94" t="s">
        <v>35</v>
      </c>
      <c r="K818" s="91">
        <v>144.32599999999999</v>
      </c>
      <c r="L818" s="122" t="str">
        <f>VLOOKUP(K818,Liste!$L$2:$O$34,4,1)</f>
        <v>GSMR_25/26</v>
      </c>
      <c r="M818" s="133" t="s">
        <v>36</v>
      </c>
      <c r="N818" s="180" t="s">
        <v>37</v>
      </c>
      <c r="O818" s="125" t="s">
        <v>1881</v>
      </c>
      <c r="P818" s="119"/>
      <c r="Q818" s="94" t="s">
        <v>105</v>
      </c>
      <c r="R818" s="94" t="s">
        <v>1763</v>
      </c>
      <c r="S818" s="91" t="s">
        <v>1882</v>
      </c>
      <c r="T818" s="94" t="s">
        <v>69</v>
      </c>
      <c r="U818" s="94" t="s">
        <v>1688</v>
      </c>
      <c r="V818" s="94" t="s">
        <v>51</v>
      </c>
      <c r="W818" s="94" t="s">
        <v>51</v>
      </c>
      <c r="X818" s="124" t="s">
        <v>52</v>
      </c>
      <c r="Y818" s="124" t="s">
        <v>1042</v>
      </c>
      <c r="Z818" s="91"/>
      <c r="AA818" s="91" t="s">
        <v>802</v>
      </c>
      <c r="AB818" s="91"/>
      <c r="AC818" s="91"/>
      <c r="AD818" s="91"/>
      <c r="AE818" s="91"/>
      <c r="AF818" s="91"/>
      <c r="AG818" s="91"/>
      <c r="AH818" s="91"/>
    </row>
    <row r="819" spans="1:34" s="1" customFormat="1" ht="45">
      <c r="A819" s="120">
        <v>818</v>
      </c>
      <c r="B819" s="120" t="b">
        <f t="shared" ca="1" si="12"/>
        <v>0</v>
      </c>
      <c r="C819" s="121">
        <v>45596</v>
      </c>
      <c r="D819" s="137">
        <v>0.67039351851851847</v>
      </c>
      <c r="E819" s="94">
        <v>2041</v>
      </c>
      <c r="F819" s="142">
        <v>1212</v>
      </c>
      <c r="G819" s="94" t="s">
        <v>34</v>
      </c>
      <c r="H819" s="94">
        <v>1057</v>
      </c>
      <c r="I819" s="115"/>
      <c r="J819" s="94" t="s">
        <v>35</v>
      </c>
      <c r="K819" s="152">
        <v>6.13</v>
      </c>
      <c r="L819" s="122" t="str">
        <f>VLOOKUP(K819,Liste!$L$2:$O$34,4,1)</f>
        <v>GSMR_02/03</v>
      </c>
      <c r="M819" s="133" t="s">
        <v>36</v>
      </c>
      <c r="N819" s="180" t="s">
        <v>37</v>
      </c>
      <c r="O819" s="125" t="s">
        <v>1883</v>
      </c>
      <c r="P819" s="119"/>
      <c r="Q819" s="94" t="s">
        <v>39</v>
      </c>
      <c r="R819" s="94" t="s">
        <v>1032</v>
      </c>
      <c r="S819" s="91" t="s">
        <v>1879</v>
      </c>
      <c r="T819" s="94" t="s">
        <v>93</v>
      </c>
      <c r="U819" s="94" t="s">
        <v>1538</v>
      </c>
      <c r="V819" s="94" t="s">
        <v>51</v>
      </c>
      <c r="W819" s="94" t="s">
        <v>51</v>
      </c>
      <c r="X819" s="124" t="s">
        <v>52</v>
      </c>
      <c r="Y819" s="124" t="s">
        <v>946</v>
      </c>
      <c r="Z819" s="91"/>
      <c r="AA819" s="91" t="s">
        <v>778</v>
      </c>
      <c r="AB819" s="91"/>
      <c r="AC819" s="91"/>
      <c r="AD819" s="91"/>
      <c r="AE819" s="91"/>
      <c r="AF819" s="91"/>
      <c r="AG819" s="91"/>
      <c r="AH819" s="91"/>
    </row>
    <row r="820" spans="1:34" s="1" customFormat="1" ht="45">
      <c r="A820" s="120">
        <v>819</v>
      </c>
      <c r="B820" s="120" t="b">
        <f t="shared" ca="1" si="12"/>
        <v>0</v>
      </c>
      <c r="C820" s="121">
        <v>45596</v>
      </c>
      <c r="D820" s="137">
        <v>0.79003472222222226</v>
      </c>
      <c r="E820" s="94">
        <v>1045</v>
      </c>
      <c r="F820" s="142">
        <v>1210</v>
      </c>
      <c r="G820" s="94" t="s">
        <v>71</v>
      </c>
      <c r="H820" s="94">
        <v>1020</v>
      </c>
      <c r="I820" s="115"/>
      <c r="J820" s="94" t="s">
        <v>72</v>
      </c>
      <c r="K820" s="91">
        <v>35.259</v>
      </c>
      <c r="L820" s="91" t="s">
        <v>1884</v>
      </c>
      <c r="M820" s="133" t="s">
        <v>36</v>
      </c>
      <c r="N820" s="180" t="s">
        <v>37</v>
      </c>
      <c r="O820" s="125" t="s">
        <v>1885</v>
      </c>
      <c r="P820" s="119"/>
      <c r="Q820" s="94" t="s">
        <v>39</v>
      </c>
      <c r="R820" s="94" t="s">
        <v>1032</v>
      </c>
      <c r="S820" s="91" t="s">
        <v>1886</v>
      </c>
      <c r="T820" s="94" t="s">
        <v>69</v>
      </c>
      <c r="U820" s="94" t="s">
        <v>1453</v>
      </c>
      <c r="V820" s="94" t="s">
        <v>51</v>
      </c>
      <c r="W820" s="94" t="s">
        <v>51</v>
      </c>
      <c r="X820" s="124" t="s">
        <v>52</v>
      </c>
      <c r="Y820" s="124" t="s">
        <v>946</v>
      </c>
      <c r="Z820" s="91"/>
      <c r="AA820" s="91" t="s">
        <v>778</v>
      </c>
      <c r="AB820" s="91"/>
      <c r="AC820" s="91"/>
      <c r="AD820" s="91"/>
      <c r="AE820" s="91"/>
      <c r="AF820" s="91"/>
      <c r="AG820" s="91"/>
      <c r="AH820" s="91"/>
    </row>
    <row r="821" spans="1:34" s="1" customFormat="1" ht="45">
      <c r="A821" s="120">
        <v>820</v>
      </c>
      <c r="B821" s="120" t="b">
        <f t="shared" ca="1" si="12"/>
        <v>0</v>
      </c>
      <c r="C821" s="121">
        <v>45596</v>
      </c>
      <c r="D821" s="137">
        <v>0.89946759259259257</v>
      </c>
      <c r="E821" s="94">
        <v>2061</v>
      </c>
      <c r="F821" s="142">
        <v>1202</v>
      </c>
      <c r="G821" s="94" t="s">
        <v>34</v>
      </c>
      <c r="H821" s="94">
        <v>1043</v>
      </c>
      <c r="I821" s="115"/>
      <c r="J821" s="94" t="s">
        <v>35</v>
      </c>
      <c r="K821" s="91">
        <v>144.32599999999999</v>
      </c>
      <c r="L821" s="91" t="s">
        <v>760</v>
      </c>
      <c r="M821" s="133" t="s">
        <v>36</v>
      </c>
      <c r="N821" s="181" t="s">
        <v>58</v>
      </c>
      <c r="O821" s="125" t="s">
        <v>1887</v>
      </c>
      <c r="P821" s="119"/>
      <c r="Q821" s="94" t="s">
        <v>47</v>
      </c>
      <c r="R821" s="94" t="s">
        <v>1763</v>
      </c>
      <c r="S821" s="91" t="s">
        <v>1888</v>
      </c>
      <c r="T821" s="94" t="s">
        <v>69</v>
      </c>
      <c r="U821" s="94" t="s">
        <v>1471</v>
      </c>
      <c r="V821" s="94" t="s">
        <v>51</v>
      </c>
      <c r="W821" s="94" t="s">
        <v>51</v>
      </c>
      <c r="X821" s="124" t="s">
        <v>52</v>
      </c>
      <c r="Y821" s="124" t="s">
        <v>1714</v>
      </c>
      <c r="Z821" s="91"/>
      <c r="AA821" s="91" t="s">
        <v>772</v>
      </c>
      <c r="AB821" s="91"/>
      <c r="AC821" s="91"/>
      <c r="AD821" s="91"/>
      <c r="AE821" s="91"/>
      <c r="AF821" s="91"/>
      <c r="AG821" s="91"/>
      <c r="AH821" s="91"/>
    </row>
    <row r="822" spans="1:34" s="1" customFormat="1" ht="45">
      <c r="A822" s="120">
        <v>821</v>
      </c>
      <c r="B822" s="120" t="b">
        <f t="shared" ca="1" si="12"/>
        <v>0</v>
      </c>
      <c r="C822" s="121">
        <v>45596</v>
      </c>
      <c r="D822" s="137">
        <v>0.90853009259259254</v>
      </c>
      <c r="E822" s="94">
        <v>2061</v>
      </c>
      <c r="F822" s="142">
        <v>1202</v>
      </c>
      <c r="G822" s="94" t="s">
        <v>34</v>
      </c>
      <c r="H822" s="94">
        <v>1042</v>
      </c>
      <c r="I822" s="115"/>
      <c r="J822" s="94" t="s">
        <v>35</v>
      </c>
      <c r="K822" s="91">
        <v>152.548</v>
      </c>
      <c r="L822" s="91" t="s">
        <v>1889</v>
      </c>
      <c r="M822" s="133" t="s">
        <v>36</v>
      </c>
      <c r="N822" s="180" t="s">
        <v>37</v>
      </c>
      <c r="O822" s="125" t="s">
        <v>1890</v>
      </c>
      <c r="P822" s="119"/>
      <c r="Q822" s="94" t="s">
        <v>54</v>
      </c>
      <c r="R822" s="94" t="s">
        <v>1479</v>
      </c>
      <c r="S822" s="91" t="s">
        <v>1891</v>
      </c>
      <c r="T822" s="94" t="s">
        <v>56</v>
      </c>
      <c r="U822" s="94" t="s">
        <v>1541</v>
      </c>
      <c r="V822" s="94" t="s">
        <v>51</v>
      </c>
      <c r="W822" s="94" t="s">
        <v>51</v>
      </c>
      <c r="X822" s="124" t="s">
        <v>52</v>
      </c>
      <c r="Y822" s="124" t="s">
        <v>622</v>
      </c>
      <c r="Z822" s="91"/>
      <c r="AA822" s="91" t="s">
        <v>772</v>
      </c>
      <c r="AB822" s="91"/>
      <c r="AC822" s="91"/>
      <c r="AD822" s="91"/>
      <c r="AE822" s="91"/>
      <c r="AF822" s="91"/>
      <c r="AG822" s="91"/>
      <c r="AH822" s="91"/>
    </row>
    <row r="823" spans="1:34" s="1" customFormat="1" ht="45">
      <c r="A823" s="120">
        <v>822</v>
      </c>
      <c r="B823" s="120" t="b">
        <f t="shared" ca="1" si="12"/>
        <v>0</v>
      </c>
      <c r="C823" s="121">
        <v>45597</v>
      </c>
      <c r="D823" s="137">
        <v>0.59686342592592589</v>
      </c>
      <c r="E823" s="94">
        <v>2033</v>
      </c>
      <c r="F823" s="142">
        <v>1206</v>
      </c>
      <c r="G823" s="94" t="s">
        <v>34</v>
      </c>
      <c r="H823" s="94">
        <v>1043</v>
      </c>
      <c r="I823" s="115"/>
      <c r="J823" s="94" t="s">
        <v>35</v>
      </c>
      <c r="K823" s="91">
        <v>60.945</v>
      </c>
      <c r="L823" s="122" t="str">
        <f>VLOOKUP(K823,Liste!$L$2:$O$34,4,1)</f>
        <v>GSMR_11/12</v>
      </c>
      <c r="M823" s="133" t="s">
        <v>36</v>
      </c>
      <c r="N823" s="180" t="s">
        <v>37</v>
      </c>
      <c r="O823" s="125" t="s">
        <v>1892</v>
      </c>
      <c r="P823" s="116"/>
      <c r="Q823" s="129" t="s">
        <v>39</v>
      </c>
      <c r="R823" s="129" t="s">
        <v>1032</v>
      </c>
      <c r="S823" s="91" t="s">
        <v>1893</v>
      </c>
      <c r="T823" s="94" t="s">
        <v>69</v>
      </c>
      <c r="U823" s="94" t="s">
        <v>1490</v>
      </c>
      <c r="V823" s="94" t="s">
        <v>51</v>
      </c>
      <c r="W823" s="94" t="s">
        <v>51</v>
      </c>
      <c r="X823" s="124" t="s">
        <v>52</v>
      </c>
      <c r="Y823" s="124" t="s">
        <v>622</v>
      </c>
      <c r="Z823" s="91"/>
      <c r="AA823" s="91" t="s">
        <v>802</v>
      </c>
      <c r="AB823" s="91"/>
      <c r="AC823" s="91"/>
      <c r="AD823" s="91"/>
      <c r="AE823" s="91"/>
      <c r="AF823" s="91"/>
      <c r="AG823" s="91"/>
      <c r="AH823" s="91"/>
    </row>
    <row r="824" spans="1:34" s="1" customFormat="1" ht="45">
      <c r="A824" s="120">
        <v>823</v>
      </c>
      <c r="B824" s="120" t="b">
        <f t="shared" ca="1" si="12"/>
        <v>0</v>
      </c>
      <c r="C824" s="121">
        <v>45597</v>
      </c>
      <c r="D824" s="137">
        <v>0.78233796296296299</v>
      </c>
      <c r="E824" s="94">
        <v>1045</v>
      </c>
      <c r="F824" s="142">
        <v>1209</v>
      </c>
      <c r="G824" s="94" t="s">
        <v>71</v>
      </c>
      <c r="H824" s="94">
        <v>1032</v>
      </c>
      <c r="I824" s="115"/>
      <c r="J824" s="94" t="s">
        <v>72</v>
      </c>
      <c r="K824" s="91">
        <v>94.953999999999994</v>
      </c>
      <c r="L824" s="122" t="str">
        <f>VLOOKUP(K824,Liste!$L$2:$O$34,4,1)</f>
        <v>GSMR_17/18</v>
      </c>
      <c r="M824" s="133" t="s">
        <v>36</v>
      </c>
      <c r="N824" s="180" t="s">
        <v>37</v>
      </c>
      <c r="O824" s="125" t="s">
        <v>1894</v>
      </c>
      <c r="P824" s="116"/>
      <c r="Q824" s="129" t="s">
        <v>39</v>
      </c>
      <c r="R824" s="129" t="s">
        <v>1895</v>
      </c>
      <c r="S824" s="91" t="s">
        <v>1896</v>
      </c>
      <c r="T824" s="94" t="s">
        <v>56</v>
      </c>
      <c r="U824" s="94" t="s">
        <v>1897</v>
      </c>
      <c r="V824" s="94" t="s">
        <v>51</v>
      </c>
      <c r="W824" s="94" t="s">
        <v>51</v>
      </c>
      <c r="X824" s="124" t="s">
        <v>52</v>
      </c>
      <c r="Y824" s="124" t="s">
        <v>622</v>
      </c>
      <c r="Z824" s="91"/>
      <c r="AA824" s="91" t="s">
        <v>778</v>
      </c>
      <c r="AB824" s="91"/>
      <c r="AC824" s="91"/>
      <c r="AD824" s="91"/>
      <c r="AE824" s="91"/>
      <c r="AF824" s="91"/>
      <c r="AG824" s="91"/>
      <c r="AH824" s="91"/>
    </row>
    <row r="825" spans="1:34" s="1" customFormat="1" ht="45">
      <c r="A825" s="120">
        <v>824</v>
      </c>
      <c r="B825" s="120" t="b">
        <f t="shared" ca="1" si="12"/>
        <v>0</v>
      </c>
      <c r="C825" s="121">
        <v>45598</v>
      </c>
      <c r="D825" s="137">
        <v>0.42030092592592594</v>
      </c>
      <c r="E825" s="94">
        <v>2017</v>
      </c>
      <c r="F825" s="142">
        <v>1207</v>
      </c>
      <c r="G825" s="94" t="s">
        <v>34</v>
      </c>
      <c r="H825" s="94">
        <v>1033</v>
      </c>
      <c r="I825" s="115"/>
      <c r="J825" s="94" t="s">
        <v>35</v>
      </c>
      <c r="K825" s="152">
        <v>6.13</v>
      </c>
      <c r="L825" s="122" t="str">
        <f>VLOOKUP(K825,Liste!$L$2:$O$34,4,1)</f>
        <v>GSMR_02/03</v>
      </c>
      <c r="M825" s="133" t="s">
        <v>36</v>
      </c>
      <c r="N825" s="180" t="s">
        <v>37</v>
      </c>
      <c r="O825" s="125" t="s">
        <v>1898</v>
      </c>
      <c r="P825" s="116"/>
      <c r="Q825" s="129" t="s">
        <v>39</v>
      </c>
      <c r="R825" s="129" t="s">
        <v>1032</v>
      </c>
      <c r="S825" s="91" t="s">
        <v>1899</v>
      </c>
      <c r="T825" s="94" t="s">
        <v>93</v>
      </c>
      <c r="U825" s="94" t="s">
        <v>1449</v>
      </c>
      <c r="V825" s="94" t="s">
        <v>51</v>
      </c>
      <c r="W825" s="94" t="s">
        <v>51</v>
      </c>
      <c r="X825" s="124" t="s">
        <v>52</v>
      </c>
      <c r="Y825" s="124" t="s">
        <v>622</v>
      </c>
      <c r="Z825" s="91"/>
      <c r="AA825" s="91" t="s">
        <v>802</v>
      </c>
      <c r="AB825" s="91"/>
      <c r="AC825" s="91"/>
      <c r="AD825" s="91"/>
      <c r="AE825" s="91"/>
      <c r="AF825" s="91"/>
      <c r="AG825" s="91"/>
      <c r="AH825" s="91"/>
    </row>
    <row r="826" spans="1:34" s="1" customFormat="1" ht="45">
      <c r="A826" s="120">
        <v>825</v>
      </c>
      <c r="B826" s="120" t="b">
        <f t="shared" ca="1" si="12"/>
        <v>0</v>
      </c>
      <c r="C826" s="121">
        <v>45598</v>
      </c>
      <c r="D826" s="137">
        <v>0.53641203703703699</v>
      </c>
      <c r="E826" s="94">
        <v>1022</v>
      </c>
      <c r="F826" s="142">
        <v>1212</v>
      </c>
      <c r="G826" s="94" t="s">
        <v>34</v>
      </c>
      <c r="H826" s="94">
        <v>1023</v>
      </c>
      <c r="I826" s="115"/>
      <c r="J826" s="94" t="s">
        <v>35</v>
      </c>
      <c r="K826" s="91">
        <v>65.513999999999996</v>
      </c>
      <c r="L826" s="122" t="str">
        <f>VLOOKUP(K826,Liste!$L$2:$O$34,4,1)</f>
        <v>GSMR_11/12</v>
      </c>
      <c r="M826" s="133" t="s">
        <v>36</v>
      </c>
      <c r="N826" s="180" t="s">
        <v>37</v>
      </c>
      <c r="O826" s="125" t="s">
        <v>1900</v>
      </c>
      <c r="P826" s="116"/>
      <c r="Q826" s="94" t="s">
        <v>54</v>
      </c>
      <c r="R826" s="129" t="s">
        <v>1901</v>
      </c>
      <c r="S826" s="91" t="s">
        <v>1902</v>
      </c>
      <c r="T826" s="94" t="s">
        <v>69</v>
      </c>
      <c r="U826" s="94" t="s">
        <v>1903</v>
      </c>
      <c r="V826" s="94" t="s">
        <v>51</v>
      </c>
      <c r="W826" s="94" t="s">
        <v>51</v>
      </c>
      <c r="X826" s="124" t="s">
        <v>52</v>
      </c>
      <c r="Y826" s="124" t="s">
        <v>622</v>
      </c>
      <c r="Z826" s="91"/>
      <c r="AA826" s="91" t="s">
        <v>772</v>
      </c>
      <c r="AB826" s="91"/>
      <c r="AC826" s="91"/>
      <c r="AD826" s="91"/>
      <c r="AE826" s="91"/>
      <c r="AF826" s="91"/>
      <c r="AG826" s="91"/>
      <c r="AH826" s="91"/>
    </row>
    <row r="827" spans="1:34" s="1" customFormat="1" ht="45">
      <c r="A827" s="120">
        <v>826</v>
      </c>
      <c r="B827" s="120" t="b">
        <f t="shared" ca="1" si="12"/>
        <v>0</v>
      </c>
      <c r="C827" s="121">
        <v>45599</v>
      </c>
      <c r="D827" s="137">
        <v>0.88348379629629625</v>
      </c>
      <c r="E827" s="94">
        <v>1054</v>
      </c>
      <c r="F827" s="142">
        <v>1202</v>
      </c>
      <c r="G827" s="94" t="s">
        <v>71</v>
      </c>
      <c r="H827" s="94">
        <v>1031</v>
      </c>
      <c r="I827" s="115"/>
      <c r="J827" s="94" t="s">
        <v>72</v>
      </c>
      <c r="K827" s="152">
        <v>7.3209999999999997</v>
      </c>
      <c r="L827" s="122" t="str">
        <f>VLOOKUP(K827,Liste!$L$2:$O$34,4,1)</f>
        <v>GSMR_02/03</v>
      </c>
      <c r="M827" s="133" t="s">
        <v>36</v>
      </c>
      <c r="N827" s="180" t="s">
        <v>37</v>
      </c>
      <c r="O827" s="125" t="s">
        <v>1904</v>
      </c>
      <c r="P827" s="116"/>
      <c r="Q827" s="129" t="s">
        <v>39</v>
      </c>
      <c r="R827" s="129" t="s">
        <v>1032</v>
      </c>
      <c r="S827" s="91" t="s">
        <v>1905</v>
      </c>
      <c r="T827" s="94" t="s">
        <v>209</v>
      </c>
      <c r="U827" s="94" t="s">
        <v>1490</v>
      </c>
      <c r="V827" s="94" t="s">
        <v>43</v>
      </c>
      <c r="W827" s="94" t="s">
        <v>51</v>
      </c>
      <c r="X827" s="124" t="s">
        <v>52</v>
      </c>
      <c r="Y827" s="124" t="s">
        <v>721</v>
      </c>
      <c r="Z827" s="91"/>
      <c r="AA827" s="91" t="s">
        <v>772</v>
      </c>
      <c r="AB827" s="91"/>
      <c r="AC827" s="91"/>
      <c r="AD827" s="91"/>
      <c r="AE827" s="91"/>
      <c r="AF827" s="91"/>
      <c r="AG827" s="91"/>
      <c r="AH827" s="91"/>
    </row>
    <row r="828" spans="1:34" s="1" customFormat="1" ht="45">
      <c r="A828" s="120">
        <v>827</v>
      </c>
      <c r="B828" s="120" t="b">
        <f t="shared" ca="1" si="12"/>
        <v>0</v>
      </c>
      <c r="C828" s="121">
        <v>45600</v>
      </c>
      <c r="D828" s="137">
        <v>0.29803240740740738</v>
      </c>
      <c r="E828" s="94">
        <v>2005</v>
      </c>
      <c r="F828" s="142">
        <v>1201</v>
      </c>
      <c r="G828" s="94" t="s">
        <v>71</v>
      </c>
      <c r="H828" s="94">
        <v>7198</v>
      </c>
      <c r="I828" s="115"/>
      <c r="J828" s="94" t="s">
        <v>72</v>
      </c>
      <c r="K828" s="91">
        <v>14.997999999999999</v>
      </c>
      <c r="L828" s="122" t="str">
        <f>VLOOKUP(K828,Liste!$L$2:$O$34,4,1)</f>
        <v>GSMR_03/04</v>
      </c>
      <c r="M828" s="133" t="s">
        <v>36</v>
      </c>
      <c r="N828" s="180" t="s">
        <v>37</v>
      </c>
      <c r="O828" s="125" t="s">
        <v>1906</v>
      </c>
      <c r="P828" s="116"/>
      <c r="Q828" s="129" t="s">
        <v>39</v>
      </c>
      <c r="R828" s="129" t="s">
        <v>1032</v>
      </c>
      <c r="S828" s="91" t="s">
        <v>1907</v>
      </c>
      <c r="T828" s="94" t="s">
        <v>69</v>
      </c>
      <c r="U828" s="94" t="s">
        <v>1453</v>
      </c>
      <c r="V828" s="94" t="s">
        <v>51</v>
      </c>
      <c r="W828" s="94" t="s">
        <v>51</v>
      </c>
      <c r="X828" s="124" t="s">
        <v>52</v>
      </c>
      <c r="Y828" s="124" t="s">
        <v>721</v>
      </c>
      <c r="Z828" s="91"/>
      <c r="AA828" s="91" t="s">
        <v>772</v>
      </c>
      <c r="AB828" s="91"/>
      <c r="AC828" s="91"/>
      <c r="AD828" s="91"/>
      <c r="AE828" s="91"/>
      <c r="AF828" s="91"/>
      <c r="AG828" s="91"/>
      <c r="AH828" s="91"/>
    </row>
    <row r="829" spans="1:34" s="1" customFormat="1" ht="45">
      <c r="A829" s="120">
        <v>828</v>
      </c>
      <c r="B829" s="120" t="b">
        <f t="shared" ca="1" si="12"/>
        <v>0</v>
      </c>
      <c r="C829" s="121">
        <v>45600</v>
      </c>
      <c r="D829" s="137">
        <v>0.46155092592592595</v>
      </c>
      <c r="E829" s="94">
        <v>2021</v>
      </c>
      <c r="F829" s="142">
        <v>1211</v>
      </c>
      <c r="G829" s="94" t="s">
        <v>34</v>
      </c>
      <c r="H829" s="94">
        <v>1028</v>
      </c>
      <c r="I829" s="115"/>
      <c r="J829" s="94" t="s">
        <v>35</v>
      </c>
      <c r="K829" s="152">
        <v>6.13</v>
      </c>
      <c r="L829" s="122" t="str">
        <f>VLOOKUP(K829,Liste!$L$2:$O$34,4,1)</f>
        <v>GSMR_02/03</v>
      </c>
      <c r="M829" s="133" t="s">
        <v>36</v>
      </c>
      <c r="N829" s="181" t="s">
        <v>58</v>
      </c>
      <c r="O829" s="125" t="s">
        <v>1908</v>
      </c>
      <c r="P829" s="116"/>
      <c r="Q829" s="129" t="s">
        <v>39</v>
      </c>
      <c r="R829" s="129" t="s">
        <v>1032</v>
      </c>
      <c r="S829" s="91" t="s">
        <v>1255</v>
      </c>
      <c r="T829" s="94" t="s">
        <v>56</v>
      </c>
      <c r="U829" s="94" t="s">
        <v>1460</v>
      </c>
      <c r="V829" s="94" t="s">
        <v>43</v>
      </c>
      <c r="W829" s="94" t="s">
        <v>51</v>
      </c>
      <c r="X829" s="124" t="s">
        <v>52</v>
      </c>
      <c r="Y829" s="124" t="s">
        <v>622</v>
      </c>
      <c r="Z829" s="91"/>
      <c r="AA829" s="91" t="s">
        <v>778</v>
      </c>
      <c r="AB829" s="91"/>
      <c r="AC829" s="91"/>
      <c r="AD829" s="91"/>
      <c r="AE829" s="91"/>
      <c r="AF829" s="91"/>
      <c r="AG829" s="91"/>
      <c r="AH829" s="91"/>
    </row>
    <row r="830" spans="1:34" s="1" customFormat="1" ht="45">
      <c r="A830" s="120">
        <v>829</v>
      </c>
      <c r="B830" s="120" t="b">
        <f t="shared" ca="1" si="12"/>
        <v>0</v>
      </c>
      <c r="C830" s="121">
        <v>45601</v>
      </c>
      <c r="D830" s="137">
        <v>0.44140046296296298</v>
      </c>
      <c r="E830" s="94">
        <v>1013</v>
      </c>
      <c r="F830" s="142">
        <v>1207</v>
      </c>
      <c r="G830" s="94" t="s">
        <v>71</v>
      </c>
      <c r="H830" s="94">
        <v>1008</v>
      </c>
      <c r="I830" s="115"/>
      <c r="J830" s="94" t="s">
        <v>72</v>
      </c>
      <c r="K830" s="91">
        <v>167.761</v>
      </c>
      <c r="L830" s="122" t="str">
        <f>VLOOKUP(K830,Liste!$L$2:$O$34,4,1)</f>
        <v>GSMR_28/29</v>
      </c>
      <c r="M830" s="133" t="s">
        <v>36</v>
      </c>
      <c r="N830" s="181" t="s">
        <v>58</v>
      </c>
      <c r="O830" s="125" t="s">
        <v>1909</v>
      </c>
      <c r="P830" s="190"/>
      <c r="Q830" s="130" t="s">
        <v>47</v>
      </c>
      <c r="R830" s="129" t="s">
        <v>1479</v>
      </c>
      <c r="S830" s="91" t="s">
        <v>1910</v>
      </c>
      <c r="T830" s="94" t="s">
        <v>69</v>
      </c>
      <c r="U830" s="94" t="s">
        <v>1529</v>
      </c>
      <c r="V830" s="94" t="s">
        <v>51</v>
      </c>
      <c r="W830" s="94" t="s">
        <v>51</v>
      </c>
      <c r="X830" s="124" t="s">
        <v>52</v>
      </c>
      <c r="Y830" s="124" t="s">
        <v>622</v>
      </c>
      <c r="Z830" s="91"/>
      <c r="AA830" s="91" t="s">
        <v>778</v>
      </c>
      <c r="AB830" s="91"/>
      <c r="AC830" s="91"/>
      <c r="AD830" s="91"/>
      <c r="AE830" s="91"/>
      <c r="AF830" s="91"/>
      <c r="AG830" s="91"/>
      <c r="AH830" s="91"/>
    </row>
    <row r="831" spans="1:34" s="1" customFormat="1" ht="45">
      <c r="A831" s="120">
        <v>830</v>
      </c>
      <c r="B831" s="120" t="b">
        <f t="shared" ca="1" si="12"/>
        <v>0</v>
      </c>
      <c r="C831" s="121">
        <v>45601</v>
      </c>
      <c r="D831" s="137">
        <v>0.62859953703703708</v>
      </c>
      <c r="E831" s="94">
        <v>2037</v>
      </c>
      <c r="F831" s="142">
        <v>1212</v>
      </c>
      <c r="G831" s="94" t="s">
        <v>34</v>
      </c>
      <c r="H831" s="94">
        <v>1057</v>
      </c>
      <c r="I831" s="115"/>
      <c r="J831" s="94" t="s">
        <v>35</v>
      </c>
      <c r="K831" s="152">
        <v>6.13</v>
      </c>
      <c r="L831" s="122" t="str">
        <f>VLOOKUP(K831,Liste!$L$2:$O$34,4,1)</f>
        <v>GSMR_02/03</v>
      </c>
      <c r="M831" s="133" t="s">
        <v>36</v>
      </c>
      <c r="N831" s="180" t="s">
        <v>37</v>
      </c>
      <c r="O831" s="125" t="s">
        <v>1911</v>
      </c>
      <c r="P831" s="116"/>
      <c r="Q831" s="129" t="s">
        <v>39</v>
      </c>
      <c r="R831" s="129" t="s">
        <v>1032</v>
      </c>
      <c r="S831" s="91" t="s">
        <v>1912</v>
      </c>
      <c r="T831" s="94" t="s">
        <v>116</v>
      </c>
      <c r="U831" s="94" t="s">
        <v>1468</v>
      </c>
      <c r="V831" s="94" t="s">
        <v>51</v>
      </c>
      <c r="W831" s="94" t="s">
        <v>51</v>
      </c>
      <c r="X831" s="124" t="s">
        <v>52</v>
      </c>
      <c r="Y831" s="124" t="s">
        <v>622</v>
      </c>
      <c r="Z831" s="91"/>
      <c r="AA831" s="91" t="s">
        <v>754</v>
      </c>
      <c r="AB831" s="91"/>
      <c r="AC831" s="91"/>
      <c r="AD831" s="91"/>
      <c r="AE831" s="91"/>
      <c r="AF831" s="91"/>
      <c r="AG831" s="91"/>
      <c r="AH831" s="91"/>
    </row>
    <row r="832" spans="1:34" s="1" customFormat="1" ht="45">
      <c r="A832" s="120">
        <v>831</v>
      </c>
      <c r="B832" s="120" t="b">
        <f t="shared" ca="1" si="12"/>
        <v>0</v>
      </c>
      <c r="C832" s="121">
        <v>45601</v>
      </c>
      <c r="D832" s="137">
        <v>0.85576388888888888</v>
      </c>
      <c r="E832" s="94">
        <v>2054</v>
      </c>
      <c r="F832" s="142">
        <v>1208</v>
      </c>
      <c r="G832" s="94" t="s">
        <v>71</v>
      </c>
      <c r="H832" s="94">
        <v>1044</v>
      </c>
      <c r="I832" s="115"/>
      <c r="J832" s="94" t="s">
        <v>72</v>
      </c>
      <c r="K832" s="91">
        <v>177.85</v>
      </c>
      <c r="L832" s="122" t="str">
        <f>VLOOKUP(K832,Liste!$L$2:$O$34,4,1)</f>
        <v>GSMR_30/31</v>
      </c>
      <c r="M832" s="133" t="s">
        <v>36</v>
      </c>
      <c r="N832" s="180" t="s">
        <v>37</v>
      </c>
      <c r="O832" s="125" t="s">
        <v>1913</v>
      </c>
      <c r="P832" s="116"/>
      <c r="Q832" s="94" t="s">
        <v>54</v>
      </c>
      <c r="R832" s="129" t="s">
        <v>1914</v>
      </c>
      <c r="S832" s="91" t="s">
        <v>1915</v>
      </c>
      <c r="T832" s="94" t="s">
        <v>56</v>
      </c>
      <c r="U832" s="94" t="s">
        <v>1718</v>
      </c>
      <c r="V832" s="94" t="s">
        <v>51</v>
      </c>
      <c r="W832" s="94" t="s">
        <v>51</v>
      </c>
      <c r="X832" s="124" t="s">
        <v>52</v>
      </c>
      <c r="Y832" s="124" t="s">
        <v>1916</v>
      </c>
      <c r="Z832" s="91"/>
      <c r="AA832" s="91" t="s">
        <v>793</v>
      </c>
      <c r="AB832" s="91"/>
      <c r="AC832" s="91"/>
      <c r="AD832" s="91"/>
      <c r="AE832" s="91"/>
      <c r="AF832" s="91"/>
      <c r="AG832" s="91"/>
      <c r="AH832" s="91"/>
    </row>
    <row r="833" spans="1:34" s="1" customFormat="1" ht="45">
      <c r="A833" s="120">
        <v>832</v>
      </c>
      <c r="B833" s="120" t="b">
        <f t="shared" ca="1" si="12"/>
        <v>0</v>
      </c>
      <c r="C833" s="121">
        <v>45602</v>
      </c>
      <c r="D833" s="137">
        <v>0.53225694444444449</v>
      </c>
      <c r="E833" s="94">
        <v>1021</v>
      </c>
      <c r="F833" s="142">
        <v>1209</v>
      </c>
      <c r="G833" s="94" t="s">
        <v>71</v>
      </c>
      <c r="H833" s="94">
        <v>1032</v>
      </c>
      <c r="I833" s="115"/>
      <c r="J833" s="94" t="s">
        <v>72</v>
      </c>
      <c r="K833" s="91">
        <v>94.953999999999994</v>
      </c>
      <c r="L833" s="122" t="str">
        <f>VLOOKUP(K833,Liste!$L$2:$O$34,4,1)</f>
        <v>GSMR_17/18</v>
      </c>
      <c r="M833" s="133" t="s">
        <v>36</v>
      </c>
      <c r="N833" s="180" t="s">
        <v>37</v>
      </c>
      <c r="O833" s="125" t="s">
        <v>1917</v>
      </c>
      <c r="P833" s="116"/>
      <c r="Q833" s="129" t="s">
        <v>39</v>
      </c>
      <c r="R833" s="129" t="s">
        <v>1032</v>
      </c>
      <c r="S833" s="91" t="s">
        <v>1918</v>
      </c>
      <c r="T833" s="94" t="s">
        <v>101</v>
      </c>
      <c r="U833" s="94" t="s">
        <v>1453</v>
      </c>
      <c r="V833" s="94" t="s">
        <v>51</v>
      </c>
      <c r="W833" s="94" t="s">
        <v>51</v>
      </c>
      <c r="X833" s="124" t="s">
        <v>52</v>
      </c>
      <c r="Y833" s="124" t="s">
        <v>622</v>
      </c>
      <c r="Z833" s="91"/>
      <c r="AA833" s="91" t="s">
        <v>778</v>
      </c>
      <c r="AB833" s="91"/>
      <c r="AC833" s="91"/>
      <c r="AD833" s="91"/>
      <c r="AE833" s="91"/>
      <c r="AF833" s="91"/>
      <c r="AG833" s="91"/>
      <c r="AH833" s="91"/>
    </row>
    <row r="834" spans="1:34" s="1" customFormat="1" ht="45">
      <c r="A834" s="120">
        <v>833</v>
      </c>
      <c r="B834" s="120" t="b">
        <f t="shared" ref="B834:B897" ca="1" si="13">AND(C834&gt;=TODAY()-7, C834&lt;=TODAY()-1)</f>
        <v>0</v>
      </c>
      <c r="C834" s="121">
        <v>45602</v>
      </c>
      <c r="D834" s="137">
        <v>0.81608796296296293</v>
      </c>
      <c r="E834" s="94">
        <v>2053</v>
      </c>
      <c r="F834" s="142">
        <v>1207</v>
      </c>
      <c r="G834" s="94" t="s">
        <v>34</v>
      </c>
      <c r="H834" s="94">
        <v>1047</v>
      </c>
      <c r="I834" s="115"/>
      <c r="J834" s="94" t="s">
        <v>35</v>
      </c>
      <c r="K834" s="91">
        <v>143.11199999999999</v>
      </c>
      <c r="L834" s="122" t="str">
        <f>VLOOKUP(K834,Liste!$L$2:$O$34,4,1)</f>
        <v>GSMR_24/25</v>
      </c>
      <c r="M834" s="133" t="s">
        <v>36</v>
      </c>
      <c r="N834" s="180" t="s">
        <v>37</v>
      </c>
      <c r="O834" s="125" t="s">
        <v>1919</v>
      </c>
      <c r="P834" s="116"/>
      <c r="Q834" s="129" t="s">
        <v>39</v>
      </c>
      <c r="R834" s="129" t="s">
        <v>1032</v>
      </c>
      <c r="S834" s="91" t="s">
        <v>1920</v>
      </c>
      <c r="T834" s="94" t="s">
        <v>69</v>
      </c>
      <c r="U834" s="94" t="s">
        <v>1509</v>
      </c>
      <c r="V834" s="94" t="s">
        <v>51</v>
      </c>
      <c r="W834" s="94" t="s">
        <v>51</v>
      </c>
      <c r="X834" s="124" t="s">
        <v>52</v>
      </c>
      <c r="Y834" s="124" t="s">
        <v>622</v>
      </c>
      <c r="Z834" s="91"/>
      <c r="AA834" s="91" t="s">
        <v>754</v>
      </c>
      <c r="AB834" s="91"/>
      <c r="AC834" s="91"/>
      <c r="AD834" s="91"/>
      <c r="AE834" s="91"/>
      <c r="AF834" s="91"/>
      <c r="AG834" s="91"/>
      <c r="AH834" s="91"/>
    </row>
    <row r="835" spans="1:34" s="1" customFormat="1" ht="45">
      <c r="A835" s="120">
        <v>834</v>
      </c>
      <c r="B835" s="120" t="b">
        <f t="shared" ca="1" si="13"/>
        <v>0</v>
      </c>
      <c r="C835" s="121">
        <v>45603</v>
      </c>
      <c r="D835" s="137">
        <v>0.3674884259259259</v>
      </c>
      <c r="E835" s="94">
        <v>1005</v>
      </c>
      <c r="F835" s="142">
        <v>1212</v>
      </c>
      <c r="G835" s="94" t="s">
        <v>71</v>
      </c>
      <c r="H835" s="94">
        <v>1023</v>
      </c>
      <c r="I835" s="115"/>
      <c r="J835" s="94" t="s">
        <v>72</v>
      </c>
      <c r="K835" s="91">
        <v>76.968000000000004</v>
      </c>
      <c r="L835" s="122" t="str">
        <f>VLOOKUP(K835,Liste!$L$2:$O$34,4,1)</f>
        <v>GSMR_14/15</v>
      </c>
      <c r="M835" s="133" t="s">
        <v>36</v>
      </c>
      <c r="N835" s="180" t="s">
        <v>37</v>
      </c>
      <c r="O835" s="125" t="s">
        <v>1921</v>
      </c>
      <c r="P835" s="116"/>
      <c r="Q835" s="129" t="s">
        <v>39</v>
      </c>
      <c r="R835" s="129" t="s">
        <v>1032</v>
      </c>
      <c r="S835" s="91" t="s">
        <v>1922</v>
      </c>
      <c r="T835" s="94" t="s">
        <v>209</v>
      </c>
      <c r="U835" s="94" t="s">
        <v>1453</v>
      </c>
      <c r="V835" s="94" t="s">
        <v>51</v>
      </c>
      <c r="W835" s="94" t="s">
        <v>51</v>
      </c>
      <c r="X835" s="124" t="s">
        <v>52</v>
      </c>
      <c r="Y835" s="124" t="s">
        <v>622</v>
      </c>
      <c r="Z835" s="91"/>
      <c r="AA835" s="91" t="s">
        <v>754</v>
      </c>
      <c r="AB835" s="91"/>
      <c r="AC835" s="91"/>
      <c r="AD835" s="91"/>
      <c r="AE835" s="91"/>
      <c r="AF835" s="91"/>
      <c r="AG835" s="91"/>
      <c r="AH835" s="91"/>
    </row>
    <row r="836" spans="1:34" s="1" customFormat="1" ht="45">
      <c r="A836" s="120">
        <v>835</v>
      </c>
      <c r="B836" s="120" t="b">
        <f t="shared" ca="1" si="13"/>
        <v>0</v>
      </c>
      <c r="C836" s="121">
        <v>45603</v>
      </c>
      <c r="D836" s="137">
        <v>0.4205787037037037</v>
      </c>
      <c r="E836" s="94">
        <v>2017</v>
      </c>
      <c r="F836" s="142">
        <v>1212</v>
      </c>
      <c r="G836" s="94" t="s">
        <v>34</v>
      </c>
      <c r="H836" s="94">
        <v>1056</v>
      </c>
      <c r="I836" s="115"/>
      <c r="J836" s="94" t="s">
        <v>35</v>
      </c>
      <c r="K836" s="152">
        <v>6.13</v>
      </c>
      <c r="L836" s="122" t="str">
        <f>VLOOKUP(K836,Liste!$L$2:$O$34,4,1)</f>
        <v>GSMR_02/03</v>
      </c>
      <c r="M836" s="133" t="s">
        <v>36</v>
      </c>
      <c r="N836" s="181" t="s">
        <v>58</v>
      </c>
      <c r="O836" s="125" t="s">
        <v>1923</v>
      </c>
      <c r="P836" s="116"/>
      <c r="Q836" s="129" t="s">
        <v>39</v>
      </c>
      <c r="R836" s="129" t="s">
        <v>1032</v>
      </c>
      <c r="S836" s="91" t="s">
        <v>1346</v>
      </c>
      <c r="T836" s="94" t="s">
        <v>56</v>
      </c>
      <c r="U836" s="94" t="s">
        <v>1529</v>
      </c>
      <c r="V836" s="94" t="s">
        <v>51</v>
      </c>
      <c r="W836" s="94" t="s">
        <v>51</v>
      </c>
      <c r="X836" s="124" t="s">
        <v>52</v>
      </c>
      <c r="Y836" s="124" t="s">
        <v>622</v>
      </c>
      <c r="Z836" s="91"/>
      <c r="AA836" s="91" t="s">
        <v>754</v>
      </c>
      <c r="AB836" s="91"/>
      <c r="AC836" s="91"/>
      <c r="AD836" s="91"/>
      <c r="AE836" s="91"/>
      <c r="AF836" s="91"/>
      <c r="AG836" s="91"/>
      <c r="AH836" s="91"/>
    </row>
    <row r="837" spans="1:34" s="1" customFormat="1" ht="45">
      <c r="A837" s="120">
        <v>836</v>
      </c>
      <c r="B837" s="120" t="b">
        <f t="shared" ca="1" si="13"/>
        <v>0</v>
      </c>
      <c r="C837" s="121">
        <v>45603</v>
      </c>
      <c r="D837" s="137">
        <v>0.48355324074074074</v>
      </c>
      <c r="E837" s="94">
        <v>2021</v>
      </c>
      <c r="F837" s="142">
        <v>1207</v>
      </c>
      <c r="G837" s="94" t="s">
        <v>34</v>
      </c>
      <c r="H837" s="94">
        <v>1047</v>
      </c>
      <c r="I837" s="115"/>
      <c r="J837" s="94" t="s">
        <v>35</v>
      </c>
      <c r="K837" s="91">
        <v>145.6</v>
      </c>
      <c r="L837" s="122" t="str">
        <f>VLOOKUP(K837,Liste!$L$2:$O$34,4,1)</f>
        <v>GSMR_25/26</v>
      </c>
      <c r="M837" s="133" t="s">
        <v>36</v>
      </c>
      <c r="N837" s="180" t="s">
        <v>37</v>
      </c>
      <c r="O837" s="125" t="s">
        <v>1924</v>
      </c>
      <c r="P837" s="116"/>
      <c r="Q837" s="129" t="s">
        <v>39</v>
      </c>
      <c r="R837" s="129" t="s">
        <v>1032</v>
      </c>
      <c r="S837" s="91" t="s">
        <v>1925</v>
      </c>
      <c r="T837" s="94" t="s">
        <v>41</v>
      </c>
      <c r="U837" s="94" t="s">
        <v>1693</v>
      </c>
      <c r="V837" s="94" t="s">
        <v>51</v>
      </c>
      <c r="W837" s="94" t="s">
        <v>51</v>
      </c>
      <c r="X837" s="124" t="s">
        <v>52</v>
      </c>
      <c r="Y837" s="124" t="s">
        <v>622</v>
      </c>
      <c r="Z837" s="91"/>
      <c r="AA837" s="91" t="s">
        <v>754</v>
      </c>
      <c r="AB837" s="91"/>
      <c r="AC837" s="91"/>
      <c r="AD837" s="91"/>
      <c r="AE837" s="91"/>
      <c r="AF837" s="91"/>
      <c r="AG837" s="91"/>
      <c r="AH837" s="91"/>
    </row>
    <row r="838" spans="1:34" s="1" customFormat="1" ht="45">
      <c r="A838" s="120">
        <v>837</v>
      </c>
      <c r="B838" s="120" t="b">
        <f t="shared" ca="1" si="13"/>
        <v>0</v>
      </c>
      <c r="C838" s="121">
        <v>45603</v>
      </c>
      <c r="D838" s="137">
        <v>0.71158564814814818</v>
      </c>
      <c r="E838" s="94">
        <v>1038</v>
      </c>
      <c r="F838" s="142">
        <v>1202</v>
      </c>
      <c r="G838" s="94" t="s">
        <v>71</v>
      </c>
      <c r="H838" s="94">
        <v>1060</v>
      </c>
      <c r="I838" s="115"/>
      <c r="J838" s="94" t="s">
        <v>72</v>
      </c>
      <c r="K838" s="152">
        <v>7.3209999999999997</v>
      </c>
      <c r="L838" s="122" t="str">
        <f>VLOOKUP(K838,Liste!$L$2:$O$34,4,1)</f>
        <v>GSMR_02/03</v>
      </c>
      <c r="M838" s="133" t="s">
        <v>36</v>
      </c>
      <c r="N838" s="180" t="s">
        <v>37</v>
      </c>
      <c r="O838" s="125" t="s">
        <v>1926</v>
      </c>
      <c r="P838" s="119"/>
      <c r="Q838" s="94" t="s">
        <v>39</v>
      </c>
      <c r="R838" s="94" t="s">
        <v>1032</v>
      </c>
      <c r="S838" s="91" t="s">
        <v>1228</v>
      </c>
      <c r="T838" s="94" t="s">
        <v>56</v>
      </c>
      <c r="U838" s="94" t="s">
        <v>1460</v>
      </c>
      <c r="V838" s="94" t="s">
        <v>43</v>
      </c>
      <c r="W838" s="94" t="s">
        <v>51</v>
      </c>
      <c r="X838" s="124" t="s">
        <v>52</v>
      </c>
      <c r="Y838" s="124" t="s">
        <v>622</v>
      </c>
      <c r="Z838" s="91"/>
      <c r="AA838" s="91" t="s">
        <v>778</v>
      </c>
      <c r="AB838" s="91"/>
      <c r="AC838" s="91"/>
      <c r="AD838" s="91"/>
      <c r="AE838" s="91"/>
      <c r="AF838" s="91"/>
      <c r="AG838" s="91"/>
      <c r="AH838" s="91"/>
    </row>
    <row r="839" spans="1:34" s="1" customFormat="1" ht="45">
      <c r="A839" s="120">
        <v>838</v>
      </c>
      <c r="B839" s="120" t="b">
        <f t="shared" ca="1" si="13"/>
        <v>0</v>
      </c>
      <c r="C839" s="121">
        <v>45604</v>
      </c>
      <c r="D839" s="137">
        <v>0.71119212962962963</v>
      </c>
      <c r="E839" s="94">
        <v>1038</v>
      </c>
      <c r="F839" s="142">
        <v>1209</v>
      </c>
      <c r="G839" s="94" t="s">
        <v>71</v>
      </c>
      <c r="H839" s="94">
        <v>1033</v>
      </c>
      <c r="I839" s="94"/>
      <c r="J839" s="94" t="s">
        <v>72</v>
      </c>
      <c r="K839" s="91">
        <v>10.125</v>
      </c>
      <c r="L839" s="122" t="str">
        <f>VLOOKUP(K839,Liste!$L$2:$O$34,4,1)</f>
        <v>GSMR_03/04</v>
      </c>
      <c r="M839" s="133" t="s">
        <v>36</v>
      </c>
      <c r="N839" s="180" t="s">
        <v>37</v>
      </c>
      <c r="O839" s="125" t="s">
        <v>1927</v>
      </c>
      <c r="P839" s="116"/>
      <c r="Q839" s="129" t="s">
        <v>105</v>
      </c>
      <c r="R839" s="129" t="s">
        <v>1072</v>
      </c>
      <c r="S839" s="91" t="s">
        <v>1928</v>
      </c>
      <c r="T839" s="94" t="s">
        <v>69</v>
      </c>
      <c r="U839" s="94" t="s">
        <v>1730</v>
      </c>
      <c r="V839" s="94" t="s">
        <v>43</v>
      </c>
      <c r="W839" s="94" t="s">
        <v>51</v>
      </c>
      <c r="X839" s="124" t="s">
        <v>52</v>
      </c>
      <c r="Y839" s="124" t="s">
        <v>721</v>
      </c>
      <c r="Z839" s="91"/>
      <c r="AA839" s="91" t="s">
        <v>772</v>
      </c>
      <c r="AB839" s="91"/>
      <c r="AC839" s="91"/>
      <c r="AD839" s="91"/>
      <c r="AE839" s="91"/>
      <c r="AF839" s="91"/>
      <c r="AG839" s="91"/>
      <c r="AH839" s="91"/>
    </row>
    <row r="840" spans="1:34" s="1" customFormat="1" ht="45">
      <c r="A840" s="120">
        <v>839</v>
      </c>
      <c r="B840" s="120" t="b">
        <f t="shared" ca="1" si="13"/>
        <v>0</v>
      </c>
      <c r="C840" s="121">
        <v>45604</v>
      </c>
      <c r="D840" s="137">
        <v>0.77349537037037042</v>
      </c>
      <c r="E840" s="94">
        <v>1046</v>
      </c>
      <c r="F840" s="142">
        <v>1203</v>
      </c>
      <c r="G840" s="94" t="s">
        <v>71</v>
      </c>
      <c r="H840" s="94">
        <v>1026</v>
      </c>
      <c r="I840" s="94"/>
      <c r="J840" s="94" t="s">
        <v>72</v>
      </c>
      <c r="K840" s="91">
        <v>177.85</v>
      </c>
      <c r="L840" s="122" t="str">
        <f>VLOOKUP(K840,Liste!$L$2:$O$34,4,1)</f>
        <v>GSMR_30/31</v>
      </c>
      <c r="M840" s="133" t="s">
        <v>36</v>
      </c>
      <c r="N840" s="180" t="s">
        <v>37</v>
      </c>
      <c r="O840" s="125" t="s">
        <v>1929</v>
      </c>
      <c r="P840" s="116"/>
      <c r="Q840" s="94" t="s">
        <v>54</v>
      </c>
      <c r="R840" s="129" t="s">
        <v>1930</v>
      </c>
      <c r="S840" s="91" t="s">
        <v>969</v>
      </c>
      <c r="T840" s="94" t="s">
        <v>69</v>
      </c>
      <c r="U840" s="94" t="s">
        <v>1484</v>
      </c>
      <c r="V840" s="94" t="s">
        <v>51</v>
      </c>
      <c r="W840" s="94" t="s">
        <v>51</v>
      </c>
      <c r="X840" s="124" t="s">
        <v>52</v>
      </c>
      <c r="Y840" s="124" t="s">
        <v>946</v>
      </c>
      <c r="Z840" s="91"/>
      <c r="AA840" s="91" t="s">
        <v>772</v>
      </c>
      <c r="AB840" s="91"/>
      <c r="AC840" s="91"/>
      <c r="AD840" s="91"/>
      <c r="AE840" s="91"/>
      <c r="AF840" s="91"/>
      <c r="AG840" s="91"/>
      <c r="AH840" s="91"/>
    </row>
    <row r="841" spans="1:34" s="1" customFormat="1" ht="45">
      <c r="A841" s="120">
        <v>840</v>
      </c>
      <c r="B841" s="120" t="b">
        <f t="shared" ca="1" si="13"/>
        <v>0</v>
      </c>
      <c r="C841" s="121">
        <v>45605</v>
      </c>
      <c r="D841" s="137">
        <v>0.67013888888888884</v>
      </c>
      <c r="E841" s="94">
        <v>2041</v>
      </c>
      <c r="F841" s="142">
        <v>1207</v>
      </c>
      <c r="G841" s="94" t="s">
        <v>34</v>
      </c>
      <c r="H841" s="94">
        <v>1046</v>
      </c>
      <c r="I841" s="94"/>
      <c r="J841" s="94" t="s">
        <v>35</v>
      </c>
      <c r="K841" s="152">
        <v>6.13</v>
      </c>
      <c r="L841" s="122" t="str">
        <f>VLOOKUP(K841,Liste!$L$2:$O$34,4,1)</f>
        <v>GSMR_02/03</v>
      </c>
      <c r="M841" s="133" t="s">
        <v>36</v>
      </c>
      <c r="N841" s="181" t="s">
        <v>58</v>
      </c>
      <c r="O841" s="125" t="s">
        <v>1931</v>
      </c>
      <c r="P841" s="116"/>
      <c r="Q841" s="129" t="s">
        <v>39</v>
      </c>
      <c r="R841" s="129" t="s">
        <v>1032</v>
      </c>
      <c r="S841" s="91" t="s">
        <v>1228</v>
      </c>
      <c r="T841" s="94" t="s">
        <v>56</v>
      </c>
      <c r="U841" s="94" t="s">
        <v>1490</v>
      </c>
      <c r="V841" s="94" t="s">
        <v>43</v>
      </c>
      <c r="W841" s="94" t="s">
        <v>51</v>
      </c>
      <c r="X841" s="124" t="s">
        <v>52</v>
      </c>
      <c r="Y841" s="124" t="s">
        <v>946</v>
      </c>
      <c r="Z841" s="91"/>
      <c r="AA841" s="91" t="s">
        <v>772</v>
      </c>
      <c r="AB841" s="91"/>
      <c r="AC841" s="91"/>
      <c r="AD841" s="91"/>
      <c r="AE841" s="91"/>
      <c r="AF841" s="91"/>
      <c r="AG841" s="91"/>
      <c r="AH841" s="91"/>
    </row>
    <row r="842" spans="1:34" s="1" customFormat="1" ht="45">
      <c r="A842" s="120">
        <v>841</v>
      </c>
      <c r="B842" s="120" t="b">
        <f t="shared" ca="1" si="13"/>
        <v>0</v>
      </c>
      <c r="C842" s="121">
        <v>45605</v>
      </c>
      <c r="D842" s="137">
        <v>0.71211805555555552</v>
      </c>
      <c r="E842" s="94">
        <v>2045</v>
      </c>
      <c r="F842" s="142">
        <v>1210</v>
      </c>
      <c r="G842" s="94" t="s">
        <v>34</v>
      </c>
      <c r="H842" s="94">
        <v>1048</v>
      </c>
      <c r="I842" s="94"/>
      <c r="J842" s="94" t="s">
        <v>35</v>
      </c>
      <c r="K842" s="152">
        <v>6.13</v>
      </c>
      <c r="L842" s="122" t="str">
        <f>VLOOKUP(K842,Liste!$L$2:$O$34,4,1)</f>
        <v>GSMR_02/03</v>
      </c>
      <c r="M842" s="133" t="s">
        <v>36</v>
      </c>
      <c r="N842" s="181" t="s">
        <v>58</v>
      </c>
      <c r="O842" s="125" t="s">
        <v>1932</v>
      </c>
      <c r="P842" s="116"/>
      <c r="Q842" s="129" t="s">
        <v>39</v>
      </c>
      <c r="R842" s="129" t="s">
        <v>1032</v>
      </c>
      <c r="S842" s="91" t="s">
        <v>1268</v>
      </c>
      <c r="T842" s="94" t="s">
        <v>56</v>
      </c>
      <c r="U842" s="94" t="s">
        <v>1622</v>
      </c>
      <c r="V842" s="94" t="s">
        <v>43</v>
      </c>
      <c r="W842" s="94" t="s">
        <v>51</v>
      </c>
      <c r="X842" s="124" t="s">
        <v>52</v>
      </c>
      <c r="Y842" s="124" t="s">
        <v>946</v>
      </c>
      <c r="Z842" s="91"/>
      <c r="AA842" s="91" t="s">
        <v>772</v>
      </c>
      <c r="AB842" s="91"/>
      <c r="AC842" s="91"/>
      <c r="AD842" s="91"/>
      <c r="AE842" s="91"/>
      <c r="AF842" s="91"/>
      <c r="AG842" s="91"/>
      <c r="AH842" s="91"/>
    </row>
    <row r="843" spans="1:34" s="1" customFormat="1" ht="45">
      <c r="A843" s="120">
        <v>842</v>
      </c>
      <c r="B843" s="120" t="b">
        <f t="shared" ca="1" si="13"/>
        <v>0</v>
      </c>
      <c r="C843" s="121">
        <v>45605</v>
      </c>
      <c r="D843" s="137">
        <v>0.58739583333333334</v>
      </c>
      <c r="E843" s="94">
        <v>2033</v>
      </c>
      <c r="F843" s="142">
        <v>1212</v>
      </c>
      <c r="G843" s="94" t="s">
        <v>34</v>
      </c>
      <c r="H843" s="94">
        <v>1056</v>
      </c>
      <c r="I843" s="94"/>
      <c r="J843" s="94" t="s">
        <v>35</v>
      </c>
      <c r="K843" s="152">
        <v>6.13</v>
      </c>
      <c r="L843" s="122" t="str">
        <f>VLOOKUP(K843,Liste!$L$2:$O$34,4,1)</f>
        <v>GSMR_02/03</v>
      </c>
      <c r="M843" s="133" t="s">
        <v>36</v>
      </c>
      <c r="N843" s="181" t="s">
        <v>58</v>
      </c>
      <c r="O843" s="125" t="s">
        <v>1933</v>
      </c>
      <c r="P843" s="116"/>
      <c r="Q843" s="129" t="s">
        <v>39</v>
      </c>
      <c r="R843" s="129" t="s">
        <v>1032</v>
      </c>
      <c r="S843" s="91" t="s">
        <v>1255</v>
      </c>
      <c r="T843" s="94" t="s">
        <v>56</v>
      </c>
      <c r="U843" s="94" t="s">
        <v>1526</v>
      </c>
      <c r="V843" s="94" t="s">
        <v>43</v>
      </c>
      <c r="W843" s="94" t="s">
        <v>51</v>
      </c>
      <c r="X843" s="124" t="s">
        <v>52</v>
      </c>
      <c r="Y843" s="124" t="s">
        <v>946</v>
      </c>
      <c r="Z843" s="91"/>
      <c r="AA843" s="91" t="s">
        <v>772</v>
      </c>
      <c r="AB843" s="91"/>
      <c r="AC843" s="91"/>
      <c r="AD843" s="91"/>
      <c r="AE843" s="91"/>
      <c r="AF843" s="91"/>
      <c r="AG843" s="91"/>
      <c r="AH843" s="91"/>
    </row>
    <row r="844" spans="1:34" s="1" customFormat="1" ht="30">
      <c r="A844" s="120">
        <v>843</v>
      </c>
      <c r="B844" s="120" t="b">
        <f t="shared" ca="1" si="13"/>
        <v>0</v>
      </c>
      <c r="C844" s="121">
        <v>45605</v>
      </c>
      <c r="D844" s="137">
        <v>0.59018518518518515</v>
      </c>
      <c r="E844" s="94">
        <v>2033</v>
      </c>
      <c r="F844" s="142">
        <v>1212</v>
      </c>
      <c r="G844" s="94" t="s">
        <v>34</v>
      </c>
      <c r="H844" s="94">
        <v>1057</v>
      </c>
      <c r="I844" s="94"/>
      <c r="J844" s="94" t="s">
        <v>35</v>
      </c>
      <c r="K844" s="91">
        <v>19.03</v>
      </c>
      <c r="L844" s="122" t="str">
        <f>VLOOKUP(K844,Liste!$L$2:$O$34,4,1)</f>
        <v>GSMR_04/05</v>
      </c>
      <c r="M844" s="133" t="s">
        <v>36</v>
      </c>
      <c r="N844" s="181" t="s">
        <v>58</v>
      </c>
      <c r="O844" s="125" t="s">
        <v>1934</v>
      </c>
      <c r="P844" s="116"/>
      <c r="Q844" s="129" t="s">
        <v>39</v>
      </c>
      <c r="R844" s="129" t="s">
        <v>1032</v>
      </c>
      <c r="S844" s="91"/>
      <c r="T844" s="94"/>
      <c r="U844" s="94"/>
      <c r="V844" s="94" t="s">
        <v>43</v>
      </c>
      <c r="W844" s="94" t="s">
        <v>51</v>
      </c>
      <c r="X844" s="124" t="s">
        <v>52</v>
      </c>
      <c r="Y844" s="124" t="s">
        <v>946</v>
      </c>
      <c r="Z844" s="91"/>
      <c r="AA844" s="91" t="s">
        <v>772</v>
      </c>
      <c r="AB844" s="91"/>
      <c r="AC844" s="91"/>
      <c r="AD844" s="91"/>
      <c r="AE844" s="91"/>
      <c r="AF844" s="91"/>
      <c r="AG844" s="91"/>
      <c r="AH844" s="91"/>
    </row>
    <row r="845" spans="1:34" s="1" customFormat="1" ht="45">
      <c r="A845" s="120">
        <v>844</v>
      </c>
      <c r="B845" s="120" t="b">
        <f t="shared" ca="1" si="13"/>
        <v>0</v>
      </c>
      <c r="C845" s="121">
        <v>45605</v>
      </c>
      <c r="D845" s="137">
        <v>0.83769675925925924</v>
      </c>
      <c r="E845" s="94">
        <v>1050</v>
      </c>
      <c r="F845" s="142">
        <v>1201</v>
      </c>
      <c r="G845" s="94" t="s">
        <v>71</v>
      </c>
      <c r="H845" s="94">
        <v>1060</v>
      </c>
      <c r="I845" s="94"/>
      <c r="J845" s="94" t="s">
        <v>72</v>
      </c>
      <c r="K845" s="152">
        <v>7.3209999999999997</v>
      </c>
      <c r="L845" s="122" t="str">
        <f>VLOOKUP(K845,Liste!$L$2:$O$34,4,1)</f>
        <v>GSMR_02/03</v>
      </c>
      <c r="M845" s="133" t="s">
        <v>36</v>
      </c>
      <c r="N845" s="180" t="s">
        <v>37</v>
      </c>
      <c r="O845" s="125" t="s">
        <v>1935</v>
      </c>
      <c r="P845" s="116"/>
      <c r="Q845" s="129" t="s">
        <v>39</v>
      </c>
      <c r="R845" s="129" t="s">
        <v>1032</v>
      </c>
      <c r="S845" s="91" t="s">
        <v>1936</v>
      </c>
      <c r="T845" s="94" t="s">
        <v>56</v>
      </c>
      <c r="U845" s="94" t="s">
        <v>1468</v>
      </c>
      <c r="V845" s="94" t="s">
        <v>51</v>
      </c>
      <c r="W845" s="94" t="s">
        <v>51</v>
      </c>
      <c r="X845" s="124" t="s">
        <v>52</v>
      </c>
      <c r="Y845" s="124" t="s">
        <v>946</v>
      </c>
      <c r="Z845" s="91"/>
      <c r="AA845" s="91" t="s">
        <v>793</v>
      </c>
      <c r="AB845" s="91"/>
      <c r="AC845" s="91"/>
      <c r="AD845" s="91"/>
      <c r="AE845" s="91"/>
      <c r="AF845" s="91"/>
      <c r="AG845" s="91"/>
      <c r="AH845" s="91"/>
    </row>
    <row r="846" spans="1:34" s="1" customFormat="1" ht="45">
      <c r="A846" s="120">
        <v>845</v>
      </c>
      <c r="B846" s="120" t="b">
        <f t="shared" ca="1" si="13"/>
        <v>0</v>
      </c>
      <c r="C846" s="121">
        <v>45606</v>
      </c>
      <c r="D846" s="137">
        <v>0.53668981481481481</v>
      </c>
      <c r="E846" s="94">
        <v>1021</v>
      </c>
      <c r="F846" s="142">
        <v>1203</v>
      </c>
      <c r="G846" s="94" t="s">
        <v>71</v>
      </c>
      <c r="H846" s="94">
        <v>1027</v>
      </c>
      <c r="I846" s="91"/>
      <c r="J846" s="94" t="s">
        <v>72</v>
      </c>
      <c r="K846" s="91">
        <v>58.71</v>
      </c>
      <c r="L846" s="122" t="str">
        <f>VLOOKUP(K846,Liste!$L$2:$O$34,4,1)</f>
        <v>GSMR_10/11</v>
      </c>
      <c r="M846" s="133" t="s">
        <v>36</v>
      </c>
      <c r="N846" s="180" t="s">
        <v>37</v>
      </c>
      <c r="O846" s="125" t="s">
        <v>1937</v>
      </c>
      <c r="P846" s="116"/>
      <c r="Q846" s="129" t="s">
        <v>39</v>
      </c>
      <c r="R846" s="129" t="s">
        <v>1032</v>
      </c>
      <c r="S846" s="91" t="s">
        <v>1938</v>
      </c>
      <c r="T846" s="94" t="s">
        <v>69</v>
      </c>
      <c r="U846" s="94" t="s">
        <v>1460</v>
      </c>
      <c r="V846" s="94" t="s">
        <v>51</v>
      </c>
      <c r="W846" s="94" t="s">
        <v>51</v>
      </c>
      <c r="X846" s="124" t="s">
        <v>52</v>
      </c>
      <c r="Y846" s="124" t="s">
        <v>946</v>
      </c>
      <c r="Z846" s="91"/>
      <c r="AA846" s="91" t="s">
        <v>754</v>
      </c>
      <c r="AB846" s="91"/>
      <c r="AC846" s="91"/>
      <c r="AD846" s="91"/>
      <c r="AE846" s="91"/>
      <c r="AF846" s="91"/>
      <c r="AG846" s="91"/>
      <c r="AH846" s="91"/>
    </row>
    <row r="847" spans="1:34" s="1" customFormat="1" ht="45">
      <c r="A847" s="120">
        <v>846</v>
      </c>
      <c r="B847" s="120" t="b">
        <f t="shared" ca="1" si="13"/>
        <v>0</v>
      </c>
      <c r="C847" s="121">
        <v>45606</v>
      </c>
      <c r="D847" s="137">
        <v>0.81710648148148146</v>
      </c>
      <c r="E847" s="94">
        <v>2053</v>
      </c>
      <c r="F847" s="142">
        <v>1208</v>
      </c>
      <c r="G847" s="94" t="s">
        <v>34</v>
      </c>
      <c r="H847" s="94">
        <v>1037</v>
      </c>
      <c r="I847" s="91"/>
      <c r="J847" s="94" t="s">
        <v>72</v>
      </c>
      <c r="K847" s="91">
        <v>153.68600000000001</v>
      </c>
      <c r="L847" s="122" t="str">
        <f>VLOOKUP(K847,Liste!$L$2:$O$34,4,1)</f>
        <v>GSMR_26/27</v>
      </c>
      <c r="M847" s="133" t="s">
        <v>36</v>
      </c>
      <c r="N847" s="180" t="s">
        <v>37</v>
      </c>
      <c r="O847" s="125" t="s">
        <v>1939</v>
      </c>
      <c r="P847" s="116"/>
      <c r="Q847" s="94" t="s">
        <v>54</v>
      </c>
      <c r="R847" s="129" t="s">
        <v>1930</v>
      </c>
      <c r="S847" s="91" t="s">
        <v>1940</v>
      </c>
      <c r="T847" s="94" t="s">
        <v>101</v>
      </c>
      <c r="U847" s="94" t="s">
        <v>1745</v>
      </c>
      <c r="V847" s="94" t="s">
        <v>51</v>
      </c>
      <c r="W847" s="94" t="s">
        <v>51</v>
      </c>
      <c r="X847" s="124" t="s">
        <v>52</v>
      </c>
      <c r="Y847" s="124" t="s">
        <v>946</v>
      </c>
      <c r="Z847" s="91"/>
      <c r="AA847" s="91" t="s">
        <v>772</v>
      </c>
      <c r="AB847" s="91"/>
      <c r="AC847" s="91"/>
      <c r="AD847" s="91"/>
      <c r="AE847" s="91"/>
      <c r="AF847" s="91"/>
      <c r="AG847" s="91"/>
      <c r="AH847" s="91"/>
    </row>
    <row r="848" spans="1:34" s="1" customFormat="1" ht="45">
      <c r="A848" s="120">
        <v>847</v>
      </c>
      <c r="B848" s="120" t="b">
        <f t="shared" ca="1" si="13"/>
        <v>0</v>
      </c>
      <c r="C848" s="121">
        <v>45606</v>
      </c>
      <c r="D848" s="137">
        <v>0.87107638888888894</v>
      </c>
      <c r="E848" s="94">
        <v>1054</v>
      </c>
      <c r="F848" s="142">
        <v>1203</v>
      </c>
      <c r="G848" s="94" t="s">
        <v>71</v>
      </c>
      <c r="H848" s="94">
        <v>1027</v>
      </c>
      <c r="I848" s="91"/>
      <c r="J848" s="94" t="s">
        <v>72</v>
      </c>
      <c r="K848" s="91">
        <v>147.876</v>
      </c>
      <c r="L848" s="122" t="str">
        <f>VLOOKUP(K848,Liste!$L$2:$O$34,4,1)</f>
        <v>GSMR_25/26</v>
      </c>
      <c r="M848" s="133" t="s">
        <v>36</v>
      </c>
      <c r="N848" s="180" t="s">
        <v>37</v>
      </c>
      <c r="O848" s="125" t="s">
        <v>1941</v>
      </c>
      <c r="P848" s="116"/>
      <c r="Q848" s="129" t="s">
        <v>39</v>
      </c>
      <c r="R848" s="129" t="s">
        <v>1032</v>
      </c>
      <c r="S848" s="91" t="s">
        <v>1942</v>
      </c>
      <c r="T848" s="94" t="s">
        <v>69</v>
      </c>
      <c r="U848" s="94" t="s">
        <v>1498</v>
      </c>
      <c r="V848" s="94" t="s">
        <v>51</v>
      </c>
      <c r="W848" s="94" t="s">
        <v>51</v>
      </c>
      <c r="X848" s="124" t="s">
        <v>52</v>
      </c>
      <c r="Y848" s="124" t="s">
        <v>946</v>
      </c>
      <c r="Z848" s="91"/>
      <c r="AA848" s="91" t="s">
        <v>778</v>
      </c>
      <c r="AB848" s="91"/>
      <c r="AC848" s="91"/>
      <c r="AD848" s="91"/>
      <c r="AE848" s="91"/>
      <c r="AF848" s="91"/>
      <c r="AG848" s="91"/>
      <c r="AH848" s="91"/>
    </row>
    <row r="849" spans="1:34" s="1" customFormat="1" ht="45">
      <c r="A849" s="120">
        <v>848</v>
      </c>
      <c r="B849" s="120" t="b">
        <f t="shared" ca="1" si="13"/>
        <v>0</v>
      </c>
      <c r="C849" s="121">
        <v>45606</v>
      </c>
      <c r="D849" s="137">
        <v>0.89215277777777779</v>
      </c>
      <c r="E849" s="94">
        <v>1054</v>
      </c>
      <c r="F849" s="142">
        <v>1203</v>
      </c>
      <c r="G849" s="94" t="s">
        <v>71</v>
      </c>
      <c r="H849" s="94">
        <v>1026</v>
      </c>
      <c r="I849" s="91"/>
      <c r="J849" s="94" t="s">
        <v>72</v>
      </c>
      <c r="K849" s="152">
        <v>7.3209999999999997</v>
      </c>
      <c r="L849" s="122" t="str">
        <f>VLOOKUP(K849,Liste!$L$2:$O$34,4,1)</f>
        <v>GSMR_02/03</v>
      </c>
      <c r="M849" s="133" t="s">
        <v>36</v>
      </c>
      <c r="N849" s="181" t="s">
        <v>58</v>
      </c>
      <c r="O849" s="125" t="s">
        <v>1943</v>
      </c>
      <c r="P849" s="116"/>
      <c r="Q849" s="129" t="s">
        <v>39</v>
      </c>
      <c r="R849" s="129" t="s">
        <v>1032</v>
      </c>
      <c r="S849" s="91" t="s">
        <v>1232</v>
      </c>
      <c r="T849" s="94" t="s">
        <v>56</v>
      </c>
      <c r="U849" s="94" t="s">
        <v>1460</v>
      </c>
      <c r="V849" s="94" t="s">
        <v>51</v>
      </c>
      <c r="W849" s="94" t="s">
        <v>51</v>
      </c>
      <c r="X849" s="124" t="s">
        <v>52</v>
      </c>
      <c r="Y849" s="124" t="s">
        <v>946</v>
      </c>
      <c r="Z849" s="91"/>
      <c r="AA849" s="91" t="s">
        <v>778</v>
      </c>
      <c r="AB849" s="91"/>
      <c r="AC849" s="91"/>
      <c r="AD849" s="91"/>
      <c r="AE849" s="91"/>
      <c r="AF849" s="91"/>
      <c r="AG849" s="91"/>
      <c r="AH849" s="91"/>
    </row>
    <row r="850" spans="1:34" s="1" customFormat="1" ht="45">
      <c r="A850" s="120">
        <v>849</v>
      </c>
      <c r="B850" s="120" t="b">
        <f t="shared" ca="1" si="13"/>
        <v>0</v>
      </c>
      <c r="C850" s="121">
        <v>45607</v>
      </c>
      <c r="D850" s="137">
        <v>0.25396990740740738</v>
      </c>
      <c r="E850" s="94">
        <v>1081</v>
      </c>
      <c r="F850" s="142">
        <v>1204</v>
      </c>
      <c r="G850" s="94" t="s">
        <v>71</v>
      </c>
      <c r="H850" s="94">
        <v>1035</v>
      </c>
      <c r="I850" s="91"/>
      <c r="J850" s="94" t="s">
        <v>72</v>
      </c>
      <c r="K850" s="91">
        <v>162.83500000000001</v>
      </c>
      <c r="L850" s="122" t="str">
        <f>VLOOKUP(K850,Liste!$L$2:$O$34,4,1)</f>
        <v>GSMR_27/28</v>
      </c>
      <c r="M850" s="133" t="s">
        <v>36</v>
      </c>
      <c r="N850" s="180" t="s">
        <v>37</v>
      </c>
      <c r="O850" s="125" t="s">
        <v>1944</v>
      </c>
      <c r="P850" s="116"/>
      <c r="Q850" s="129" t="s">
        <v>39</v>
      </c>
      <c r="R850" s="129" t="s">
        <v>1032</v>
      </c>
      <c r="S850" s="91" t="s">
        <v>1945</v>
      </c>
      <c r="T850" s="94" t="s">
        <v>69</v>
      </c>
      <c r="U850" s="94" t="s">
        <v>1453</v>
      </c>
      <c r="V850" s="94" t="s">
        <v>51</v>
      </c>
      <c r="W850" s="94" t="s">
        <v>51</v>
      </c>
      <c r="X850" s="124" t="s">
        <v>52</v>
      </c>
      <c r="Y850" s="124" t="s">
        <v>946</v>
      </c>
      <c r="Z850" s="91"/>
      <c r="AA850" s="91" t="s">
        <v>778</v>
      </c>
      <c r="AB850" s="91"/>
      <c r="AC850" s="91"/>
      <c r="AD850" s="91"/>
      <c r="AE850" s="91"/>
      <c r="AF850" s="91"/>
      <c r="AG850" s="91"/>
      <c r="AH850" s="91"/>
    </row>
    <row r="851" spans="1:34" s="1" customFormat="1" ht="45">
      <c r="A851" s="120">
        <v>850</v>
      </c>
      <c r="B851" s="120" t="b">
        <f t="shared" ca="1" si="13"/>
        <v>0</v>
      </c>
      <c r="C851" s="121">
        <v>45607</v>
      </c>
      <c r="D851" s="137">
        <v>0.2537152777777778</v>
      </c>
      <c r="E851" s="94">
        <v>2001</v>
      </c>
      <c r="F851" s="142">
        <v>1210</v>
      </c>
      <c r="G851" s="94" t="s">
        <v>34</v>
      </c>
      <c r="H851" s="94">
        <v>1048</v>
      </c>
      <c r="I851" s="115"/>
      <c r="J851" s="94" t="s">
        <v>35</v>
      </c>
      <c r="K851" s="152">
        <v>6.13</v>
      </c>
      <c r="L851" s="122" t="str">
        <f>VLOOKUP(K851,Liste!$L$2:$O$34,4,1)</f>
        <v>GSMR_02/03</v>
      </c>
      <c r="M851" s="133" t="s">
        <v>36</v>
      </c>
      <c r="N851" s="181" t="s">
        <v>58</v>
      </c>
      <c r="O851" s="125" t="s">
        <v>1946</v>
      </c>
      <c r="P851" s="116"/>
      <c r="Q851" s="129" t="s">
        <v>39</v>
      </c>
      <c r="R851" s="129" t="s">
        <v>1032</v>
      </c>
      <c r="S851" s="91" t="s">
        <v>1232</v>
      </c>
      <c r="T851" s="94" t="s">
        <v>56</v>
      </c>
      <c r="U851" s="94" t="s">
        <v>1468</v>
      </c>
      <c r="V851" s="94" t="s">
        <v>43</v>
      </c>
      <c r="W851" s="94" t="s">
        <v>51</v>
      </c>
      <c r="X851" s="124" t="s">
        <v>52</v>
      </c>
      <c r="Y851" s="124" t="s">
        <v>946</v>
      </c>
      <c r="Z851" s="91"/>
      <c r="AA851" s="91" t="s">
        <v>778</v>
      </c>
      <c r="AB851" s="91"/>
      <c r="AC851" s="91"/>
      <c r="AD851" s="91"/>
      <c r="AE851" s="91"/>
      <c r="AF851" s="91"/>
      <c r="AG851" s="91"/>
      <c r="AH851" s="91"/>
    </row>
    <row r="852" spans="1:34" s="1" customFormat="1" ht="45">
      <c r="A852" s="120">
        <v>851</v>
      </c>
      <c r="B852" s="120" t="b">
        <f t="shared" ca="1" si="13"/>
        <v>0</v>
      </c>
      <c r="C852" s="121">
        <v>45607</v>
      </c>
      <c r="D852" s="137">
        <v>0.36656250000000001</v>
      </c>
      <c r="E852" s="94">
        <v>1005</v>
      </c>
      <c r="F852" s="142">
        <v>1208</v>
      </c>
      <c r="G852" s="94" t="s">
        <v>71</v>
      </c>
      <c r="H852" s="94">
        <v>1045</v>
      </c>
      <c r="I852" s="115"/>
      <c r="J852" s="94" t="s">
        <v>72</v>
      </c>
      <c r="K852" s="91">
        <v>94.953999999999994</v>
      </c>
      <c r="L852" s="122" t="str">
        <f>VLOOKUP(K852,Liste!$L$2:$O$34,4,1)</f>
        <v>GSMR_17/18</v>
      </c>
      <c r="M852" s="133" t="s">
        <v>36</v>
      </c>
      <c r="N852" s="180" t="s">
        <v>37</v>
      </c>
      <c r="O852" s="125" t="s">
        <v>1947</v>
      </c>
      <c r="P852" s="116"/>
      <c r="Q852" s="129" t="s">
        <v>39</v>
      </c>
      <c r="R852" s="129" t="s">
        <v>1032</v>
      </c>
      <c r="S852" s="91" t="s">
        <v>1725</v>
      </c>
      <c r="T852" s="94" t="s">
        <v>56</v>
      </c>
      <c r="U852" s="94" t="s">
        <v>1490</v>
      </c>
      <c r="V852" s="94" t="s">
        <v>51</v>
      </c>
      <c r="W852" s="94" t="s">
        <v>51</v>
      </c>
      <c r="X852" s="124" t="s">
        <v>52</v>
      </c>
      <c r="Y852" s="124" t="s">
        <v>946</v>
      </c>
      <c r="Z852" s="91"/>
      <c r="AA852" s="91" t="s">
        <v>745</v>
      </c>
      <c r="AB852" s="91"/>
      <c r="AC852" s="91"/>
      <c r="AD852" s="91"/>
      <c r="AE852" s="91"/>
      <c r="AF852" s="91"/>
      <c r="AG852" s="91"/>
      <c r="AH852" s="91"/>
    </row>
    <row r="853" spans="1:34" s="1" customFormat="1" ht="45">
      <c r="A853" s="120">
        <v>852</v>
      </c>
      <c r="B853" s="120" t="b">
        <f t="shared" ca="1" si="13"/>
        <v>0</v>
      </c>
      <c r="C853" s="121">
        <v>45607</v>
      </c>
      <c r="D853" s="137">
        <v>0.42045138888888889</v>
      </c>
      <c r="E853" s="94">
        <v>2017</v>
      </c>
      <c r="F853" s="142">
        <v>1208</v>
      </c>
      <c r="G853" s="94" t="s">
        <v>34</v>
      </c>
      <c r="H853" s="94">
        <v>1037</v>
      </c>
      <c r="I853" s="115"/>
      <c r="J853" s="94" t="s">
        <v>35</v>
      </c>
      <c r="K853" s="152">
        <v>6.13</v>
      </c>
      <c r="L853" s="122" t="str">
        <f>VLOOKUP(K853,Liste!$L$2:$O$34,4,1)</f>
        <v>GSMR_02/03</v>
      </c>
      <c r="M853" s="133" t="s">
        <v>36</v>
      </c>
      <c r="N853" s="180" t="s">
        <v>37</v>
      </c>
      <c r="O853" s="125" t="s">
        <v>1948</v>
      </c>
      <c r="P853" s="116"/>
      <c r="Q853" s="129" t="s">
        <v>39</v>
      </c>
      <c r="R853" s="129" t="s">
        <v>1032</v>
      </c>
      <c r="S853" s="91" t="s">
        <v>1949</v>
      </c>
      <c r="T853" s="94" t="s">
        <v>41</v>
      </c>
      <c r="U853" s="94" t="s">
        <v>1541</v>
      </c>
      <c r="V853" s="94" t="s">
        <v>51</v>
      </c>
      <c r="W853" s="94" t="s">
        <v>51</v>
      </c>
      <c r="X853" s="124" t="s">
        <v>52</v>
      </c>
      <c r="Y853" s="124" t="s">
        <v>946</v>
      </c>
      <c r="Z853" s="91"/>
      <c r="AA853" s="91" t="s">
        <v>754</v>
      </c>
      <c r="AB853" s="91"/>
      <c r="AC853" s="91"/>
      <c r="AD853" s="91"/>
      <c r="AE853" s="91"/>
      <c r="AF853" s="91"/>
      <c r="AG853" s="91"/>
      <c r="AH853" s="91"/>
    </row>
    <row r="854" spans="1:34" s="1" customFormat="1" ht="45">
      <c r="A854" s="120">
        <v>853</v>
      </c>
      <c r="B854" s="120" t="b">
        <f t="shared" ca="1" si="13"/>
        <v>0</v>
      </c>
      <c r="C854" s="121">
        <v>45607</v>
      </c>
      <c r="D854" s="137">
        <v>0.75326388888888884</v>
      </c>
      <c r="E854" s="94">
        <v>2048</v>
      </c>
      <c r="F854" s="142">
        <v>1210</v>
      </c>
      <c r="G854" s="94" t="s">
        <v>34</v>
      </c>
      <c r="H854" s="94">
        <v>1048</v>
      </c>
      <c r="I854" s="115"/>
      <c r="J854" s="94" t="s">
        <v>35</v>
      </c>
      <c r="K854" s="152">
        <v>6.13</v>
      </c>
      <c r="L854" s="122" t="str">
        <f>VLOOKUP(K854,Liste!$L$2:$O$34,4,1)</f>
        <v>GSMR_02/03</v>
      </c>
      <c r="M854" s="133" t="s">
        <v>36</v>
      </c>
      <c r="N854" s="181" t="s">
        <v>58</v>
      </c>
      <c r="O854" s="125" t="s">
        <v>1943</v>
      </c>
      <c r="P854" s="116"/>
      <c r="Q854" s="129" t="s">
        <v>39</v>
      </c>
      <c r="R854" s="129" t="s">
        <v>1950</v>
      </c>
      <c r="S854" s="91" t="s">
        <v>1232</v>
      </c>
      <c r="T854" s="94" t="s">
        <v>56</v>
      </c>
      <c r="U854" s="94" t="s">
        <v>1460</v>
      </c>
      <c r="V854" s="94" t="s">
        <v>43</v>
      </c>
      <c r="W854" s="94" t="s">
        <v>51</v>
      </c>
      <c r="X854" s="124" t="s">
        <v>52</v>
      </c>
      <c r="Y854" s="124" t="s">
        <v>946</v>
      </c>
      <c r="Z854" s="91"/>
      <c r="AA854" s="91" t="s">
        <v>754</v>
      </c>
      <c r="AB854" s="91"/>
      <c r="AC854" s="91"/>
      <c r="AD854" s="91"/>
      <c r="AE854" s="91"/>
      <c r="AF854" s="91"/>
      <c r="AG854" s="91"/>
      <c r="AH854" s="91"/>
    </row>
    <row r="855" spans="1:34" s="1" customFormat="1" ht="45">
      <c r="A855" s="120">
        <v>854</v>
      </c>
      <c r="B855" s="120" t="b">
        <f t="shared" ca="1" si="13"/>
        <v>0</v>
      </c>
      <c r="C855" s="121">
        <v>45608</v>
      </c>
      <c r="D855" s="137">
        <v>0.25817129629629632</v>
      </c>
      <c r="E855" s="94">
        <v>2001</v>
      </c>
      <c r="F855" s="142">
        <v>1212</v>
      </c>
      <c r="G855" s="94" t="s">
        <v>34</v>
      </c>
      <c r="H855" s="94">
        <v>1057</v>
      </c>
      <c r="I855" s="115"/>
      <c r="J855" s="94" t="s">
        <v>35</v>
      </c>
      <c r="K855" s="91">
        <v>25.91</v>
      </c>
      <c r="L855" s="122" t="str">
        <f>VLOOKUP(K855,Liste!$L$2:$O$34,4,1)</f>
        <v>GSMR_05/06</v>
      </c>
      <c r="M855" s="133" t="s">
        <v>36</v>
      </c>
      <c r="N855" s="180" t="s">
        <v>37</v>
      </c>
      <c r="O855" s="125" t="s">
        <v>1951</v>
      </c>
      <c r="P855" s="116"/>
      <c r="Q855" s="129" t="s">
        <v>39</v>
      </c>
      <c r="R855" s="129" t="s">
        <v>1032</v>
      </c>
      <c r="S855" s="91" t="s">
        <v>1952</v>
      </c>
      <c r="T855" s="94" t="s">
        <v>69</v>
      </c>
      <c r="U855" s="94" t="s">
        <v>1529</v>
      </c>
      <c r="V855" s="94" t="s">
        <v>51</v>
      </c>
      <c r="W855" s="94" t="s">
        <v>51</v>
      </c>
      <c r="X855" s="124" t="s">
        <v>52</v>
      </c>
      <c r="Y855" s="124" t="s">
        <v>946</v>
      </c>
      <c r="Z855" s="91"/>
      <c r="AA855" s="91" t="s">
        <v>778</v>
      </c>
      <c r="AB855" s="91"/>
      <c r="AC855" s="91"/>
      <c r="AD855" s="91"/>
      <c r="AE855" s="91"/>
      <c r="AF855" s="91"/>
      <c r="AG855" s="91"/>
      <c r="AH855" s="91"/>
    </row>
    <row r="856" spans="1:34" s="1" customFormat="1" ht="45">
      <c r="A856" s="120">
        <v>855</v>
      </c>
      <c r="B856" s="120" t="b">
        <f t="shared" ca="1" si="13"/>
        <v>0</v>
      </c>
      <c r="C856" s="121">
        <v>45608</v>
      </c>
      <c r="D856" s="137">
        <v>0.69392361111111112</v>
      </c>
      <c r="E856" s="94">
        <v>1038</v>
      </c>
      <c r="F856" s="142">
        <v>1212</v>
      </c>
      <c r="G856" s="94" t="s">
        <v>71</v>
      </c>
      <c r="H856" s="94">
        <v>1022</v>
      </c>
      <c r="I856" s="115"/>
      <c r="J856" s="94" t="s">
        <v>35</v>
      </c>
      <c r="K856" s="91">
        <v>134.30000000000001</v>
      </c>
      <c r="L856" s="122" t="str">
        <f>VLOOKUP(K856,Liste!$L$2:$O$34,4,1)</f>
        <v>GSMR_23/24</v>
      </c>
      <c r="M856" s="133" t="s">
        <v>36</v>
      </c>
      <c r="N856" s="180" t="s">
        <v>37</v>
      </c>
      <c r="O856" s="125" t="s">
        <v>1953</v>
      </c>
      <c r="P856" s="116"/>
      <c r="Q856" s="129" t="s">
        <v>47</v>
      </c>
      <c r="R856" s="129" t="s">
        <v>1950</v>
      </c>
      <c r="S856" s="91" t="s">
        <v>1954</v>
      </c>
      <c r="T856" s="94" t="s">
        <v>56</v>
      </c>
      <c r="U856" s="94" t="s">
        <v>1538</v>
      </c>
      <c r="V856" s="94" t="s">
        <v>51</v>
      </c>
      <c r="W856" s="94" t="s">
        <v>51</v>
      </c>
      <c r="X856" s="124" t="s">
        <v>52</v>
      </c>
      <c r="Y856" s="124" t="s">
        <v>946</v>
      </c>
      <c r="Z856" s="91"/>
      <c r="AA856" s="91" t="s">
        <v>772</v>
      </c>
      <c r="AB856" s="91"/>
      <c r="AC856" s="91"/>
      <c r="AD856" s="91"/>
      <c r="AE856" s="91"/>
      <c r="AF856" s="91"/>
      <c r="AG856" s="91"/>
      <c r="AH856" s="91"/>
    </row>
    <row r="857" spans="1:34" s="1" customFormat="1" ht="45">
      <c r="A857" s="120">
        <v>856</v>
      </c>
      <c r="B857" s="120" t="b">
        <f t="shared" ca="1" si="13"/>
        <v>0</v>
      </c>
      <c r="C857" s="121">
        <v>45609</v>
      </c>
      <c r="D857" s="137">
        <v>0.1872337962962963</v>
      </c>
      <c r="E857" s="94">
        <v>2081</v>
      </c>
      <c r="F857" s="142">
        <v>1209</v>
      </c>
      <c r="G857" s="94" t="s">
        <v>34</v>
      </c>
      <c r="H857" s="94">
        <v>1058</v>
      </c>
      <c r="I857" s="115"/>
      <c r="J857" s="94" t="s">
        <v>35</v>
      </c>
      <c r="K857" s="91">
        <v>67.828999999999994</v>
      </c>
      <c r="L857" s="122" t="str">
        <f>VLOOKUP(K857,Liste!$L$2:$O$34,4,1)</f>
        <v>GSMR_12/13</v>
      </c>
      <c r="M857" s="133" t="s">
        <v>36</v>
      </c>
      <c r="N857" s="180" t="s">
        <v>37</v>
      </c>
      <c r="O857" s="125" t="s">
        <v>1955</v>
      </c>
      <c r="P857" s="116"/>
      <c r="Q857" s="129" t="s">
        <v>39</v>
      </c>
      <c r="R857" s="129" t="s">
        <v>1032</v>
      </c>
      <c r="S857" s="91" t="s">
        <v>1956</v>
      </c>
      <c r="T857" s="94" t="s">
        <v>69</v>
      </c>
      <c r="U857" s="94" t="s">
        <v>1490</v>
      </c>
      <c r="V857" s="94" t="s">
        <v>51</v>
      </c>
      <c r="W857" s="94" t="s">
        <v>51</v>
      </c>
      <c r="X857" s="124" t="s">
        <v>52</v>
      </c>
      <c r="Y857" s="124" t="s">
        <v>946</v>
      </c>
      <c r="Z857" s="91"/>
      <c r="AA857" s="91" t="s">
        <v>778</v>
      </c>
      <c r="AB857" s="91"/>
      <c r="AC857" s="91"/>
      <c r="AD857" s="91"/>
      <c r="AE857" s="91"/>
      <c r="AF857" s="91"/>
      <c r="AG857" s="91"/>
      <c r="AH857" s="91"/>
    </row>
    <row r="858" spans="1:34" s="1" customFormat="1" ht="45">
      <c r="A858" s="120">
        <v>857</v>
      </c>
      <c r="B858" s="120" t="b">
        <f t="shared" ca="1" si="13"/>
        <v>0</v>
      </c>
      <c r="C858" s="121">
        <v>45609</v>
      </c>
      <c r="D858" s="137">
        <v>0.26718750000000002</v>
      </c>
      <c r="E858" s="94">
        <v>2001</v>
      </c>
      <c r="F858" s="142">
        <v>1212</v>
      </c>
      <c r="G858" s="94" t="s">
        <v>34</v>
      </c>
      <c r="H858" s="94">
        <v>1057</v>
      </c>
      <c r="I858" s="115"/>
      <c r="J858" s="94" t="s">
        <v>35</v>
      </c>
      <c r="K858" s="91">
        <v>86.238</v>
      </c>
      <c r="L858" s="122" t="str">
        <f>VLOOKUP(K858,Liste!$L$2:$O$34,4,1)</f>
        <v>GSMR_16/17</v>
      </c>
      <c r="M858" s="133" t="s">
        <v>36</v>
      </c>
      <c r="N858" s="180" t="s">
        <v>37</v>
      </c>
      <c r="O858" s="125" t="s">
        <v>1957</v>
      </c>
      <c r="P858" s="116"/>
      <c r="Q858" s="129" t="s">
        <v>39</v>
      </c>
      <c r="R858" s="129" t="s">
        <v>1032</v>
      </c>
      <c r="S858" s="91" t="s">
        <v>1958</v>
      </c>
      <c r="T858" s="94" t="s">
        <v>209</v>
      </c>
      <c r="U858" s="94" t="s">
        <v>1526</v>
      </c>
      <c r="V858" s="94" t="s">
        <v>51</v>
      </c>
      <c r="W858" s="94" t="s">
        <v>51</v>
      </c>
      <c r="X858" s="124" t="s">
        <v>52</v>
      </c>
      <c r="Y858" s="124" t="s">
        <v>946</v>
      </c>
      <c r="Z858" s="91"/>
      <c r="AA858" s="91" t="s">
        <v>778</v>
      </c>
      <c r="AB858" s="91"/>
      <c r="AC858" s="91"/>
      <c r="AD858" s="91"/>
      <c r="AE858" s="91"/>
      <c r="AF858" s="91"/>
      <c r="AG858" s="91"/>
      <c r="AH858" s="91"/>
    </row>
    <row r="859" spans="1:34" s="1" customFormat="1" ht="45">
      <c r="A859" s="120">
        <v>858</v>
      </c>
      <c r="B859" s="120" t="b">
        <f t="shared" ca="1" si="13"/>
        <v>0</v>
      </c>
      <c r="C859" s="121">
        <v>45609</v>
      </c>
      <c r="D859" s="137">
        <v>0.45136574074074076</v>
      </c>
      <c r="E859" s="94">
        <v>1013</v>
      </c>
      <c r="F859" s="142">
        <v>1212</v>
      </c>
      <c r="G859" s="94" t="s">
        <v>71</v>
      </c>
      <c r="H859" s="94">
        <v>1023</v>
      </c>
      <c r="I859" s="115"/>
      <c r="J859" s="94" t="s">
        <v>72</v>
      </c>
      <c r="K859" s="91">
        <v>94.953999999999994</v>
      </c>
      <c r="L859" s="122" t="str">
        <f>VLOOKUP(K859,Liste!$L$2:$O$34,4,1)</f>
        <v>GSMR_17/18</v>
      </c>
      <c r="M859" s="133" t="s">
        <v>36</v>
      </c>
      <c r="N859" s="180" t="s">
        <v>37</v>
      </c>
      <c r="O859" s="125" t="s">
        <v>1959</v>
      </c>
      <c r="P859" s="116"/>
      <c r="Q859" s="129" t="s">
        <v>39</v>
      </c>
      <c r="R859" s="129" t="s">
        <v>1032</v>
      </c>
      <c r="S859" s="91" t="s">
        <v>1960</v>
      </c>
      <c r="T859" s="94" t="s">
        <v>209</v>
      </c>
      <c r="U859" s="94" t="s">
        <v>1453</v>
      </c>
      <c r="V859" s="94" t="s">
        <v>51</v>
      </c>
      <c r="W859" s="94" t="s">
        <v>51</v>
      </c>
      <c r="X859" s="124" t="s">
        <v>52</v>
      </c>
      <c r="Y859" s="124" t="s">
        <v>946</v>
      </c>
      <c r="Z859" s="91"/>
      <c r="AA859" s="91" t="s">
        <v>754</v>
      </c>
      <c r="AB859" s="91"/>
      <c r="AC859" s="91"/>
      <c r="AD859" s="91"/>
      <c r="AE859" s="91"/>
      <c r="AF859" s="91"/>
      <c r="AG859" s="91"/>
      <c r="AH859" s="91"/>
    </row>
    <row r="860" spans="1:34" s="1" customFormat="1" ht="45">
      <c r="A860" s="120">
        <v>859</v>
      </c>
      <c r="B860" s="120" t="b">
        <f t="shared" ca="1" si="13"/>
        <v>0</v>
      </c>
      <c r="C860" s="121">
        <v>45609</v>
      </c>
      <c r="D860" s="137">
        <v>0.52497685185185183</v>
      </c>
      <c r="E860" s="94">
        <v>2025</v>
      </c>
      <c r="F860" s="142">
        <v>1212</v>
      </c>
      <c r="G860" s="94" t="s">
        <v>34</v>
      </c>
      <c r="H860" s="94">
        <v>1057</v>
      </c>
      <c r="I860" s="115"/>
      <c r="J860" s="94" t="s">
        <v>35</v>
      </c>
      <c r="K860" s="91">
        <v>140.65899999999999</v>
      </c>
      <c r="L860" s="122" t="str">
        <f>VLOOKUP(K860,Liste!$L$2:$O$34,4,1)</f>
        <v>GSMR_24/25</v>
      </c>
      <c r="M860" s="133" t="s">
        <v>36</v>
      </c>
      <c r="N860" s="180" t="s">
        <v>37</v>
      </c>
      <c r="O860" s="125" t="s">
        <v>1961</v>
      </c>
      <c r="P860" s="116"/>
      <c r="Q860" s="129" t="s">
        <v>39</v>
      </c>
      <c r="R860" s="129" t="s">
        <v>1032</v>
      </c>
      <c r="S860" s="91" t="s">
        <v>1962</v>
      </c>
      <c r="T860" s="94" t="s">
        <v>69</v>
      </c>
      <c r="U860" s="94" t="s">
        <v>1718</v>
      </c>
      <c r="V860" s="94" t="s">
        <v>51</v>
      </c>
      <c r="W860" s="94" t="s">
        <v>51</v>
      </c>
      <c r="X860" s="124" t="s">
        <v>52</v>
      </c>
      <c r="Y860" s="124" t="s">
        <v>946</v>
      </c>
      <c r="Z860" s="91"/>
      <c r="AA860" s="91" t="s">
        <v>754</v>
      </c>
      <c r="AB860" s="91"/>
      <c r="AC860" s="91"/>
      <c r="AD860" s="91"/>
      <c r="AE860" s="91"/>
      <c r="AF860" s="91"/>
      <c r="AG860" s="91"/>
      <c r="AH860" s="91"/>
    </row>
    <row r="861" spans="1:34" s="1" customFormat="1" ht="45">
      <c r="A861" s="120">
        <v>860</v>
      </c>
      <c r="B861" s="120" t="b">
        <f t="shared" ca="1" si="13"/>
        <v>0</v>
      </c>
      <c r="C861" s="121">
        <v>45609</v>
      </c>
      <c r="D861" s="137">
        <v>0.77495370370370376</v>
      </c>
      <c r="E861" s="94">
        <v>2049</v>
      </c>
      <c r="F861" s="142">
        <v>1212</v>
      </c>
      <c r="G861" s="94" t="s">
        <v>34</v>
      </c>
      <c r="H861" s="94">
        <v>1057</v>
      </c>
      <c r="I861" s="115"/>
      <c r="J861" s="94" t="s">
        <v>35</v>
      </c>
      <c r="K861" s="91">
        <v>138.30199999999999</v>
      </c>
      <c r="L861" s="122" t="str">
        <f>VLOOKUP(K861,Liste!$L$2:$O$34,4,1)</f>
        <v>GSMR_24/25</v>
      </c>
      <c r="M861" s="133" t="s">
        <v>36</v>
      </c>
      <c r="N861" s="180" t="s">
        <v>37</v>
      </c>
      <c r="O861" s="125" t="s">
        <v>1961</v>
      </c>
      <c r="P861" s="116"/>
      <c r="Q861" s="129" t="s">
        <v>105</v>
      </c>
      <c r="R861" s="129" t="s">
        <v>1072</v>
      </c>
      <c r="S861" s="91" t="s">
        <v>1962</v>
      </c>
      <c r="T861" s="94" t="s">
        <v>69</v>
      </c>
      <c r="U861" s="94" t="s">
        <v>1718</v>
      </c>
      <c r="V861" s="94" t="s">
        <v>51</v>
      </c>
      <c r="W861" s="94" t="s">
        <v>51</v>
      </c>
      <c r="X861" s="124" t="s">
        <v>52</v>
      </c>
      <c r="Y861" s="124" t="s">
        <v>1963</v>
      </c>
      <c r="Z861" s="91"/>
      <c r="AA861" s="91" t="s">
        <v>793</v>
      </c>
      <c r="AB861" s="91"/>
      <c r="AC861" s="91"/>
      <c r="AD861" s="91"/>
      <c r="AE861" s="91"/>
      <c r="AF861" s="91"/>
      <c r="AG861" s="91"/>
      <c r="AH861" s="91"/>
    </row>
    <row r="862" spans="1:34" s="1" customFormat="1" ht="45">
      <c r="A862" s="120">
        <v>861</v>
      </c>
      <c r="B862" s="120" t="b">
        <f t="shared" ca="1" si="13"/>
        <v>0</v>
      </c>
      <c r="C862" s="121">
        <v>45610</v>
      </c>
      <c r="D862" s="137">
        <v>0.5163888888888889</v>
      </c>
      <c r="E862" s="94">
        <v>1022</v>
      </c>
      <c r="F862" s="142">
        <v>1212</v>
      </c>
      <c r="G862" s="94" t="s">
        <v>71</v>
      </c>
      <c r="H862" s="94">
        <v>1023</v>
      </c>
      <c r="I862" s="115"/>
      <c r="J862" s="94" t="s">
        <v>72</v>
      </c>
      <c r="K862" s="91">
        <v>198.98400000000001</v>
      </c>
      <c r="L862" s="122" t="str">
        <f>VLOOKUP(K862,Liste!$L$2:$O$34,4,1)</f>
        <v>GSMR_33/RAC</v>
      </c>
      <c r="M862" s="133" t="s">
        <v>36</v>
      </c>
      <c r="N862" s="181" t="s">
        <v>58</v>
      </c>
      <c r="O862" s="125" t="s">
        <v>1964</v>
      </c>
      <c r="P862" s="116"/>
      <c r="Q862" s="129" t="s">
        <v>47</v>
      </c>
      <c r="R862" s="129" t="s">
        <v>1950</v>
      </c>
      <c r="S862" s="91" t="s">
        <v>1965</v>
      </c>
      <c r="T862" s="94" t="s">
        <v>56</v>
      </c>
      <c r="U862" s="94" t="s">
        <v>1493</v>
      </c>
      <c r="V862" s="94" t="s">
        <v>51</v>
      </c>
      <c r="W862" s="94" t="s">
        <v>51</v>
      </c>
      <c r="X862" s="124" t="s">
        <v>52</v>
      </c>
      <c r="Y862" s="124" t="s">
        <v>946</v>
      </c>
      <c r="Z862" s="91"/>
      <c r="AA862" s="91" t="s">
        <v>793</v>
      </c>
      <c r="AB862" s="91"/>
      <c r="AC862" s="91"/>
      <c r="AD862" s="91"/>
      <c r="AE862" s="91"/>
      <c r="AF862" s="91"/>
      <c r="AG862" s="91"/>
      <c r="AH862" s="91"/>
    </row>
    <row r="863" spans="1:34" s="1" customFormat="1" ht="45">
      <c r="A863" s="120">
        <v>862</v>
      </c>
      <c r="B863" s="120" t="b">
        <f t="shared" ca="1" si="13"/>
        <v>0</v>
      </c>
      <c r="C863" s="121">
        <v>45610</v>
      </c>
      <c r="D863" s="137">
        <v>0.79453703703703704</v>
      </c>
      <c r="E863" s="94">
        <v>1046</v>
      </c>
      <c r="F863" s="142">
        <v>1212</v>
      </c>
      <c r="G863" s="94" t="s">
        <v>71</v>
      </c>
      <c r="H863" s="94">
        <v>1022</v>
      </c>
      <c r="I863" s="115"/>
      <c r="J863" s="94" t="s">
        <v>72</v>
      </c>
      <c r="K863" s="152">
        <v>7.3209999999999997</v>
      </c>
      <c r="L863" s="122" t="str">
        <f>VLOOKUP(K863,Liste!$L$2:$O$34,4,1)</f>
        <v>GSMR_02/03</v>
      </c>
      <c r="M863" s="133" t="s">
        <v>36</v>
      </c>
      <c r="N863" s="180" t="s">
        <v>37</v>
      </c>
      <c r="O863" s="125" t="s">
        <v>1966</v>
      </c>
      <c r="P863" s="116"/>
      <c r="Q863" s="129" t="s">
        <v>39</v>
      </c>
      <c r="R863" s="129" t="s">
        <v>1032</v>
      </c>
      <c r="S863" s="91" t="s">
        <v>1682</v>
      </c>
      <c r="T863" s="94" t="s">
        <v>56</v>
      </c>
      <c r="U863" s="94" t="s">
        <v>1471</v>
      </c>
      <c r="V863" s="94" t="s">
        <v>51</v>
      </c>
      <c r="W863" s="94" t="s">
        <v>51</v>
      </c>
      <c r="X863" s="124" t="s">
        <v>52</v>
      </c>
      <c r="Y863" s="124" t="s">
        <v>946</v>
      </c>
      <c r="Z863" s="91"/>
      <c r="AA863" s="91" t="s">
        <v>793</v>
      </c>
      <c r="AB863" s="91"/>
      <c r="AC863" s="91"/>
      <c r="AD863" s="91"/>
      <c r="AE863" s="91"/>
      <c r="AF863" s="91"/>
      <c r="AG863" s="91"/>
      <c r="AH863" s="91"/>
    </row>
    <row r="864" spans="1:34" s="1" customFormat="1" ht="45">
      <c r="A864" s="120">
        <v>863</v>
      </c>
      <c r="B864" s="120" t="b">
        <f t="shared" ca="1" si="13"/>
        <v>0</v>
      </c>
      <c r="C864" s="121">
        <v>45610</v>
      </c>
      <c r="D864" s="137">
        <v>0.87937500000000002</v>
      </c>
      <c r="E864" s="94">
        <v>1054</v>
      </c>
      <c r="F864" s="142">
        <v>1210</v>
      </c>
      <c r="G864" s="94" t="s">
        <v>71</v>
      </c>
      <c r="H864" s="94">
        <v>1020</v>
      </c>
      <c r="I864" s="115"/>
      <c r="J864" s="94" t="s">
        <v>72</v>
      </c>
      <c r="K864" s="152">
        <v>7.3209999999999997</v>
      </c>
      <c r="L864" s="122" t="str">
        <f>VLOOKUP(K864,Liste!$L$2:$O$34,4,1)</f>
        <v>GSMR_02/03</v>
      </c>
      <c r="M864" s="133" t="s">
        <v>36</v>
      </c>
      <c r="N864" s="181" t="s">
        <v>58</v>
      </c>
      <c r="O864" s="125" t="s">
        <v>1967</v>
      </c>
      <c r="P864" s="116"/>
      <c r="Q864" s="129" t="s">
        <v>39</v>
      </c>
      <c r="R864" s="129" t="s">
        <v>1032</v>
      </c>
      <c r="S864" s="91" t="s">
        <v>1682</v>
      </c>
      <c r="T864" s="94" t="s">
        <v>93</v>
      </c>
      <c r="U864" s="94" t="s">
        <v>1460</v>
      </c>
      <c r="V864" s="94" t="s">
        <v>43</v>
      </c>
      <c r="W864" s="94" t="s">
        <v>51</v>
      </c>
      <c r="X864" s="124" t="s">
        <v>52</v>
      </c>
      <c r="Y864" s="124" t="s">
        <v>946</v>
      </c>
      <c r="Z864" s="91"/>
      <c r="AA864" s="91" t="s">
        <v>778</v>
      </c>
      <c r="AB864" s="91"/>
      <c r="AC864" s="91"/>
      <c r="AD864" s="91"/>
      <c r="AE864" s="91"/>
      <c r="AF864" s="91"/>
      <c r="AG864" s="91"/>
      <c r="AH864" s="91"/>
    </row>
    <row r="865" spans="1:34" s="1" customFormat="1" ht="45">
      <c r="A865" s="120">
        <v>864</v>
      </c>
      <c r="B865" s="120" t="b">
        <f t="shared" ca="1" si="13"/>
        <v>0</v>
      </c>
      <c r="C865" s="121">
        <v>45611</v>
      </c>
      <c r="D865" s="137">
        <v>0.5875231481481481</v>
      </c>
      <c r="E865" s="94">
        <v>2033</v>
      </c>
      <c r="F865" s="142">
        <v>1211</v>
      </c>
      <c r="G865" s="94" t="s">
        <v>34</v>
      </c>
      <c r="H865" s="94">
        <v>1029</v>
      </c>
      <c r="I865" s="115"/>
      <c r="J865" s="94" t="s">
        <v>35</v>
      </c>
      <c r="K865" s="152">
        <v>6.13</v>
      </c>
      <c r="L865" s="122" t="str">
        <f>VLOOKUP(K865,Liste!$L$2:$O$34,4,1)</f>
        <v>GSMR_02/03</v>
      </c>
      <c r="M865" s="133" t="s">
        <v>36</v>
      </c>
      <c r="N865" s="181" t="s">
        <v>58</v>
      </c>
      <c r="O865" s="125" t="s">
        <v>1968</v>
      </c>
      <c r="P865" s="116"/>
      <c r="Q865" s="129" t="s">
        <v>39</v>
      </c>
      <c r="R865" s="129" t="s">
        <v>1032</v>
      </c>
      <c r="S865" s="91" t="s">
        <v>1374</v>
      </c>
      <c r="T865" s="94" t="s">
        <v>56</v>
      </c>
      <c r="U865" s="94" t="s">
        <v>1463</v>
      </c>
      <c r="V865" s="94" t="s">
        <v>43</v>
      </c>
      <c r="W865" s="94" t="s">
        <v>51</v>
      </c>
      <c r="X865" s="124" t="s">
        <v>52</v>
      </c>
      <c r="Y865" s="124" t="s">
        <v>946</v>
      </c>
      <c r="Z865" s="91"/>
      <c r="AA865" s="91" t="s">
        <v>802</v>
      </c>
      <c r="AB865" s="91"/>
      <c r="AC865" s="91"/>
      <c r="AD865" s="91"/>
      <c r="AE865" s="91"/>
      <c r="AF865" s="91"/>
      <c r="AG865" s="91"/>
      <c r="AH865" s="91"/>
    </row>
    <row r="866" spans="1:34" s="1" customFormat="1" ht="45">
      <c r="A866" s="120">
        <v>865</v>
      </c>
      <c r="B866" s="120" t="b">
        <f t="shared" ca="1" si="13"/>
        <v>0</v>
      </c>
      <c r="C866" s="121">
        <v>45611</v>
      </c>
      <c r="D866" s="137">
        <v>0.62844907407407402</v>
      </c>
      <c r="E866" s="94">
        <v>2037</v>
      </c>
      <c r="F866" s="142">
        <v>1203</v>
      </c>
      <c r="G866" s="94" t="s">
        <v>34</v>
      </c>
      <c r="H866" s="94">
        <v>1024</v>
      </c>
      <c r="I866" s="115"/>
      <c r="J866" s="94" t="s">
        <v>35</v>
      </c>
      <c r="K866" s="152">
        <v>6.13</v>
      </c>
      <c r="L866" s="122" t="str">
        <f>VLOOKUP(K866,Liste!$L$2:$O$34,4,1)</f>
        <v>GSMR_02/03</v>
      </c>
      <c r="M866" s="133" t="s">
        <v>36</v>
      </c>
      <c r="N866" s="180" t="s">
        <v>37</v>
      </c>
      <c r="O866" s="125" t="s">
        <v>1969</v>
      </c>
      <c r="P866" s="116"/>
      <c r="Q866" s="129" t="s">
        <v>39</v>
      </c>
      <c r="R866" s="129" t="s">
        <v>1032</v>
      </c>
      <c r="S866" s="91" t="s">
        <v>1970</v>
      </c>
      <c r="T866" s="94" t="s">
        <v>56</v>
      </c>
      <c r="U866" s="94" t="s">
        <v>1490</v>
      </c>
      <c r="V866" s="94" t="s">
        <v>43</v>
      </c>
      <c r="W866" s="94" t="s">
        <v>51</v>
      </c>
      <c r="X866" s="124" t="s">
        <v>52</v>
      </c>
      <c r="Y866" s="124" t="s">
        <v>946</v>
      </c>
      <c r="Z866" s="91"/>
      <c r="AA866" s="91" t="s">
        <v>793</v>
      </c>
      <c r="AB866" s="91"/>
      <c r="AC866" s="91"/>
      <c r="AD866" s="91"/>
      <c r="AE866" s="91"/>
      <c r="AF866" s="91"/>
      <c r="AG866" s="91"/>
      <c r="AH866" s="91"/>
    </row>
    <row r="867" spans="1:34" s="1" customFormat="1" ht="45">
      <c r="A867" s="120">
        <v>866</v>
      </c>
      <c r="B867" s="120" t="b">
        <f t="shared" ca="1" si="13"/>
        <v>0</v>
      </c>
      <c r="C867" s="121">
        <v>45611</v>
      </c>
      <c r="D867" s="137">
        <v>0.71196759259259257</v>
      </c>
      <c r="E867" s="94">
        <v>2045</v>
      </c>
      <c r="F867" s="142">
        <v>1208</v>
      </c>
      <c r="G867" s="94" t="s">
        <v>34</v>
      </c>
      <c r="H867" s="94">
        <v>1036</v>
      </c>
      <c r="I867" s="115"/>
      <c r="J867" s="94" t="s">
        <v>35</v>
      </c>
      <c r="K867" s="152">
        <v>6.13</v>
      </c>
      <c r="L867" s="122" t="str">
        <f>VLOOKUP(K867,Liste!$L$2:$O$34,4,1)</f>
        <v>GSMR_02/03</v>
      </c>
      <c r="M867" s="133" t="s">
        <v>36</v>
      </c>
      <c r="N867" s="181" t="s">
        <v>58</v>
      </c>
      <c r="O867" s="125" t="s">
        <v>1971</v>
      </c>
      <c r="P867" s="116"/>
      <c r="Q867" s="129" t="s">
        <v>39</v>
      </c>
      <c r="R867" s="129" t="s">
        <v>1032</v>
      </c>
      <c r="S867" s="91" t="s">
        <v>1972</v>
      </c>
      <c r="T867" s="94" t="s">
        <v>56</v>
      </c>
      <c r="U867" s="94" t="s">
        <v>1490</v>
      </c>
      <c r="V867" s="94" t="s">
        <v>51</v>
      </c>
      <c r="W867" s="94" t="s">
        <v>51</v>
      </c>
      <c r="X867" s="124" t="s">
        <v>52</v>
      </c>
      <c r="Y867" s="124" t="s">
        <v>946</v>
      </c>
      <c r="Z867" s="91"/>
      <c r="AA867" s="91" t="s">
        <v>793</v>
      </c>
      <c r="AB867" s="91"/>
      <c r="AC867" s="91"/>
      <c r="AD867" s="91"/>
      <c r="AE867" s="91"/>
      <c r="AF867" s="91"/>
      <c r="AG867" s="91"/>
      <c r="AH867" s="91"/>
    </row>
    <row r="868" spans="1:34" s="1" customFormat="1" ht="60">
      <c r="A868" s="120">
        <v>867</v>
      </c>
      <c r="B868" s="120" t="b">
        <f t="shared" ca="1" si="13"/>
        <v>0</v>
      </c>
      <c r="C868" s="121">
        <v>45612</v>
      </c>
      <c r="D868" s="137">
        <v>0.62902777777777774</v>
      </c>
      <c r="E868" s="94">
        <v>2037</v>
      </c>
      <c r="F868" s="142">
        <v>1202</v>
      </c>
      <c r="G868" s="94" t="s">
        <v>34</v>
      </c>
      <c r="H868" s="94">
        <v>1042</v>
      </c>
      <c r="I868" s="115"/>
      <c r="J868" s="94" t="s">
        <v>35</v>
      </c>
      <c r="K868" s="152">
        <v>6.13</v>
      </c>
      <c r="L868" s="122" t="str">
        <f>VLOOKUP(K868,Liste!$L$2:$O$34,4,1)</f>
        <v>GSMR_02/03</v>
      </c>
      <c r="M868" s="133" t="s">
        <v>36</v>
      </c>
      <c r="N868" s="180" t="s">
        <v>37</v>
      </c>
      <c r="O868" s="125" t="s">
        <v>1973</v>
      </c>
      <c r="P868" s="116"/>
      <c r="Q868" s="129" t="s">
        <v>39</v>
      </c>
      <c r="R868" s="129" t="s">
        <v>1032</v>
      </c>
      <c r="S868" s="91" t="s">
        <v>1974</v>
      </c>
      <c r="T868" s="94" t="s">
        <v>56</v>
      </c>
      <c r="U868" s="94" t="s">
        <v>1509</v>
      </c>
      <c r="V868" s="94" t="s">
        <v>43</v>
      </c>
      <c r="W868" s="94" t="s">
        <v>51</v>
      </c>
      <c r="X868" s="124" t="s">
        <v>52</v>
      </c>
      <c r="Y868" s="124" t="s">
        <v>946</v>
      </c>
      <c r="Z868" s="91"/>
      <c r="AA868" s="91" t="s">
        <v>793</v>
      </c>
      <c r="AB868" s="91"/>
      <c r="AC868" s="91"/>
      <c r="AD868" s="91"/>
      <c r="AE868" s="91"/>
      <c r="AF868" s="91"/>
      <c r="AG868" s="91"/>
      <c r="AH868" s="91"/>
    </row>
    <row r="869" spans="1:34" s="1" customFormat="1" ht="60">
      <c r="A869" s="120">
        <v>868</v>
      </c>
      <c r="B869" s="120" t="b">
        <f t="shared" ca="1" si="13"/>
        <v>0</v>
      </c>
      <c r="C869" s="121">
        <v>45612</v>
      </c>
      <c r="D869" s="137">
        <v>0.67206018518518518</v>
      </c>
      <c r="E869" s="94">
        <v>2041</v>
      </c>
      <c r="F869" s="142">
        <v>1204</v>
      </c>
      <c r="G869" s="94" t="s">
        <v>34</v>
      </c>
      <c r="H869" s="94">
        <v>1053</v>
      </c>
      <c r="I869" s="115"/>
      <c r="J869" s="94" t="s">
        <v>35</v>
      </c>
      <c r="K869" s="91">
        <v>11.28</v>
      </c>
      <c r="L869" s="122" t="str">
        <f>VLOOKUP(K869,Liste!$L$2:$O$34,4,1)</f>
        <v>GSMR_03/04</v>
      </c>
      <c r="M869" s="133" t="s">
        <v>36</v>
      </c>
      <c r="N869" s="181" t="s">
        <v>58</v>
      </c>
      <c r="O869" s="125" t="s">
        <v>1975</v>
      </c>
      <c r="P869" s="116"/>
      <c r="Q869" s="129" t="s">
        <v>39</v>
      </c>
      <c r="R869" s="129" t="s">
        <v>1032</v>
      </c>
      <c r="S869" s="91" t="s">
        <v>1374</v>
      </c>
      <c r="T869" s="94" t="s">
        <v>69</v>
      </c>
      <c r="U869" s="94" t="s">
        <v>1688</v>
      </c>
      <c r="V869" s="94" t="s">
        <v>51</v>
      </c>
      <c r="W869" s="94" t="s">
        <v>51</v>
      </c>
      <c r="X869" s="124" t="s">
        <v>52</v>
      </c>
      <c r="Y869" s="124" t="s">
        <v>946</v>
      </c>
      <c r="Z869" s="91"/>
      <c r="AA869" s="91" t="s">
        <v>793</v>
      </c>
      <c r="AB869" s="91"/>
      <c r="AC869" s="91"/>
      <c r="AD869" s="91"/>
      <c r="AE869" s="91"/>
      <c r="AF869" s="91"/>
      <c r="AG869" s="91"/>
      <c r="AH869" s="91"/>
    </row>
    <row r="870" spans="1:34" s="1" customFormat="1" ht="60">
      <c r="A870" s="120">
        <v>869</v>
      </c>
      <c r="B870" s="120" t="b">
        <f t="shared" ca="1" si="13"/>
        <v>0</v>
      </c>
      <c r="C870" s="121">
        <v>45612</v>
      </c>
      <c r="D870" s="137">
        <v>0.71218749999999997</v>
      </c>
      <c r="E870" s="94">
        <v>2045</v>
      </c>
      <c r="F870" s="142">
        <v>1210</v>
      </c>
      <c r="G870" s="94" t="s">
        <v>34</v>
      </c>
      <c r="H870" s="94">
        <v>1048</v>
      </c>
      <c r="I870" s="115"/>
      <c r="J870" s="94" t="s">
        <v>35</v>
      </c>
      <c r="K870" s="152">
        <v>6.13</v>
      </c>
      <c r="L870" s="122" t="str">
        <f>VLOOKUP(K870,Liste!$L$2:$O$34,4,1)</f>
        <v>GSMR_02/03</v>
      </c>
      <c r="M870" s="133" t="s">
        <v>36</v>
      </c>
      <c r="N870" s="180" t="s">
        <v>37</v>
      </c>
      <c r="O870" s="125" t="s">
        <v>1976</v>
      </c>
      <c r="P870" s="116"/>
      <c r="Q870" s="129" t="s">
        <v>39</v>
      </c>
      <c r="R870" s="129" t="s">
        <v>1032</v>
      </c>
      <c r="S870" s="91" t="s">
        <v>1974</v>
      </c>
      <c r="T870" s="94" t="s">
        <v>56</v>
      </c>
      <c r="U870" s="94" t="s">
        <v>1468</v>
      </c>
      <c r="V870" s="94" t="s">
        <v>51</v>
      </c>
      <c r="W870" s="94" t="s">
        <v>51</v>
      </c>
      <c r="X870" s="124" t="s">
        <v>52</v>
      </c>
      <c r="Y870" s="124" t="s">
        <v>946</v>
      </c>
      <c r="Z870" s="91"/>
      <c r="AA870" s="91" t="s">
        <v>793</v>
      </c>
      <c r="AB870" s="91"/>
      <c r="AC870" s="91"/>
      <c r="AD870" s="91"/>
      <c r="AE870" s="91"/>
      <c r="AF870" s="91"/>
      <c r="AG870" s="91"/>
      <c r="AH870" s="91"/>
    </row>
    <row r="871" spans="1:34" s="1" customFormat="1" ht="60">
      <c r="A871" s="120">
        <v>870</v>
      </c>
      <c r="B871" s="120" t="b">
        <f t="shared" ca="1" si="13"/>
        <v>0</v>
      </c>
      <c r="C871" s="121">
        <v>45612</v>
      </c>
      <c r="D871" s="137">
        <v>0.85333333333333339</v>
      </c>
      <c r="E871" s="94">
        <v>1053</v>
      </c>
      <c r="F871" s="142">
        <v>1204</v>
      </c>
      <c r="G871" s="94" t="s">
        <v>71</v>
      </c>
      <c r="H871" s="94">
        <v>1034</v>
      </c>
      <c r="I871" s="115"/>
      <c r="J871" s="94" t="s">
        <v>72</v>
      </c>
      <c r="K871" s="91">
        <v>177.85</v>
      </c>
      <c r="L871" s="122" t="str">
        <f>VLOOKUP(K871,Liste!$L$2:$O$34,4,1)</f>
        <v>GSMR_30/31</v>
      </c>
      <c r="M871" s="133" t="s">
        <v>36</v>
      </c>
      <c r="N871" s="180" t="s">
        <v>37</v>
      </c>
      <c r="O871" s="125" t="s">
        <v>1977</v>
      </c>
      <c r="P871" s="116"/>
      <c r="Q871" s="94" t="s">
        <v>54</v>
      </c>
      <c r="R871" s="129" t="s">
        <v>1930</v>
      </c>
      <c r="S871" s="91" t="s">
        <v>1978</v>
      </c>
      <c r="T871" s="94" t="s">
        <v>56</v>
      </c>
      <c r="U871" s="94" t="s">
        <v>1468</v>
      </c>
      <c r="V871" s="94" t="s">
        <v>51</v>
      </c>
      <c r="W871" s="94" t="s">
        <v>51</v>
      </c>
      <c r="X871" s="124" t="s">
        <v>52</v>
      </c>
      <c r="Y871" s="124" t="s">
        <v>946</v>
      </c>
      <c r="Z871" s="91"/>
      <c r="AA871" s="91" t="s">
        <v>793</v>
      </c>
      <c r="AB871" s="91"/>
      <c r="AC871" s="91"/>
      <c r="AD871" s="91"/>
      <c r="AE871" s="91"/>
      <c r="AF871" s="91"/>
      <c r="AG871" s="91"/>
      <c r="AH871" s="91"/>
    </row>
    <row r="872" spans="1:34" s="1" customFormat="1" ht="60">
      <c r="A872" s="120">
        <v>871</v>
      </c>
      <c r="B872" s="120" t="b">
        <f t="shared" ca="1" si="13"/>
        <v>0</v>
      </c>
      <c r="C872" s="121">
        <v>45613</v>
      </c>
      <c r="D872" s="137">
        <v>0.28746527777777775</v>
      </c>
      <c r="E872" s="94">
        <v>10075</v>
      </c>
      <c r="F872" s="142">
        <v>1204</v>
      </c>
      <c r="G872" s="94" t="s">
        <v>71</v>
      </c>
      <c r="H872" s="94">
        <v>1034</v>
      </c>
      <c r="I872" s="115"/>
      <c r="J872" s="94" t="s">
        <v>72</v>
      </c>
      <c r="K872" s="91">
        <v>180.38800000000001</v>
      </c>
      <c r="L872" s="122" t="str">
        <f>VLOOKUP(K872,Liste!$L$2:$O$34,4,1)</f>
        <v>GSMR_30/31</v>
      </c>
      <c r="M872" s="133" t="s">
        <v>36</v>
      </c>
      <c r="N872" s="180" t="s">
        <v>37</v>
      </c>
      <c r="O872" s="125" t="s">
        <v>1979</v>
      </c>
      <c r="P872" s="116"/>
      <c r="Q872" s="129" t="s">
        <v>39</v>
      </c>
      <c r="R872" s="129" t="s">
        <v>1032</v>
      </c>
      <c r="S872" s="91" t="s">
        <v>1980</v>
      </c>
      <c r="T872" s="94" t="s">
        <v>69</v>
      </c>
      <c r="U872" s="94" t="s">
        <v>1490</v>
      </c>
      <c r="V872" s="94" t="s">
        <v>51</v>
      </c>
      <c r="W872" s="94" t="s">
        <v>51</v>
      </c>
      <c r="X872" s="124" t="s">
        <v>52</v>
      </c>
      <c r="Y872" s="124" t="s">
        <v>946</v>
      </c>
      <c r="Z872" s="91"/>
      <c r="AA872" s="91" t="s">
        <v>754</v>
      </c>
      <c r="AB872" s="91"/>
      <c r="AC872" s="91"/>
      <c r="AD872" s="91"/>
      <c r="AE872" s="91"/>
      <c r="AF872" s="91"/>
      <c r="AG872" s="91"/>
      <c r="AH872" s="91"/>
    </row>
    <row r="873" spans="1:34" s="1" customFormat="1" ht="60">
      <c r="A873" s="120">
        <v>872</v>
      </c>
      <c r="B873" s="120" t="b">
        <f t="shared" ca="1" si="13"/>
        <v>0</v>
      </c>
      <c r="C873" s="121">
        <v>45613</v>
      </c>
      <c r="D873" s="137">
        <v>0.58663194444444444</v>
      </c>
      <c r="E873" s="94">
        <v>1025</v>
      </c>
      <c r="F873" s="142">
        <v>1204</v>
      </c>
      <c r="G873" s="94" t="s">
        <v>71</v>
      </c>
      <c r="H873" s="94">
        <v>1034</v>
      </c>
      <c r="I873" s="115"/>
      <c r="J873" s="94" t="s">
        <v>72</v>
      </c>
      <c r="K873" s="152">
        <v>7.3209999999999997</v>
      </c>
      <c r="L873" s="122" t="str">
        <f>VLOOKUP(K873,Liste!$L$2:$O$34,4,1)</f>
        <v>GSMR_02/03</v>
      </c>
      <c r="M873" s="133" t="s">
        <v>36</v>
      </c>
      <c r="N873" s="181" t="s">
        <v>58</v>
      </c>
      <c r="O873" s="125" t="s">
        <v>1981</v>
      </c>
      <c r="P873" s="116"/>
      <c r="Q873" s="129" t="s">
        <v>39</v>
      </c>
      <c r="R873" s="129" t="s">
        <v>1032</v>
      </c>
      <c r="S873" s="91" t="s">
        <v>1982</v>
      </c>
      <c r="T873" s="94" t="s">
        <v>116</v>
      </c>
      <c r="U873" s="94" t="s">
        <v>1612</v>
      </c>
      <c r="V873" s="94" t="s">
        <v>43</v>
      </c>
      <c r="W873" s="94" t="s">
        <v>51</v>
      </c>
      <c r="X873" s="124" t="s">
        <v>52</v>
      </c>
      <c r="Y873" s="124" t="s">
        <v>1983</v>
      </c>
      <c r="Z873" s="91"/>
      <c r="AA873" s="91" t="s">
        <v>772</v>
      </c>
      <c r="AB873" s="91"/>
      <c r="AC873" s="91"/>
      <c r="AD873" s="91"/>
      <c r="AE873" s="91"/>
      <c r="AF873" s="91"/>
      <c r="AG873" s="91"/>
      <c r="AH873" s="91"/>
    </row>
    <row r="874" spans="1:34" s="1" customFormat="1" ht="60">
      <c r="A874" s="120">
        <v>873</v>
      </c>
      <c r="B874" s="120" t="b">
        <f t="shared" ca="1" si="13"/>
        <v>0</v>
      </c>
      <c r="C874" s="121">
        <v>45613</v>
      </c>
      <c r="D874" s="137">
        <v>0.64935185185185185</v>
      </c>
      <c r="E874" s="94">
        <v>2037</v>
      </c>
      <c r="F874" s="142">
        <v>1204</v>
      </c>
      <c r="G874" s="94" t="s">
        <v>71</v>
      </c>
      <c r="H874" s="94">
        <v>1053</v>
      </c>
      <c r="I874" s="115"/>
      <c r="J874" s="94" t="s">
        <v>72</v>
      </c>
      <c r="K874" s="91">
        <v>144.32599999999999</v>
      </c>
      <c r="L874" s="122" t="str">
        <f>VLOOKUP(K874,Liste!$L$2:$O$34,4,1)</f>
        <v>GSMR_25/26</v>
      </c>
      <c r="M874" s="133" t="s">
        <v>36</v>
      </c>
      <c r="N874" s="180" t="s">
        <v>37</v>
      </c>
      <c r="O874" s="125" t="s">
        <v>1984</v>
      </c>
      <c r="P874" s="119"/>
      <c r="Q874" s="94" t="s">
        <v>105</v>
      </c>
      <c r="R874" s="129" t="s">
        <v>1072</v>
      </c>
      <c r="S874" s="91" t="s">
        <v>1985</v>
      </c>
      <c r="T874" s="94" t="s">
        <v>69</v>
      </c>
      <c r="U874" s="94" t="s">
        <v>1463</v>
      </c>
      <c r="V874" s="94" t="s">
        <v>51</v>
      </c>
      <c r="W874" s="94" t="s">
        <v>51</v>
      </c>
      <c r="X874" s="124" t="s">
        <v>52</v>
      </c>
      <c r="Y874" s="124" t="s">
        <v>1983</v>
      </c>
      <c r="Z874" s="91"/>
      <c r="AA874" s="91" t="s">
        <v>772</v>
      </c>
      <c r="AB874" s="91"/>
      <c r="AC874" s="91"/>
      <c r="AD874" s="91"/>
      <c r="AE874" s="91"/>
      <c r="AF874" s="91"/>
      <c r="AG874" s="91"/>
      <c r="AH874" s="91"/>
    </row>
    <row r="875" spans="1:34" s="1" customFormat="1" ht="60">
      <c r="A875" s="120">
        <v>874</v>
      </c>
      <c r="B875" s="120" t="b">
        <f t="shared" ca="1" si="13"/>
        <v>0</v>
      </c>
      <c r="C875" s="121">
        <v>45613</v>
      </c>
      <c r="D875" s="137">
        <v>0.78148148148148144</v>
      </c>
      <c r="E875" s="94">
        <v>1046</v>
      </c>
      <c r="F875" s="142">
        <v>1209</v>
      </c>
      <c r="G875" s="94" t="s">
        <v>71</v>
      </c>
      <c r="H875" s="94">
        <v>1033</v>
      </c>
      <c r="I875" s="115"/>
      <c r="J875" s="94" t="s">
        <v>72</v>
      </c>
      <c r="K875" s="91">
        <v>97.619</v>
      </c>
      <c r="L875" s="122" t="str">
        <f>VLOOKUP(K875,Liste!$L$2:$O$34,4,1)</f>
        <v>GSMR_17/18</v>
      </c>
      <c r="M875" s="133" t="s">
        <v>36</v>
      </c>
      <c r="N875" s="180" t="s">
        <v>37</v>
      </c>
      <c r="O875" s="125" t="s">
        <v>1986</v>
      </c>
      <c r="P875" s="116"/>
      <c r="Q875" s="129" t="s">
        <v>39</v>
      </c>
      <c r="R875" s="129" t="s">
        <v>1032</v>
      </c>
      <c r="S875" s="91" t="s">
        <v>1987</v>
      </c>
      <c r="T875" s="94" t="s">
        <v>69</v>
      </c>
      <c r="U875" s="94" t="s">
        <v>1453</v>
      </c>
      <c r="V875" s="94" t="s">
        <v>43</v>
      </c>
      <c r="W875" s="94" t="s">
        <v>51</v>
      </c>
      <c r="X875" s="124" t="s">
        <v>52</v>
      </c>
      <c r="Y875" s="124" t="s">
        <v>1983</v>
      </c>
      <c r="Z875" s="91"/>
      <c r="AA875" s="91" t="s">
        <v>772</v>
      </c>
      <c r="AB875" s="91"/>
      <c r="AC875" s="91"/>
      <c r="AD875" s="91"/>
      <c r="AE875" s="91"/>
      <c r="AF875" s="91"/>
      <c r="AG875" s="91"/>
      <c r="AH875" s="91"/>
    </row>
    <row r="876" spans="1:34" s="1" customFormat="1" ht="60">
      <c r="A876" s="120">
        <v>875</v>
      </c>
      <c r="B876" s="120" t="b">
        <f t="shared" ca="1" si="13"/>
        <v>0</v>
      </c>
      <c r="C876" s="121">
        <v>45613</v>
      </c>
      <c r="D876" s="137">
        <v>0.83690972222222226</v>
      </c>
      <c r="E876" s="94">
        <v>2057</v>
      </c>
      <c r="F876" s="142">
        <v>1209</v>
      </c>
      <c r="G876" s="94" t="s">
        <v>34</v>
      </c>
      <c r="H876" s="94">
        <v>1033</v>
      </c>
      <c r="I876" s="115"/>
      <c r="J876" s="94" t="s">
        <v>35</v>
      </c>
      <c r="K876" s="152">
        <v>6.13</v>
      </c>
      <c r="L876" s="122" t="str">
        <f>VLOOKUP(K876,Liste!$L$2:$O$34,4,1)</f>
        <v>GSMR_02/03</v>
      </c>
      <c r="M876" s="133" t="s">
        <v>36</v>
      </c>
      <c r="N876" s="180" t="s">
        <v>37</v>
      </c>
      <c r="O876" s="125" t="s">
        <v>1988</v>
      </c>
      <c r="P876" s="116"/>
      <c r="Q876" s="129" t="s">
        <v>39</v>
      </c>
      <c r="R876" s="129" t="s">
        <v>1032</v>
      </c>
      <c r="S876" s="91" t="s">
        <v>1989</v>
      </c>
      <c r="T876" s="94" t="s">
        <v>69</v>
      </c>
      <c r="U876" s="94" t="s">
        <v>1460</v>
      </c>
      <c r="V876" s="94" t="s">
        <v>43</v>
      </c>
      <c r="W876" s="94" t="s">
        <v>51</v>
      </c>
      <c r="X876" s="124" t="s">
        <v>52</v>
      </c>
      <c r="Y876" s="124" t="s">
        <v>1983</v>
      </c>
      <c r="Z876" s="91"/>
      <c r="AA876" s="91" t="s">
        <v>772</v>
      </c>
      <c r="AB876" s="91"/>
      <c r="AC876" s="91"/>
      <c r="AD876" s="91"/>
      <c r="AE876" s="91"/>
      <c r="AF876" s="91"/>
      <c r="AG876" s="91"/>
      <c r="AH876" s="91"/>
    </row>
    <row r="877" spans="1:34" s="1" customFormat="1" ht="60">
      <c r="A877" s="120">
        <v>876</v>
      </c>
      <c r="B877" s="120" t="b">
        <f t="shared" ca="1" si="13"/>
        <v>0</v>
      </c>
      <c r="C877" s="121">
        <v>45613</v>
      </c>
      <c r="D877" s="137">
        <v>0.89768518518518514</v>
      </c>
      <c r="E877" s="94">
        <v>2061</v>
      </c>
      <c r="F877" s="142">
        <v>1204</v>
      </c>
      <c r="G877" s="94" t="s">
        <v>34</v>
      </c>
      <c r="H877" s="94">
        <v>1053</v>
      </c>
      <c r="I877" s="115"/>
      <c r="J877" s="94" t="s">
        <v>35</v>
      </c>
      <c r="K877" s="91">
        <v>133.07400000000001</v>
      </c>
      <c r="L877" s="122" t="str">
        <f>VLOOKUP(K877,Liste!$L$2:$O$34,4,1)</f>
        <v>GSMR_23/24</v>
      </c>
      <c r="M877" s="133" t="s">
        <v>36</v>
      </c>
      <c r="N877" s="180" t="s">
        <v>37</v>
      </c>
      <c r="O877" s="125" t="s">
        <v>1990</v>
      </c>
      <c r="P877" s="116"/>
      <c r="Q877" s="129" t="s">
        <v>105</v>
      </c>
      <c r="R877" s="129" t="s">
        <v>1072</v>
      </c>
      <c r="S877" s="91" t="s">
        <v>1991</v>
      </c>
      <c r="T877" s="94" t="s">
        <v>209</v>
      </c>
      <c r="U877" s="94" t="s">
        <v>1718</v>
      </c>
      <c r="V877" s="94" t="s">
        <v>51</v>
      </c>
      <c r="W877" s="94" t="s">
        <v>51</v>
      </c>
      <c r="X877" s="124" t="s">
        <v>52</v>
      </c>
      <c r="Y877" s="124" t="s">
        <v>946</v>
      </c>
      <c r="Z877" s="91"/>
      <c r="AA877" s="91" t="s">
        <v>754</v>
      </c>
      <c r="AB877" s="91"/>
      <c r="AC877" s="91"/>
      <c r="AD877" s="91"/>
      <c r="AE877" s="91"/>
      <c r="AF877" s="91"/>
      <c r="AG877" s="91"/>
      <c r="AH877" s="91"/>
    </row>
    <row r="878" spans="1:34" s="1" customFormat="1" ht="60">
      <c r="A878" s="120">
        <v>877</v>
      </c>
      <c r="B878" s="120" t="b">
        <f t="shared" ca="1" si="13"/>
        <v>0</v>
      </c>
      <c r="C878" s="121">
        <v>45614</v>
      </c>
      <c r="D878" s="137">
        <v>0.46163194444444444</v>
      </c>
      <c r="E878" s="94">
        <v>1014</v>
      </c>
      <c r="F878" s="142">
        <v>1203</v>
      </c>
      <c r="G878" s="94" t="s">
        <v>71</v>
      </c>
      <c r="H878" s="94">
        <v>1027</v>
      </c>
      <c r="I878" s="115"/>
      <c r="J878" s="94" t="s">
        <v>72</v>
      </c>
      <c r="K878" s="152">
        <v>7.3209999999999997</v>
      </c>
      <c r="L878" s="122" t="str">
        <f>VLOOKUP(K878,Liste!$L$2:$O$34,4,1)</f>
        <v>GSMR_02/03</v>
      </c>
      <c r="M878" s="133" t="s">
        <v>36</v>
      </c>
      <c r="N878" s="180" t="s">
        <v>37</v>
      </c>
      <c r="O878" s="125" t="s">
        <v>1992</v>
      </c>
      <c r="P878" s="116"/>
      <c r="Q878" s="129" t="s">
        <v>39</v>
      </c>
      <c r="R878" s="129" t="s">
        <v>1032</v>
      </c>
      <c r="S878" s="91" t="s">
        <v>1982</v>
      </c>
      <c r="T878" s="94" t="s">
        <v>93</v>
      </c>
      <c r="U878" s="94" t="s">
        <v>1546</v>
      </c>
      <c r="V878" s="94" t="s">
        <v>51</v>
      </c>
      <c r="W878" s="94" t="s">
        <v>51</v>
      </c>
      <c r="X878" s="124" t="s">
        <v>52</v>
      </c>
      <c r="Y878" s="124" t="s">
        <v>622</v>
      </c>
      <c r="Z878" s="91"/>
      <c r="AA878" s="91" t="s">
        <v>772</v>
      </c>
      <c r="AB878" s="91"/>
      <c r="AC878" s="91"/>
      <c r="AD878" s="91"/>
      <c r="AE878" s="91"/>
      <c r="AF878" s="91"/>
      <c r="AG878" s="91"/>
      <c r="AH878" s="91"/>
    </row>
    <row r="879" spans="1:34" s="1" customFormat="1" ht="60">
      <c r="A879" s="120">
        <v>878</v>
      </c>
      <c r="B879" s="120" t="b">
        <f t="shared" ca="1" si="13"/>
        <v>0</v>
      </c>
      <c r="C879" s="121">
        <v>45614</v>
      </c>
      <c r="D879" s="137">
        <v>0.70165509259259262</v>
      </c>
      <c r="E879" s="94">
        <v>1038</v>
      </c>
      <c r="F879" s="142">
        <v>1204</v>
      </c>
      <c r="G879" s="94" t="s">
        <v>71</v>
      </c>
      <c r="H879" s="94">
        <v>1035</v>
      </c>
      <c r="I879" s="115"/>
      <c r="J879" s="94" t="s">
        <v>72</v>
      </c>
      <c r="K879" s="91">
        <v>75.84</v>
      </c>
      <c r="L879" s="122" t="str">
        <f>VLOOKUP(K879,Liste!$L$2:$O$34,4,1)</f>
        <v>GSMR_13/14</v>
      </c>
      <c r="M879" s="133" t="s">
        <v>36</v>
      </c>
      <c r="N879" s="180" t="s">
        <v>37</v>
      </c>
      <c r="O879" s="125" t="s">
        <v>1993</v>
      </c>
      <c r="P879" s="116"/>
      <c r="Q879" s="129" t="s">
        <v>39</v>
      </c>
      <c r="R879" s="129" t="s">
        <v>1032</v>
      </c>
      <c r="S879" s="91" t="s">
        <v>1994</v>
      </c>
      <c r="T879" s="94" t="s">
        <v>41</v>
      </c>
      <c r="U879" s="94" t="s">
        <v>1493</v>
      </c>
      <c r="V879" s="94" t="s">
        <v>51</v>
      </c>
      <c r="W879" s="94" t="s">
        <v>51</v>
      </c>
      <c r="X879" s="124" t="s">
        <v>52</v>
      </c>
      <c r="Y879" s="124" t="s">
        <v>622</v>
      </c>
      <c r="Z879" s="91"/>
      <c r="AA879" s="91" t="s">
        <v>778</v>
      </c>
      <c r="AB879" s="91"/>
      <c r="AC879" s="91"/>
      <c r="AD879" s="91"/>
      <c r="AE879" s="91"/>
      <c r="AF879" s="91"/>
      <c r="AG879" s="91"/>
      <c r="AH879" s="91"/>
    </row>
    <row r="880" spans="1:34" s="1" customFormat="1" ht="60">
      <c r="A880" s="120">
        <v>879</v>
      </c>
      <c r="B880" s="120" t="b">
        <f t="shared" ca="1" si="13"/>
        <v>0</v>
      </c>
      <c r="C880" s="121">
        <v>45614</v>
      </c>
      <c r="D880" s="137">
        <v>0.79079861111111116</v>
      </c>
      <c r="E880" s="94">
        <v>1045</v>
      </c>
      <c r="F880" s="142">
        <v>1210</v>
      </c>
      <c r="G880" s="94" t="s">
        <v>71</v>
      </c>
      <c r="H880" s="94">
        <v>1020</v>
      </c>
      <c r="I880" s="115"/>
      <c r="J880" s="94" t="s">
        <v>72</v>
      </c>
      <c r="K880" s="91">
        <v>28.396999999999998</v>
      </c>
      <c r="L880" s="122" t="str">
        <f>VLOOKUP(K880,Liste!$L$2:$O$34,4,1)</f>
        <v>GSMR_05/06</v>
      </c>
      <c r="M880" s="133" t="s">
        <v>36</v>
      </c>
      <c r="N880" s="180" t="s">
        <v>37</v>
      </c>
      <c r="O880" s="125" t="s">
        <v>1995</v>
      </c>
      <c r="P880" s="116"/>
      <c r="Q880" s="129" t="s">
        <v>39</v>
      </c>
      <c r="R880" s="129" t="s">
        <v>1032</v>
      </c>
      <c r="S880" s="91" t="s">
        <v>1996</v>
      </c>
      <c r="T880" s="94" t="s">
        <v>69</v>
      </c>
      <c r="U880" s="94" t="s">
        <v>1688</v>
      </c>
      <c r="V880" s="94" t="s">
        <v>51</v>
      </c>
      <c r="W880" s="94" t="s">
        <v>51</v>
      </c>
      <c r="X880" s="124" t="s">
        <v>52</v>
      </c>
      <c r="Y880" s="124" t="s">
        <v>622</v>
      </c>
      <c r="Z880" s="91"/>
      <c r="AA880" s="91" t="s">
        <v>778</v>
      </c>
      <c r="AB880" s="91"/>
      <c r="AC880" s="91"/>
      <c r="AD880" s="91"/>
      <c r="AE880" s="91"/>
      <c r="AF880" s="91"/>
      <c r="AG880" s="91"/>
      <c r="AH880" s="91"/>
    </row>
    <row r="881" spans="1:34" s="1" customFormat="1" ht="60">
      <c r="A881" s="120">
        <v>880</v>
      </c>
      <c r="B881" s="120" t="b">
        <f t="shared" ca="1" si="13"/>
        <v>0</v>
      </c>
      <c r="C881" s="121">
        <v>45614</v>
      </c>
      <c r="D881" s="137">
        <v>0.79510416666666661</v>
      </c>
      <c r="E881" s="94">
        <v>1046</v>
      </c>
      <c r="F881" s="142">
        <v>1210</v>
      </c>
      <c r="G881" s="94" t="s">
        <v>71</v>
      </c>
      <c r="H881" s="94">
        <v>1020</v>
      </c>
      <c r="I881" s="115"/>
      <c r="J881" s="94" t="s">
        <v>72</v>
      </c>
      <c r="K881" s="152">
        <v>7.3209999999999997</v>
      </c>
      <c r="L881" s="122" t="str">
        <f>VLOOKUP(K881,Liste!$L$2:$O$34,4,1)</f>
        <v>GSMR_02/03</v>
      </c>
      <c r="M881" s="133" t="s">
        <v>36</v>
      </c>
      <c r="N881" s="181" t="s">
        <v>58</v>
      </c>
      <c r="O881" s="125" t="s">
        <v>1997</v>
      </c>
      <c r="P881" s="116"/>
      <c r="Q881" s="129" t="s">
        <v>39</v>
      </c>
      <c r="R881" s="129" t="s">
        <v>1032</v>
      </c>
      <c r="S881" s="91" t="s">
        <v>1601</v>
      </c>
      <c r="T881" s="94" t="s">
        <v>93</v>
      </c>
      <c r="U881" s="94" t="s">
        <v>1468</v>
      </c>
      <c r="V881" s="94" t="s">
        <v>51</v>
      </c>
      <c r="W881" s="94" t="s">
        <v>51</v>
      </c>
      <c r="X881" s="124" t="s">
        <v>52</v>
      </c>
      <c r="Y881" s="124" t="s">
        <v>622</v>
      </c>
      <c r="Z881" s="91"/>
      <c r="AA881" s="91" t="s">
        <v>778</v>
      </c>
      <c r="AB881" s="91"/>
      <c r="AC881" s="91"/>
      <c r="AD881" s="91"/>
      <c r="AE881" s="91"/>
      <c r="AF881" s="91"/>
      <c r="AG881" s="91"/>
      <c r="AH881" s="91"/>
    </row>
    <row r="882" spans="1:34" s="1" customFormat="1" ht="60">
      <c r="A882" s="120">
        <v>881</v>
      </c>
      <c r="B882" s="120" t="b">
        <f t="shared" ca="1" si="13"/>
        <v>0</v>
      </c>
      <c r="C882" s="121">
        <v>45615</v>
      </c>
      <c r="D882" s="137">
        <v>0.50376157407407407</v>
      </c>
      <c r="E882" s="94">
        <v>2025</v>
      </c>
      <c r="F882" s="142">
        <v>1212</v>
      </c>
      <c r="G882" s="94" t="s">
        <v>34</v>
      </c>
      <c r="H882" s="94">
        <v>1056</v>
      </c>
      <c r="I882" s="115"/>
      <c r="J882" s="94" t="s">
        <v>35</v>
      </c>
      <c r="K882" s="152">
        <v>6.13</v>
      </c>
      <c r="L882" s="122" t="str">
        <f>VLOOKUP(K882,Liste!$L$2:$O$34,4,1)</f>
        <v>GSMR_02/03</v>
      </c>
      <c r="M882" s="133" t="s">
        <v>36</v>
      </c>
      <c r="N882" s="180" t="s">
        <v>37</v>
      </c>
      <c r="O882" s="125" t="s">
        <v>1998</v>
      </c>
      <c r="P882" s="116"/>
      <c r="Q882" s="129" t="s">
        <v>39</v>
      </c>
      <c r="R882" s="129" t="s">
        <v>1032</v>
      </c>
      <c r="S882" s="91" t="s">
        <v>1601</v>
      </c>
      <c r="T882" s="94" t="s">
        <v>56</v>
      </c>
      <c r="U882" s="94" t="s">
        <v>1449</v>
      </c>
      <c r="V882" s="94" t="s">
        <v>51</v>
      </c>
      <c r="W882" s="94" t="s">
        <v>51</v>
      </c>
      <c r="X882" s="124" t="s">
        <v>52</v>
      </c>
      <c r="Y882" s="124" t="s">
        <v>622</v>
      </c>
      <c r="Z882" s="91"/>
      <c r="AA882" s="91" t="s">
        <v>793</v>
      </c>
      <c r="AB882" s="91"/>
      <c r="AC882" s="91"/>
      <c r="AD882" s="91"/>
      <c r="AE882" s="91"/>
      <c r="AF882" s="91"/>
      <c r="AG882" s="91"/>
      <c r="AH882" s="91"/>
    </row>
    <row r="883" spans="1:34" s="1" customFormat="1" ht="60">
      <c r="A883" s="120">
        <v>882</v>
      </c>
      <c r="B883" s="120" t="b">
        <f t="shared" ca="1" si="13"/>
        <v>0</v>
      </c>
      <c r="C883" s="121">
        <v>45615</v>
      </c>
      <c r="D883" s="137">
        <v>0.5849537037037037</v>
      </c>
      <c r="E883" s="94">
        <v>1025</v>
      </c>
      <c r="F883" s="142">
        <v>1204</v>
      </c>
      <c r="G883" s="94" t="s">
        <v>71</v>
      </c>
      <c r="H883" s="94">
        <v>1035</v>
      </c>
      <c r="I883" s="115"/>
      <c r="J883" s="94" t="s">
        <v>72</v>
      </c>
      <c r="K883" s="91">
        <v>12.496</v>
      </c>
      <c r="L883" s="122" t="str">
        <f>VLOOKUP(K883,Liste!$L$2:$O$34,4,1)</f>
        <v>GSMR_03/04</v>
      </c>
      <c r="M883" s="133" t="s">
        <v>36</v>
      </c>
      <c r="N883" s="180" t="s">
        <v>37</v>
      </c>
      <c r="O883" s="125" t="s">
        <v>1999</v>
      </c>
      <c r="P883" s="119"/>
      <c r="Q883" s="94" t="s">
        <v>54</v>
      </c>
      <c r="R883" s="94" t="s">
        <v>2000</v>
      </c>
      <c r="S883" s="91" t="s">
        <v>2001</v>
      </c>
      <c r="T883" s="94" t="s">
        <v>69</v>
      </c>
      <c r="U883" s="94" t="s">
        <v>1481</v>
      </c>
      <c r="V883" s="94" t="s">
        <v>43</v>
      </c>
      <c r="W883" s="94" t="s">
        <v>51</v>
      </c>
      <c r="X883" s="124" t="s">
        <v>52</v>
      </c>
      <c r="Y883" s="124" t="s">
        <v>622</v>
      </c>
      <c r="Z883" s="91"/>
      <c r="AA883" s="91" t="s">
        <v>778</v>
      </c>
      <c r="AB883" s="91"/>
      <c r="AC883" s="91"/>
      <c r="AD883" s="91"/>
      <c r="AE883" s="91"/>
      <c r="AF883" s="91"/>
      <c r="AG883" s="91"/>
      <c r="AH883" s="91"/>
    </row>
    <row r="884" spans="1:34" s="1" customFormat="1" ht="60">
      <c r="A884" s="120">
        <v>883</v>
      </c>
      <c r="B884" s="120" t="b">
        <f t="shared" ca="1" si="13"/>
        <v>0</v>
      </c>
      <c r="C884" s="121">
        <v>45615</v>
      </c>
      <c r="D884" s="137">
        <v>0.62898148148148147</v>
      </c>
      <c r="E884" s="94">
        <v>2037</v>
      </c>
      <c r="F884" s="142">
        <v>1204</v>
      </c>
      <c r="G884" s="94" t="s">
        <v>34</v>
      </c>
      <c r="H884" s="94">
        <v>1052</v>
      </c>
      <c r="I884" s="115"/>
      <c r="J884" s="94" t="s">
        <v>35</v>
      </c>
      <c r="K884" s="152">
        <v>6.13</v>
      </c>
      <c r="L884" s="122" t="str">
        <f>VLOOKUP(K884,Liste!$L$2:$O$34,4,1)</f>
        <v>GSMR_02/03</v>
      </c>
      <c r="M884" s="133" t="s">
        <v>36</v>
      </c>
      <c r="N884" s="180" t="s">
        <v>37</v>
      </c>
      <c r="O884" s="125" t="s">
        <v>2002</v>
      </c>
      <c r="P884" s="116"/>
      <c r="Q884" s="129" t="s">
        <v>39</v>
      </c>
      <c r="R884" s="129" t="s">
        <v>1032</v>
      </c>
      <c r="S884" s="91" t="s">
        <v>1255</v>
      </c>
      <c r="T884" s="94" t="s">
        <v>56</v>
      </c>
      <c r="U884" s="94" t="s">
        <v>1484</v>
      </c>
      <c r="V884" s="94" t="s">
        <v>43</v>
      </c>
      <c r="W884" s="94" t="s">
        <v>43</v>
      </c>
      <c r="X884" s="124" t="s">
        <v>52</v>
      </c>
      <c r="Y884" s="124" t="s">
        <v>622</v>
      </c>
      <c r="Z884" s="91"/>
      <c r="AA884" s="91" t="s">
        <v>778</v>
      </c>
      <c r="AB884" s="91"/>
      <c r="AC884" s="91"/>
      <c r="AD884" s="91"/>
      <c r="AE884" s="91"/>
      <c r="AF884" s="91"/>
      <c r="AG884" s="91"/>
      <c r="AH884" s="91"/>
    </row>
    <row r="885" spans="1:34" s="1" customFormat="1" ht="60">
      <c r="A885" s="120">
        <v>884</v>
      </c>
      <c r="B885" s="120" t="b">
        <f t="shared" ca="1" si="13"/>
        <v>0</v>
      </c>
      <c r="C885" s="121">
        <v>45615</v>
      </c>
      <c r="D885" s="137">
        <v>0.75373842592592588</v>
      </c>
      <c r="E885" s="94">
        <v>2049</v>
      </c>
      <c r="F885" s="142">
        <v>1212</v>
      </c>
      <c r="G885" s="94" t="s">
        <v>34</v>
      </c>
      <c r="H885" s="94">
        <v>1052</v>
      </c>
      <c r="I885" s="115"/>
      <c r="J885" s="94" t="s">
        <v>35</v>
      </c>
      <c r="K885" s="152">
        <v>6.13</v>
      </c>
      <c r="L885" s="122" t="str">
        <f>VLOOKUP(K885,Liste!$L$2:$O$34,4,1)</f>
        <v>GSMR_02/03</v>
      </c>
      <c r="M885" s="133" t="s">
        <v>36</v>
      </c>
      <c r="N885" s="180" t="s">
        <v>37</v>
      </c>
      <c r="O885" s="125" t="s">
        <v>2003</v>
      </c>
      <c r="P885" s="116"/>
      <c r="Q885" s="129" t="s">
        <v>39</v>
      </c>
      <c r="R885" s="129" t="s">
        <v>1032</v>
      </c>
      <c r="S885" s="91" t="s">
        <v>2004</v>
      </c>
      <c r="T885" s="94" t="s">
        <v>116</v>
      </c>
      <c r="U885" s="94" t="s">
        <v>1449</v>
      </c>
      <c r="V885" s="94" t="s">
        <v>43</v>
      </c>
      <c r="W885" s="94" t="s">
        <v>51</v>
      </c>
      <c r="X885" s="124" t="s">
        <v>52</v>
      </c>
      <c r="Y885" s="124" t="s">
        <v>622</v>
      </c>
      <c r="Z885" s="91"/>
      <c r="AA885" s="91" t="s">
        <v>778</v>
      </c>
      <c r="AB885" s="91"/>
      <c r="AC885" s="91"/>
      <c r="AD885" s="91"/>
      <c r="AE885" s="91"/>
      <c r="AF885" s="91"/>
      <c r="AG885" s="91"/>
      <c r="AH885" s="91"/>
    </row>
    <row r="886" spans="1:34" s="1" customFormat="1" ht="60">
      <c r="A886" s="120">
        <v>885</v>
      </c>
      <c r="B886" s="120" t="b">
        <f t="shared" ca="1" si="13"/>
        <v>0</v>
      </c>
      <c r="C886" s="121">
        <v>45616</v>
      </c>
      <c r="D886" s="137">
        <v>0.3371527777777778</v>
      </c>
      <c r="E886" s="94">
        <v>2009</v>
      </c>
      <c r="F886" s="142">
        <v>1207</v>
      </c>
      <c r="G886" s="94" t="s">
        <v>34</v>
      </c>
      <c r="H886" s="94">
        <v>1046</v>
      </c>
      <c r="I886" s="115"/>
      <c r="J886" s="94" t="s">
        <v>35</v>
      </c>
      <c r="K886" s="152">
        <v>6.13</v>
      </c>
      <c r="L886" s="122" t="str">
        <f>VLOOKUP(K886,Liste!$L$2:$O$34,4,1)</f>
        <v>GSMR_02/03</v>
      </c>
      <c r="M886" s="133" t="s">
        <v>36</v>
      </c>
      <c r="N886" s="181" t="s">
        <v>58</v>
      </c>
      <c r="O886" s="125" t="s">
        <v>2005</v>
      </c>
      <c r="P886" s="116"/>
      <c r="Q886" s="129" t="s">
        <v>39</v>
      </c>
      <c r="R886" s="129" t="s">
        <v>1032</v>
      </c>
      <c r="S886" s="91" t="s">
        <v>2004</v>
      </c>
      <c r="T886" s="94" t="s">
        <v>56</v>
      </c>
      <c r="U886" s="94" t="s">
        <v>1520</v>
      </c>
      <c r="V886" s="94" t="s">
        <v>51</v>
      </c>
      <c r="W886" s="94" t="s">
        <v>51</v>
      </c>
      <c r="X886" s="124" t="s">
        <v>52</v>
      </c>
      <c r="Y886" s="124" t="s">
        <v>1983</v>
      </c>
      <c r="Z886" s="91"/>
      <c r="AA886" s="91" t="s">
        <v>793</v>
      </c>
      <c r="AB886" s="91"/>
      <c r="AC886" s="91"/>
      <c r="AD886" s="91"/>
      <c r="AE886" s="91"/>
      <c r="AF886" s="91"/>
      <c r="AG886" s="91"/>
      <c r="AH886" s="91"/>
    </row>
    <row r="887" spans="1:34" s="1" customFormat="1" ht="60">
      <c r="A887" s="120">
        <v>886</v>
      </c>
      <c r="B887" s="120" t="b">
        <f t="shared" ca="1" si="13"/>
        <v>0</v>
      </c>
      <c r="C887" s="121">
        <v>45616</v>
      </c>
      <c r="D887" s="137">
        <v>0.37634259259259262</v>
      </c>
      <c r="E887" s="94">
        <v>1041</v>
      </c>
      <c r="F887" s="142">
        <v>1206</v>
      </c>
      <c r="G887" s="94" t="s">
        <v>71</v>
      </c>
      <c r="H887" s="94">
        <v>1041</v>
      </c>
      <c r="I887" s="115"/>
      <c r="J887" s="94" t="s">
        <v>72</v>
      </c>
      <c r="K887" s="91">
        <v>21.55</v>
      </c>
      <c r="L887" s="122" t="str">
        <f>VLOOKUP(K887,Liste!$L$2:$O$34,4,1)</f>
        <v>GSMR_04/05</v>
      </c>
      <c r="M887" s="133" t="s">
        <v>36</v>
      </c>
      <c r="N887" s="180" t="s">
        <v>37</v>
      </c>
      <c r="O887" s="125" t="s">
        <v>2006</v>
      </c>
      <c r="P887" s="116"/>
      <c r="Q887" s="129" t="s">
        <v>39</v>
      </c>
      <c r="R887" s="129" t="s">
        <v>1032</v>
      </c>
      <c r="S887" s="91" t="s">
        <v>2007</v>
      </c>
      <c r="T887" s="94" t="s">
        <v>69</v>
      </c>
      <c r="U887" s="94" t="s">
        <v>1549</v>
      </c>
      <c r="V887" s="94" t="s">
        <v>51</v>
      </c>
      <c r="W887" s="94" t="s">
        <v>51</v>
      </c>
      <c r="X887" s="124" t="s">
        <v>52</v>
      </c>
      <c r="Y887" s="124" t="s">
        <v>622</v>
      </c>
      <c r="Z887" s="91"/>
      <c r="AA887" s="91" t="s">
        <v>793</v>
      </c>
      <c r="AB887" s="91"/>
      <c r="AC887" s="91"/>
      <c r="AD887" s="91"/>
      <c r="AE887" s="91"/>
      <c r="AF887" s="91"/>
      <c r="AG887" s="91"/>
      <c r="AH887" s="91"/>
    </row>
    <row r="888" spans="1:34" s="1" customFormat="1" ht="60">
      <c r="A888" s="120">
        <v>887</v>
      </c>
      <c r="B888" s="120" t="b">
        <f t="shared" ca="1" si="13"/>
        <v>0</v>
      </c>
      <c r="C888" s="121">
        <v>45616</v>
      </c>
      <c r="D888" s="137">
        <v>0.64839120370370373</v>
      </c>
      <c r="E888" s="94">
        <v>2037</v>
      </c>
      <c r="F888" s="142">
        <v>1203</v>
      </c>
      <c r="G888" s="94" t="s">
        <v>34</v>
      </c>
      <c r="H888" s="94">
        <v>1024</v>
      </c>
      <c r="I888" s="115"/>
      <c r="J888" s="94" t="s">
        <v>35</v>
      </c>
      <c r="K888" s="91">
        <v>135.52500000000001</v>
      </c>
      <c r="L888" s="122" t="str">
        <f>VLOOKUP(K888,Liste!$L$2:$O$34,4,1)</f>
        <v>GSMR_23/24</v>
      </c>
      <c r="M888" s="133" t="s">
        <v>36</v>
      </c>
      <c r="N888" s="180" t="s">
        <v>37</v>
      </c>
      <c r="O888" s="125" t="s">
        <v>2008</v>
      </c>
      <c r="P888" s="116"/>
      <c r="Q888" s="129" t="s">
        <v>39</v>
      </c>
      <c r="R888" s="129" t="s">
        <v>1032</v>
      </c>
      <c r="S888" s="91" t="s">
        <v>2009</v>
      </c>
      <c r="T888" s="94" t="s">
        <v>41</v>
      </c>
      <c r="U888" s="94" t="s">
        <v>1453</v>
      </c>
      <c r="V888" s="94" t="s">
        <v>51</v>
      </c>
      <c r="W888" s="94" t="s">
        <v>51</v>
      </c>
      <c r="X888" s="124" t="s">
        <v>52</v>
      </c>
      <c r="Y888" s="124" t="s">
        <v>622</v>
      </c>
      <c r="Z888" s="91"/>
      <c r="AA888" s="91" t="s">
        <v>778</v>
      </c>
      <c r="AB888" s="91"/>
      <c r="AC888" s="91"/>
      <c r="AD888" s="91"/>
      <c r="AE888" s="91"/>
      <c r="AF888" s="91"/>
      <c r="AG888" s="91"/>
      <c r="AH888" s="91"/>
    </row>
    <row r="889" spans="1:34" s="1" customFormat="1" ht="60">
      <c r="A889" s="120">
        <v>888</v>
      </c>
      <c r="B889" s="120" t="b">
        <f t="shared" ca="1" si="13"/>
        <v>0</v>
      </c>
      <c r="C889" s="121">
        <v>45617</v>
      </c>
      <c r="D889" s="137">
        <v>0.25380787037037039</v>
      </c>
      <c r="E889" s="94">
        <v>2001</v>
      </c>
      <c r="F889" s="142">
        <v>1212</v>
      </c>
      <c r="G889" s="94" t="s">
        <v>34</v>
      </c>
      <c r="H889" s="94">
        <v>1057</v>
      </c>
      <c r="I889" s="115"/>
      <c r="J889" s="94" t="s">
        <v>35</v>
      </c>
      <c r="K889" s="152">
        <v>6.13</v>
      </c>
      <c r="L889" s="122" t="str">
        <f>VLOOKUP(K889,Liste!$L$2:$O$34,4,1)</f>
        <v>GSMR_02/03</v>
      </c>
      <c r="M889" s="133" t="s">
        <v>36</v>
      </c>
      <c r="N889" s="181" t="s">
        <v>58</v>
      </c>
      <c r="O889" s="125" t="s">
        <v>2010</v>
      </c>
      <c r="P889" s="116"/>
      <c r="Q889" s="129" t="s">
        <v>39</v>
      </c>
      <c r="R889" s="129" t="s">
        <v>1032</v>
      </c>
      <c r="S889" s="91" t="s">
        <v>2011</v>
      </c>
      <c r="T889" s="94" t="s">
        <v>69</v>
      </c>
      <c r="U889" s="94" t="s">
        <v>1688</v>
      </c>
      <c r="V889" s="94" t="s">
        <v>43</v>
      </c>
      <c r="W889" s="94" t="s">
        <v>51</v>
      </c>
      <c r="X889" s="124" t="s">
        <v>52</v>
      </c>
      <c r="Y889" s="124" t="s">
        <v>622</v>
      </c>
      <c r="Z889" s="91"/>
      <c r="AA889" s="91" t="s">
        <v>772</v>
      </c>
      <c r="AB889" s="91"/>
      <c r="AC889" s="91"/>
      <c r="AD889" s="91"/>
      <c r="AE889" s="91"/>
      <c r="AF889" s="91"/>
      <c r="AG889" s="91"/>
      <c r="AH889" s="91"/>
    </row>
    <row r="890" spans="1:34" s="1" customFormat="1" ht="60">
      <c r="A890" s="120">
        <v>889</v>
      </c>
      <c r="B890" s="120" t="b">
        <f t="shared" ca="1" si="13"/>
        <v>0</v>
      </c>
      <c r="C890" s="121">
        <v>45617</v>
      </c>
      <c r="D890" s="137">
        <v>0.5247222222222222</v>
      </c>
      <c r="E890" s="94">
        <v>2025</v>
      </c>
      <c r="F890" s="142">
        <v>1212</v>
      </c>
      <c r="G890" s="94" t="s">
        <v>34</v>
      </c>
      <c r="H890" s="94">
        <v>1057</v>
      </c>
      <c r="I890" s="115"/>
      <c r="J890" s="94" t="s">
        <v>35</v>
      </c>
      <c r="K890" s="91">
        <v>141.898</v>
      </c>
      <c r="L890" s="122" t="str">
        <f>VLOOKUP(K890,Liste!$L$2:$O$34,4,1)</f>
        <v>GSMR_24/25</v>
      </c>
      <c r="M890" s="133" t="s">
        <v>36</v>
      </c>
      <c r="N890" s="180" t="s">
        <v>37</v>
      </c>
      <c r="O890" s="125" t="s">
        <v>2012</v>
      </c>
      <c r="P890" s="119"/>
      <c r="Q890" s="94" t="s">
        <v>105</v>
      </c>
      <c r="R890" s="129" t="s">
        <v>1072</v>
      </c>
      <c r="S890" s="91" t="s">
        <v>2013</v>
      </c>
      <c r="T890" s="94" t="s">
        <v>69</v>
      </c>
      <c r="U890" s="94" t="s">
        <v>1453</v>
      </c>
      <c r="V890" s="94" t="s">
        <v>51</v>
      </c>
      <c r="W890" s="94" t="s">
        <v>51</v>
      </c>
      <c r="X890" s="124" t="s">
        <v>52</v>
      </c>
      <c r="Y890" s="124" t="s">
        <v>1983</v>
      </c>
      <c r="Z890" s="91"/>
      <c r="AA890" s="91" t="s">
        <v>793</v>
      </c>
      <c r="AB890" s="91"/>
      <c r="AC890" s="91"/>
      <c r="AD890" s="91"/>
      <c r="AE890" s="91"/>
      <c r="AF890" s="91"/>
      <c r="AG890" s="91"/>
      <c r="AH890" s="91"/>
    </row>
    <row r="891" spans="1:34" s="1" customFormat="1" ht="60">
      <c r="A891" s="120">
        <v>890</v>
      </c>
      <c r="B891" s="120" t="b">
        <f t="shared" ca="1" si="13"/>
        <v>0</v>
      </c>
      <c r="C891" s="121">
        <v>45617</v>
      </c>
      <c r="D891" s="137">
        <v>0.69104166666666667</v>
      </c>
      <c r="E891" s="94">
        <v>2041</v>
      </c>
      <c r="F891" s="142">
        <v>1211</v>
      </c>
      <c r="G891" s="94" t="s">
        <v>34</v>
      </c>
      <c r="H891" s="94">
        <v>1029</v>
      </c>
      <c r="I891" s="115"/>
      <c r="J891" s="94" t="s">
        <v>35</v>
      </c>
      <c r="K891" s="91">
        <v>144.32599999999999</v>
      </c>
      <c r="L891" s="122" t="str">
        <f>VLOOKUP(K891,Liste!$L$2:$O$34,4,1)</f>
        <v>GSMR_25/26</v>
      </c>
      <c r="M891" s="133" t="s">
        <v>36</v>
      </c>
      <c r="N891" s="181" t="s">
        <v>58</v>
      </c>
      <c r="O891" s="125" t="s">
        <v>2014</v>
      </c>
      <c r="P891" s="119"/>
      <c r="Q891" s="94" t="s">
        <v>105</v>
      </c>
      <c r="R891" s="129" t="s">
        <v>1072</v>
      </c>
      <c r="S891" s="91" t="s">
        <v>2013</v>
      </c>
      <c r="T891" s="94" t="s">
        <v>69</v>
      </c>
      <c r="U891" s="94" t="s">
        <v>1538</v>
      </c>
      <c r="V891" s="94" t="s">
        <v>51</v>
      </c>
      <c r="W891" s="94" t="s">
        <v>51</v>
      </c>
      <c r="X891" s="124" t="s">
        <v>52</v>
      </c>
      <c r="Y891" s="124" t="s">
        <v>1983</v>
      </c>
      <c r="Z891" s="91"/>
      <c r="AA891" s="91" t="s">
        <v>778</v>
      </c>
      <c r="AB891" s="91"/>
      <c r="AC891" s="91"/>
      <c r="AD891" s="91"/>
      <c r="AE891" s="91"/>
      <c r="AF891" s="91"/>
      <c r="AG891" s="91"/>
      <c r="AH891" s="91"/>
    </row>
    <row r="892" spans="1:34" s="1" customFormat="1" ht="60">
      <c r="A892" s="120">
        <v>891</v>
      </c>
      <c r="B892" s="120" t="b">
        <f t="shared" ca="1" si="13"/>
        <v>0</v>
      </c>
      <c r="C892" s="121">
        <v>45617</v>
      </c>
      <c r="D892" s="137">
        <v>0.72991898148148149</v>
      </c>
      <c r="E892" s="94">
        <v>1041</v>
      </c>
      <c r="F892" s="142">
        <v>1203</v>
      </c>
      <c r="G892" s="94" t="s">
        <v>71</v>
      </c>
      <c r="H892" s="94">
        <v>1027</v>
      </c>
      <c r="I892" s="115"/>
      <c r="J892" s="94" t="s">
        <v>72</v>
      </c>
      <c r="K892" s="91">
        <v>182.86500000000001</v>
      </c>
      <c r="L892" s="122" t="str">
        <f>VLOOKUP(K892,Liste!$L$2:$O$34,4,1)</f>
        <v>GSMR_31/32</v>
      </c>
      <c r="M892" s="133" t="s">
        <v>36</v>
      </c>
      <c r="N892" s="181" t="s">
        <v>58</v>
      </c>
      <c r="O892" s="125" t="s">
        <v>2015</v>
      </c>
      <c r="P892" s="117"/>
      <c r="Q892" s="118" t="s">
        <v>39</v>
      </c>
      <c r="R892" s="129" t="s">
        <v>1032</v>
      </c>
      <c r="S892" s="91" t="s">
        <v>2016</v>
      </c>
      <c r="T892" s="94" t="s">
        <v>69</v>
      </c>
      <c r="U892" s="94" t="s">
        <v>1529</v>
      </c>
      <c r="V892" s="94" t="s">
        <v>51</v>
      </c>
      <c r="W892" s="94" t="s">
        <v>51</v>
      </c>
      <c r="X892" s="124" t="s">
        <v>52</v>
      </c>
      <c r="Y892" s="124" t="s">
        <v>622</v>
      </c>
      <c r="Z892" s="91"/>
      <c r="AA892" s="91" t="s">
        <v>778</v>
      </c>
      <c r="AB892" s="91"/>
      <c r="AC892" s="91"/>
      <c r="AD892" s="91"/>
      <c r="AE892" s="91"/>
      <c r="AF892" s="91"/>
      <c r="AG892" s="91"/>
      <c r="AH892" s="91"/>
    </row>
    <row r="893" spans="1:34" s="1" customFormat="1" ht="60">
      <c r="A893" s="120">
        <v>892</v>
      </c>
      <c r="B893" s="120" t="b">
        <f t="shared" ca="1" si="13"/>
        <v>0</v>
      </c>
      <c r="C893" s="121">
        <v>45617</v>
      </c>
      <c r="D893" s="137">
        <v>0.95960648148148153</v>
      </c>
      <c r="E893" s="94">
        <v>1062</v>
      </c>
      <c r="F893" s="142">
        <v>1212</v>
      </c>
      <c r="G893" s="94" t="s">
        <v>71</v>
      </c>
      <c r="H893" s="94">
        <v>1023</v>
      </c>
      <c r="I893" s="115"/>
      <c r="J893" s="94" t="s">
        <v>72</v>
      </c>
      <c r="K893" s="91">
        <v>16.29</v>
      </c>
      <c r="L893" s="122" t="str">
        <f>VLOOKUP(K893,Liste!$L$2:$O$34,4,1)</f>
        <v>GSMR_03/04</v>
      </c>
      <c r="M893" s="133" t="s">
        <v>36</v>
      </c>
      <c r="N893" s="180" t="s">
        <v>37</v>
      </c>
      <c r="O893" s="125" t="s">
        <v>2017</v>
      </c>
      <c r="P893" s="117"/>
      <c r="Q893" s="118" t="s">
        <v>39</v>
      </c>
      <c r="R893" s="129" t="s">
        <v>1032</v>
      </c>
      <c r="S893" s="91" t="s">
        <v>2018</v>
      </c>
      <c r="T893" s="94" t="s">
        <v>69</v>
      </c>
      <c r="U893" s="94" t="s">
        <v>1449</v>
      </c>
      <c r="V893" s="94" t="s">
        <v>51</v>
      </c>
      <c r="W893" s="94" t="s">
        <v>51</v>
      </c>
      <c r="X893" s="124" t="s">
        <v>52</v>
      </c>
      <c r="Y893" s="124" t="s">
        <v>946</v>
      </c>
      <c r="Z893" s="91"/>
      <c r="AA893" s="91" t="s">
        <v>772</v>
      </c>
      <c r="AB893" s="91"/>
      <c r="AC893" s="91"/>
      <c r="AD893" s="91"/>
      <c r="AE893" s="91"/>
      <c r="AF893" s="91"/>
      <c r="AG893" s="91"/>
      <c r="AH893" s="91"/>
    </row>
    <row r="894" spans="1:34" s="1" customFormat="1" ht="60">
      <c r="A894" s="120">
        <v>893</v>
      </c>
      <c r="B894" s="120" t="b">
        <f t="shared" ca="1" si="13"/>
        <v>0</v>
      </c>
      <c r="C894" s="121">
        <v>45618</v>
      </c>
      <c r="D894" s="137">
        <v>0.38995370370370369</v>
      </c>
      <c r="E894" s="94">
        <v>2013</v>
      </c>
      <c r="F894" s="142">
        <v>1209</v>
      </c>
      <c r="G894" s="94" t="s">
        <v>34</v>
      </c>
      <c r="H894" s="94">
        <v>1023</v>
      </c>
      <c r="I894" s="115"/>
      <c r="J894" s="94" t="s">
        <v>35</v>
      </c>
      <c r="K894" s="91">
        <v>77.028000000000006</v>
      </c>
      <c r="L894" s="122" t="str">
        <f>VLOOKUP(K894,Liste!$L$2:$O$34,4,1)</f>
        <v>GSMR_14/15</v>
      </c>
      <c r="M894" s="133" t="s">
        <v>36</v>
      </c>
      <c r="N894" s="180" t="s">
        <v>37</v>
      </c>
      <c r="O894" s="125" t="s">
        <v>2019</v>
      </c>
      <c r="P894" s="117"/>
      <c r="Q894" s="118" t="s">
        <v>39</v>
      </c>
      <c r="R894" s="129"/>
      <c r="S894" s="91" t="s">
        <v>2020</v>
      </c>
      <c r="T894" s="94" t="s">
        <v>69</v>
      </c>
      <c r="U894" s="94" t="s">
        <v>1526</v>
      </c>
      <c r="V894" s="94" t="s">
        <v>51</v>
      </c>
      <c r="W894" s="94" t="s">
        <v>51</v>
      </c>
      <c r="X894" s="124" t="s">
        <v>52</v>
      </c>
      <c r="Y894" s="124" t="s">
        <v>946</v>
      </c>
      <c r="Z894" s="91"/>
      <c r="AA894" s="91" t="s">
        <v>793</v>
      </c>
      <c r="AB894" s="91"/>
      <c r="AC894" s="91"/>
      <c r="AD894" s="91"/>
      <c r="AE894" s="91"/>
      <c r="AF894" s="91"/>
      <c r="AG894" s="91"/>
      <c r="AH894" s="91"/>
    </row>
    <row r="895" spans="1:34" s="1" customFormat="1" ht="60">
      <c r="A895" s="120">
        <v>894</v>
      </c>
      <c r="B895" s="120" t="b">
        <f t="shared" ca="1" si="13"/>
        <v>0</v>
      </c>
      <c r="C895" s="121">
        <v>45618</v>
      </c>
      <c r="D895" s="137">
        <v>0.48267361111111112</v>
      </c>
      <c r="E895" s="94">
        <v>2021</v>
      </c>
      <c r="F895" s="142">
        <v>1206</v>
      </c>
      <c r="G895" s="94" t="s">
        <v>34</v>
      </c>
      <c r="H895" s="94">
        <v>1055</v>
      </c>
      <c r="I895" s="115"/>
      <c r="J895" s="94" t="s">
        <v>35</v>
      </c>
      <c r="K895" s="91">
        <v>145.6</v>
      </c>
      <c r="L895" s="122" t="str">
        <f>VLOOKUP(K895,Liste!$L$2:$O$34,4,1)</f>
        <v>GSMR_25/26</v>
      </c>
      <c r="M895" s="133" t="s">
        <v>36</v>
      </c>
      <c r="N895" s="180" t="s">
        <v>37</v>
      </c>
      <c r="O895" s="125" t="s">
        <v>2021</v>
      </c>
      <c r="P895" s="117"/>
      <c r="Q895" s="118" t="s">
        <v>39</v>
      </c>
      <c r="R895" s="129"/>
      <c r="S895" s="91" t="s">
        <v>2022</v>
      </c>
      <c r="T895" s="94" t="s">
        <v>69</v>
      </c>
      <c r="U895" s="94" t="s">
        <v>1688</v>
      </c>
      <c r="V895" s="94" t="s">
        <v>51</v>
      </c>
      <c r="W895" s="94" t="s">
        <v>51</v>
      </c>
      <c r="X895" s="124" t="s">
        <v>52</v>
      </c>
      <c r="Y895" s="124" t="s">
        <v>946</v>
      </c>
      <c r="Z895" s="91"/>
      <c r="AA895" s="91" t="s">
        <v>793</v>
      </c>
      <c r="AB895" s="91"/>
      <c r="AC895" s="91"/>
      <c r="AD895" s="91"/>
      <c r="AE895" s="91"/>
      <c r="AF895" s="91"/>
      <c r="AG895" s="91"/>
      <c r="AH895" s="91"/>
    </row>
    <row r="896" spans="1:34" s="1" customFormat="1" ht="60">
      <c r="A896" s="120">
        <v>895</v>
      </c>
      <c r="B896" s="120" t="b">
        <f t="shared" ca="1" si="13"/>
        <v>0</v>
      </c>
      <c r="C896" s="121">
        <v>45618</v>
      </c>
      <c r="D896" s="137">
        <v>0.52087962962962964</v>
      </c>
      <c r="E896" s="94">
        <v>2025</v>
      </c>
      <c r="F896" s="142">
        <v>1207</v>
      </c>
      <c r="G896" s="94" t="s">
        <v>34</v>
      </c>
      <c r="H896" s="94">
        <v>1046</v>
      </c>
      <c r="I896" s="115"/>
      <c r="J896" s="94" t="s">
        <v>35</v>
      </c>
      <c r="K896" s="91">
        <v>119.92700000000001</v>
      </c>
      <c r="L896" s="122" t="str">
        <f>VLOOKUP(K896,Liste!$L$2:$O$34,4,1)</f>
        <v>GSMR_21/22</v>
      </c>
      <c r="M896" s="133" t="s">
        <v>36</v>
      </c>
      <c r="N896" s="180" t="s">
        <v>37</v>
      </c>
      <c r="O896" s="125" t="s">
        <v>2023</v>
      </c>
      <c r="P896" s="117"/>
      <c r="Q896" s="118" t="s">
        <v>39</v>
      </c>
      <c r="R896" s="129"/>
      <c r="S896" s="91" t="s">
        <v>2024</v>
      </c>
      <c r="T896" s="94" t="s">
        <v>69</v>
      </c>
      <c r="U896" s="94" t="s">
        <v>1453</v>
      </c>
      <c r="V896" s="94" t="s">
        <v>51</v>
      </c>
      <c r="W896" s="94" t="s">
        <v>51</v>
      </c>
      <c r="X896" s="124" t="s">
        <v>52</v>
      </c>
      <c r="Y896" s="124" t="s">
        <v>946</v>
      </c>
      <c r="Z896" s="91"/>
      <c r="AA896" s="91" t="s">
        <v>793</v>
      </c>
      <c r="AB896" s="91"/>
      <c r="AC896" s="91"/>
      <c r="AD896" s="91"/>
      <c r="AE896" s="91"/>
      <c r="AF896" s="91"/>
      <c r="AG896" s="91"/>
      <c r="AH896" s="91"/>
    </row>
    <row r="897" spans="1:34" s="1" customFormat="1" ht="60">
      <c r="A897" s="120">
        <v>896</v>
      </c>
      <c r="B897" s="120" t="b">
        <f t="shared" ca="1" si="13"/>
        <v>0</v>
      </c>
      <c r="C897" s="121">
        <v>45619</v>
      </c>
      <c r="D897" s="137">
        <v>0.33466435185185184</v>
      </c>
      <c r="E897" s="94">
        <v>2076</v>
      </c>
      <c r="F897" s="142">
        <v>1212</v>
      </c>
      <c r="G897" s="94" t="s">
        <v>71</v>
      </c>
      <c r="H897" s="94">
        <v>1023</v>
      </c>
      <c r="I897" s="115"/>
      <c r="J897" s="94" t="s">
        <v>72</v>
      </c>
      <c r="K897" s="152">
        <v>7.3209999999999997</v>
      </c>
      <c r="L897" s="122" t="str">
        <f>VLOOKUP(K897,Liste!$L$2:$O$34,4,1)</f>
        <v>GSMR_02/03</v>
      </c>
      <c r="M897" s="133" t="s">
        <v>36</v>
      </c>
      <c r="N897" s="180" t="s">
        <v>37</v>
      </c>
      <c r="O897" s="125" t="s">
        <v>2025</v>
      </c>
      <c r="P897" s="117"/>
      <c r="Q897" s="118" t="s">
        <v>39</v>
      </c>
      <c r="R897" s="129"/>
      <c r="S897" s="91" t="s">
        <v>2026</v>
      </c>
      <c r="T897" s="94" t="s">
        <v>69</v>
      </c>
      <c r="U897" s="94" t="s">
        <v>1509</v>
      </c>
      <c r="V897" s="94" t="s">
        <v>51</v>
      </c>
      <c r="W897" s="94" t="s">
        <v>51</v>
      </c>
      <c r="X897" s="124" t="s">
        <v>52</v>
      </c>
      <c r="Y897" s="124" t="s">
        <v>946</v>
      </c>
      <c r="Z897" s="91"/>
      <c r="AA897" s="91" t="s">
        <v>793</v>
      </c>
      <c r="AB897" s="91"/>
      <c r="AC897" s="91"/>
      <c r="AD897" s="91"/>
      <c r="AE897" s="91"/>
      <c r="AF897" s="91"/>
      <c r="AG897" s="91"/>
      <c r="AH897" s="91"/>
    </row>
    <row r="898" spans="1:34" s="1" customFormat="1" ht="60">
      <c r="A898" s="120">
        <v>897</v>
      </c>
      <c r="B898" s="120" t="b">
        <f t="shared" ref="B898:B961" ca="1" si="14">AND(C898&gt;=TODAY()-7, C898&lt;=TODAY()-1)</f>
        <v>0</v>
      </c>
      <c r="C898" s="121">
        <v>45619</v>
      </c>
      <c r="D898" s="137">
        <v>0.44826388888888891</v>
      </c>
      <c r="E898" s="94">
        <v>1014</v>
      </c>
      <c r="F898" s="142">
        <v>1209</v>
      </c>
      <c r="G898" s="94" t="s">
        <v>71</v>
      </c>
      <c r="H898" s="94">
        <v>1032</v>
      </c>
      <c r="I898" s="115"/>
      <c r="J898" s="94" t="s">
        <v>72</v>
      </c>
      <c r="K898" s="91">
        <v>94.953999999999994</v>
      </c>
      <c r="L898" s="122" t="str">
        <f>VLOOKUP(K898,Liste!$L$2:$O$34,4,1)</f>
        <v>GSMR_17/18</v>
      </c>
      <c r="M898" s="133" t="s">
        <v>36</v>
      </c>
      <c r="N898" s="180" t="s">
        <v>37</v>
      </c>
      <c r="O898" s="125" t="s">
        <v>2027</v>
      </c>
      <c r="P898" s="117"/>
      <c r="Q898" s="94" t="s">
        <v>54</v>
      </c>
      <c r="R898" s="129"/>
      <c r="S898" s="91" t="s">
        <v>2028</v>
      </c>
      <c r="T898" s="94" t="s">
        <v>56</v>
      </c>
      <c r="U898" s="94" t="s">
        <v>1745</v>
      </c>
      <c r="V898" s="94" t="s">
        <v>51</v>
      </c>
      <c r="W898" s="94" t="s">
        <v>51</v>
      </c>
      <c r="X898" s="124" t="s">
        <v>52</v>
      </c>
      <c r="Y898" s="124" t="s">
        <v>946</v>
      </c>
      <c r="Z898" s="91"/>
      <c r="AA898" s="91" t="s">
        <v>793</v>
      </c>
      <c r="AB898" s="91"/>
      <c r="AC898" s="91"/>
      <c r="AD898" s="91"/>
      <c r="AE898" s="91"/>
      <c r="AF898" s="91"/>
      <c r="AG898" s="91"/>
      <c r="AH898" s="91"/>
    </row>
    <row r="899" spans="1:34" s="1" customFormat="1" ht="60">
      <c r="A899" s="120">
        <v>898</v>
      </c>
      <c r="B899" s="120" t="b">
        <f t="shared" ca="1" si="14"/>
        <v>0</v>
      </c>
      <c r="C899" s="121">
        <v>45619</v>
      </c>
      <c r="D899" s="137">
        <v>0.60782407407407413</v>
      </c>
      <c r="E899" s="94">
        <v>2033</v>
      </c>
      <c r="F899" s="142">
        <v>1203</v>
      </c>
      <c r="G899" s="94" t="s">
        <v>34</v>
      </c>
      <c r="H899" s="94">
        <v>1025</v>
      </c>
      <c r="I899" s="115"/>
      <c r="J899" s="94" t="s">
        <v>35</v>
      </c>
      <c r="K899" s="91">
        <v>144.32599999999999</v>
      </c>
      <c r="L899" s="122" t="str">
        <f>VLOOKUP(K899,Liste!$L$2:$O$34,4,1)</f>
        <v>GSMR_25/26</v>
      </c>
      <c r="M899" s="133" t="s">
        <v>36</v>
      </c>
      <c r="N899" s="181" t="s">
        <v>58</v>
      </c>
      <c r="O899" s="125" t="s">
        <v>2029</v>
      </c>
      <c r="P899" s="116"/>
      <c r="Q899" s="129" t="s">
        <v>105</v>
      </c>
      <c r="R899" s="129"/>
      <c r="S899" s="91" t="s">
        <v>2013</v>
      </c>
      <c r="T899" s="94" t="s">
        <v>69</v>
      </c>
      <c r="U899" s="94" t="s">
        <v>1693</v>
      </c>
      <c r="V899" s="94" t="s">
        <v>51</v>
      </c>
      <c r="W899" s="94" t="s">
        <v>51</v>
      </c>
      <c r="X899" s="124" t="s">
        <v>52</v>
      </c>
      <c r="Y899" s="124" t="s">
        <v>1372</v>
      </c>
      <c r="Z899" s="91"/>
      <c r="AA899" s="91" t="s">
        <v>1118</v>
      </c>
      <c r="AB899" s="91"/>
      <c r="AC899" s="91"/>
      <c r="AD899" s="91"/>
      <c r="AE899" s="91"/>
      <c r="AF899" s="91"/>
      <c r="AG899" s="91"/>
      <c r="AH899" s="91"/>
    </row>
    <row r="900" spans="1:34" s="1" customFormat="1" ht="60">
      <c r="A900" s="120">
        <v>899</v>
      </c>
      <c r="B900" s="120" t="b">
        <f t="shared" ca="1" si="14"/>
        <v>0</v>
      </c>
      <c r="C900" s="121">
        <v>45620</v>
      </c>
      <c r="D900" s="137">
        <v>0.22993055555555555</v>
      </c>
      <c r="E900" s="94">
        <v>10071</v>
      </c>
      <c r="F900" s="142">
        <v>1204</v>
      </c>
      <c r="G900" s="94" t="s">
        <v>34</v>
      </c>
      <c r="H900" s="94">
        <v>1053</v>
      </c>
      <c r="I900" s="115"/>
      <c r="J900" s="94" t="s">
        <v>35</v>
      </c>
      <c r="K900" s="91">
        <v>80.47</v>
      </c>
      <c r="L900" s="122" t="str">
        <f>VLOOKUP(K900,Liste!$L$2:$O$34,4,1)</f>
        <v>GSMR_14/15</v>
      </c>
      <c r="M900" s="133" t="s">
        <v>36</v>
      </c>
      <c r="N900" s="180" t="s">
        <v>37</v>
      </c>
      <c r="O900" s="125" t="s">
        <v>2030</v>
      </c>
      <c r="P900" s="116"/>
      <c r="Q900" s="129" t="s">
        <v>105</v>
      </c>
      <c r="R900" s="129"/>
      <c r="S900" s="91" t="s">
        <v>2031</v>
      </c>
      <c r="T900" s="94" t="s">
        <v>69</v>
      </c>
      <c r="U900" s="94" t="s">
        <v>1453</v>
      </c>
      <c r="V900" s="94" t="s">
        <v>51</v>
      </c>
      <c r="W900" s="94" t="s">
        <v>51</v>
      </c>
      <c r="X900" s="124" t="s">
        <v>52</v>
      </c>
      <c r="Y900" s="124" t="s">
        <v>1372</v>
      </c>
      <c r="Z900" s="91"/>
      <c r="AA900" s="91" t="s">
        <v>772</v>
      </c>
      <c r="AB900" s="91"/>
      <c r="AC900" s="91"/>
      <c r="AD900" s="91"/>
      <c r="AE900" s="91"/>
      <c r="AF900" s="91"/>
      <c r="AG900" s="91"/>
      <c r="AH900" s="91"/>
    </row>
    <row r="901" spans="1:34" s="1" customFormat="1" ht="60">
      <c r="A901" s="120">
        <v>900</v>
      </c>
      <c r="B901" s="120" t="b">
        <f t="shared" ca="1" si="14"/>
        <v>0</v>
      </c>
      <c r="C901" s="121">
        <v>45620</v>
      </c>
      <c r="D901" s="137">
        <v>0.39339120370370373</v>
      </c>
      <c r="E901" s="94">
        <v>2013</v>
      </c>
      <c r="F901" s="142">
        <v>1204</v>
      </c>
      <c r="G901" s="94" t="s">
        <v>34</v>
      </c>
      <c r="H901" s="94">
        <v>1052</v>
      </c>
      <c r="I901" s="115"/>
      <c r="J901" s="94" t="s">
        <v>35</v>
      </c>
      <c r="K901" s="91">
        <v>102.95</v>
      </c>
      <c r="L901" s="122" t="str">
        <f>VLOOKUP(K901,Liste!$L$2:$O$34,4,1)</f>
        <v>GSMR_18/19</v>
      </c>
      <c r="M901" s="133" t="s">
        <v>36</v>
      </c>
      <c r="N901" s="180" t="s">
        <v>37</v>
      </c>
      <c r="O901" s="125" t="s">
        <v>2032</v>
      </c>
      <c r="P901" s="117"/>
      <c r="Q901" s="94" t="s">
        <v>54</v>
      </c>
      <c r="R901" s="129"/>
      <c r="S901" s="91" t="s">
        <v>2033</v>
      </c>
      <c r="T901" s="94" t="s">
        <v>69</v>
      </c>
      <c r="U901" s="94" t="s">
        <v>1449</v>
      </c>
      <c r="V901" s="94" t="s">
        <v>43</v>
      </c>
      <c r="W901" s="94" t="s">
        <v>51</v>
      </c>
      <c r="X901" s="124" t="s">
        <v>52</v>
      </c>
      <c r="Y901" s="124" t="s">
        <v>946</v>
      </c>
      <c r="Z901" s="91"/>
      <c r="AA901" s="91" t="s">
        <v>778</v>
      </c>
      <c r="AB901" s="91"/>
      <c r="AC901" s="91"/>
      <c r="AD901" s="91"/>
      <c r="AE901" s="91"/>
      <c r="AF901" s="91"/>
      <c r="AG901" s="91"/>
      <c r="AH901" s="91"/>
    </row>
    <row r="902" spans="1:34" s="1" customFormat="1" ht="60">
      <c r="A902" s="120">
        <v>901</v>
      </c>
      <c r="B902" s="120" t="b">
        <f t="shared" ca="1" si="14"/>
        <v>0</v>
      </c>
      <c r="C902" s="121">
        <v>45620</v>
      </c>
      <c r="D902" s="137">
        <v>0.64916666666666667</v>
      </c>
      <c r="E902" s="94">
        <v>2037</v>
      </c>
      <c r="F902" s="142">
        <v>1210</v>
      </c>
      <c r="G902" s="94" t="s">
        <v>34</v>
      </c>
      <c r="H902" s="94">
        <v>1049</v>
      </c>
      <c r="I902" s="115"/>
      <c r="J902" s="94" t="s">
        <v>35</v>
      </c>
      <c r="K902" s="91">
        <v>139.48099999999999</v>
      </c>
      <c r="L902" s="122" t="str">
        <f>VLOOKUP(K902,Liste!$L$2:$O$34,4,1)</f>
        <v>GSMR_24/25</v>
      </c>
      <c r="M902" s="133" t="s">
        <v>36</v>
      </c>
      <c r="N902" s="180" t="s">
        <v>37</v>
      </c>
      <c r="O902" s="125" t="s">
        <v>2034</v>
      </c>
      <c r="P902" s="117"/>
      <c r="Q902" s="118" t="s">
        <v>39</v>
      </c>
      <c r="R902" s="129"/>
      <c r="S902" s="91" t="s">
        <v>2035</v>
      </c>
      <c r="T902" s="94" t="s">
        <v>69</v>
      </c>
      <c r="U902" s="94" t="s">
        <v>1782</v>
      </c>
      <c r="V902" s="94" t="s">
        <v>51</v>
      </c>
      <c r="W902" s="94" t="s">
        <v>51</v>
      </c>
      <c r="X902" s="124" t="s">
        <v>52</v>
      </c>
      <c r="Y902" s="124" t="s">
        <v>1372</v>
      </c>
      <c r="Z902" s="91"/>
      <c r="AA902" s="91" t="s">
        <v>1118</v>
      </c>
      <c r="AB902" s="91"/>
      <c r="AC902" s="91"/>
      <c r="AD902" s="91"/>
      <c r="AE902" s="91"/>
      <c r="AF902" s="91"/>
      <c r="AG902" s="91"/>
      <c r="AH902" s="91"/>
    </row>
    <row r="903" spans="1:34" s="1" customFormat="1" ht="60">
      <c r="A903" s="120">
        <v>902</v>
      </c>
      <c r="B903" s="120" t="b">
        <f t="shared" ca="1" si="14"/>
        <v>0</v>
      </c>
      <c r="C903" s="121">
        <v>45621</v>
      </c>
      <c r="D903" s="137">
        <v>0.36814814814814817</v>
      </c>
      <c r="E903" s="94">
        <v>1005</v>
      </c>
      <c r="F903" s="142">
        <v>1203</v>
      </c>
      <c r="G903" s="94" t="s">
        <v>71</v>
      </c>
      <c r="H903" s="94">
        <v>1026</v>
      </c>
      <c r="I903" s="115"/>
      <c r="J903" s="94" t="s">
        <v>72</v>
      </c>
      <c r="K903" s="91">
        <v>68.956000000000003</v>
      </c>
      <c r="L903" s="122" t="str">
        <f>VLOOKUP(K903,Liste!$L$2:$O$34,4,1)</f>
        <v>GSMR_12/13</v>
      </c>
      <c r="M903" s="133" t="s">
        <v>36</v>
      </c>
      <c r="N903" s="180" t="s">
        <v>37</v>
      </c>
      <c r="O903" s="125" t="s">
        <v>2036</v>
      </c>
      <c r="P903" s="117"/>
      <c r="Q903" s="118" t="s">
        <v>39</v>
      </c>
      <c r="R903" s="129"/>
      <c r="S903" s="91" t="s">
        <v>2037</v>
      </c>
      <c r="T903" s="94" t="s">
        <v>41</v>
      </c>
      <c r="U903" s="94" t="s">
        <v>1498</v>
      </c>
      <c r="V903" s="94" t="s">
        <v>51</v>
      </c>
      <c r="W903" s="94" t="s">
        <v>51</v>
      </c>
      <c r="X903" s="124" t="s">
        <v>52</v>
      </c>
      <c r="Y903" s="124" t="s">
        <v>1372</v>
      </c>
      <c r="Z903" s="91"/>
      <c r="AA903" s="91" t="s">
        <v>802</v>
      </c>
      <c r="AB903" s="91"/>
      <c r="AC903" s="91"/>
      <c r="AD903" s="91"/>
      <c r="AE903" s="91"/>
      <c r="AF903" s="91"/>
      <c r="AG903" s="91"/>
      <c r="AH903" s="91"/>
    </row>
    <row r="904" spans="1:34" s="1" customFormat="1" ht="60">
      <c r="A904" s="120">
        <v>903</v>
      </c>
      <c r="B904" s="120" t="b">
        <f t="shared" ca="1" si="14"/>
        <v>0</v>
      </c>
      <c r="C904" s="121">
        <v>45621</v>
      </c>
      <c r="D904" s="137">
        <v>0.49010416666666667</v>
      </c>
      <c r="E904" s="94">
        <v>1017</v>
      </c>
      <c r="F904" s="142">
        <v>1208</v>
      </c>
      <c r="G904" s="94" t="s">
        <v>71</v>
      </c>
      <c r="H904" s="94">
        <v>1045</v>
      </c>
      <c r="I904" s="115"/>
      <c r="J904" s="94" t="s">
        <v>72</v>
      </c>
      <c r="K904" s="91">
        <v>94.953999999999994</v>
      </c>
      <c r="L904" s="122" t="str">
        <f>VLOOKUP(K904,Liste!$L$2:$O$34,4,1)</f>
        <v>GSMR_17/18</v>
      </c>
      <c r="M904" s="133" t="s">
        <v>36</v>
      </c>
      <c r="N904" s="180" t="s">
        <v>37</v>
      </c>
      <c r="O904" s="125" t="s">
        <v>2038</v>
      </c>
      <c r="P904" s="117"/>
      <c r="Q904" s="94" t="s">
        <v>54</v>
      </c>
      <c r="R904" s="129"/>
      <c r="S904" s="91" t="s">
        <v>2039</v>
      </c>
      <c r="T904" s="94" t="s">
        <v>56</v>
      </c>
      <c r="U904" s="94" t="s">
        <v>1666</v>
      </c>
      <c r="V904" s="94" t="s">
        <v>51</v>
      </c>
      <c r="W904" s="94" t="s">
        <v>51</v>
      </c>
      <c r="X904" s="124" t="s">
        <v>52</v>
      </c>
      <c r="Y904" s="124" t="s">
        <v>946</v>
      </c>
      <c r="Z904" s="91"/>
      <c r="AA904" s="91" t="s">
        <v>802</v>
      </c>
      <c r="AB904" s="91"/>
      <c r="AC904" s="91"/>
      <c r="AD904" s="91"/>
      <c r="AE904" s="91"/>
      <c r="AF904" s="91"/>
      <c r="AG904" s="91"/>
      <c r="AH904" s="91"/>
    </row>
    <row r="905" spans="1:34" s="1" customFormat="1" ht="60">
      <c r="A905" s="120">
        <v>904</v>
      </c>
      <c r="B905" s="120" t="b">
        <f t="shared" ca="1" si="14"/>
        <v>0</v>
      </c>
      <c r="C905" s="121">
        <v>45621</v>
      </c>
      <c r="D905" s="137">
        <v>0.5590856481481481</v>
      </c>
      <c r="E905" s="94">
        <v>1025</v>
      </c>
      <c r="F905" s="142">
        <v>1207</v>
      </c>
      <c r="G905" s="94" t="s">
        <v>71</v>
      </c>
      <c r="H905" s="94">
        <v>1008</v>
      </c>
      <c r="I905" s="115"/>
      <c r="J905" s="94" t="s">
        <v>72</v>
      </c>
      <c r="K905" s="91">
        <v>202.125</v>
      </c>
      <c r="L905" s="122" t="str">
        <f>VLOOKUP(K905,Liste!$L$2:$O$34,4,1)</f>
        <v>GSMR_33/RAC</v>
      </c>
      <c r="M905" s="133" t="s">
        <v>36</v>
      </c>
      <c r="N905" s="180" t="s">
        <v>37</v>
      </c>
      <c r="O905" s="125" t="s">
        <v>2040</v>
      </c>
      <c r="P905" s="117"/>
      <c r="Q905" s="94" t="s">
        <v>54</v>
      </c>
      <c r="R905" s="129"/>
      <c r="S905" s="91" t="s">
        <v>2041</v>
      </c>
      <c r="T905" s="94" t="s">
        <v>69</v>
      </c>
      <c r="U905" s="94" t="s">
        <v>1484</v>
      </c>
      <c r="V905" s="94" t="s">
        <v>51</v>
      </c>
      <c r="W905" s="94" t="s">
        <v>51</v>
      </c>
      <c r="X905" s="124" t="s">
        <v>52</v>
      </c>
      <c r="Y905" s="124" t="s">
        <v>946</v>
      </c>
      <c r="Z905" s="91"/>
      <c r="AA905" s="91" t="s">
        <v>802</v>
      </c>
      <c r="AB905" s="91"/>
      <c r="AC905" s="91"/>
      <c r="AD905" s="91"/>
      <c r="AE905" s="91"/>
      <c r="AF905" s="91"/>
      <c r="AG905" s="91"/>
      <c r="AH905" s="91"/>
    </row>
    <row r="906" spans="1:34" s="1" customFormat="1" ht="60">
      <c r="A906" s="120">
        <v>905</v>
      </c>
      <c r="B906" s="120" t="b">
        <f t="shared" ca="1" si="14"/>
        <v>0</v>
      </c>
      <c r="C906" s="121">
        <v>45621</v>
      </c>
      <c r="D906" s="137">
        <v>0.69126157407407407</v>
      </c>
      <c r="E906" s="94">
        <v>2041</v>
      </c>
      <c r="F906" s="142">
        <v>1208</v>
      </c>
      <c r="G906" s="94" t="s">
        <v>34</v>
      </c>
      <c r="H906" s="94">
        <v>1037</v>
      </c>
      <c r="I906" s="115"/>
      <c r="J906" s="94" t="s">
        <v>35</v>
      </c>
      <c r="K906" s="91">
        <v>144.32599999999999</v>
      </c>
      <c r="L906" s="122" t="str">
        <f>VLOOKUP(K906,Liste!$L$2:$O$34,4,1)</f>
        <v>GSMR_25/26</v>
      </c>
      <c r="M906" s="133" t="s">
        <v>36</v>
      </c>
      <c r="N906" s="181" t="s">
        <v>58</v>
      </c>
      <c r="O906" s="125" t="s">
        <v>2042</v>
      </c>
      <c r="P906" s="116"/>
      <c r="Q906" s="129" t="s">
        <v>105</v>
      </c>
      <c r="R906" s="129"/>
      <c r="S906" s="91" t="s">
        <v>2043</v>
      </c>
      <c r="T906" s="94" t="s">
        <v>101</v>
      </c>
      <c r="U906" s="94" t="s">
        <v>1549</v>
      </c>
      <c r="V906" s="94" t="s">
        <v>51</v>
      </c>
      <c r="W906" s="94" t="s">
        <v>51</v>
      </c>
      <c r="X906" s="124" t="s">
        <v>52</v>
      </c>
      <c r="Y906" s="124" t="s">
        <v>1372</v>
      </c>
      <c r="Z906" s="91"/>
      <c r="AA906" s="91" t="s">
        <v>1118</v>
      </c>
      <c r="AB906" s="91"/>
      <c r="AC906" s="91"/>
      <c r="AD906" s="91"/>
      <c r="AE906" s="91"/>
      <c r="AF906" s="91"/>
      <c r="AG906" s="91"/>
      <c r="AH906" s="91"/>
    </row>
    <row r="907" spans="1:34" s="1" customFormat="1" ht="60">
      <c r="A907" s="120">
        <v>906</v>
      </c>
      <c r="B907" s="120" t="b">
        <f t="shared" ca="1" si="14"/>
        <v>0</v>
      </c>
      <c r="C907" s="121">
        <v>45621</v>
      </c>
      <c r="D907" s="137">
        <v>0.75278935185185181</v>
      </c>
      <c r="E907" s="94">
        <v>1042</v>
      </c>
      <c r="F907" s="142">
        <v>1203</v>
      </c>
      <c r="G907" s="94" t="s">
        <v>71</v>
      </c>
      <c r="H907" s="94">
        <v>1027</v>
      </c>
      <c r="I907" s="115"/>
      <c r="J907" s="94" t="s">
        <v>72</v>
      </c>
      <c r="K907" s="152">
        <v>7.3209999999999997</v>
      </c>
      <c r="L907" s="122" t="str">
        <f>VLOOKUP(K907,Liste!$L$2:$O$34,4,1)</f>
        <v>GSMR_02/03</v>
      </c>
      <c r="M907" s="133" t="s">
        <v>36</v>
      </c>
      <c r="N907" s="181" t="s">
        <v>58</v>
      </c>
      <c r="O907" s="125" t="s">
        <v>2044</v>
      </c>
      <c r="P907" s="117"/>
      <c r="Q907" s="118" t="s">
        <v>39</v>
      </c>
      <c r="R907" s="129"/>
      <c r="S907" s="91" t="s">
        <v>2045</v>
      </c>
      <c r="T907" s="94" t="s">
        <v>56</v>
      </c>
      <c r="U907" s="94" t="s">
        <v>1471</v>
      </c>
      <c r="V907" s="94" t="s">
        <v>51</v>
      </c>
      <c r="W907" s="94" t="s">
        <v>51</v>
      </c>
      <c r="X907" s="124" t="s">
        <v>52</v>
      </c>
      <c r="Y907" s="124" t="s">
        <v>946</v>
      </c>
      <c r="Z907" s="91"/>
      <c r="AA907" s="91" t="s">
        <v>1118</v>
      </c>
      <c r="AB907" s="91"/>
      <c r="AC907" s="91"/>
      <c r="AD907" s="91"/>
      <c r="AE907" s="91"/>
      <c r="AF907" s="91"/>
      <c r="AG907" s="91"/>
      <c r="AH907" s="91"/>
    </row>
    <row r="908" spans="1:34" s="1" customFormat="1" ht="60">
      <c r="A908" s="120">
        <v>907</v>
      </c>
      <c r="B908" s="120" t="b">
        <f t="shared" ca="1" si="14"/>
        <v>0</v>
      </c>
      <c r="C908" s="121">
        <v>45621</v>
      </c>
      <c r="D908" s="137">
        <v>0.79511574074074076</v>
      </c>
      <c r="E908" s="94">
        <v>2053</v>
      </c>
      <c r="F908" s="142">
        <v>1210</v>
      </c>
      <c r="G908" s="94" t="s">
        <v>34</v>
      </c>
      <c r="H908" s="94">
        <v>1049</v>
      </c>
      <c r="I908" s="115"/>
      <c r="J908" s="94" t="s">
        <v>35</v>
      </c>
      <c r="K908" s="152">
        <v>6.13</v>
      </c>
      <c r="L908" s="122" t="str">
        <f>VLOOKUP(K908,Liste!$L$2:$O$34,4,1)</f>
        <v>GSMR_02/03</v>
      </c>
      <c r="M908" s="133" t="s">
        <v>36</v>
      </c>
      <c r="N908" s="180" t="s">
        <v>37</v>
      </c>
      <c r="O908" s="125" t="s">
        <v>2046</v>
      </c>
      <c r="P908" s="117"/>
      <c r="Q908" s="118" t="s">
        <v>39</v>
      </c>
      <c r="R908" s="129"/>
      <c r="S908" s="91" t="s">
        <v>2047</v>
      </c>
      <c r="T908" s="94" t="s">
        <v>56</v>
      </c>
      <c r="U908" s="94" t="s">
        <v>1446</v>
      </c>
      <c r="V908" s="94" t="s">
        <v>43</v>
      </c>
      <c r="W908" s="94" t="s">
        <v>51</v>
      </c>
      <c r="X908" s="124" t="s">
        <v>52</v>
      </c>
      <c r="Y908" s="124" t="s">
        <v>946</v>
      </c>
      <c r="Z908" s="91"/>
      <c r="AA908" s="91" t="s">
        <v>1118</v>
      </c>
      <c r="AB908" s="91"/>
      <c r="AC908" s="91"/>
      <c r="AD908" s="91"/>
      <c r="AE908" s="91"/>
      <c r="AF908" s="91"/>
      <c r="AG908" s="91"/>
      <c r="AH908" s="91"/>
    </row>
    <row r="909" spans="1:34" s="1" customFormat="1" ht="60">
      <c r="A909" s="120">
        <v>908</v>
      </c>
      <c r="B909" s="120" t="b">
        <f t="shared" ca="1" si="14"/>
        <v>0</v>
      </c>
      <c r="C909" s="121">
        <v>45621</v>
      </c>
      <c r="D909" s="137">
        <v>0.79809027777777775</v>
      </c>
      <c r="E909" s="94">
        <v>2053</v>
      </c>
      <c r="F909" s="142">
        <v>1210</v>
      </c>
      <c r="G909" s="94" t="s">
        <v>34</v>
      </c>
      <c r="H909" s="94">
        <v>1048</v>
      </c>
      <c r="I909" s="115"/>
      <c r="J909" s="94" t="s">
        <v>35</v>
      </c>
      <c r="K909" s="91">
        <v>11.28</v>
      </c>
      <c r="L909" s="122" t="str">
        <f>VLOOKUP(K909,Liste!$L$2:$O$34,4,1)</f>
        <v>GSMR_03/04</v>
      </c>
      <c r="M909" s="133" t="s">
        <v>36</v>
      </c>
      <c r="N909" s="180" t="s">
        <v>37</v>
      </c>
      <c r="O909" s="125" t="s">
        <v>2048</v>
      </c>
      <c r="P909" s="117"/>
      <c r="Q909" s="118" t="s">
        <v>39</v>
      </c>
      <c r="R909" s="129"/>
      <c r="S909" s="91" t="s">
        <v>2049</v>
      </c>
      <c r="T909" s="94" t="s">
        <v>69</v>
      </c>
      <c r="U909" s="94" t="s">
        <v>1782</v>
      </c>
      <c r="V909" s="94" t="s">
        <v>2049</v>
      </c>
      <c r="W909" s="94" t="s">
        <v>51</v>
      </c>
      <c r="X909" s="124" t="s">
        <v>52</v>
      </c>
      <c r="Y909" s="124" t="s">
        <v>946</v>
      </c>
      <c r="Z909" s="91"/>
      <c r="AA909" s="91" t="s">
        <v>1118</v>
      </c>
      <c r="AB909" s="91"/>
      <c r="AC909" s="91"/>
      <c r="AD909" s="91"/>
      <c r="AE909" s="91"/>
      <c r="AF909" s="91"/>
      <c r="AG909" s="91"/>
      <c r="AH909" s="91"/>
    </row>
    <row r="910" spans="1:34" s="1" customFormat="1" ht="60">
      <c r="A910" s="120">
        <v>909</v>
      </c>
      <c r="B910" s="120" t="b">
        <f t="shared" ca="1" si="14"/>
        <v>0</v>
      </c>
      <c r="C910" s="121">
        <v>45622</v>
      </c>
      <c r="D910" s="137" t="s">
        <v>2050</v>
      </c>
      <c r="E910" s="94">
        <v>1009</v>
      </c>
      <c r="F910" s="142">
        <v>1209</v>
      </c>
      <c r="G910" s="94" t="s">
        <v>71</v>
      </c>
      <c r="H910" s="94">
        <v>1032</v>
      </c>
      <c r="I910" s="115"/>
      <c r="J910" s="94" t="s">
        <v>72</v>
      </c>
      <c r="K910" s="91">
        <v>12.28</v>
      </c>
      <c r="L910" s="122" t="str">
        <f>VLOOKUP(K910,Liste!$L$2:$O$34,4,1)</f>
        <v>GSMR_03/04</v>
      </c>
      <c r="M910" s="133" t="s">
        <v>36</v>
      </c>
      <c r="N910" s="180" t="s">
        <v>37</v>
      </c>
      <c r="O910" s="125" t="s">
        <v>2051</v>
      </c>
      <c r="P910" s="117"/>
      <c r="Q910" s="118" t="s">
        <v>39</v>
      </c>
      <c r="R910" s="129"/>
      <c r="S910" s="91" t="s">
        <v>2052</v>
      </c>
      <c r="T910" s="94" t="s">
        <v>56</v>
      </c>
      <c r="U910" s="94" t="s">
        <v>1471</v>
      </c>
      <c r="V910" s="94" t="s">
        <v>51</v>
      </c>
      <c r="W910" s="94" t="s">
        <v>51</v>
      </c>
      <c r="X910" s="124" t="s">
        <v>52</v>
      </c>
      <c r="Y910" s="124" t="s">
        <v>946</v>
      </c>
      <c r="Z910" s="91"/>
      <c r="AA910" s="91" t="s">
        <v>802</v>
      </c>
      <c r="AB910" s="91"/>
      <c r="AC910" s="91"/>
      <c r="AD910" s="91"/>
      <c r="AE910" s="91"/>
      <c r="AF910" s="91"/>
      <c r="AG910" s="91"/>
      <c r="AH910" s="91"/>
    </row>
    <row r="911" spans="1:34" s="1" customFormat="1" ht="60">
      <c r="A911" s="120">
        <v>910</v>
      </c>
      <c r="B911" s="120" t="b">
        <f t="shared" ca="1" si="14"/>
        <v>0</v>
      </c>
      <c r="C911" s="121">
        <v>45622</v>
      </c>
      <c r="D911" s="137" t="s">
        <v>2053</v>
      </c>
      <c r="E911" s="94">
        <v>1021</v>
      </c>
      <c r="F911" s="142">
        <v>1211</v>
      </c>
      <c r="G911" s="94" t="s">
        <v>71</v>
      </c>
      <c r="H911" s="94">
        <v>3063</v>
      </c>
      <c r="I911" s="115"/>
      <c r="J911" s="94" t="s">
        <v>72</v>
      </c>
      <c r="K911" s="91">
        <v>182.86500000000001</v>
      </c>
      <c r="L911" s="122" t="str">
        <f>VLOOKUP(K911,Liste!$L$2:$O$34,4,1)</f>
        <v>GSMR_31/32</v>
      </c>
      <c r="M911" s="133" t="s">
        <v>36</v>
      </c>
      <c r="N911" s="180" t="s">
        <v>37</v>
      </c>
      <c r="O911" s="125" t="s">
        <v>2054</v>
      </c>
      <c r="P911" s="117"/>
      <c r="Q911" s="118" t="s">
        <v>39</v>
      </c>
      <c r="R911" s="129"/>
      <c r="S911" s="91" t="s">
        <v>2055</v>
      </c>
      <c r="T911" s="94" t="s">
        <v>69</v>
      </c>
      <c r="U911" s="94" t="s">
        <v>1688</v>
      </c>
      <c r="V911" s="94" t="s">
        <v>51</v>
      </c>
      <c r="W911" s="94" t="s">
        <v>43</v>
      </c>
      <c r="X911" s="124" t="s">
        <v>52</v>
      </c>
      <c r="Y911" s="124" t="s">
        <v>946</v>
      </c>
      <c r="Z911" s="91"/>
      <c r="AA911" s="91" t="s">
        <v>802</v>
      </c>
      <c r="AB911" s="91"/>
      <c r="AC911" s="91"/>
      <c r="AD911" s="91"/>
      <c r="AE911" s="91"/>
      <c r="AF911" s="91"/>
      <c r="AG911" s="91"/>
      <c r="AH911" s="91"/>
    </row>
    <row r="912" spans="1:34" s="1" customFormat="1" ht="60">
      <c r="A912" s="120">
        <v>911</v>
      </c>
      <c r="B912" s="120" t="b">
        <f t="shared" ca="1" si="14"/>
        <v>0</v>
      </c>
      <c r="C912" s="121">
        <v>45622</v>
      </c>
      <c r="D912" s="137">
        <v>0.57518518518518513</v>
      </c>
      <c r="E912" s="94">
        <v>1025</v>
      </c>
      <c r="F912" s="142">
        <v>1202</v>
      </c>
      <c r="G912" s="94" t="s">
        <v>71</v>
      </c>
      <c r="H912" s="94">
        <v>1031</v>
      </c>
      <c r="I912" s="115"/>
      <c r="J912" s="94" t="s">
        <v>72</v>
      </c>
      <c r="K912" s="91">
        <v>94.953999999999994</v>
      </c>
      <c r="L912" s="122" t="str">
        <f>VLOOKUP(K912,Liste!$L$2:$O$34,4,1)</f>
        <v>GSMR_17/18</v>
      </c>
      <c r="M912" s="133" t="s">
        <v>36</v>
      </c>
      <c r="N912" s="180" t="s">
        <v>37</v>
      </c>
      <c r="O912" s="125" t="s">
        <v>2056</v>
      </c>
      <c r="P912" s="117"/>
      <c r="Q912" s="94" t="s">
        <v>54</v>
      </c>
      <c r="R912" s="129"/>
      <c r="S912" s="91" t="s">
        <v>2057</v>
      </c>
      <c r="T912" s="94" t="s">
        <v>69</v>
      </c>
      <c r="U912" s="94" t="s">
        <v>1666</v>
      </c>
      <c r="V912" s="94" t="s">
        <v>51</v>
      </c>
      <c r="W912" s="94" t="s">
        <v>51</v>
      </c>
      <c r="X912" s="124" t="s">
        <v>52</v>
      </c>
      <c r="Y912" s="124" t="s">
        <v>946</v>
      </c>
      <c r="Z912" s="91"/>
      <c r="AA912" s="91" t="s">
        <v>1118</v>
      </c>
      <c r="AB912" s="91"/>
      <c r="AC912" s="91"/>
      <c r="AD912" s="91"/>
      <c r="AE912" s="91"/>
      <c r="AF912" s="91"/>
      <c r="AG912" s="91"/>
      <c r="AH912" s="91"/>
    </row>
    <row r="913" spans="1:34" s="1" customFormat="1" ht="60">
      <c r="A913" s="120">
        <v>912</v>
      </c>
      <c r="B913" s="120" t="b">
        <f t="shared" ca="1" si="14"/>
        <v>0</v>
      </c>
      <c r="C913" s="121">
        <v>45623</v>
      </c>
      <c r="D913" s="137">
        <v>0.27136574074074077</v>
      </c>
      <c r="E913" s="94">
        <v>1025</v>
      </c>
      <c r="F913" s="142">
        <v>1209</v>
      </c>
      <c r="G913" s="94" t="s">
        <v>34</v>
      </c>
      <c r="H913" s="94">
        <v>1058</v>
      </c>
      <c r="I913" s="115"/>
      <c r="J913" s="94" t="s">
        <v>35</v>
      </c>
      <c r="K913" s="91">
        <v>121.232</v>
      </c>
      <c r="L913" s="122" t="str">
        <f>VLOOKUP(K913,Liste!$L$2:$O$34,4,1)</f>
        <v>GSMR_21/22</v>
      </c>
      <c r="M913" s="133" t="s">
        <v>36</v>
      </c>
      <c r="N913" s="180" t="s">
        <v>37</v>
      </c>
      <c r="O913" s="125" t="s">
        <v>2058</v>
      </c>
      <c r="P913" s="117"/>
      <c r="Q913" s="118" t="s">
        <v>39</v>
      </c>
      <c r="R913" s="129"/>
      <c r="S913" s="91" t="s">
        <v>2059</v>
      </c>
      <c r="T913" s="94" t="s">
        <v>41</v>
      </c>
      <c r="U913" s="94" t="s">
        <v>1618</v>
      </c>
      <c r="V913" s="94" t="s">
        <v>51</v>
      </c>
      <c r="W913" s="94" t="s">
        <v>51</v>
      </c>
      <c r="X913" s="124" t="s">
        <v>52</v>
      </c>
      <c r="Y913" s="124" t="s">
        <v>946</v>
      </c>
      <c r="Z913" s="91"/>
      <c r="AA913" s="91" t="s">
        <v>793</v>
      </c>
      <c r="AB913" s="91"/>
      <c r="AC913" s="91"/>
      <c r="AD913" s="91"/>
      <c r="AE913" s="91"/>
      <c r="AF913" s="91"/>
      <c r="AG913" s="91"/>
      <c r="AH913" s="91"/>
    </row>
    <row r="914" spans="1:34" s="1" customFormat="1" ht="60">
      <c r="A914" s="120">
        <v>913</v>
      </c>
      <c r="B914" s="120" t="b">
        <f t="shared" ca="1" si="14"/>
        <v>0</v>
      </c>
      <c r="C914" s="121">
        <v>45623</v>
      </c>
      <c r="D914" s="137">
        <v>0.36687500000000001</v>
      </c>
      <c r="E914" s="94">
        <v>1005</v>
      </c>
      <c r="F914" s="142">
        <v>1210</v>
      </c>
      <c r="G914" s="94" t="s">
        <v>71</v>
      </c>
      <c r="H914" s="94">
        <v>1072</v>
      </c>
      <c r="I914" s="115"/>
      <c r="J914" s="94" t="s">
        <v>72</v>
      </c>
      <c r="K914" s="91">
        <v>94.953999999999994</v>
      </c>
      <c r="L914" s="122" t="str">
        <f>VLOOKUP(K914,Liste!$L$2:$O$34,4,1)</f>
        <v>GSMR_17/18</v>
      </c>
      <c r="M914" s="133" t="s">
        <v>36</v>
      </c>
      <c r="N914" s="180" t="s">
        <v>37</v>
      </c>
      <c r="O914" s="125" t="s">
        <v>2060</v>
      </c>
      <c r="P914" s="117"/>
      <c r="Q914" s="94" t="s">
        <v>54</v>
      </c>
      <c r="R914" s="129"/>
      <c r="S914" s="91" t="s">
        <v>2061</v>
      </c>
      <c r="T914" s="94" t="s">
        <v>56</v>
      </c>
      <c r="U914" s="94" t="s">
        <v>1570</v>
      </c>
      <c r="V914" s="94" t="s">
        <v>51</v>
      </c>
      <c r="W914" s="94" t="s">
        <v>51</v>
      </c>
      <c r="X914" s="124" t="s">
        <v>52</v>
      </c>
      <c r="Y914" s="124" t="s">
        <v>946</v>
      </c>
      <c r="Z914" s="91"/>
      <c r="AA914" s="91" t="s">
        <v>802</v>
      </c>
      <c r="AB914" s="91"/>
      <c r="AC914" s="91"/>
      <c r="AD914" s="91"/>
      <c r="AE914" s="91"/>
      <c r="AF914" s="91"/>
      <c r="AG914" s="91"/>
      <c r="AH914" s="91"/>
    </row>
    <row r="915" spans="1:34" s="1" customFormat="1" ht="60">
      <c r="A915" s="120">
        <v>914</v>
      </c>
      <c r="B915" s="120" t="b">
        <f t="shared" ca="1" si="14"/>
        <v>0</v>
      </c>
      <c r="C915" s="121">
        <v>45623</v>
      </c>
      <c r="D915" s="137">
        <v>0.42784722222222221</v>
      </c>
      <c r="E915" s="94">
        <v>2017</v>
      </c>
      <c r="F915" s="142">
        <v>1210</v>
      </c>
      <c r="G915" s="94" t="s">
        <v>34</v>
      </c>
      <c r="H915" s="94">
        <v>1073</v>
      </c>
      <c r="I915" s="115"/>
      <c r="J915" s="94" t="s">
        <v>35</v>
      </c>
      <c r="K915" s="91">
        <v>52.289000000000001</v>
      </c>
      <c r="L915" s="122" t="str">
        <f>VLOOKUP(K915,Liste!$L$2:$O$34,4,1)</f>
        <v>GSMR_09/10</v>
      </c>
      <c r="M915" s="133" t="s">
        <v>36</v>
      </c>
      <c r="N915" s="180" t="s">
        <v>37</v>
      </c>
      <c r="O915" s="125" t="s">
        <v>2062</v>
      </c>
      <c r="P915" s="117"/>
      <c r="Q915" s="118" t="s">
        <v>39</v>
      </c>
      <c r="R915" s="129"/>
      <c r="S915" s="91" t="s">
        <v>2063</v>
      </c>
      <c r="T915" s="94" t="s">
        <v>101</v>
      </c>
      <c r="U915" s="94" t="s">
        <v>1541</v>
      </c>
      <c r="V915" s="94" t="s">
        <v>51</v>
      </c>
      <c r="W915" s="94" t="s">
        <v>51</v>
      </c>
      <c r="X915" s="124" t="s">
        <v>52</v>
      </c>
      <c r="Y915" s="124" t="s">
        <v>946</v>
      </c>
      <c r="Z915" s="91"/>
      <c r="AA915" s="91" t="s">
        <v>802</v>
      </c>
      <c r="AB915" s="91"/>
      <c r="AC915" s="91"/>
      <c r="AD915" s="91"/>
      <c r="AE915" s="91"/>
      <c r="AF915" s="91"/>
      <c r="AG915" s="91"/>
      <c r="AH915" s="91"/>
    </row>
    <row r="916" spans="1:34" s="1" customFormat="1" ht="60">
      <c r="A916" s="120">
        <v>915</v>
      </c>
      <c r="B916" s="120" t="b">
        <f t="shared" ca="1" si="14"/>
        <v>0</v>
      </c>
      <c r="C916" s="121">
        <v>45623</v>
      </c>
      <c r="D916" s="137">
        <v>0.48302083333333334</v>
      </c>
      <c r="E916" s="94">
        <v>2021</v>
      </c>
      <c r="F916" s="142">
        <v>1203</v>
      </c>
      <c r="G916" s="94" t="s">
        <v>34</v>
      </c>
      <c r="H916" s="94">
        <v>1025</v>
      </c>
      <c r="I916" s="115"/>
      <c r="J916" s="94" t="s">
        <v>35</v>
      </c>
      <c r="K916" s="91">
        <v>53.289000000000001</v>
      </c>
      <c r="L916" s="122" t="str">
        <f>VLOOKUP(K916,Liste!$L$2:$O$34,4,1)</f>
        <v>GSMR_09/10</v>
      </c>
      <c r="M916" s="133" t="s">
        <v>36</v>
      </c>
      <c r="N916" s="180" t="s">
        <v>37</v>
      </c>
      <c r="O916" s="125" t="s">
        <v>2064</v>
      </c>
      <c r="P916" s="117"/>
      <c r="Q916" s="118" t="s">
        <v>39</v>
      </c>
      <c r="R916" s="129"/>
      <c r="S916" s="91" t="s">
        <v>2065</v>
      </c>
      <c r="T916" s="94" t="s">
        <v>69</v>
      </c>
      <c r="U916" s="94" t="s">
        <v>1595</v>
      </c>
      <c r="V916" s="94" t="s">
        <v>51</v>
      </c>
      <c r="W916" s="94" t="s">
        <v>51</v>
      </c>
      <c r="X916" s="124" t="s">
        <v>52</v>
      </c>
      <c r="Y916" s="124" t="s">
        <v>946</v>
      </c>
      <c r="Z916" s="91"/>
      <c r="AA916" s="91" t="s">
        <v>802</v>
      </c>
      <c r="AB916" s="91"/>
      <c r="AC916" s="91"/>
      <c r="AD916" s="91"/>
      <c r="AE916" s="91"/>
      <c r="AF916" s="91"/>
      <c r="AG916" s="91"/>
      <c r="AH916" s="91"/>
    </row>
    <row r="917" spans="1:34" s="1" customFormat="1" ht="60">
      <c r="A917" s="120">
        <v>916</v>
      </c>
      <c r="B917" s="120" t="b">
        <f t="shared" ca="1" si="14"/>
        <v>0</v>
      </c>
      <c r="C917" s="121">
        <v>45623</v>
      </c>
      <c r="D917" s="137">
        <v>0.65613425925925928</v>
      </c>
      <c r="E917" s="94">
        <v>2037</v>
      </c>
      <c r="F917" s="142">
        <v>1204</v>
      </c>
      <c r="G917" s="94" t="s">
        <v>34</v>
      </c>
      <c r="H917" s="94">
        <v>1023</v>
      </c>
      <c r="I917" s="115"/>
      <c r="J917" s="94" t="s">
        <v>35</v>
      </c>
      <c r="K917" s="91">
        <v>186.315</v>
      </c>
      <c r="L917" s="122" t="str">
        <f>VLOOKUP(K917,Liste!$L$2:$O$34,4,1)</f>
        <v>GSMR_32/33</v>
      </c>
      <c r="M917" s="133" t="s">
        <v>36</v>
      </c>
      <c r="N917" s="180" t="s">
        <v>37</v>
      </c>
      <c r="O917" s="125" t="s">
        <v>2066</v>
      </c>
      <c r="P917" s="117"/>
      <c r="Q917" s="118" t="s">
        <v>39</v>
      </c>
      <c r="R917" s="129"/>
      <c r="S917" s="91" t="s">
        <v>2067</v>
      </c>
      <c r="T917" s="94" t="s">
        <v>101</v>
      </c>
      <c r="U917" s="94" t="s">
        <v>1529</v>
      </c>
      <c r="V917" s="94" t="s">
        <v>51</v>
      </c>
      <c r="W917" s="94" t="s">
        <v>51</v>
      </c>
      <c r="X917" s="124" t="s">
        <v>52</v>
      </c>
      <c r="Y917" s="124" t="s">
        <v>946</v>
      </c>
      <c r="Z917" s="91"/>
      <c r="AA917" s="91" t="s">
        <v>778</v>
      </c>
      <c r="AB917" s="91"/>
      <c r="AC917" s="91"/>
      <c r="AD917" s="91"/>
      <c r="AE917" s="91"/>
      <c r="AF917" s="91"/>
      <c r="AG917" s="91"/>
      <c r="AH917" s="91"/>
    </row>
    <row r="918" spans="1:34" s="1" customFormat="1" ht="60">
      <c r="A918" s="120">
        <v>917</v>
      </c>
      <c r="B918" s="120" t="b">
        <f t="shared" ca="1" si="14"/>
        <v>0</v>
      </c>
      <c r="C918" s="121">
        <v>45623</v>
      </c>
      <c r="D918" s="137">
        <v>0.70111111111111113</v>
      </c>
      <c r="E918" s="94">
        <v>1038</v>
      </c>
      <c r="F918" s="142">
        <v>1209</v>
      </c>
      <c r="G918" s="94" t="s">
        <v>71</v>
      </c>
      <c r="H918" s="94">
        <v>1033</v>
      </c>
      <c r="I918" s="115"/>
      <c r="J918" s="94" t="s">
        <v>72</v>
      </c>
      <c r="K918" s="91">
        <v>74.712999999999994</v>
      </c>
      <c r="L918" s="122" t="str">
        <f>VLOOKUP(K918,Liste!$L$2:$O$34,4,1)</f>
        <v>GSMR_13/14</v>
      </c>
      <c r="M918" s="133" t="s">
        <v>36</v>
      </c>
      <c r="N918" s="180" t="s">
        <v>37</v>
      </c>
      <c r="O918" s="125" t="s">
        <v>2068</v>
      </c>
      <c r="P918" s="117"/>
      <c r="Q918" s="118" t="s">
        <v>39</v>
      </c>
      <c r="R918" s="129"/>
      <c r="S918" s="91" t="s">
        <v>2069</v>
      </c>
      <c r="T918" s="94" t="s">
        <v>69</v>
      </c>
      <c r="U918" s="94" t="s">
        <v>1498</v>
      </c>
      <c r="V918" s="94" t="s">
        <v>43</v>
      </c>
      <c r="W918" s="94" t="s">
        <v>51</v>
      </c>
      <c r="X918" s="124" t="s">
        <v>52</v>
      </c>
      <c r="Y918" s="124" t="s">
        <v>946</v>
      </c>
      <c r="Z918" s="91"/>
      <c r="AA918" s="91" t="s">
        <v>778</v>
      </c>
      <c r="AB918" s="91"/>
      <c r="AC918" s="91"/>
      <c r="AD918" s="91"/>
      <c r="AE918" s="91"/>
      <c r="AF918" s="91"/>
      <c r="AG918" s="91"/>
      <c r="AH918" s="91"/>
    </row>
    <row r="919" spans="1:34" s="1" customFormat="1" ht="60">
      <c r="A919" s="120">
        <v>918</v>
      </c>
      <c r="B919" s="120" t="b">
        <f t="shared" ca="1" si="14"/>
        <v>0</v>
      </c>
      <c r="C919" s="121">
        <v>45623</v>
      </c>
      <c r="D919" s="137">
        <v>0.81563657407407408</v>
      </c>
      <c r="E919" s="94">
        <v>1049</v>
      </c>
      <c r="F919" s="142">
        <v>1204</v>
      </c>
      <c r="G919" s="94" t="s">
        <v>71</v>
      </c>
      <c r="H919" s="94">
        <v>1034</v>
      </c>
      <c r="I919" s="115"/>
      <c r="J919" s="94" t="s">
        <v>72</v>
      </c>
      <c r="K919" s="91">
        <v>152.488</v>
      </c>
      <c r="L919" s="122" t="str">
        <f>VLOOKUP(K919,Liste!$L$2:$O$34,4,1)</f>
        <v>GSMR_26/27</v>
      </c>
      <c r="M919" s="133" t="s">
        <v>36</v>
      </c>
      <c r="N919" s="180" t="s">
        <v>37</v>
      </c>
      <c r="O919" s="125" t="s">
        <v>2070</v>
      </c>
      <c r="P919" s="117"/>
      <c r="Q919" s="118" t="s">
        <v>39</v>
      </c>
      <c r="R919" s="129"/>
      <c r="S919" s="91" t="s">
        <v>2071</v>
      </c>
      <c r="T919" s="94" t="s">
        <v>78</v>
      </c>
      <c r="U919" s="94" t="s">
        <v>1688</v>
      </c>
      <c r="V919" s="94" t="s">
        <v>43</v>
      </c>
      <c r="W919" s="94" t="s">
        <v>51</v>
      </c>
      <c r="X919" s="124" t="s">
        <v>52</v>
      </c>
      <c r="Y919" s="124" t="s">
        <v>946</v>
      </c>
      <c r="Z919" s="91"/>
      <c r="AA919" s="91" t="s">
        <v>778</v>
      </c>
      <c r="AB919" s="91"/>
      <c r="AC919" s="91"/>
      <c r="AD919" s="91"/>
      <c r="AE919" s="91"/>
      <c r="AF919" s="91"/>
      <c r="AG919" s="91"/>
      <c r="AH919" s="91"/>
    </row>
    <row r="920" spans="1:34" s="1" customFormat="1" ht="60">
      <c r="A920" s="120">
        <v>919</v>
      </c>
      <c r="B920" s="120" t="b">
        <f t="shared" ca="1" si="14"/>
        <v>0</v>
      </c>
      <c r="C920" s="121">
        <v>45624</v>
      </c>
      <c r="D920" s="137">
        <v>0.33888888888888891</v>
      </c>
      <c r="E920" s="94">
        <v>2009</v>
      </c>
      <c r="F920" s="142">
        <v>1205</v>
      </c>
      <c r="G920" s="94" t="s">
        <v>34</v>
      </c>
      <c r="H920" s="94">
        <v>7217</v>
      </c>
      <c r="I920" s="115"/>
      <c r="J920" s="94" t="s">
        <v>35</v>
      </c>
      <c r="K920" s="91">
        <v>13.712999999999999</v>
      </c>
      <c r="L920" s="122" t="str">
        <f>VLOOKUP(K920,Liste!$L$2:$O$34,4,1)</f>
        <v>GSMR_03/04</v>
      </c>
      <c r="M920" s="133" t="s">
        <v>36</v>
      </c>
      <c r="N920" s="180" t="s">
        <v>37</v>
      </c>
      <c r="O920" s="125" t="s">
        <v>2072</v>
      </c>
      <c r="P920" s="117"/>
      <c r="Q920" s="118" t="s">
        <v>39</v>
      </c>
      <c r="R920" s="129"/>
      <c r="S920" s="91" t="s">
        <v>2073</v>
      </c>
      <c r="T920" s="94" t="s">
        <v>69</v>
      </c>
      <c r="U920" s="94" t="s">
        <v>1460</v>
      </c>
      <c r="V920" s="94" t="s">
        <v>51</v>
      </c>
      <c r="W920" s="94" t="s">
        <v>51</v>
      </c>
      <c r="X920" s="124" t="s">
        <v>52</v>
      </c>
      <c r="Y920" s="124" t="s">
        <v>946</v>
      </c>
      <c r="Z920" s="91"/>
      <c r="AA920" s="91" t="s">
        <v>778</v>
      </c>
      <c r="AB920" s="91"/>
      <c r="AC920" s="91"/>
      <c r="AD920" s="91"/>
      <c r="AE920" s="91"/>
      <c r="AF920" s="91"/>
      <c r="AG920" s="91"/>
      <c r="AH920" s="91"/>
    </row>
    <row r="921" spans="1:34" s="1" customFormat="1" ht="60">
      <c r="A921" s="120">
        <v>920</v>
      </c>
      <c r="B921" s="120" t="b">
        <f t="shared" ca="1" si="14"/>
        <v>0</v>
      </c>
      <c r="C921" s="121">
        <v>45624</v>
      </c>
      <c r="D921" s="137">
        <v>0.35986111111111113</v>
      </c>
      <c r="E921" s="94">
        <v>1005</v>
      </c>
      <c r="F921" s="142">
        <v>1209</v>
      </c>
      <c r="G921" s="94" t="s">
        <v>71</v>
      </c>
      <c r="H921" s="94">
        <v>1033</v>
      </c>
      <c r="I921" s="115"/>
      <c r="J921" s="94" t="s">
        <v>72</v>
      </c>
      <c r="K921" s="91">
        <v>131.78899999999999</v>
      </c>
      <c r="L921" s="122" t="str">
        <f>VLOOKUP(K921,Liste!$L$2:$O$34,4,1)</f>
        <v>GSMR_23/24</v>
      </c>
      <c r="M921" s="133" t="s">
        <v>36</v>
      </c>
      <c r="N921" s="180" t="s">
        <v>37</v>
      </c>
      <c r="O921" s="125" t="s">
        <v>2074</v>
      </c>
      <c r="P921" s="117"/>
      <c r="Q921" s="118" t="s">
        <v>39</v>
      </c>
      <c r="R921" s="129"/>
      <c r="S921" s="91" t="s">
        <v>2075</v>
      </c>
      <c r="T921" s="94" t="s">
        <v>78</v>
      </c>
      <c r="U921" s="94" t="s">
        <v>1453</v>
      </c>
      <c r="V921" s="94" t="s">
        <v>51</v>
      </c>
      <c r="W921" s="94" t="s">
        <v>51</v>
      </c>
      <c r="X921" s="124" t="s">
        <v>52</v>
      </c>
      <c r="Y921" s="124" t="s">
        <v>946</v>
      </c>
      <c r="Z921" s="91"/>
      <c r="AA921" s="91" t="s">
        <v>778</v>
      </c>
      <c r="AB921" s="91"/>
      <c r="AC921" s="91"/>
      <c r="AD921" s="91"/>
      <c r="AE921" s="91"/>
      <c r="AF921" s="91"/>
      <c r="AG921" s="91"/>
      <c r="AH921" s="91"/>
    </row>
    <row r="922" spans="1:34" s="1" customFormat="1" ht="60">
      <c r="A922" s="120">
        <v>921</v>
      </c>
      <c r="B922" s="120" t="b">
        <f t="shared" ca="1" si="14"/>
        <v>0</v>
      </c>
      <c r="C922" s="121">
        <v>45624</v>
      </c>
      <c r="D922" s="137">
        <v>0.81600694444444444</v>
      </c>
      <c r="E922" s="94">
        <v>2053</v>
      </c>
      <c r="F922" s="142">
        <v>1210</v>
      </c>
      <c r="G922" s="94" t="s">
        <v>34</v>
      </c>
      <c r="H922" s="94">
        <v>1033</v>
      </c>
      <c r="I922" s="115"/>
      <c r="J922" s="94" t="s">
        <v>72</v>
      </c>
      <c r="K922" s="91">
        <v>144.32599999999999</v>
      </c>
      <c r="L922" s="122" t="str">
        <f>VLOOKUP(K922,Liste!$L$2:$O$34,4,1)</f>
        <v>GSMR_25/26</v>
      </c>
      <c r="M922" s="133" t="s">
        <v>36</v>
      </c>
      <c r="N922" s="181" t="s">
        <v>58</v>
      </c>
      <c r="O922" s="125" t="s">
        <v>2076</v>
      </c>
      <c r="P922" s="116"/>
      <c r="Q922" s="129" t="s">
        <v>105</v>
      </c>
      <c r="R922" s="129"/>
      <c r="S922" s="91" t="s">
        <v>2077</v>
      </c>
      <c r="T922" s="94" t="s">
        <v>69</v>
      </c>
      <c r="U922" s="94" t="s">
        <v>1481</v>
      </c>
      <c r="V922" s="94" t="s">
        <v>51</v>
      </c>
      <c r="W922" s="94" t="s">
        <v>51</v>
      </c>
      <c r="X922" s="124" t="s">
        <v>52</v>
      </c>
      <c r="Y922" s="124" t="s">
        <v>1045</v>
      </c>
      <c r="Z922" s="91"/>
      <c r="AA922" s="91" t="s">
        <v>1183</v>
      </c>
      <c r="AB922" s="91"/>
      <c r="AC922" s="91"/>
      <c r="AD922" s="91"/>
      <c r="AE922" s="91"/>
      <c r="AF922" s="91"/>
      <c r="AG922" s="91"/>
      <c r="AH922" s="91"/>
    </row>
    <row r="923" spans="1:34" s="1" customFormat="1" ht="60">
      <c r="A923" s="120">
        <v>922</v>
      </c>
      <c r="B923" s="120" t="b">
        <f t="shared" ca="1" si="14"/>
        <v>0</v>
      </c>
      <c r="C923" s="121">
        <v>45624</v>
      </c>
      <c r="D923" s="137">
        <v>0.9615393518518518</v>
      </c>
      <c r="E923" s="94">
        <v>1062</v>
      </c>
      <c r="F923" s="142">
        <v>1210</v>
      </c>
      <c r="G923" s="94" t="s">
        <v>34</v>
      </c>
      <c r="H923" s="94">
        <v>1026</v>
      </c>
      <c r="I923" s="115"/>
      <c r="J923" s="94" t="s">
        <v>35</v>
      </c>
      <c r="K923" s="152">
        <v>7.3209999999999997</v>
      </c>
      <c r="L923" s="122" t="str">
        <f>VLOOKUP(K923,Liste!$L$2:$O$34,4,1)</f>
        <v>GSMR_02/03</v>
      </c>
      <c r="M923" s="133" t="s">
        <v>36</v>
      </c>
      <c r="N923" s="180" t="s">
        <v>37</v>
      </c>
      <c r="O923" s="125" t="s">
        <v>2078</v>
      </c>
      <c r="P923" s="117"/>
      <c r="Q923" s="118" t="s">
        <v>39</v>
      </c>
      <c r="R923" s="129"/>
      <c r="S923" s="91" t="s">
        <v>1682</v>
      </c>
      <c r="T923" s="94" t="s">
        <v>56</v>
      </c>
      <c r="U923" s="94" t="s">
        <v>1632</v>
      </c>
      <c r="V923" s="94" t="s">
        <v>51</v>
      </c>
      <c r="W923" s="94" t="s">
        <v>51</v>
      </c>
      <c r="X923" s="124" t="s">
        <v>52</v>
      </c>
      <c r="Y923" s="124" t="s">
        <v>1045</v>
      </c>
      <c r="Z923" s="91"/>
      <c r="AA923" s="91" t="s">
        <v>793</v>
      </c>
      <c r="AB923" s="91"/>
      <c r="AC923" s="91"/>
      <c r="AD923" s="91"/>
      <c r="AE923" s="91"/>
      <c r="AF923" s="91"/>
      <c r="AG923" s="91"/>
      <c r="AH923" s="91"/>
    </row>
    <row r="924" spans="1:34" s="1" customFormat="1" ht="60">
      <c r="A924" s="120">
        <v>923</v>
      </c>
      <c r="B924" s="120" t="b">
        <f t="shared" ca="1" si="14"/>
        <v>0</v>
      </c>
      <c r="C924" s="121">
        <v>45625</v>
      </c>
      <c r="D924" s="137">
        <v>0.19042824074074075</v>
      </c>
      <c r="E924" s="94">
        <v>1062</v>
      </c>
      <c r="F924" s="142">
        <v>1210</v>
      </c>
      <c r="G924" s="94" t="s">
        <v>34</v>
      </c>
      <c r="H924" s="94">
        <v>7218</v>
      </c>
      <c r="I924" s="115"/>
      <c r="J924" s="94" t="s">
        <v>35</v>
      </c>
      <c r="K924" s="91">
        <v>75.84</v>
      </c>
      <c r="L924" s="122" t="str">
        <f>VLOOKUP(K924,Liste!$L$2:$O$34,4,1)</f>
        <v>GSMR_13/14</v>
      </c>
      <c r="M924" s="133" t="s">
        <v>36</v>
      </c>
      <c r="N924" s="180" t="s">
        <v>37</v>
      </c>
      <c r="O924" s="125" t="s">
        <v>2079</v>
      </c>
      <c r="P924" s="117"/>
      <c r="Q924" s="118" t="s">
        <v>105</v>
      </c>
      <c r="R924" s="129" t="s">
        <v>1072</v>
      </c>
      <c r="S924" s="91" t="s">
        <v>2080</v>
      </c>
      <c r="T924" s="94" t="s">
        <v>69</v>
      </c>
      <c r="U924" s="94" t="s">
        <v>1493</v>
      </c>
      <c r="V924" s="94" t="s">
        <v>51</v>
      </c>
      <c r="W924" s="94" t="s">
        <v>51</v>
      </c>
      <c r="X924" s="124" t="s">
        <v>52</v>
      </c>
      <c r="Y924" s="124" t="s">
        <v>1045</v>
      </c>
      <c r="Z924" s="91"/>
      <c r="AA924" s="91" t="s">
        <v>793</v>
      </c>
      <c r="AB924" s="91"/>
      <c r="AC924" s="91"/>
      <c r="AD924" s="91"/>
      <c r="AE924" s="91"/>
      <c r="AF924" s="91"/>
      <c r="AG924" s="91"/>
      <c r="AH924" s="91"/>
    </row>
    <row r="925" spans="1:34" s="1" customFormat="1" ht="60">
      <c r="A925" s="120">
        <v>924</v>
      </c>
      <c r="B925" s="120" t="b">
        <f t="shared" ca="1" si="14"/>
        <v>0</v>
      </c>
      <c r="C925" s="121">
        <v>45625</v>
      </c>
      <c r="D925" s="137">
        <v>0.40730324074074076</v>
      </c>
      <c r="E925" s="94">
        <v>1009</v>
      </c>
      <c r="F925" s="142">
        <v>1208</v>
      </c>
      <c r="G925" s="94" t="s">
        <v>71</v>
      </c>
      <c r="H925" s="94">
        <v>1045</v>
      </c>
      <c r="I925" s="115"/>
      <c r="J925" s="94" t="s">
        <v>72</v>
      </c>
      <c r="K925" s="91">
        <v>90.108000000000004</v>
      </c>
      <c r="L925" s="122" t="str">
        <f>VLOOKUP(K925,Liste!$L$2:$O$34,4,1)</f>
        <v>GSMR_16/17</v>
      </c>
      <c r="M925" s="133" t="s">
        <v>36</v>
      </c>
      <c r="N925" s="180" t="s">
        <v>37</v>
      </c>
      <c r="O925" s="125" t="s">
        <v>2081</v>
      </c>
      <c r="P925" s="117"/>
      <c r="Q925" s="118" t="s">
        <v>39</v>
      </c>
      <c r="R925" s="118" t="s">
        <v>768</v>
      </c>
      <c r="S925" s="91" t="s">
        <v>2082</v>
      </c>
      <c r="T925" s="94" t="s">
        <v>69</v>
      </c>
      <c r="U925" s="94" t="s">
        <v>1490</v>
      </c>
      <c r="V925" s="94" t="s">
        <v>51</v>
      </c>
      <c r="W925" s="94" t="s">
        <v>51</v>
      </c>
      <c r="X925" s="124" t="s">
        <v>52</v>
      </c>
      <c r="Y925" s="124" t="s">
        <v>946</v>
      </c>
      <c r="Z925" s="91"/>
      <c r="AA925" s="91" t="s">
        <v>802</v>
      </c>
      <c r="AB925" s="91"/>
      <c r="AC925" s="91"/>
      <c r="AD925" s="91"/>
      <c r="AE925" s="91"/>
      <c r="AF925" s="91"/>
      <c r="AG925" s="91"/>
      <c r="AH925" s="91"/>
    </row>
    <row r="926" spans="1:34" s="1" customFormat="1" ht="60">
      <c r="A926" s="120">
        <v>925</v>
      </c>
      <c r="B926" s="120" t="b">
        <f t="shared" ca="1" si="14"/>
        <v>0</v>
      </c>
      <c r="C926" s="121">
        <v>45625</v>
      </c>
      <c r="D926" s="137">
        <v>0.43783564814814813</v>
      </c>
      <c r="E926" s="94">
        <v>1013</v>
      </c>
      <c r="F926" s="142">
        <v>1209</v>
      </c>
      <c r="G926" s="94" t="s">
        <v>71</v>
      </c>
      <c r="H926" s="94">
        <v>1032</v>
      </c>
      <c r="I926" s="115"/>
      <c r="J926" s="94" t="s">
        <v>72</v>
      </c>
      <c r="K926" s="91">
        <v>170.298</v>
      </c>
      <c r="L926" s="122" t="str">
        <f>VLOOKUP(K926,Liste!$L$2:$O$34,4,1)</f>
        <v>GSMR_29/30</v>
      </c>
      <c r="M926" s="133" t="s">
        <v>36</v>
      </c>
      <c r="N926" s="180" t="s">
        <v>37</v>
      </c>
      <c r="O926" s="125" t="s">
        <v>2083</v>
      </c>
      <c r="P926" s="117"/>
      <c r="Q926" s="118" t="s">
        <v>39</v>
      </c>
      <c r="R926" s="118" t="s">
        <v>768</v>
      </c>
      <c r="S926" s="91" t="s">
        <v>2084</v>
      </c>
      <c r="T926" s="94" t="s">
        <v>69</v>
      </c>
      <c r="U926" s="94" t="s">
        <v>1453</v>
      </c>
      <c r="V926" s="94" t="s">
        <v>51</v>
      </c>
      <c r="W926" s="94" t="s">
        <v>51</v>
      </c>
      <c r="X926" s="124" t="s">
        <v>52</v>
      </c>
      <c r="Y926" s="124" t="s">
        <v>946</v>
      </c>
      <c r="Z926" s="91"/>
      <c r="AA926" s="91" t="s">
        <v>802</v>
      </c>
      <c r="AB926" s="91"/>
      <c r="AC926" s="91"/>
      <c r="AD926" s="91"/>
      <c r="AE926" s="91"/>
      <c r="AF926" s="91"/>
      <c r="AG926" s="91"/>
      <c r="AH926" s="91"/>
    </row>
    <row r="927" spans="1:34" s="1" customFormat="1" ht="60">
      <c r="A927" s="120">
        <v>926</v>
      </c>
      <c r="B927" s="120" t="b">
        <f t="shared" ca="1" si="14"/>
        <v>0</v>
      </c>
      <c r="C927" s="121">
        <v>45625</v>
      </c>
      <c r="D927" s="137">
        <v>0.50403935185185189</v>
      </c>
      <c r="E927" s="94">
        <v>2025</v>
      </c>
      <c r="F927" s="142">
        <v>1209</v>
      </c>
      <c r="G927" s="94" t="s">
        <v>34</v>
      </c>
      <c r="H927" s="94">
        <v>7208</v>
      </c>
      <c r="I927" s="115"/>
      <c r="J927" s="94" t="s">
        <v>35</v>
      </c>
      <c r="K927" s="152">
        <v>6.13</v>
      </c>
      <c r="L927" s="122" t="str">
        <f>VLOOKUP(K927,Liste!$L$2:$O$34,4,1)</f>
        <v>GSMR_02/03</v>
      </c>
      <c r="M927" s="133" t="s">
        <v>36</v>
      </c>
      <c r="N927" s="181" t="s">
        <v>58</v>
      </c>
      <c r="O927" s="125" t="s">
        <v>2085</v>
      </c>
      <c r="P927" s="117"/>
      <c r="Q927" s="118" t="s">
        <v>39</v>
      </c>
      <c r="R927" s="118" t="s">
        <v>768</v>
      </c>
      <c r="S927" s="91" t="s">
        <v>2084</v>
      </c>
      <c r="T927" s="94" t="s">
        <v>56</v>
      </c>
      <c r="U927" s="94" t="s">
        <v>1468</v>
      </c>
      <c r="V927" s="94" t="s">
        <v>43</v>
      </c>
      <c r="W927" s="94" t="s">
        <v>51</v>
      </c>
      <c r="X927" s="124" t="s">
        <v>52</v>
      </c>
      <c r="Y927" s="124" t="s">
        <v>946</v>
      </c>
      <c r="Z927" s="91"/>
      <c r="AA927" s="91" t="s">
        <v>802</v>
      </c>
      <c r="AB927" s="91"/>
      <c r="AC927" s="91"/>
      <c r="AD927" s="91"/>
      <c r="AE927" s="91"/>
      <c r="AF927" s="91"/>
      <c r="AG927" s="91"/>
      <c r="AH927" s="91"/>
    </row>
    <row r="928" spans="1:34" s="1" customFormat="1" ht="60">
      <c r="A928" s="120">
        <v>927</v>
      </c>
      <c r="B928" s="120" t="b">
        <f t="shared" ca="1" si="14"/>
        <v>0</v>
      </c>
      <c r="C928" s="121">
        <v>45625</v>
      </c>
      <c r="D928" s="137">
        <v>0.53296296296296297</v>
      </c>
      <c r="E928" s="94">
        <v>1021</v>
      </c>
      <c r="F928" s="142">
        <v>1205</v>
      </c>
      <c r="G928" s="94" t="s">
        <v>71</v>
      </c>
      <c r="H928" s="94">
        <v>1061</v>
      </c>
      <c r="I928" s="115"/>
      <c r="J928" s="94" t="s">
        <v>35</v>
      </c>
      <c r="K928" s="91">
        <v>94.953999999999994</v>
      </c>
      <c r="L928" s="122" t="str">
        <f>VLOOKUP(K928,Liste!$L$2:$O$34,4,1)</f>
        <v>GSMR_17/18</v>
      </c>
      <c r="M928" s="133" t="s">
        <v>36</v>
      </c>
      <c r="N928" s="180" t="s">
        <v>37</v>
      </c>
      <c r="O928" s="125" t="s">
        <v>2086</v>
      </c>
      <c r="P928" s="117"/>
      <c r="Q928" s="118" t="s">
        <v>39</v>
      </c>
      <c r="R928" s="118" t="s">
        <v>768</v>
      </c>
      <c r="S928" s="91" t="s">
        <v>870</v>
      </c>
      <c r="T928" s="94" t="s">
        <v>69</v>
      </c>
      <c r="U928" s="94" t="s">
        <v>1453</v>
      </c>
      <c r="V928" s="94" t="s">
        <v>51</v>
      </c>
      <c r="W928" s="94" t="s">
        <v>51</v>
      </c>
      <c r="X928" s="124" t="s">
        <v>52</v>
      </c>
      <c r="Y928" s="124" t="s">
        <v>946</v>
      </c>
      <c r="Z928" s="91"/>
      <c r="AA928" s="91" t="s">
        <v>802</v>
      </c>
      <c r="AB928" s="91"/>
      <c r="AC928" s="91"/>
      <c r="AD928" s="91"/>
      <c r="AE928" s="91"/>
      <c r="AF928" s="91"/>
      <c r="AG928" s="91"/>
      <c r="AH928" s="91"/>
    </row>
    <row r="929" spans="1:34" s="1" customFormat="1" ht="60">
      <c r="A929" s="120">
        <v>928</v>
      </c>
      <c r="B929" s="120" t="b">
        <f t="shared" ca="1" si="14"/>
        <v>0</v>
      </c>
      <c r="C929" s="121">
        <v>45625</v>
      </c>
      <c r="D929" s="137">
        <v>0.62908564814814816</v>
      </c>
      <c r="E929" s="94">
        <v>2045</v>
      </c>
      <c r="F929" s="142">
        <v>1208</v>
      </c>
      <c r="G929" s="94" t="s">
        <v>34</v>
      </c>
      <c r="H929" s="94">
        <v>1036</v>
      </c>
      <c r="I929" s="115"/>
      <c r="J929" s="94" t="s">
        <v>35</v>
      </c>
      <c r="K929" s="152">
        <v>6.13</v>
      </c>
      <c r="L929" s="122" t="str">
        <f>VLOOKUP(K929,Liste!$L$2:$O$34,4,1)</f>
        <v>GSMR_02/03</v>
      </c>
      <c r="M929" s="133" t="s">
        <v>36</v>
      </c>
      <c r="N929" s="181" t="s">
        <v>58</v>
      </c>
      <c r="O929" s="125" t="s">
        <v>2087</v>
      </c>
      <c r="P929" s="117"/>
      <c r="Q929" s="118" t="s">
        <v>39</v>
      </c>
      <c r="R929" s="118" t="s">
        <v>768</v>
      </c>
      <c r="S929" s="91" t="s">
        <v>2088</v>
      </c>
      <c r="T929" s="94" t="s">
        <v>56</v>
      </c>
      <c r="U929" s="94" t="s">
        <v>1468</v>
      </c>
      <c r="V929" s="94" t="s">
        <v>43</v>
      </c>
      <c r="W929" s="94" t="s">
        <v>51</v>
      </c>
      <c r="X929" s="124" t="s">
        <v>52</v>
      </c>
      <c r="Y929" s="124" t="s">
        <v>946</v>
      </c>
      <c r="Z929" s="91"/>
      <c r="AA929" s="91" t="s">
        <v>1118</v>
      </c>
      <c r="AB929" s="91"/>
      <c r="AC929" s="91"/>
      <c r="AD929" s="91"/>
      <c r="AE929" s="91"/>
      <c r="AF929" s="91"/>
      <c r="AG929" s="91"/>
      <c r="AH929" s="91"/>
    </row>
    <row r="930" spans="1:34" s="1" customFormat="1" ht="60">
      <c r="A930" s="120">
        <v>929</v>
      </c>
      <c r="B930" s="120" t="b">
        <f t="shared" ca="1" si="14"/>
        <v>0</v>
      </c>
      <c r="C930" s="121">
        <v>45626</v>
      </c>
      <c r="D930" s="137">
        <v>0.33576388888888886</v>
      </c>
      <c r="E930" s="94">
        <v>10075</v>
      </c>
      <c r="F930" s="142">
        <v>1211</v>
      </c>
      <c r="G930" s="94" t="s">
        <v>71</v>
      </c>
      <c r="H930" s="94">
        <v>3062</v>
      </c>
      <c r="I930" s="115"/>
      <c r="J930" s="94" t="s">
        <v>72</v>
      </c>
      <c r="K930" s="152">
        <v>7.3209999999999997</v>
      </c>
      <c r="L930" s="122" t="str">
        <f>VLOOKUP(K930,Liste!$L$2:$O$34,4,1)</f>
        <v>GSMR_02/03</v>
      </c>
      <c r="M930" s="133" t="s">
        <v>36</v>
      </c>
      <c r="N930" s="180" t="s">
        <v>37</v>
      </c>
      <c r="O930" s="125" t="s">
        <v>2089</v>
      </c>
      <c r="P930" s="117"/>
      <c r="Q930" s="118" t="s">
        <v>39</v>
      </c>
      <c r="R930" s="118" t="s">
        <v>768</v>
      </c>
      <c r="S930" s="91" t="s">
        <v>2090</v>
      </c>
      <c r="T930" s="94" t="s">
        <v>56</v>
      </c>
      <c r="U930" s="94" t="s">
        <v>1541</v>
      </c>
      <c r="V930" s="94" t="s">
        <v>51</v>
      </c>
      <c r="W930" s="94" t="s">
        <v>51</v>
      </c>
      <c r="X930" s="124" t="s">
        <v>52</v>
      </c>
      <c r="Y930" s="124" t="s">
        <v>946</v>
      </c>
      <c r="Z930" s="91"/>
      <c r="AA930" s="91" t="s">
        <v>754</v>
      </c>
      <c r="AB930" s="91"/>
      <c r="AC930" s="91"/>
      <c r="AD930" s="91"/>
      <c r="AE930" s="91"/>
      <c r="AF930" s="91"/>
      <c r="AG930" s="91"/>
      <c r="AH930" s="91"/>
    </row>
    <row r="931" spans="1:34" s="1" customFormat="1" ht="60">
      <c r="A931" s="120">
        <v>930</v>
      </c>
      <c r="B931" s="120" t="b">
        <f t="shared" ca="1" si="14"/>
        <v>0</v>
      </c>
      <c r="C931" s="121">
        <v>45627</v>
      </c>
      <c r="D931" s="137">
        <v>0.48291666666666666</v>
      </c>
      <c r="E931" s="94">
        <v>2021</v>
      </c>
      <c r="F931" s="142">
        <v>1209</v>
      </c>
      <c r="G931" s="94" t="s">
        <v>34</v>
      </c>
      <c r="H931" s="94">
        <v>1058</v>
      </c>
      <c r="I931" s="115"/>
      <c r="J931" s="94" t="s">
        <v>35</v>
      </c>
      <c r="K931" s="91">
        <v>146.738</v>
      </c>
      <c r="L931" s="122" t="str">
        <f>VLOOKUP(K931,Liste!$L$2:$O$34,4,1)</f>
        <v>GSMR_25/26</v>
      </c>
      <c r="M931" s="133" t="s">
        <v>36</v>
      </c>
      <c r="N931" s="180" t="s">
        <v>37</v>
      </c>
      <c r="O931" s="125" t="s">
        <v>2091</v>
      </c>
      <c r="P931" s="117"/>
      <c r="Q931" s="118" t="s">
        <v>39</v>
      </c>
      <c r="R931" s="118" t="s">
        <v>768</v>
      </c>
      <c r="S931" s="91" t="s">
        <v>2092</v>
      </c>
      <c r="T931" s="94" t="s">
        <v>41</v>
      </c>
      <c r="U931" s="94" t="s">
        <v>1693</v>
      </c>
      <c r="V931" s="94" t="s">
        <v>51</v>
      </c>
      <c r="W931" s="94" t="s">
        <v>51</v>
      </c>
      <c r="X931" s="124" t="s">
        <v>52</v>
      </c>
      <c r="Y931" s="124" t="s">
        <v>946</v>
      </c>
      <c r="Z931" s="91"/>
      <c r="AA931" s="91" t="s">
        <v>754</v>
      </c>
      <c r="AB931" s="91"/>
      <c r="AC931" s="91"/>
      <c r="AD931" s="91"/>
      <c r="AE931" s="91"/>
      <c r="AF931" s="91"/>
      <c r="AG931" s="91"/>
      <c r="AH931" s="91"/>
    </row>
    <row r="932" spans="1:34" s="1" customFormat="1" ht="60">
      <c r="A932" s="120">
        <v>931</v>
      </c>
      <c r="B932" s="120" t="b">
        <f t="shared" ca="1" si="14"/>
        <v>0</v>
      </c>
      <c r="C932" s="121">
        <v>45627</v>
      </c>
      <c r="D932" s="137">
        <v>0.56496527777777783</v>
      </c>
      <c r="E932" s="94">
        <v>1025</v>
      </c>
      <c r="F932" s="142">
        <v>1205</v>
      </c>
      <c r="G932" s="94" t="s">
        <v>71</v>
      </c>
      <c r="H932" s="94">
        <v>1060</v>
      </c>
      <c r="I932" s="115"/>
      <c r="J932" s="94" t="s">
        <v>72</v>
      </c>
      <c r="K932" s="91">
        <v>152.488</v>
      </c>
      <c r="L932" s="122" t="str">
        <f>VLOOKUP(K932,Liste!$L$2:$O$34,4,1)</f>
        <v>GSMR_26/27</v>
      </c>
      <c r="M932" s="133" t="s">
        <v>36</v>
      </c>
      <c r="N932" s="180" t="s">
        <v>37</v>
      </c>
      <c r="O932" s="125" t="s">
        <v>2093</v>
      </c>
      <c r="P932" s="117"/>
      <c r="Q932" s="94" t="s">
        <v>54</v>
      </c>
      <c r="R932" s="94" t="s">
        <v>2000</v>
      </c>
      <c r="S932" s="91" t="s">
        <v>2094</v>
      </c>
      <c r="T932" s="94" t="s">
        <v>41</v>
      </c>
      <c r="U932" s="94" t="s">
        <v>1446</v>
      </c>
      <c r="V932" s="94" t="s">
        <v>51</v>
      </c>
      <c r="W932" s="94" t="s">
        <v>51</v>
      </c>
      <c r="X932" s="124" t="s">
        <v>52</v>
      </c>
      <c r="Y932" s="124" t="s">
        <v>946</v>
      </c>
      <c r="Z932" s="91"/>
      <c r="AA932" s="91" t="s">
        <v>754</v>
      </c>
      <c r="AB932" s="91"/>
      <c r="AC932" s="91"/>
      <c r="AD932" s="91"/>
      <c r="AE932" s="91"/>
      <c r="AF932" s="91"/>
      <c r="AG932" s="91"/>
      <c r="AH932" s="91"/>
    </row>
    <row r="933" spans="1:34" s="1" customFormat="1" ht="60">
      <c r="A933" s="120">
        <v>932</v>
      </c>
      <c r="B933" s="120" t="b">
        <f t="shared" ca="1" si="14"/>
        <v>0</v>
      </c>
      <c r="C933" s="121">
        <v>45627</v>
      </c>
      <c r="D933" s="137">
        <v>0.78302083333333339</v>
      </c>
      <c r="E933" s="94">
        <v>2049</v>
      </c>
      <c r="F933" s="142">
        <v>1212</v>
      </c>
      <c r="G933" s="94" t="s">
        <v>34</v>
      </c>
      <c r="H933" s="94">
        <v>7206</v>
      </c>
      <c r="I933" s="115"/>
      <c r="J933" s="94" t="s">
        <v>35</v>
      </c>
      <c r="K933" s="91">
        <v>185.82499999999999</v>
      </c>
      <c r="L933" s="122" t="str">
        <f>VLOOKUP(K933,Liste!$L$2:$O$34,4,1)</f>
        <v>GSMR_32/33</v>
      </c>
      <c r="M933" s="133" t="s">
        <v>36</v>
      </c>
      <c r="N933" s="180" t="s">
        <v>37</v>
      </c>
      <c r="O933" s="125" t="s">
        <v>2095</v>
      </c>
      <c r="P933" s="117"/>
      <c r="Q933" s="94" t="s">
        <v>54</v>
      </c>
      <c r="R933" s="94" t="s">
        <v>2000</v>
      </c>
      <c r="S933" s="91" t="s">
        <v>2096</v>
      </c>
      <c r="T933" s="94" t="s">
        <v>69</v>
      </c>
      <c r="U933" s="94" t="s">
        <v>1526</v>
      </c>
      <c r="V933" s="94" t="s">
        <v>51</v>
      </c>
      <c r="W933" s="94" t="s">
        <v>51</v>
      </c>
      <c r="X933" s="124" t="s">
        <v>52</v>
      </c>
      <c r="Y933" s="124" t="s">
        <v>946</v>
      </c>
      <c r="Z933" s="91"/>
      <c r="AA933" s="91" t="s">
        <v>772</v>
      </c>
      <c r="AB933" s="91"/>
      <c r="AC933" s="91"/>
      <c r="AD933" s="91"/>
      <c r="AE933" s="91"/>
      <c r="AF933" s="91"/>
      <c r="AG933" s="91"/>
      <c r="AH933" s="91"/>
    </row>
    <row r="934" spans="1:34" s="1" customFormat="1" ht="60">
      <c r="A934" s="120">
        <v>933</v>
      </c>
      <c r="B934" s="120" t="b">
        <f t="shared" ca="1" si="14"/>
        <v>0</v>
      </c>
      <c r="C934" s="121">
        <v>45627</v>
      </c>
      <c r="D934" s="137">
        <v>0.88013888888888892</v>
      </c>
      <c r="E934" s="94">
        <v>1053</v>
      </c>
      <c r="F934" s="142">
        <v>1206</v>
      </c>
      <c r="G934" s="94" t="s">
        <v>71</v>
      </c>
      <c r="H934" s="94">
        <v>1040</v>
      </c>
      <c r="I934" s="115"/>
      <c r="J934" s="94" t="s">
        <v>72</v>
      </c>
      <c r="K934" s="152">
        <v>7.3209999999999997</v>
      </c>
      <c r="L934" s="122" t="str">
        <f>VLOOKUP(K934,Liste!$L$2:$O$34,4,1)</f>
        <v>GSMR_02/03</v>
      </c>
      <c r="M934" s="133" t="s">
        <v>36</v>
      </c>
      <c r="N934" s="180" t="s">
        <v>37</v>
      </c>
      <c r="O934" s="125" t="s">
        <v>2097</v>
      </c>
      <c r="P934" s="117"/>
      <c r="Q934" s="118" t="s">
        <v>39</v>
      </c>
      <c r="R934" s="118" t="s">
        <v>2098</v>
      </c>
      <c r="S934" s="91" t="s">
        <v>1344</v>
      </c>
      <c r="T934" s="94" t="s">
        <v>56</v>
      </c>
      <c r="U934" s="94" t="s">
        <v>1490</v>
      </c>
      <c r="V934" s="94" t="s">
        <v>51</v>
      </c>
      <c r="W934" s="94" t="s">
        <v>51</v>
      </c>
      <c r="X934" s="124" t="s">
        <v>52</v>
      </c>
      <c r="Y934" s="124" t="s">
        <v>946</v>
      </c>
      <c r="Z934" s="91"/>
      <c r="AA934" s="91" t="s">
        <v>778</v>
      </c>
      <c r="AB934" s="91"/>
      <c r="AC934" s="91"/>
      <c r="AD934" s="91"/>
      <c r="AE934" s="91"/>
      <c r="AF934" s="91"/>
      <c r="AG934" s="91"/>
      <c r="AH934" s="91"/>
    </row>
    <row r="935" spans="1:34" s="1" customFormat="1" ht="60">
      <c r="A935" s="120">
        <v>934</v>
      </c>
      <c r="B935" s="120" t="b">
        <f t="shared" ca="1" si="14"/>
        <v>0</v>
      </c>
      <c r="C935" s="121">
        <v>45628</v>
      </c>
      <c r="D935" s="137">
        <v>0.36531249999999998</v>
      </c>
      <c r="E935" s="94">
        <v>1005</v>
      </c>
      <c r="F935" s="142">
        <v>1205</v>
      </c>
      <c r="G935" s="94" t="s">
        <v>71</v>
      </c>
      <c r="H935" s="94">
        <v>1061</v>
      </c>
      <c r="I935" s="115"/>
      <c r="J935" s="94" t="s">
        <v>72</v>
      </c>
      <c r="K935" s="91">
        <v>94.953999999999994</v>
      </c>
      <c r="L935" s="122" t="str">
        <f>VLOOKUP(K935,Liste!$L$2:$O$34,4,1)</f>
        <v>GSMR_17/18</v>
      </c>
      <c r="M935" s="133" t="s">
        <v>36</v>
      </c>
      <c r="N935" s="180" t="s">
        <v>37</v>
      </c>
      <c r="O935" s="125" t="s">
        <v>2099</v>
      </c>
      <c r="P935" s="117"/>
      <c r="Q935" s="118" t="s">
        <v>47</v>
      </c>
      <c r="R935" s="118" t="s">
        <v>1950</v>
      </c>
      <c r="S935" s="91" t="s">
        <v>2100</v>
      </c>
      <c r="T935" s="94" t="s">
        <v>56</v>
      </c>
      <c r="U935" s="94" t="s">
        <v>2101</v>
      </c>
      <c r="V935" s="94" t="s">
        <v>51</v>
      </c>
      <c r="W935" s="94" t="s">
        <v>51</v>
      </c>
      <c r="X935" s="124" t="s">
        <v>52</v>
      </c>
      <c r="Y935" s="124" t="s">
        <v>946</v>
      </c>
      <c r="Z935" s="91"/>
      <c r="AA935" s="91" t="s">
        <v>802</v>
      </c>
      <c r="AB935" s="91"/>
      <c r="AC935" s="91"/>
      <c r="AD935" s="91"/>
      <c r="AE935" s="91"/>
      <c r="AF935" s="91"/>
      <c r="AG935" s="91"/>
      <c r="AH935" s="91"/>
    </row>
    <row r="936" spans="1:34" s="1" customFormat="1" ht="60">
      <c r="A936" s="120">
        <v>935</v>
      </c>
      <c r="B936" s="120" t="b">
        <f t="shared" ca="1" si="14"/>
        <v>0</v>
      </c>
      <c r="C936" s="121">
        <v>45628</v>
      </c>
      <c r="D936" s="137">
        <v>0.60790509259259262</v>
      </c>
      <c r="E936" s="94">
        <v>2033</v>
      </c>
      <c r="F936" s="142">
        <v>1208</v>
      </c>
      <c r="G936" s="94" t="s">
        <v>34</v>
      </c>
      <c r="H936" s="94">
        <v>1037</v>
      </c>
      <c r="I936" s="115"/>
      <c r="J936" s="94" t="s">
        <v>35</v>
      </c>
      <c r="K936" s="91">
        <v>144.32599999999999</v>
      </c>
      <c r="L936" s="122" t="str">
        <f>VLOOKUP(K936,Liste!$L$2:$O$34,4,1)</f>
        <v>GSMR_25/26</v>
      </c>
      <c r="M936" s="133" t="s">
        <v>36</v>
      </c>
      <c r="N936" s="181" t="s">
        <v>58</v>
      </c>
      <c r="O936" s="125" t="s">
        <v>2102</v>
      </c>
      <c r="P936" s="117"/>
      <c r="Q936" s="118" t="s">
        <v>105</v>
      </c>
      <c r="R936" s="129" t="s">
        <v>1072</v>
      </c>
      <c r="S936" s="91" t="s">
        <v>1572</v>
      </c>
      <c r="T936" s="94" t="s">
        <v>101</v>
      </c>
      <c r="U936" s="94" t="s">
        <v>1745</v>
      </c>
      <c r="V936" s="94" t="s">
        <v>51</v>
      </c>
      <c r="W936" s="94" t="s">
        <v>51</v>
      </c>
      <c r="X936" s="124" t="s">
        <v>52</v>
      </c>
      <c r="Y936" s="124" t="s">
        <v>1045</v>
      </c>
      <c r="Z936" s="91"/>
      <c r="AA936" s="91" t="s">
        <v>802</v>
      </c>
      <c r="AB936" s="91"/>
      <c r="AC936" s="91"/>
      <c r="AD936" s="91"/>
      <c r="AE936" s="91"/>
      <c r="AF936" s="91"/>
      <c r="AG936" s="91"/>
      <c r="AH936" s="91"/>
    </row>
    <row r="937" spans="1:34" s="1" customFormat="1" ht="60">
      <c r="A937" s="120">
        <v>936</v>
      </c>
      <c r="B937" s="120" t="b">
        <f t="shared" ca="1" si="14"/>
        <v>0</v>
      </c>
      <c r="C937" s="121">
        <v>45628</v>
      </c>
      <c r="D937" s="137">
        <v>0.61496527777777776</v>
      </c>
      <c r="E937" s="94">
        <v>2033</v>
      </c>
      <c r="F937" s="142">
        <v>1208</v>
      </c>
      <c r="G937" s="94" t="s">
        <v>34</v>
      </c>
      <c r="H937" s="94">
        <v>1036</v>
      </c>
      <c r="I937" s="115"/>
      <c r="J937" s="94" t="s">
        <v>35</v>
      </c>
      <c r="K937" s="91">
        <v>152.548</v>
      </c>
      <c r="L937" s="122" t="str">
        <f>VLOOKUP(K937,Liste!$L$2:$O$34,4,1)</f>
        <v>GSMR_26/27</v>
      </c>
      <c r="M937" s="133" t="s">
        <v>36</v>
      </c>
      <c r="N937" s="181" t="s">
        <v>58</v>
      </c>
      <c r="O937" s="125" t="s">
        <v>2103</v>
      </c>
      <c r="P937" s="117"/>
      <c r="Q937" s="118" t="s">
        <v>105</v>
      </c>
      <c r="R937" s="129" t="s">
        <v>1072</v>
      </c>
      <c r="S937" s="91" t="s">
        <v>2104</v>
      </c>
      <c r="T937" s="94" t="s">
        <v>56</v>
      </c>
      <c r="U937" s="94" t="s">
        <v>1520</v>
      </c>
      <c r="V937" s="94" t="s">
        <v>51</v>
      </c>
      <c r="W937" s="94" t="s">
        <v>51</v>
      </c>
      <c r="X937" s="124" t="s">
        <v>52</v>
      </c>
      <c r="Y937" s="124" t="s">
        <v>1045</v>
      </c>
      <c r="Z937" s="91"/>
      <c r="AA937" s="91" t="s">
        <v>802</v>
      </c>
      <c r="AB937" s="91"/>
      <c r="AC937" s="91"/>
      <c r="AD937" s="91"/>
      <c r="AE937" s="91"/>
      <c r="AF937" s="91"/>
      <c r="AG937" s="91"/>
      <c r="AH937" s="91"/>
    </row>
    <row r="938" spans="1:34" s="1" customFormat="1" ht="60">
      <c r="A938" s="120">
        <v>937</v>
      </c>
      <c r="B938" s="120" t="b">
        <f t="shared" ca="1" si="14"/>
        <v>0</v>
      </c>
      <c r="C938" s="121">
        <v>45628</v>
      </c>
      <c r="D938" s="137">
        <v>0.67553240740740739</v>
      </c>
      <c r="E938" s="94">
        <v>2041</v>
      </c>
      <c r="F938" s="142">
        <v>1212</v>
      </c>
      <c r="G938" s="94" t="s">
        <v>34</v>
      </c>
      <c r="H938" s="94">
        <v>7198</v>
      </c>
      <c r="I938" s="115"/>
      <c r="J938" s="94" t="s">
        <v>35</v>
      </c>
      <c r="K938" s="91">
        <v>30.076000000000001</v>
      </c>
      <c r="L938" s="122" t="str">
        <f>VLOOKUP(K938,Liste!$L$2:$O$34,4,1)</f>
        <v>GSMR_06/07</v>
      </c>
      <c r="M938" s="133" t="s">
        <v>36</v>
      </c>
      <c r="N938" s="180" t="s">
        <v>37</v>
      </c>
      <c r="O938" s="125" t="s">
        <v>2105</v>
      </c>
      <c r="P938" s="117"/>
      <c r="Q938" s="118" t="s">
        <v>105</v>
      </c>
      <c r="R938" s="129" t="s">
        <v>1072</v>
      </c>
      <c r="S938" s="91" t="s">
        <v>2106</v>
      </c>
      <c r="T938" s="94" t="s">
        <v>69</v>
      </c>
      <c r="U938" s="94" t="s">
        <v>1529</v>
      </c>
      <c r="V938" s="94" t="s">
        <v>51</v>
      </c>
      <c r="W938" s="94" t="s">
        <v>51</v>
      </c>
      <c r="X938" s="124" t="s">
        <v>52</v>
      </c>
      <c r="Y938" s="124" t="s">
        <v>2107</v>
      </c>
      <c r="Z938" s="91"/>
      <c r="AA938" s="91" t="s">
        <v>772</v>
      </c>
      <c r="AB938" s="91"/>
      <c r="AC938" s="91"/>
      <c r="AD938" s="91"/>
      <c r="AE938" s="91"/>
      <c r="AF938" s="91"/>
      <c r="AG938" s="91"/>
      <c r="AH938" s="91"/>
    </row>
    <row r="939" spans="1:34" s="1" customFormat="1" ht="60">
      <c r="A939" s="120">
        <v>938</v>
      </c>
      <c r="B939" s="120" t="b">
        <f t="shared" ca="1" si="14"/>
        <v>0</v>
      </c>
      <c r="C939" s="121">
        <v>45628</v>
      </c>
      <c r="D939" s="137">
        <v>0.78192129629629625</v>
      </c>
      <c r="E939" s="94">
        <v>1046</v>
      </c>
      <c r="F939" s="142">
        <v>1208</v>
      </c>
      <c r="G939" s="94" t="s">
        <v>71</v>
      </c>
      <c r="H939" s="94">
        <v>1045</v>
      </c>
      <c r="I939" s="115"/>
      <c r="J939" s="94" t="s">
        <v>72</v>
      </c>
      <c r="K939" s="91">
        <v>94.953999999999994</v>
      </c>
      <c r="L939" s="122" t="str">
        <f>VLOOKUP(K939,Liste!$L$2:$O$34,4,1)</f>
        <v>GSMR_17/18</v>
      </c>
      <c r="M939" s="133" t="s">
        <v>36</v>
      </c>
      <c r="N939" s="180" t="s">
        <v>37</v>
      </c>
      <c r="O939" s="125" t="s">
        <v>2108</v>
      </c>
      <c r="P939" s="117"/>
      <c r="Q939" s="118" t="s">
        <v>47</v>
      </c>
      <c r="R939" s="118" t="s">
        <v>1950</v>
      </c>
      <c r="S939" s="91" t="s">
        <v>1725</v>
      </c>
      <c r="T939" s="94" t="s">
        <v>56</v>
      </c>
      <c r="U939" s="94" t="s">
        <v>1612</v>
      </c>
      <c r="V939" s="94" t="s">
        <v>51</v>
      </c>
      <c r="W939" s="94" t="s">
        <v>51</v>
      </c>
      <c r="X939" s="124" t="s">
        <v>52</v>
      </c>
      <c r="Y939" s="124" t="s">
        <v>2109</v>
      </c>
      <c r="Z939" s="91"/>
      <c r="AA939" s="91" t="s">
        <v>772</v>
      </c>
      <c r="AB939" s="91"/>
      <c r="AC939" s="91"/>
      <c r="AD939" s="91"/>
      <c r="AE939" s="91"/>
      <c r="AF939" s="91"/>
      <c r="AG939" s="91"/>
      <c r="AH939" s="91"/>
    </row>
    <row r="940" spans="1:34" s="1" customFormat="1" ht="60">
      <c r="A940" s="120">
        <v>939</v>
      </c>
      <c r="B940" s="120" t="b">
        <f t="shared" ca="1" si="14"/>
        <v>0</v>
      </c>
      <c r="C940" s="121">
        <v>45628</v>
      </c>
      <c r="D940" s="137">
        <v>0.82501157407407411</v>
      </c>
      <c r="E940" s="94">
        <v>1032</v>
      </c>
      <c r="F940" s="142">
        <v>1209</v>
      </c>
      <c r="G940" s="94" t="s">
        <v>71</v>
      </c>
      <c r="H940" s="94">
        <v>1050</v>
      </c>
      <c r="I940" s="115"/>
      <c r="J940" s="94" t="s">
        <v>72</v>
      </c>
      <c r="K940" s="91">
        <v>94.953999999999994</v>
      </c>
      <c r="L940" s="122" t="str">
        <f>VLOOKUP(K940,Liste!$L$2:$O$34,4,1)</f>
        <v>GSMR_17/18</v>
      </c>
      <c r="M940" s="133" t="s">
        <v>36</v>
      </c>
      <c r="N940" s="180" t="s">
        <v>37</v>
      </c>
      <c r="O940" s="125" t="s">
        <v>2110</v>
      </c>
      <c r="P940" s="117"/>
      <c r="Q940" s="118" t="s">
        <v>47</v>
      </c>
      <c r="R940" s="118" t="s">
        <v>1950</v>
      </c>
      <c r="S940" s="91" t="s">
        <v>2111</v>
      </c>
      <c r="T940" s="94" t="s">
        <v>116</v>
      </c>
      <c r="U940" s="94" t="s">
        <v>1688</v>
      </c>
      <c r="V940" s="94" t="s">
        <v>51</v>
      </c>
      <c r="W940" s="94" t="s">
        <v>51</v>
      </c>
      <c r="X940" s="124" t="s">
        <v>52</v>
      </c>
      <c r="Y940" s="124" t="s">
        <v>2109</v>
      </c>
      <c r="Z940" s="91"/>
      <c r="AA940" s="91" t="s">
        <v>772</v>
      </c>
      <c r="AB940" s="91"/>
      <c r="AC940" s="91"/>
      <c r="AD940" s="91"/>
      <c r="AE940" s="91"/>
      <c r="AF940" s="91"/>
      <c r="AG940" s="91"/>
      <c r="AH940" s="91"/>
    </row>
    <row r="941" spans="1:34" s="1" customFormat="1" ht="60">
      <c r="A941" s="120">
        <v>940</v>
      </c>
      <c r="B941" s="120" t="b">
        <f t="shared" ca="1" si="14"/>
        <v>0</v>
      </c>
      <c r="C941" s="121">
        <v>45628</v>
      </c>
      <c r="D941" s="137">
        <v>0.89453703703703702</v>
      </c>
      <c r="E941" s="94">
        <v>2061</v>
      </c>
      <c r="F941" s="142">
        <v>1209</v>
      </c>
      <c r="G941" s="94" t="s">
        <v>34</v>
      </c>
      <c r="H941" s="94">
        <v>7208</v>
      </c>
      <c r="I941" s="115"/>
      <c r="J941" s="94" t="s">
        <v>35</v>
      </c>
      <c r="K941" s="91">
        <v>108.206</v>
      </c>
      <c r="L941" s="122" t="str">
        <f>VLOOKUP(K941,Liste!$L$2:$O$34,4,1)</f>
        <v>GSMR_19/20</v>
      </c>
      <c r="M941" s="133" t="s">
        <v>36</v>
      </c>
      <c r="N941" s="180" t="s">
        <v>37</v>
      </c>
      <c r="O941" s="125" t="s">
        <v>2112</v>
      </c>
      <c r="P941" s="117"/>
      <c r="Q941" s="118" t="s">
        <v>39</v>
      </c>
      <c r="R941" s="94" t="s">
        <v>1032</v>
      </c>
      <c r="S941" s="91" t="s">
        <v>2113</v>
      </c>
      <c r="T941" s="94" t="s">
        <v>56</v>
      </c>
      <c r="U941" s="94" t="s">
        <v>1471</v>
      </c>
      <c r="V941" s="94" t="s">
        <v>51</v>
      </c>
      <c r="W941" s="94" t="s">
        <v>51</v>
      </c>
      <c r="X941" s="124" t="s">
        <v>52</v>
      </c>
      <c r="Y941" s="124" t="s">
        <v>2109</v>
      </c>
      <c r="Z941" s="91"/>
      <c r="AA941" s="91" t="s">
        <v>778</v>
      </c>
      <c r="AB941" s="91"/>
      <c r="AC941" s="91"/>
      <c r="AD941" s="91"/>
      <c r="AE941" s="91"/>
      <c r="AF941" s="91"/>
      <c r="AG941" s="91"/>
      <c r="AH941" s="91"/>
    </row>
    <row r="942" spans="1:34" s="1" customFormat="1" ht="60">
      <c r="A942" s="120">
        <v>941</v>
      </c>
      <c r="B942" s="120" t="b">
        <f t="shared" ca="1" si="14"/>
        <v>0</v>
      </c>
      <c r="C942" s="121">
        <v>45628</v>
      </c>
      <c r="D942" s="137">
        <v>0.93677083333333333</v>
      </c>
      <c r="E942" s="94">
        <v>1061</v>
      </c>
      <c r="F942" s="142">
        <v>1203</v>
      </c>
      <c r="G942" s="94" t="s">
        <v>71</v>
      </c>
      <c r="H942" s="94">
        <v>1026</v>
      </c>
      <c r="I942" s="115"/>
      <c r="J942" s="94" t="s">
        <v>72</v>
      </c>
      <c r="K942" s="91">
        <v>177.85</v>
      </c>
      <c r="L942" s="122" t="str">
        <f>VLOOKUP(K942,Liste!$L$2:$O$34,4,1)</f>
        <v>GSMR_30/31</v>
      </c>
      <c r="M942" s="133" t="s">
        <v>36</v>
      </c>
      <c r="N942" s="180" t="s">
        <v>37</v>
      </c>
      <c r="O942" s="125" t="s">
        <v>2114</v>
      </c>
      <c r="P942" s="117"/>
      <c r="Q942" s="94" t="s">
        <v>54</v>
      </c>
      <c r="R942" s="94" t="s">
        <v>2000</v>
      </c>
      <c r="S942" s="91" t="s">
        <v>2115</v>
      </c>
      <c r="T942" s="94" t="s">
        <v>56</v>
      </c>
      <c r="U942" s="94" t="s">
        <v>1463</v>
      </c>
      <c r="V942" s="94" t="s">
        <v>51</v>
      </c>
      <c r="W942" s="94" t="s">
        <v>51</v>
      </c>
      <c r="X942" s="124" t="s">
        <v>52</v>
      </c>
      <c r="Y942" s="124" t="s">
        <v>2109</v>
      </c>
      <c r="Z942" s="91"/>
      <c r="AA942" s="91" t="s">
        <v>778</v>
      </c>
      <c r="AB942" s="91"/>
      <c r="AC942" s="91"/>
      <c r="AD942" s="91"/>
      <c r="AE942" s="91"/>
      <c r="AF942" s="91"/>
      <c r="AG942" s="91"/>
      <c r="AH942" s="91"/>
    </row>
    <row r="943" spans="1:34" s="1" customFormat="1" ht="60">
      <c r="A943" s="120">
        <v>942</v>
      </c>
      <c r="B943" s="120" t="b">
        <f t="shared" ca="1" si="14"/>
        <v>0</v>
      </c>
      <c r="C943" s="121">
        <v>45629</v>
      </c>
      <c r="D943" s="137">
        <v>0.2678935185185185</v>
      </c>
      <c r="E943" s="94">
        <v>2001</v>
      </c>
      <c r="F943" s="142">
        <v>1204</v>
      </c>
      <c r="G943" s="94" t="s">
        <v>34</v>
      </c>
      <c r="H943" s="94">
        <v>1052</v>
      </c>
      <c r="I943" s="115"/>
      <c r="J943" s="94" t="s">
        <v>35</v>
      </c>
      <c r="K943" s="91">
        <v>93.757999999999996</v>
      </c>
      <c r="L943" s="122" t="str">
        <f>VLOOKUP(K943,Liste!$L$2:$O$34,4,1)</f>
        <v>GSMR_17/18</v>
      </c>
      <c r="M943" s="133" t="s">
        <v>36</v>
      </c>
      <c r="N943" s="180" t="s">
        <v>37</v>
      </c>
      <c r="O943" s="125" t="s">
        <v>2116</v>
      </c>
      <c r="P943" s="117"/>
      <c r="Q943" s="94" t="s">
        <v>54</v>
      </c>
      <c r="R943" s="94" t="s">
        <v>2000</v>
      </c>
      <c r="S943" s="91" t="s">
        <v>2117</v>
      </c>
      <c r="T943" s="94" t="s">
        <v>78</v>
      </c>
      <c r="U943" s="94" t="s">
        <v>1782</v>
      </c>
      <c r="V943" s="94" t="s">
        <v>43</v>
      </c>
      <c r="W943" s="94" t="s">
        <v>51</v>
      </c>
      <c r="X943" s="124" t="s">
        <v>52</v>
      </c>
      <c r="Y943" s="124" t="s">
        <v>2109</v>
      </c>
      <c r="Z943" s="91"/>
      <c r="AA943" s="91" t="s">
        <v>778</v>
      </c>
      <c r="AB943" s="91"/>
      <c r="AC943" s="91"/>
      <c r="AD943" s="91"/>
      <c r="AE943" s="91"/>
      <c r="AF943" s="91"/>
      <c r="AG943" s="91"/>
      <c r="AH943" s="91"/>
    </row>
    <row r="944" spans="1:34" s="1" customFormat="1" ht="60">
      <c r="A944" s="120">
        <v>943</v>
      </c>
      <c r="B944" s="120" t="b">
        <f t="shared" ca="1" si="14"/>
        <v>0</v>
      </c>
      <c r="C944" s="121">
        <v>45629</v>
      </c>
      <c r="D944" s="137">
        <v>0.31831018518518517</v>
      </c>
      <c r="E944" s="94">
        <v>1001</v>
      </c>
      <c r="F944" s="142">
        <v>1202</v>
      </c>
      <c r="G944" s="94" t="s">
        <v>71</v>
      </c>
      <c r="H944" s="94">
        <v>1031</v>
      </c>
      <c r="I944" s="115"/>
      <c r="J944" s="94" t="s">
        <v>72</v>
      </c>
      <c r="K944" s="91">
        <v>131.78899999999999</v>
      </c>
      <c r="L944" s="122" t="str">
        <f>VLOOKUP(K944,Liste!$L$2:$O$34,4,1)</f>
        <v>GSMR_23/24</v>
      </c>
      <c r="M944" s="133" t="s">
        <v>36</v>
      </c>
      <c r="N944" s="180" t="s">
        <v>37</v>
      </c>
      <c r="O944" s="125" t="s">
        <v>2118</v>
      </c>
      <c r="P944" s="117"/>
      <c r="Q944" s="118" t="s">
        <v>39</v>
      </c>
      <c r="R944" s="129" t="s">
        <v>1032</v>
      </c>
      <c r="S944" s="91" t="s">
        <v>2119</v>
      </c>
      <c r="T944" s="94" t="s">
        <v>69</v>
      </c>
      <c r="U944" s="94" t="s">
        <v>1595</v>
      </c>
      <c r="V944" s="94" t="s">
        <v>51</v>
      </c>
      <c r="W944" s="94" t="s">
        <v>51</v>
      </c>
      <c r="X944" s="124" t="s">
        <v>52</v>
      </c>
      <c r="Y944" s="124" t="s">
        <v>2109</v>
      </c>
      <c r="Z944" s="91"/>
      <c r="AA944" s="91" t="s">
        <v>754</v>
      </c>
      <c r="AB944" s="91"/>
      <c r="AC944" s="91"/>
      <c r="AD944" s="91"/>
      <c r="AE944" s="91"/>
      <c r="AF944" s="91"/>
      <c r="AG944" s="91"/>
      <c r="AH944" s="91"/>
    </row>
    <row r="945" spans="1:34" s="1" customFormat="1" ht="60">
      <c r="A945" s="120">
        <v>944</v>
      </c>
      <c r="B945" s="120" t="b">
        <f t="shared" ca="1" si="14"/>
        <v>0</v>
      </c>
      <c r="C945" s="121">
        <v>45629</v>
      </c>
      <c r="D945" s="137">
        <v>0.37921296296296297</v>
      </c>
      <c r="E945" s="94">
        <v>1005</v>
      </c>
      <c r="F945" s="142">
        <v>1205</v>
      </c>
      <c r="G945" s="94" t="s">
        <v>71</v>
      </c>
      <c r="H945" s="94">
        <v>1060</v>
      </c>
      <c r="I945" s="115"/>
      <c r="J945" s="94" t="s">
        <v>72</v>
      </c>
      <c r="K945" s="152">
        <v>7.3209999999999997</v>
      </c>
      <c r="L945" s="122" t="str">
        <f>VLOOKUP(K945,Liste!$L$2:$O$34,4,1)</f>
        <v>GSMR_02/03</v>
      </c>
      <c r="M945" s="133" t="s">
        <v>36</v>
      </c>
      <c r="N945" s="180" t="s">
        <v>37</v>
      </c>
      <c r="O945" s="125" t="s">
        <v>2120</v>
      </c>
      <c r="P945" s="117"/>
      <c r="Q945" s="118" t="s">
        <v>39</v>
      </c>
      <c r="R945" s="129" t="s">
        <v>1032</v>
      </c>
      <c r="S945" s="91" t="s">
        <v>1817</v>
      </c>
      <c r="T945" s="94" t="s">
        <v>56</v>
      </c>
      <c r="U945" s="94" t="s">
        <v>1541</v>
      </c>
      <c r="V945" s="94" t="s">
        <v>51</v>
      </c>
      <c r="W945" s="94" t="s">
        <v>51</v>
      </c>
      <c r="X945" s="124" t="s">
        <v>52</v>
      </c>
      <c r="Y945" s="124" t="s">
        <v>2109</v>
      </c>
      <c r="Z945" s="91"/>
      <c r="AA945" s="91" t="s">
        <v>802</v>
      </c>
      <c r="AB945" s="91"/>
      <c r="AC945" s="91"/>
      <c r="AD945" s="91"/>
      <c r="AE945" s="91"/>
      <c r="AF945" s="91"/>
      <c r="AG945" s="91"/>
      <c r="AH945" s="91"/>
    </row>
    <row r="946" spans="1:34" s="1" customFormat="1" ht="60">
      <c r="A946" s="120">
        <v>945</v>
      </c>
      <c r="B946" s="120" t="b">
        <f t="shared" ca="1" si="14"/>
        <v>0</v>
      </c>
      <c r="C946" s="121">
        <v>45629</v>
      </c>
      <c r="D946" s="137">
        <v>0.58780092592592592</v>
      </c>
      <c r="E946" s="94">
        <v>1025</v>
      </c>
      <c r="F946" s="142">
        <v>1203</v>
      </c>
      <c r="G946" s="94" t="s">
        <v>71</v>
      </c>
      <c r="H946" s="94">
        <v>1027</v>
      </c>
      <c r="I946" s="115"/>
      <c r="J946" s="94" t="s">
        <v>72</v>
      </c>
      <c r="K946" s="152">
        <v>7.3209999999999997</v>
      </c>
      <c r="L946" s="122" t="str">
        <f>VLOOKUP(K946,Liste!$L$2:$O$34,4,1)</f>
        <v>GSMR_02/03</v>
      </c>
      <c r="M946" s="133" t="s">
        <v>36</v>
      </c>
      <c r="N946" s="181" t="s">
        <v>58</v>
      </c>
      <c r="O946" s="125" t="s">
        <v>2121</v>
      </c>
      <c r="P946" s="117"/>
      <c r="Q946" s="118" t="s">
        <v>39</v>
      </c>
      <c r="R946" s="129" t="s">
        <v>1032</v>
      </c>
      <c r="S946" s="91" t="s">
        <v>2122</v>
      </c>
      <c r="T946" s="94" t="s">
        <v>56</v>
      </c>
      <c r="U946" s="94" t="s">
        <v>1549</v>
      </c>
      <c r="V946" s="94" t="s">
        <v>51</v>
      </c>
      <c r="W946" s="94" t="s">
        <v>51</v>
      </c>
      <c r="X946" s="124" t="s">
        <v>52</v>
      </c>
      <c r="Y946" s="124" t="s">
        <v>2109</v>
      </c>
      <c r="Z946" s="91"/>
      <c r="AA946" s="91" t="s">
        <v>802</v>
      </c>
      <c r="AB946" s="91"/>
      <c r="AC946" s="91"/>
      <c r="AD946" s="91"/>
      <c r="AE946" s="91"/>
      <c r="AF946" s="91"/>
      <c r="AG946" s="91"/>
      <c r="AH946" s="91"/>
    </row>
    <row r="947" spans="1:34" s="1" customFormat="1" ht="60">
      <c r="A947" s="120">
        <v>946</v>
      </c>
      <c r="B947" s="120" t="b">
        <f t="shared" ca="1" si="14"/>
        <v>0</v>
      </c>
      <c r="C947" s="121">
        <v>45629</v>
      </c>
      <c r="D947" s="137">
        <v>0.69115740740740739</v>
      </c>
      <c r="E947" s="94">
        <v>2041</v>
      </c>
      <c r="F947" s="142">
        <v>1208</v>
      </c>
      <c r="G947" s="94" t="s">
        <v>34</v>
      </c>
      <c r="H947" s="94">
        <v>1037</v>
      </c>
      <c r="I947" s="115"/>
      <c r="J947" s="94" t="s">
        <v>35</v>
      </c>
      <c r="K947" s="91">
        <v>143.11199999999999</v>
      </c>
      <c r="L947" s="122" t="str">
        <f>VLOOKUP(K947,Liste!$L$2:$O$34,4,1)</f>
        <v>GSMR_24/25</v>
      </c>
      <c r="M947" s="133" t="s">
        <v>36</v>
      </c>
      <c r="N947" s="180" t="s">
        <v>37</v>
      </c>
      <c r="O947" s="125" t="s">
        <v>2123</v>
      </c>
      <c r="P947" s="117"/>
      <c r="Q947" s="118" t="s">
        <v>105</v>
      </c>
      <c r="R947" s="129" t="s">
        <v>1072</v>
      </c>
      <c r="S947" s="91" t="s">
        <v>2124</v>
      </c>
      <c r="T947" s="94" t="s">
        <v>69</v>
      </c>
      <c r="U947" s="94" t="s">
        <v>1595</v>
      </c>
      <c r="V947" s="94" t="s">
        <v>51</v>
      </c>
      <c r="W947" s="94" t="s">
        <v>51</v>
      </c>
      <c r="X947" s="124" t="s">
        <v>52</v>
      </c>
      <c r="Y947" s="124" t="s">
        <v>2125</v>
      </c>
      <c r="Z947" s="91"/>
      <c r="AA947" s="91" t="s">
        <v>1183</v>
      </c>
      <c r="AB947" s="91"/>
      <c r="AC947" s="91"/>
      <c r="AD947" s="91"/>
      <c r="AE947" s="91"/>
      <c r="AF947" s="91"/>
      <c r="AG947" s="91"/>
      <c r="AH947" s="91"/>
    </row>
    <row r="948" spans="1:34" s="1" customFormat="1" ht="60">
      <c r="A948" s="120">
        <v>947</v>
      </c>
      <c r="B948" s="120" t="b">
        <f t="shared" ca="1" si="14"/>
        <v>0</v>
      </c>
      <c r="C948" s="121">
        <v>45629</v>
      </c>
      <c r="D948" s="137">
        <v>0.73453703703703699</v>
      </c>
      <c r="E948" s="94">
        <v>1041</v>
      </c>
      <c r="F948" s="142">
        <v>1205</v>
      </c>
      <c r="G948" s="94" t="s">
        <v>71</v>
      </c>
      <c r="H948" s="94">
        <v>1061</v>
      </c>
      <c r="I948" s="115"/>
      <c r="J948" s="94" t="s">
        <v>72</v>
      </c>
      <c r="K948" s="91">
        <v>140.65899999999999</v>
      </c>
      <c r="L948" s="122" t="str">
        <f>VLOOKUP(K948,Liste!$L$2:$O$34,4,1)</f>
        <v>GSMR_24/25</v>
      </c>
      <c r="M948" s="133" t="s">
        <v>36</v>
      </c>
      <c r="N948" s="180" t="s">
        <v>37</v>
      </c>
      <c r="O948" s="125" t="s">
        <v>2126</v>
      </c>
      <c r="P948" s="117"/>
      <c r="Q948" s="94" t="s">
        <v>54</v>
      </c>
      <c r="R948" s="94" t="s">
        <v>2000</v>
      </c>
      <c r="S948" s="91" t="s">
        <v>2127</v>
      </c>
      <c r="T948" s="94" t="s">
        <v>209</v>
      </c>
      <c r="U948" s="94" t="s">
        <v>2101</v>
      </c>
      <c r="V948" s="94" t="s">
        <v>51</v>
      </c>
      <c r="W948" s="94" t="s">
        <v>51</v>
      </c>
      <c r="X948" s="124" t="s">
        <v>52</v>
      </c>
      <c r="Y948" s="124" t="s">
        <v>2109</v>
      </c>
      <c r="Z948" s="91"/>
      <c r="AA948" s="91" t="s">
        <v>1183</v>
      </c>
      <c r="AB948" s="91"/>
      <c r="AC948" s="91"/>
      <c r="AD948" s="91"/>
      <c r="AE948" s="91"/>
      <c r="AF948" s="91"/>
      <c r="AG948" s="91"/>
      <c r="AH948" s="91"/>
    </row>
    <row r="949" spans="1:34" s="1" customFormat="1" ht="60">
      <c r="A949" s="120">
        <v>948</v>
      </c>
      <c r="B949" s="120" t="b">
        <f t="shared" ca="1" si="14"/>
        <v>0</v>
      </c>
      <c r="C949" s="121">
        <v>45630</v>
      </c>
      <c r="D949" s="137" t="s">
        <v>2128</v>
      </c>
      <c r="E949" s="94">
        <v>1037</v>
      </c>
      <c r="F949" s="142">
        <v>1208</v>
      </c>
      <c r="G949" s="94" t="s">
        <v>34</v>
      </c>
      <c r="H949" s="94">
        <v>1062</v>
      </c>
      <c r="I949" s="115"/>
      <c r="J949" s="94" t="s">
        <v>35</v>
      </c>
      <c r="K949" s="152">
        <v>6.13</v>
      </c>
      <c r="L949" s="122" t="str">
        <f>VLOOKUP(K949,Liste!$L$2:$O$34,4,1)</f>
        <v>GSMR_02/03</v>
      </c>
      <c r="M949" s="133" t="s">
        <v>36</v>
      </c>
      <c r="N949" s="180" t="s">
        <v>37</v>
      </c>
      <c r="O949" s="125" t="s">
        <v>2129</v>
      </c>
      <c r="P949" s="117"/>
      <c r="Q949" s="118" t="s">
        <v>39</v>
      </c>
      <c r="R949" s="129" t="s">
        <v>1032</v>
      </c>
      <c r="S949" s="91" t="s">
        <v>2130</v>
      </c>
      <c r="T949" s="94" t="s">
        <v>78</v>
      </c>
      <c r="U949" s="94" t="s">
        <v>1693</v>
      </c>
      <c r="V949" s="94" t="s">
        <v>51</v>
      </c>
      <c r="W949" s="94" t="s">
        <v>51</v>
      </c>
      <c r="X949" s="124" t="s">
        <v>52</v>
      </c>
      <c r="Y949" s="124" t="s">
        <v>2109</v>
      </c>
      <c r="Z949" s="91"/>
      <c r="AA949" s="91" t="s">
        <v>802</v>
      </c>
      <c r="AB949" s="91"/>
      <c r="AC949" s="91"/>
      <c r="AD949" s="91"/>
      <c r="AE949" s="91"/>
      <c r="AF949" s="91"/>
      <c r="AG949" s="91"/>
      <c r="AH949" s="91"/>
    </row>
    <row r="950" spans="1:34" s="1" customFormat="1" ht="60">
      <c r="A950" s="120">
        <v>949</v>
      </c>
      <c r="B950" s="120" t="b">
        <f t="shared" ca="1" si="14"/>
        <v>0</v>
      </c>
      <c r="C950" s="121">
        <v>45630</v>
      </c>
      <c r="D950" s="137" t="s">
        <v>2131</v>
      </c>
      <c r="E950" s="94">
        <v>2033</v>
      </c>
      <c r="F950" s="142">
        <v>1206</v>
      </c>
      <c r="G950" s="94" t="s">
        <v>34</v>
      </c>
      <c r="H950" s="94">
        <v>1055</v>
      </c>
      <c r="I950" s="115"/>
      <c r="J950" s="94" t="s">
        <v>35</v>
      </c>
      <c r="K950" s="91">
        <v>144.32599999999999</v>
      </c>
      <c r="L950" s="122" t="str">
        <f>VLOOKUP(K950,Liste!$L$2:$O$34,4,1)</f>
        <v>GSMR_25/26</v>
      </c>
      <c r="M950" s="133" t="s">
        <v>36</v>
      </c>
      <c r="N950" s="181" t="s">
        <v>58</v>
      </c>
      <c r="O950" s="125" t="s">
        <v>2132</v>
      </c>
      <c r="P950" s="117"/>
      <c r="Q950" s="118" t="s">
        <v>39</v>
      </c>
      <c r="R950" s="129" t="s">
        <v>1032</v>
      </c>
      <c r="S950" s="91" t="s">
        <v>1572</v>
      </c>
      <c r="T950" s="94" t="s">
        <v>69</v>
      </c>
      <c r="U950" s="94" t="s">
        <v>1541</v>
      </c>
      <c r="V950" s="94" t="s">
        <v>51</v>
      </c>
      <c r="W950" s="94" t="s">
        <v>51</v>
      </c>
      <c r="X950" s="124" t="s">
        <v>52</v>
      </c>
      <c r="Y950" s="124" t="s">
        <v>2109</v>
      </c>
      <c r="Z950" s="91"/>
      <c r="AA950" s="91" t="s">
        <v>802</v>
      </c>
      <c r="AB950" s="91"/>
      <c r="AC950" s="91"/>
      <c r="AD950" s="91"/>
      <c r="AE950" s="91"/>
      <c r="AF950" s="91"/>
      <c r="AG950" s="91"/>
      <c r="AH950" s="91"/>
    </row>
    <row r="951" spans="1:34" s="1" customFormat="1" ht="60">
      <c r="A951" s="120">
        <v>950</v>
      </c>
      <c r="B951" s="120" t="b">
        <f t="shared" ca="1" si="14"/>
        <v>0</v>
      </c>
      <c r="C951" s="121">
        <v>45630</v>
      </c>
      <c r="D951" s="137">
        <v>0.65670138888888885</v>
      </c>
      <c r="E951" s="94">
        <v>1033</v>
      </c>
      <c r="F951" s="142">
        <v>1210</v>
      </c>
      <c r="G951" s="94" t="s">
        <v>71</v>
      </c>
      <c r="H951" s="94">
        <v>1056</v>
      </c>
      <c r="I951" s="115"/>
      <c r="J951" s="94" t="s">
        <v>72</v>
      </c>
      <c r="K951" s="91">
        <v>94.953999999999994</v>
      </c>
      <c r="L951" s="122" t="str">
        <f>VLOOKUP(K951,Liste!$L$2:$O$34,4,1)</f>
        <v>GSMR_17/18</v>
      </c>
      <c r="M951" s="133" t="s">
        <v>36</v>
      </c>
      <c r="N951" s="180" t="s">
        <v>37</v>
      </c>
      <c r="O951" s="125" t="s">
        <v>2133</v>
      </c>
      <c r="P951" s="117"/>
      <c r="Q951" s="118" t="s">
        <v>47</v>
      </c>
      <c r="R951" s="129" t="s">
        <v>1950</v>
      </c>
      <c r="S951" s="91" t="s">
        <v>1725</v>
      </c>
      <c r="T951" s="94" t="s">
        <v>56</v>
      </c>
      <c r="U951" s="94" t="s">
        <v>1666</v>
      </c>
      <c r="V951" s="94" t="s">
        <v>51</v>
      </c>
      <c r="W951" s="94" t="s">
        <v>51</v>
      </c>
      <c r="X951" s="124" t="s">
        <v>52</v>
      </c>
      <c r="Y951" s="124" t="s">
        <v>2109</v>
      </c>
      <c r="Z951" s="91"/>
      <c r="AA951" s="91" t="s">
        <v>802</v>
      </c>
      <c r="AB951" s="91"/>
      <c r="AC951" s="91"/>
      <c r="AD951" s="91"/>
      <c r="AE951" s="91"/>
      <c r="AF951" s="91"/>
      <c r="AG951" s="91"/>
      <c r="AH951" s="91"/>
    </row>
    <row r="952" spans="1:34" s="1" customFormat="1" ht="60">
      <c r="A952" s="120">
        <v>951</v>
      </c>
      <c r="B952" s="120" t="b">
        <f t="shared" ca="1" si="14"/>
        <v>0</v>
      </c>
      <c r="C952" s="121">
        <v>45631</v>
      </c>
      <c r="D952" s="137">
        <v>0.71210648148148148</v>
      </c>
      <c r="E952" s="94">
        <v>2045</v>
      </c>
      <c r="F952" s="142">
        <v>1212</v>
      </c>
      <c r="G952" s="94" t="s">
        <v>34</v>
      </c>
      <c r="H952" s="94">
        <v>7206</v>
      </c>
      <c r="I952" s="115"/>
      <c r="J952" s="94" t="s">
        <v>35</v>
      </c>
      <c r="K952" s="152">
        <v>6.13</v>
      </c>
      <c r="L952" s="122" t="str">
        <f>VLOOKUP(K952,Liste!$L$2:$O$34,4,1)</f>
        <v>GSMR_02/03</v>
      </c>
      <c r="M952" s="133" t="s">
        <v>36</v>
      </c>
      <c r="N952" s="180" t="s">
        <v>58</v>
      </c>
      <c r="O952" s="125" t="s">
        <v>2134</v>
      </c>
      <c r="P952" s="117"/>
      <c r="Q952" s="118" t="s">
        <v>39</v>
      </c>
      <c r="R952" s="129" t="s">
        <v>1032</v>
      </c>
      <c r="S952" s="91" t="s">
        <v>1268</v>
      </c>
      <c r="T952" s="94" t="s">
        <v>56</v>
      </c>
      <c r="U952" s="94" t="s">
        <v>1468</v>
      </c>
      <c r="V952" s="94" t="s">
        <v>43</v>
      </c>
      <c r="W952" s="94" t="s">
        <v>51</v>
      </c>
      <c r="X952" s="124" t="s">
        <v>52</v>
      </c>
      <c r="Y952" s="124" t="s">
        <v>2109</v>
      </c>
      <c r="Z952" s="91"/>
      <c r="AA952" s="91" t="s">
        <v>1342</v>
      </c>
      <c r="AB952" s="91"/>
      <c r="AC952" s="91"/>
      <c r="AD952" s="91"/>
      <c r="AE952" s="91"/>
      <c r="AF952" s="91"/>
      <c r="AG952" s="91"/>
      <c r="AH952" s="91"/>
    </row>
    <row r="953" spans="1:34" s="1" customFormat="1" ht="60">
      <c r="A953" s="120">
        <v>952</v>
      </c>
      <c r="B953" s="120" t="b">
        <f t="shared" ca="1" si="14"/>
        <v>0</v>
      </c>
      <c r="C953" s="121">
        <v>45631</v>
      </c>
      <c r="D953" s="137">
        <v>0.87866898148148154</v>
      </c>
      <c r="E953" s="94">
        <v>2061</v>
      </c>
      <c r="F953" s="142">
        <v>1210</v>
      </c>
      <c r="G953" s="94" t="s">
        <v>34</v>
      </c>
      <c r="H953" s="94">
        <v>1048</v>
      </c>
      <c r="I953" s="115"/>
      <c r="J953" s="94" t="s">
        <v>35</v>
      </c>
      <c r="K953" s="152">
        <v>6.13</v>
      </c>
      <c r="L953" s="122" t="str">
        <f>VLOOKUP(K953,Liste!$L$2:$O$34,4,1)</f>
        <v>GSMR_02/03</v>
      </c>
      <c r="M953" s="133" t="s">
        <v>36</v>
      </c>
      <c r="N953" s="180" t="s">
        <v>58</v>
      </c>
      <c r="O953" s="125" t="s">
        <v>2135</v>
      </c>
      <c r="P953" s="117"/>
      <c r="Q953" s="118" t="s">
        <v>39</v>
      </c>
      <c r="R953" s="129" t="s">
        <v>1032</v>
      </c>
      <c r="S953" s="91" t="s">
        <v>1255</v>
      </c>
      <c r="T953" s="94" t="s">
        <v>56</v>
      </c>
      <c r="U953" s="94" t="s">
        <v>1468</v>
      </c>
      <c r="V953" s="94" t="s">
        <v>51</v>
      </c>
      <c r="W953" s="94" t="s">
        <v>51</v>
      </c>
      <c r="X953" s="124" t="s">
        <v>52</v>
      </c>
      <c r="Y953" s="124" t="s">
        <v>2109</v>
      </c>
      <c r="Z953" s="91"/>
      <c r="AA953" s="91" t="s">
        <v>754</v>
      </c>
      <c r="AB953" s="91"/>
      <c r="AC953" s="91"/>
      <c r="AD953" s="91"/>
      <c r="AE953" s="91"/>
      <c r="AF953" s="91"/>
      <c r="AG953" s="91"/>
      <c r="AH953" s="91"/>
    </row>
    <row r="954" spans="1:34" s="1" customFormat="1" ht="60">
      <c r="A954" s="120">
        <v>953</v>
      </c>
      <c r="B954" s="120" t="b">
        <f t="shared" ca="1" si="14"/>
        <v>0</v>
      </c>
      <c r="C954" s="121">
        <v>45632</v>
      </c>
      <c r="D954" s="137">
        <v>0.71206018518518521</v>
      </c>
      <c r="E954" s="94">
        <v>2045</v>
      </c>
      <c r="F954" s="142">
        <v>1210</v>
      </c>
      <c r="G954" s="94" t="s">
        <v>34</v>
      </c>
      <c r="H954" s="94">
        <v>1033</v>
      </c>
      <c r="I954" s="115"/>
      <c r="J954" s="94" t="s">
        <v>35</v>
      </c>
      <c r="K954" s="152">
        <v>6.13</v>
      </c>
      <c r="L954" s="122" t="str">
        <f>VLOOKUP(K954,Liste!$L$2:$O$34,4,1)</f>
        <v>GSMR_02/03</v>
      </c>
      <c r="M954" s="133" t="s">
        <v>36</v>
      </c>
      <c r="N954" s="180" t="s">
        <v>58</v>
      </c>
      <c r="O954" s="125" t="s">
        <v>2135</v>
      </c>
      <c r="P954" s="117"/>
      <c r="Q954" s="118" t="s">
        <v>39</v>
      </c>
      <c r="R954" s="129" t="s">
        <v>1032</v>
      </c>
      <c r="S954" s="91" t="s">
        <v>2130</v>
      </c>
      <c r="T954" s="94" t="s">
        <v>56</v>
      </c>
      <c r="U954" s="94" t="s">
        <v>1498</v>
      </c>
      <c r="V954" s="94" t="s">
        <v>51</v>
      </c>
      <c r="W954" s="94" t="s">
        <v>51</v>
      </c>
      <c r="X954" s="124" t="s">
        <v>52</v>
      </c>
      <c r="Y954" s="124" t="s">
        <v>2109</v>
      </c>
      <c r="Z954" s="91"/>
      <c r="AA954" s="91" t="s">
        <v>1342</v>
      </c>
      <c r="AB954" s="91"/>
      <c r="AC954" s="91"/>
      <c r="AD954" s="91"/>
      <c r="AE954" s="91"/>
      <c r="AF954" s="91"/>
      <c r="AG954" s="91"/>
      <c r="AH954" s="91"/>
    </row>
    <row r="955" spans="1:34" s="1" customFormat="1" ht="60">
      <c r="A955" s="120">
        <v>954</v>
      </c>
      <c r="B955" s="120" t="b">
        <f t="shared" ca="1" si="14"/>
        <v>0</v>
      </c>
      <c r="C955" s="121">
        <v>45632</v>
      </c>
      <c r="D955" s="137">
        <v>0.79188657407407403</v>
      </c>
      <c r="E955" s="94">
        <v>1045</v>
      </c>
      <c r="F955" s="142">
        <v>1205</v>
      </c>
      <c r="G955" s="94" t="s">
        <v>71</v>
      </c>
      <c r="H955" s="94">
        <v>1061</v>
      </c>
      <c r="I955" s="115"/>
      <c r="J955" s="94" t="s">
        <v>72</v>
      </c>
      <c r="K955" s="91">
        <v>25.91</v>
      </c>
      <c r="L955" s="122" t="str">
        <f>VLOOKUP(K955,Liste!$L$2:$O$34,4,1)</f>
        <v>GSMR_05/06</v>
      </c>
      <c r="M955" s="133" t="s">
        <v>36</v>
      </c>
      <c r="N955" s="180" t="s">
        <v>37</v>
      </c>
      <c r="O955" s="125" t="s">
        <v>2136</v>
      </c>
      <c r="P955" s="117"/>
      <c r="Q955" s="118" t="s">
        <v>39</v>
      </c>
      <c r="R955" s="129" t="s">
        <v>1032</v>
      </c>
      <c r="S955" s="91" t="s">
        <v>2137</v>
      </c>
      <c r="T955" s="94" t="s">
        <v>56</v>
      </c>
      <c r="U955" s="94" t="s">
        <v>1570</v>
      </c>
      <c r="V955" s="94" t="s">
        <v>51</v>
      </c>
      <c r="W955" s="94" t="s">
        <v>51</v>
      </c>
      <c r="X955" s="124" t="s">
        <v>52</v>
      </c>
      <c r="Y955" s="124" t="s">
        <v>2109</v>
      </c>
      <c r="Z955" s="91"/>
      <c r="AA955" s="91" t="s">
        <v>1342</v>
      </c>
      <c r="AB955" s="91"/>
      <c r="AC955" s="91"/>
      <c r="AD955" s="91"/>
      <c r="AE955" s="91"/>
      <c r="AF955" s="91"/>
      <c r="AG955" s="91"/>
      <c r="AH955" s="91"/>
    </row>
    <row r="956" spans="1:34" s="1" customFormat="1" ht="60">
      <c r="A956" s="120">
        <v>955</v>
      </c>
      <c r="B956" s="120" t="b">
        <f t="shared" ca="1" si="14"/>
        <v>0</v>
      </c>
      <c r="C956" s="121">
        <v>45633</v>
      </c>
      <c r="D956" s="137">
        <v>0.52409722222222221</v>
      </c>
      <c r="E956" s="94">
        <v>1037</v>
      </c>
      <c r="F956" s="142">
        <v>1208</v>
      </c>
      <c r="G956" s="94" t="s">
        <v>34</v>
      </c>
      <c r="H956" s="94">
        <v>1037</v>
      </c>
      <c r="I956" s="115"/>
      <c r="J956" s="94" t="s">
        <v>35</v>
      </c>
      <c r="K956" s="91">
        <v>145.6</v>
      </c>
      <c r="L956" s="122" t="str">
        <f>VLOOKUP(K956,Liste!$L$2:$O$34,4,1)</f>
        <v>GSMR_25/26</v>
      </c>
      <c r="M956" s="133" t="s">
        <v>36</v>
      </c>
      <c r="N956" s="180" t="s">
        <v>37</v>
      </c>
      <c r="O956" s="125" t="s">
        <v>2138</v>
      </c>
      <c r="P956" s="117"/>
      <c r="Q956" s="118" t="s">
        <v>105</v>
      </c>
      <c r="R956" s="129" t="s">
        <v>1072</v>
      </c>
      <c r="S956" s="91" t="s">
        <v>2139</v>
      </c>
      <c r="T956" s="94" t="s">
        <v>69</v>
      </c>
      <c r="U956" s="94" t="s">
        <v>1595</v>
      </c>
      <c r="V956" s="94" t="s">
        <v>51</v>
      </c>
      <c r="W956" s="94" t="s">
        <v>51</v>
      </c>
      <c r="X956" s="124" t="s">
        <v>52</v>
      </c>
      <c r="Y956" s="124" t="s">
        <v>2140</v>
      </c>
      <c r="Z956" s="91"/>
      <c r="AA956" s="91" t="s">
        <v>772</v>
      </c>
      <c r="AB956" s="91"/>
      <c r="AC956" s="91"/>
      <c r="AD956" s="91"/>
      <c r="AE956" s="91"/>
      <c r="AF956" s="91"/>
      <c r="AG956" s="91"/>
      <c r="AH956" s="91"/>
    </row>
    <row r="957" spans="1:34" s="1" customFormat="1" ht="60">
      <c r="A957" s="120">
        <v>956</v>
      </c>
      <c r="B957" s="120" t="b">
        <f t="shared" ca="1" si="14"/>
        <v>0</v>
      </c>
      <c r="C957" s="121">
        <v>45633</v>
      </c>
      <c r="D957" s="137">
        <v>0.53243055555555552</v>
      </c>
      <c r="E957" s="94">
        <v>1022</v>
      </c>
      <c r="F957" s="142">
        <v>1212</v>
      </c>
      <c r="G957" s="94" t="s">
        <v>71</v>
      </c>
      <c r="H957" s="94">
        <v>1023</v>
      </c>
      <c r="I957" s="115"/>
      <c r="J957" s="94" t="s">
        <v>72</v>
      </c>
      <c r="K957" s="91">
        <v>94.953999999999994</v>
      </c>
      <c r="L957" s="122" t="str">
        <f>VLOOKUP(K957,Liste!$L$2:$O$34,4,1)</f>
        <v>GSMR_17/18</v>
      </c>
      <c r="M957" s="133" t="s">
        <v>36</v>
      </c>
      <c r="N957" s="180" t="s">
        <v>37</v>
      </c>
      <c r="O957" s="125" t="s">
        <v>2141</v>
      </c>
      <c r="P957" s="117"/>
      <c r="Q957" s="94" t="s">
        <v>54</v>
      </c>
      <c r="R957" s="129" t="s">
        <v>2142</v>
      </c>
      <c r="S957" s="91" t="s">
        <v>1473</v>
      </c>
      <c r="T957" s="94" t="s">
        <v>56</v>
      </c>
      <c r="U957" s="94" t="s">
        <v>1498</v>
      </c>
      <c r="V957" s="94" t="s">
        <v>51</v>
      </c>
      <c r="W957" s="94" t="s">
        <v>51</v>
      </c>
      <c r="X957" s="124" t="s">
        <v>52</v>
      </c>
      <c r="Y957" s="124" t="s">
        <v>2109</v>
      </c>
      <c r="Z957" s="91"/>
      <c r="AA957" s="91" t="s">
        <v>772</v>
      </c>
      <c r="AB957" s="91"/>
      <c r="AC957" s="91"/>
      <c r="AD957" s="91"/>
      <c r="AE957" s="91"/>
      <c r="AF957" s="91"/>
      <c r="AG957" s="91"/>
      <c r="AH957" s="91"/>
    </row>
    <row r="958" spans="1:34" s="1" customFormat="1" ht="60">
      <c r="A958" s="120">
        <v>957</v>
      </c>
      <c r="B958" s="120" t="b">
        <f t="shared" ca="1" si="14"/>
        <v>0</v>
      </c>
      <c r="C958" s="121">
        <v>45633</v>
      </c>
      <c r="D958" s="137">
        <v>0.79527777777777775</v>
      </c>
      <c r="E958" s="94">
        <v>2053</v>
      </c>
      <c r="F958" s="142">
        <v>1210</v>
      </c>
      <c r="G958" s="94" t="s">
        <v>34</v>
      </c>
      <c r="H958" s="94">
        <v>1048</v>
      </c>
      <c r="I958" s="115"/>
      <c r="J958" s="94" t="s">
        <v>35</v>
      </c>
      <c r="K958" s="152">
        <v>6.13</v>
      </c>
      <c r="L958" s="122" t="str">
        <f>VLOOKUP(K958,Liste!$L$2:$O$34,4,1)</f>
        <v>GSMR_02/03</v>
      </c>
      <c r="M958" s="133" t="s">
        <v>36</v>
      </c>
      <c r="N958" s="180" t="s">
        <v>37</v>
      </c>
      <c r="O958" s="125" t="s">
        <v>2143</v>
      </c>
      <c r="P958" s="117"/>
      <c r="Q958" s="118" t="s">
        <v>39</v>
      </c>
      <c r="R958" s="129" t="s">
        <v>1032</v>
      </c>
      <c r="S958" s="91" t="s">
        <v>1255</v>
      </c>
      <c r="T958" s="94" t="s">
        <v>56</v>
      </c>
      <c r="U958" s="94" t="s">
        <v>1468</v>
      </c>
      <c r="V958" s="94" t="s">
        <v>51</v>
      </c>
      <c r="W958" s="94" t="s">
        <v>51</v>
      </c>
      <c r="X958" s="124" t="s">
        <v>52</v>
      </c>
      <c r="Y958" s="124" t="s">
        <v>2109</v>
      </c>
      <c r="Z958" s="91"/>
      <c r="AA958" s="91" t="s">
        <v>1295</v>
      </c>
      <c r="AB958" s="91"/>
      <c r="AC958" s="91"/>
      <c r="AD958" s="91"/>
      <c r="AE958" s="91"/>
      <c r="AF958" s="91"/>
      <c r="AG958" s="91"/>
      <c r="AH958" s="91"/>
    </row>
    <row r="959" spans="1:34" s="1" customFormat="1" ht="60">
      <c r="A959" s="120">
        <v>958</v>
      </c>
      <c r="B959" s="120" t="b">
        <f t="shared" ca="1" si="14"/>
        <v>0</v>
      </c>
      <c r="C959" s="121">
        <v>45634</v>
      </c>
      <c r="D959" s="137">
        <v>0.60957175925925922</v>
      </c>
      <c r="E959" s="94">
        <v>2033</v>
      </c>
      <c r="F959" s="142">
        <v>1212</v>
      </c>
      <c r="G959" s="94" t="s">
        <v>34</v>
      </c>
      <c r="H959" s="94">
        <v>7198</v>
      </c>
      <c r="I959" s="115"/>
      <c r="J959" s="94" t="s">
        <v>35</v>
      </c>
      <c r="K959" s="91">
        <v>144.32599999999999</v>
      </c>
      <c r="L959" s="122" t="str">
        <f>VLOOKUP(K959,Liste!$L$2:$O$34,4,1)</f>
        <v>GSMR_25/26</v>
      </c>
      <c r="M959" s="133" t="s">
        <v>36</v>
      </c>
      <c r="N959" s="180" t="s">
        <v>37</v>
      </c>
      <c r="O959" s="125" t="s">
        <v>2144</v>
      </c>
      <c r="P959" s="117"/>
      <c r="Q959" s="118" t="s">
        <v>39</v>
      </c>
      <c r="R959" s="129" t="s">
        <v>1032</v>
      </c>
      <c r="S959" s="91" t="s">
        <v>1875</v>
      </c>
      <c r="T959" s="94" t="s">
        <v>69</v>
      </c>
      <c r="U959" s="94" t="s">
        <v>1498</v>
      </c>
      <c r="V959" s="94" t="s">
        <v>51</v>
      </c>
      <c r="W959" s="94" t="s">
        <v>51</v>
      </c>
      <c r="X959" s="124" t="s">
        <v>52</v>
      </c>
      <c r="Y959" s="124" t="s">
        <v>2109</v>
      </c>
      <c r="Z959" s="91"/>
      <c r="AA959" s="91" t="s">
        <v>778</v>
      </c>
      <c r="AB959" s="91"/>
      <c r="AC959" s="91"/>
      <c r="AD959" s="91"/>
      <c r="AE959" s="91"/>
      <c r="AF959" s="91"/>
      <c r="AG959" s="91"/>
      <c r="AH959" s="91"/>
    </row>
    <row r="960" spans="1:34" s="1" customFormat="1" ht="60">
      <c r="A960" s="120">
        <v>959</v>
      </c>
      <c r="B960" s="120" t="b">
        <f t="shared" ca="1" si="14"/>
        <v>0</v>
      </c>
      <c r="C960" s="121">
        <v>45635</v>
      </c>
      <c r="D960" s="137">
        <v>0.44173611111111111</v>
      </c>
      <c r="E960" s="94">
        <v>2017</v>
      </c>
      <c r="F960" s="142">
        <v>1208</v>
      </c>
      <c r="G960" s="94" t="s">
        <v>34</v>
      </c>
      <c r="H960" s="94">
        <v>1037</v>
      </c>
      <c r="I960" s="115"/>
      <c r="J960" s="94" t="s">
        <v>35</v>
      </c>
      <c r="K960" s="91">
        <v>143.11199999999999</v>
      </c>
      <c r="L960" s="122" t="str">
        <f>VLOOKUP(K960,Liste!$L$2:$O$34,4,1)</f>
        <v>GSMR_24/25</v>
      </c>
      <c r="M960" s="133" t="s">
        <v>36</v>
      </c>
      <c r="N960" s="180" t="s">
        <v>37</v>
      </c>
      <c r="O960" s="125" t="s">
        <v>2145</v>
      </c>
      <c r="P960" s="117"/>
      <c r="Q960" s="118" t="s">
        <v>39</v>
      </c>
      <c r="R960" s="129" t="s">
        <v>1032</v>
      </c>
      <c r="S960" s="91" t="s">
        <v>1572</v>
      </c>
      <c r="T960" s="94" t="s">
        <v>69</v>
      </c>
      <c r="U960" s="94" t="s">
        <v>1688</v>
      </c>
      <c r="V960" s="94" t="s">
        <v>51</v>
      </c>
      <c r="W960" s="94" t="s">
        <v>51</v>
      </c>
      <c r="X960" s="124" t="s">
        <v>52</v>
      </c>
      <c r="Y960" s="124" t="s">
        <v>2109</v>
      </c>
      <c r="Z960" s="91"/>
      <c r="AA960" s="91" t="s">
        <v>802</v>
      </c>
      <c r="AB960" s="91"/>
      <c r="AC960" s="91"/>
      <c r="AD960" s="91"/>
      <c r="AE960" s="91"/>
      <c r="AF960" s="91"/>
      <c r="AG960" s="91"/>
      <c r="AH960" s="91"/>
    </row>
    <row r="961" spans="1:34" s="1" customFormat="1" ht="60">
      <c r="A961" s="120">
        <v>960</v>
      </c>
      <c r="B961" s="120" t="b">
        <f t="shared" ca="1" si="14"/>
        <v>0</v>
      </c>
      <c r="C961" s="121">
        <v>45635</v>
      </c>
      <c r="D961" s="137">
        <v>0.53216435185185185</v>
      </c>
      <c r="E961" s="94">
        <v>1021</v>
      </c>
      <c r="F961" s="142">
        <v>1205</v>
      </c>
      <c r="G961" s="94" t="s">
        <v>71</v>
      </c>
      <c r="H961" s="94">
        <v>1038</v>
      </c>
      <c r="I961" s="115"/>
      <c r="J961" s="94" t="s">
        <v>72</v>
      </c>
      <c r="K961" s="91">
        <v>94.953999999999994</v>
      </c>
      <c r="L961" s="122" t="str">
        <f>VLOOKUP(K961,Liste!$L$2:$O$34,4,1)</f>
        <v>GSMR_17/18</v>
      </c>
      <c r="M961" s="133" t="s">
        <v>36</v>
      </c>
      <c r="N961" s="180" t="s">
        <v>37</v>
      </c>
      <c r="O961" s="125" t="s">
        <v>2146</v>
      </c>
      <c r="P961" s="117"/>
      <c r="Q961" s="94" t="s">
        <v>54</v>
      </c>
      <c r="R961" s="129" t="s">
        <v>2142</v>
      </c>
      <c r="S961" s="91" t="s">
        <v>2147</v>
      </c>
      <c r="T961" s="94" t="s">
        <v>56</v>
      </c>
      <c r="U961" s="94" t="s">
        <v>1612</v>
      </c>
      <c r="V961" s="94" t="s">
        <v>51</v>
      </c>
      <c r="W961" s="94" t="s">
        <v>51</v>
      </c>
      <c r="X961" s="124" t="s">
        <v>52</v>
      </c>
      <c r="Y961" s="124" t="s">
        <v>2109</v>
      </c>
      <c r="Z961" s="91"/>
      <c r="AA961" s="91" t="s">
        <v>802</v>
      </c>
      <c r="AB961" s="91"/>
      <c r="AC961" s="91"/>
      <c r="AD961" s="91"/>
      <c r="AE961" s="91"/>
      <c r="AF961" s="91"/>
      <c r="AG961" s="91"/>
      <c r="AH961" s="91"/>
    </row>
    <row r="962" spans="1:34" s="1" customFormat="1" ht="60">
      <c r="A962" s="120">
        <v>961</v>
      </c>
      <c r="B962" s="120" t="b">
        <f t="shared" ref="B962:B1025" ca="1" si="15">AND(C962&gt;=TODAY()-7, C962&lt;=TODAY()-1)</f>
        <v>0</v>
      </c>
      <c r="C962" s="121">
        <v>45636</v>
      </c>
      <c r="D962" s="137">
        <v>0.3825810185185185</v>
      </c>
      <c r="E962" s="94">
        <v>2013</v>
      </c>
      <c r="F962" s="142">
        <v>1208</v>
      </c>
      <c r="G962" s="94" t="s">
        <v>34</v>
      </c>
      <c r="H962" s="94">
        <v>1037</v>
      </c>
      <c r="I962" s="115"/>
      <c r="J962" s="94" t="s">
        <v>35</v>
      </c>
      <c r="K962" s="91">
        <v>21.564</v>
      </c>
      <c r="L962" s="122" t="str">
        <f>VLOOKUP(K962,Liste!$L$2:$O$34,4,1)</f>
        <v>GSMR_04/05</v>
      </c>
      <c r="M962" s="133" t="s">
        <v>36</v>
      </c>
      <c r="N962" s="180" t="s">
        <v>37</v>
      </c>
      <c r="O962" s="125" t="s">
        <v>2148</v>
      </c>
      <c r="P962" s="117"/>
      <c r="Q962" s="94" t="s">
        <v>54</v>
      </c>
      <c r="R962" s="129" t="s">
        <v>2142</v>
      </c>
      <c r="S962" s="91" t="s">
        <v>2149</v>
      </c>
      <c r="T962" s="94" t="s">
        <v>56</v>
      </c>
      <c r="U962" s="94" t="s">
        <v>2150</v>
      </c>
      <c r="V962" s="94" t="s">
        <v>51</v>
      </c>
      <c r="W962" s="94" t="s">
        <v>51</v>
      </c>
      <c r="X962" s="124" t="s">
        <v>52</v>
      </c>
      <c r="Y962" s="124" t="s">
        <v>2109</v>
      </c>
      <c r="Z962" s="91"/>
      <c r="AA962" s="91" t="s">
        <v>793</v>
      </c>
      <c r="AB962" s="91"/>
      <c r="AC962" s="91"/>
      <c r="AD962" s="91"/>
      <c r="AE962" s="91"/>
      <c r="AF962" s="91"/>
      <c r="AG962" s="91"/>
      <c r="AH962" s="91"/>
    </row>
    <row r="963" spans="1:34" s="1" customFormat="1" ht="60">
      <c r="A963" s="120">
        <v>962</v>
      </c>
      <c r="B963" s="120" t="b">
        <f t="shared" ca="1" si="15"/>
        <v>0</v>
      </c>
      <c r="C963" s="121">
        <v>45636</v>
      </c>
      <c r="D963" s="137">
        <v>0.57460648148148152</v>
      </c>
      <c r="E963" s="94">
        <v>1025</v>
      </c>
      <c r="F963" s="142">
        <v>1208</v>
      </c>
      <c r="G963" s="94" t="s">
        <v>71</v>
      </c>
      <c r="H963" s="94">
        <v>1045</v>
      </c>
      <c r="I963" s="115"/>
      <c r="J963" s="94" t="s">
        <v>72</v>
      </c>
      <c r="K963" s="91">
        <v>94.953999999999994</v>
      </c>
      <c r="L963" s="122" t="str">
        <f>VLOOKUP(K963,Liste!$L$2:$O$34,4,1)</f>
        <v>GSMR_17/18</v>
      </c>
      <c r="M963" s="133" t="s">
        <v>36</v>
      </c>
      <c r="N963" s="180" t="s">
        <v>37</v>
      </c>
      <c r="O963" s="125" t="s">
        <v>2151</v>
      </c>
      <c r="P963" s="117"/>
      <c r="Q963" s="94" t="s">
        <v>54</v>
      </c>
      <c r="R963" s="129" t="s">
        <v>2142</v>
      </c>
      <c r="S963" s="91" t="s">
        <v>1725</v>
      </c>
      <c r="T963" s="94" t="s">
        <v>56</v>
      </c>
      <c r="U963" s="94" t="s">
        <v>2152</v>
      </c>
      <c r="V963" s="94" t="s">
        <v>51</v>
      </c>
      <c r="W963" s="94" t="s">
        <v>51</v>
      </c>
      <c r="X963" s="124" t="s">
        <v>52</v>
      </c>
      <c r="Y963" s="124" t="s">
        <v>2109</v>
      </c>
      <c r="Z963" s="91"/>
      <c r="AA963" s="91" t="s">
        <v>802</v>
      </c>
      <c r="AB963" s="91"/>
      <c r="AC963" s="91"/>
      <c r="AD963" s="91"/>
      <c r="AE963" s="91"/>
      <c r="AF963" s="91"/>
      <c r="AG963" s="91"/>
      <c r="AH963" s="91"/>
    </row>
    <row r="964" spans="1:34" s="1" customFormat="1" ht="60">
      <c r="A964" s="120">
        <v>963</v>
      </c>
      <c r="B964" s="120" t="b">
        <f t="shared" ca="1" si="15"/>
        <v>0</v>
      </c>
      <c r="C964" s="121">
        <v>45636</v>
      </c>
      <c r="D964" s="137">
        <v>0.82685185185185184</v>
      </c>
      <c r="E964" s="94">
        <v>1049</v>
      </c>
      <c r="F964" s="142">
        <v>1208</v>
      </c>
      <c r="G964" s="94" t="s">
        <v>71</v>
      </c>
      <c r="H964" s="94">
        <v>1045</v>
      </c>
      <c r="I964" s="115"/>
      <c r="J964" s="94" t="s">
        <v>72</v>
      </c>
      <c r="K964" s="91">
        <v>94.953999999999994</v>
      </c>
      <c r="L964" s="122" t="str">
        <f>VLOOKUP(K964,Liste!$L$2:$O$34,4,1)</f>
        <v>GSMR_17/18</v>
      </c>
      <c r="M964" s="133" t="s">
        <v>36</v>
      </c>
      <c r="N964" s="180" t="s">
        <v>37</v>
      </c>
      <c r="O964" s="125" t="s">
        <v>2153</v>
      </c>
      <c r="P964" s="117"/>
      <c r="Q964" s="94" t="s">
        <v>54</v>
      </c>
      <c r="R964" s="129" t="s">
        <v>2142</v>
      </c>
      <c r="S964" s="91" t="s">
        <v>2154</v>
      </c>
      <c r="T964" s="94" t="s">
        <v>56</v>
      </c>
      <c r="U964" s="94" t="s">
        <v>2101</v>
      </c>
      <c r="V964" s="94" t="s">
        <v>51</v>
      </c>
      <c r="W964" s="94" t="s">
        <v>51</v>
      </c>
      <c r="X964" s="124" t="s">
        <v>52</v>
      </c>
      <c r="Y964" s="124" t="s">
        <v>2109</v>
      </c>
      <c r="Z964" s="91"/>
      <c r="AA964" s="91" t="s">
        <v>778</v>
      </c>
      <c r="AB964" s="91"/>
      <c r="AC964" s="91"/>
      <c r="AD964" s="91"/>
      <c r="AE964" s="91"/>
      <c r="AF964" s="91"/>
      <c r="AG964" s="91"/>
      <c r="AH964" s="91"/>
    </row>
    <row r="965" spans="1:34" s="1" customFormat="1" ht="60">
      <c r="A965" s="120">
        <v>964</v>
      </c>
      <c r="B965" s="120" t="b">
        <f t="shared" ca="1" si="15"/>
        <v>0</v>
      </c>
      <c r="C965" s="121">
        <v>45636</v>
      </c>
      <c r="D965" s="137">
        <v>0.87927083333333333</v>
      </c>
      <c r="E965" s="94">
        <v>1054</v>
      </c>
      <c r="F965" s="142">
        <v>1212</v>
      </c>
      <c r="G965" s="94" t="s">
        <v>71</v>
      </c>
      <c r="H965" s="94">
        <v>1022</v>
      </c>
      <c r="I965" s="115"/>
      <c r="J965" s="94" t="s">
        <v>72</v>
      </c>
      <c r="K965" s="152">
        <v>7.3209999999999997</v>
      </c>
      <c r="L965" s="122" t="str">
        <f>VLOOKUP(K965,Liste!$L$2:$O$34,4,1)</f>
        <v>GSMR_02/03</v>
      </c>
      <c r="M965" s="133" t="s">
        <v>36</v>
      </c>
      <c r="N965" s="180" t="s">
        <v>37</v>
      </c>
      <c r="O965" s="125" t="s">
        <v>2155</v>
      </c>
      <c r="P965" s="117"/>
      <c r="Q965" s="118" t="s">
        <v>39</v>
      </c>
      <c r="R965" s="129" t="s">
        <v>1032</v>
      </c>
      <c r="S965" s="91" t="s">
        <v>2156</v>
      </c>
      <c r="T965" s="94" t="s">
        <v>93</v>
      </c>
      <c r="U965" s="94" t="s">
        <v>1449</v>
      </c>
      <c r="V965" s="94" t="s">
        <v>43</v>
      </c>
      <c r="W965" s="94" t="s">
        <v>51</v>
      </c>
      <c r="X965" s="124" t="s">
        <v>52</v>
      </c>
      <c r="Y965" s="124" t="s">
        <v>2109</v>
      </c>
      <c r="Z965" s="91"/>
      <c r="AA965" s="91" t="s">
        <v>772</v>
      </c>
      <c r="AB965" s="91"/>
      <c r="AC965" s="91"/>
      <c r="AD965" s="91"/>
      <c r="AE965" s="91"/>
      <c r="AF965" s="91"/>
      <c r="AG965" s="91"/>
      <c r="AH965" s="91"/>
    </row>
    <row r="966" spans="1:34" s="1" customFormat="1" ht="60">
      <c r="A966" s="120">
        <v>965</v>
      </c>
      <c r="B966" s="120" t="b">
        <f t="shared" ca="1" si="15"/>
        <v>0</v>
      </c>
      <c r="C966" s="121">
        <v>45636</v>
      </c>
      <c r="D966" s="137">
        <v>0.93593749999999998</v>
      </c>
      <c r="E966" s="94">
        <v>1062</v>
      </c>
      <c r="F966" s="142">
        <v>1203</v>
      </c>
      <c r="G966" s="94" t="s">
        <v>71</v>
      </c>
      <c r="H966" s="94">
        <v>1027</v>
      </c>
      <c r="I966" s="115"/>
      <c r="J966" s="94" t="s">
        <v>72</v>
      </c>
      <c r="K966" s="91">
        <v>180.38800000000001</v>
      </c>
      <c r="L966" s="122" t="str">
        <f>VLOOKUP(K966,Liste!$L$2:$O$34,4,1)</f>
        <v>GSMR_30/31</v>
      </c>
      <c r="M966" s="133" t="s">
        <v>36</v>
      </c>
      <c r="N966" s="180" t="s">
        <v>37</v>
      </c>
      <c r="O966" s="125" t="s">
        <v>2157</v>
      </c>
      <c r="P966" s="117"/>
      <c r="Q966" s="94" t="s">
        <v>54</v>
      </c>
      <c r="R966" s="129" t="s">
        <v>2142</v>
      </c>
      <c r="S966" s="91" t="s">
        <v>2158</v>
      </c>
      <c r="T966" s="94" t="s">
        <v>41</v>
      </c>
      <c r="U966" s="94" t="s">
        <v>1549</v>
      </c>
      <c r="V966" s="94" t="s">
        <v>51</v>
      </c>
      <c r="W966" s="94" t="s">
        <v>51</v>
      </c>
      <c r="X966" s="124" t="s">
        <v>52</v>
      </c>
      <c r="Y966" s="124" t="s">
        <v>2109</v>
      </c>
      <c r="Z966" s="91"/>
      <c r="AA966" s="91" t="s">
        <v>772</v>
      </c>
      <c r="AB966" s="91"/>
      <c r="AC966" s="91"/>
      <c r="AD966" s="91"/>
      <c r="AE966" s="91"/>
      <c r="AF966" s="91"/>
      <c r="AG966" s="91"/>
      <c r="AH966" s="91"/>
    </row>
    <row r="967" spans="1:34" s="1" customFormat="1" ht="60">
      <c r="A967" s="120">
        <v>966</v>
      </c>
      <c r="B967" s="120" t="b">
        <f t="shared" ca="1" si="15"/>
        <v>0</v>
      </c>
      <c r="C967" s="121">
        <v>45637</v>
      </c>
      <c r="D967" s="137">
        <v>0.54151620370370368</v>
      </c>
      <c r="E967" s="94">
        <v>1021</v>
      </c>
      <c r="F967" s="142">
        <v>1204</v>
      </c>
      <c r="G967" s="94" t="s">
        <v>71</v>
      </c>
      <c r="H967" s="94">
        <v>1034</v>
      </c>
      <c r="I967" s="115"/>
      <c r="J967" s="94" t="s">
        <v>72</v>
      </c>
      <c r="K967" s="91">
        <v>31.350999999999999</v>
      </c>
      <c r="L967" s="122" t="str">
        <f>VLOOKUP(K967,Liste!$L$2:$O$34,4,1)</f>
        <v>GSMR_06/07</v>
      </c>
      <c r="M967" s="133" t="s">
        <v>36</v>
      </c>
      <c r="N967" s="180" t="s">
        <v>37</v>
      </c>
      <c r="O967" s="125" t="s">
        <v>2159</v>
      </c>
      <c r="P967" s="117"/>
      <c r="Q967" s="118" t="s">
        <v>39</v>
      </c>
      <c r="R967" s="129" t="s">
        <v>1032</v>
      </c>
      <c r="S967" s="91" t="s">
        <v>2160</v>
      </c>
      <c r="T967" s="94" t="s">
        <v>69</v>
      </c>
      <c r="U967" s="94" t="s">
        <v>1453</v>
      </c>
      <c r="V967" s="94" t="s">
        <v>51</v>
      </c>
      <c r="W967" s="94" t="s">
        <v>51</v>
      </c>
      <c r="X967" s="124" t="s">
        <v>52</v>
      </c>
      <c r="Y967" s="124" t="s">
        <v>2109</v>
      </c>
      <c r="Z967" s="91"/>
      <c r="AA967" s="91" t="s">
        <v>778</v>
      </c>
      <c r="AB967" s="91"/>
      <c r="AC967" s="91"/>
      <c r="AD967" s="91"/>
      <c r="AE967" s="91"/>
      <c r="AF967" s="91"/>
      <c r="AG967" s="91"/>
      <c r="AH967" s="91"/>
    </row>
    <row r="968" spans="1:34" s="1" customFormat="1" ht="60">
      <c r="A968" s="120">
        <v>967</v>
      </c>
      <c r="B968" s="120" t="b">
        <f t="shared" ca="1" si="15"/>
        <v>0</v>
      </c>
      <c r="C968" s="121">
        <v>45640</v>
      </c>
      <c r="D968" s="137">
        <v>0.52460648148148148</v>
      </c>
      <c r="E968" s="94">
        <v>2025</v>
      </c>
      <c r="F968" s="91">
        <v>1212</v>
      </c>
      <c r="G968" s="94" t="s">
        <v>34</v>
      </c>
      <c r="H968" s="94">
        <v>7198</v>
      </c>
      <c r="I968" s="115"/>
      <c r="J968" s="94" t="s">
        <v>35</v>
      </c>
      <c r="K968" s="91">
        <v>144.32599999999999</v>
      </c>
      <c r="L968" s="122" t="str">
        <f>VLOOKUP(K968,Liste!$L$2:$O$34,4,1)</f>
        <v>GSMR_25/26</v>
      </c>
      <c r="M968" s="133" t="s">
        <v>36</v>
      </c>
      <c r="N968" s="181" t="s">
        <v>58</v>
      </c>
      <c r="O968" s="125" t="s">
        <v>2161</v>
      </c>
      <c r="P968" s="117"/>
      <c r="Q968" s="118" t="s">
        <v>105</v>
      </c>
      <c r="R968" s="129" t="s">
        <v>1072</v>
      </c>
      <c r="S968" s="91" t="s">
        <v>1566</v>
      </c>
      <c r="T968" s="94" t="s">
        <v>101</v>
      </c>
      <c r="U968" s="94" t="s">
        <v>1693</v>
      </c>
      <c r="V968" s="94" t="s">
        <v>51</v>
      </c>
      <c r="W968" s="94" t="s">
        <v>51</v>
      </c>
      <c r="X968" s="124" t="s">
        <v>52</v>
      </c>
      <c r="Y968" s="124" t="s">
        <v>2162</v>
      </c>
      <c r="Z968" s="91"/>
      <c r="AA968" s="91" t="s">
        <v>959</v>
      </c>
      <c r="AB968" s="91"/>
      <c r="AC968" s="91"/>
      <c r="AD968" s="91"/>
      <c r="AE968" s="91"/>
      <c r="AF968" s="91"/>
      <c r="AG968" s="91"/>
      <c r="AH968" s="91"/>
    </row>
    <row r="969" spans="1:34" s="1" customFormat="1" ht="60">
      <c r="A969" s="120">
        <v>968</v>
      </c>
      <c r="B969" s="120" t="b">
        <f t="shared" ca="1" si="15"/>
        <v>0</v>
      </c>
      <c r="C969" s="121">
        <v>45640</v>
      </c>
      <c r="D969" s="137">
        <v>0.65921296296296295</v>
      </c>
      <c r="E969" s="94">
        <v>1033</v>
      </c>
      <c r="F969" s="91">
        <v>1205</v>
      </c>
      <c r="G969" s="94" t="s">
        <v>71</v>
      </c>
      <c r="H969" s="94">
        <v>1061</v>
      </c>
      <c r="I969" s="115"/>
      <c r="J969" s="94" t="s">
        <v>72</v>
      </c>
      <c r="K969" s="91">
        <v>94.953999999999994</v>
      </c>
      <c r="L969" s="122" t="str">
        <f>VLOOKUP(K969,Liste!$L$2:$O$34,4,1)</f>
        <v>GSMR_17/18</v>
      </c>
      <c r="M969" s="133" t="s">
        <v>36</v>
      </c>
      <c r="N969" s="180" t="s">
        <v>37</v>
      </c>
      <c r="O969" s="125" t="s">
        <v>2163</v>
      </c>
      <c r="P969" s="117"/>
      <c r="Q969" s="118" t="s">
        <v>47</v>
      </c>
      <c r="R969" s="118" t="s">
        <v>2164</v>
      </c>
      <c r="S969" s="91" t="s">
        <v>1665</v>
      </c>
      <c r="T969" s="94" t="s">
        <v>56</v>
      </c>
      <c r="U969" s="94" t="s">
        <v>2101</v>
      </c>
      <c r="V969" s="94" t="s">
        <v>51</v>
      </c>
      <c r="W969" s="94" t="s">
        <v>51</v>
      </c>
      <c r="X969" s="124" t="s">
        <v>52</v>
      </c>
      <c r="Y969" s="124" t="s">
        <v>2109</v>
      </c>
      <c r="Z969" s="91"/>
      <c r="AA969" s="91" t="s">
        <v>754</v>
      </c>
      <c r="AB969" s="91"/>
      <c r="AC969" s="91"/>
      <c r="AD969" s="91"/>
      <c r="AE969" s="91"/>
      <c r="AF969" s="91"/>
      <c r="AG969" s="91"/>
      <c r="AH969" s="91"/>
    </row>
    <row r="970" spans="1:34" s="1" customFormat="1" ht="60">
      <c r="A970" s="120">
        <v>969</v>
      </c>
      <c r="B970" s="120" t="b">
        <f t="shared" ca="1" si="15"/>
        <v>0</v>
      </c>
      <c r="C970" s="121">
        <v>45640</v>
      </c>
      <c r="D970" s="137">
        <v>0.94899305555555558</v>
      </c>
      <c r="E970" s="94">
        <v>1062</v>
      </c>
      <c r="F970" s="91">
        <v>1212</v>
      </c>
      <c r="G970" s="94" t="s">
        <v>71</v>
      </c>
      <c r="H970" s="94">
        <v>1062</v>
      </c>
      <c r="I970" s="115"/>
      <c r="J970" s="94" t="s">
        <v>72</v>
      </c>
      <c r="K970" s="91">
        <v>94.953999999999994</v>
      </c>
      <c r="L970" s="122" t="str">
        <f>VLOOKUP(K970,Liste!$L$2:$O$34,4,1)</f>
        <v>GSMR_17/18</v>
      </c>
      <c r="M970" s="133" t="s">
        <v>36</v>
      </c>
      <c r="N970" s="180" t="s">
        <v>37</v>
      </c>
      <c r="O970" s="125" t="s">
        <v>2165</v>
      </c>
      <c r="P970" s="117"/>
      <c r="Q970" s="118" t="s">
        <v>47</v>
      </c>
      <c r="R970" s="118" t="s">
        <v>2166</v>
      </c>
      <c r="S970" s="91" t="s">
        <v>1665</v>
      </c>
      <c r="T970" s="94" t="s">
        <v>78</v>
      </c>
      <c r="U970" s="94" t="s">
        <v>1903</v>
      </c>
      <c r="V970" s="94" t="s">
        <v>51</v>
      </c>
      <c r="W970" s="94" t="s">
        <v>51</v>
      </c>
      <c r="X970" s="124" t="s">
        <v>52</v>
      </c>
      <c r="Y970" s="124" t="s">
        <v>2109</v>
      </c>
      <c r="Z970" s="91"/>
      <c r="AA970" s="91" t="s">
        <v>772</v>
      </c>
      <c r="AB970" s="91"/>
      <c r="AC970" s="91"/>
      <c r="AD970" s="91"/>
      <c r="AE970" s="91"/>
      <c r="AF970" s="91"/>
      <c r="AG970" s="91"/>
      <c r="AH970" s="91"/>
    </row>
    <row r="971" spans="1:34" s="1" customFormat="1" ht="60">
      <c r="A971" s="120">
        <v>970</v>
      </c>
      <c r="B971" s="120" t="b">
        <f t="shared" ca="1" si="15"/>
        <v>0</v>
      </c>
      <c r="C971" s="121">
        <v>45641</v>
      </c>
      <c r="D971" s="137">
        <v>0.67020833333333329</v>
      </c>
      <c r="E971" s="94">
        <v>2041</v>
      </c>
      <c r="F971" s="91">
        <v>1201</v>
      </c>
      <c r="G971" s="94" t="s">
        <v>34</v>
      </c>
      <c r="H971" s="94">
        <v>1056</v>
      </c>
      <c r="I971" s="115"/>
      <c r="J971" s="94" t="s">
        <v>35</v>
      </c>
      <c r="K971" s="152">
        <v>6.13</v>
      </c>
      <c r="L971" s="122" t="str">
        <f>VLOOKUP(K971,Liste!$L$2:$O$34,4,1)</f>
        <v>GSMR_02/03</v>
      </c>
      <c r="M971" s="133" t="s">
        <v>36</v>
      </c>
      <c r="N971" s="180" t="s">
        <v>37</v>
      </c>
      <c r="O971" s="125" t="s">
        <v>2167</v>
      </c>
      <c r="P971" s="117"/>
      <c r="Q971" s="118" t="s">
        <v>39</v>
      </c>
      <c r="R971" s="94" t="s">
        <v>1032</v>
      </c>
      <c r="S971" s="91" t="s">
        <v>1467</v>
      </c>
      <c r="T971" s="94" t="s">
        <v>56</v>
      </c>
      <c r="U971" s="94" t="s">
        <v>1460</v>
      </c>
      <c r="V971" s="94" t="s">
        <v>51</v>
      </c>
      <c r="W971" s="94" t="s">
        <v>51</v>
      </c>
      <c r="X971" s="124" t="s">
        <v>52</v>
      </c>
      <c r="Y971" s="124" t="s">
        <v>2109</v>
      </c>
      <c r="Z971" s="91"/>
      <c r="AA971" s="91" t="s">
        <v>754</v>
      </c>
      <c r="AB971" s="91"/>
      <c r="AC971" s="91"/>
      <c r="AD971" s="91"/>
      <c r="AE971" s="91"/>
      <c r="AF971" s="91"/>
      <c r="AG971" s="91"/>
      <c r="AH971" s="91"/>
    </row>
    <row r="972" spans="1:34" s="1" customFormat="1" ht="60">
      <c r="A972" s="120">
        <v>971</v>
      </c>
      <c r="B972" s="120" t="b">
        <f t="shared" ca="1" si="15"/>
        <v>0</v>
      </c>
      <c r="C972" s="121">
        <v>45641</v>
      </c>
      <c r="D972" s="137">
        <v>0.75328703703703703</v>
      </c>
      <c r="E972" s="94">
        <v>2049</v>
      </c>
      <c r="F972" s="91">
        <v>1209</v>
      </c>
      <c r="G972" s="94" t="s">
        <v>34</v>
      </c>
      <c r="H972" s="94">
        <v>7208</v>
      </c>
      <c r="I972" s="115"/>
      <c r="J972" s="94" t="s">
        <v>35</v>
      </c>
      <c r="K972" s="152">
        <v>6.13</v>
      </c>
      <c r="L972" s="122" t="str">
        <f>VLOOKUP(K972,Liste!$L$2:$O$34,4,1)</f>
        <v>GSMR_02/03</v>
      </c>
      <c r="M972" s="133" t="s">
        <v>36</v>
      </c>
      <c r="N972" s="181" t="s">
        <v>58</v>
      </c>
      <c r="O972" s="125" t="s">
        <v>2168</v>
      </c>
      <c r="P972" s="117"/>
      <c r="Q972" s="118" t="s">
        <v>39</v>
      </c>
      <c r="R972" s="94" t="s">
        <v>1032</v>
      </c>
      <c r="S972" s="91" t="s">
        <v>1339</v>
      </c>
      <c r="T972" s="94" t="s">
        <v>56</v>
      </c>
      <c r="U972" s="94" t="s">
        <v>1622</v>
      </c>
      <c r="V972" s="94" t="s">
        <v>43</v>
      </c>
      <c r="W972" s="94" t="s">
        <v>51</v>
      </c>
      <c r="X972" s="124" t="s">
        <v>52</v>
      </c>
      <c r="Y972" s="124" t="s">
        <v>2109</v>
      </c>
      <c r="Z972" s="91"/>
      <c r="AA972" s="91" t="s">
        <v>1183</v>
      </c>
      <c r="AB972" s="91"/>
      <c r="AC972" s="91"/>
      <c r="AD972" s="91"/>
      <c r="AE972" s="91"/>
      <c r="AF972" s="91"/>
      <c r="AG972" s="91"/>
      <c r="AH972" s="91"/>
    </row>
    <row r="973" spans="1:34" s="1" customFormat="1" ht="60">
      <c r="A973" s="120">
        <v>972</v>
      </c>
      <c r="B973" s="120" t="b">
        <f t="shared" ca="1" si="15"/>
        <v>0</v>
      </c>
      <c r="C973" s="121">
        <v>45641</v>
      </c>
      <c r="D973" s="137">
        <v>0.86001157407407403</v>
      </c>
      <c r="E973" s="94">
        <v>1053</v>
      </c>
      <c r="F973" s="91">
        <v>1201</v>
      </c>
      <c r="G973" s="94" t="s">
        <v>71</v>
      </c>
      <c r="H973" s="94">
        <v>1028</v>
      </c>
      <c r="I973" s="115"/>
      <c r="J973" s="94" t="s">
        <v>72</v>
      </c>
      <c r="K973" s="91">
        <v>180.38800000000001</v>
      </c>
      <c r="L973" s="122" t="str">
        <f>VLOOKUP(K973,Liste!$L$2:$O$34,4,1)</f>
        <v>GSMR_30/31</v>
      </c>
      <c r="M973" s="133" t="s">
        <v>36</v>
      </c>
      <c r="N973" s="180" t="s">
        <v>37</v>
      </c>
      <c r="O973" s="125" t="s">
        <v>2169</v>
      </c>
      <c r="P973" s="117"/>
      <c r="Q973" s="94" t="s">
        <v>54</v>
      </c>
      <c r="R973" s="94" t="s">
        <v>2170</v>
      </c>
      <c r="S973" s="91" t="s">
        <v>2171</v>
      </c>
      <c r="T973" s="94" t="s">
        <v>56</v>
      </c>
      <c r="U973" s="94" t="s">
        <v>1493</v>
      </c>
      <c r="V973" s="94" t="s">
        <v>43</v>
      </c>
      <c r="W973" s="94" t="s">
        <v>51</v>
      </c>
      <c r="X973" s="124" t="s">
        <v>52</v>
      </c>
      <c r="Y973" s="124" t="s">
        <v>2109</v>
      </c>
      <c r="Z973" s="91"/>
      <c r="AA973" s="91" t="s">
        <v>754</v>
      </c>
      <c r="AB973" s="91"/>
      <c r="AC973" s="91"/>
      <c r="AD973" s="91"/>
      <c r="AE973" s="91"/>
      <c r="AF973" s="91"/>
      <c r="AG973" s="91"/>
      <c r="AH973" s="91"/>
    </row>
    <row r="974" spans="1:34" s="1" customFormat="1" ht="60">
      <c r="A974" s="120">
        <v>973</v>
      </c>
      <c r="B974" s="120" t="b">
        <f t="shared" ca="1" si="15"/>
        <v>0</v>
      </c>
      <c r="C974" s="121">
        <v>45642</v>
      </c>
      <c r="D974" s="137">
        <v>0.57429398148148147</v>
      </c>
      <c r="E974" s="94">
        <v>1025</v>
      </c>
      <c r="F974" s="91">
        <v>1208</v>
      </c>
      <c r="G974" s="94" t="s">
        <v>71</v>
      </c>
      <c r="H974" s="94">
        <v>1045</v>
      </c>
      <c r="I974" s="115"/>
      <c r="J974" s="94" t="s">
        <v>72</v>
      </c>
      <c r="K974" s="91">
        <v>94.953999999999994</v>
      </c>
      <c r="L974" s="122" t="str">
        <f>VLOOKUP(K974,Liste!$L$2:$O$34,4,1)</f>
        <v>GSMR_17/18</v>
      </c>
      <c r="M974" s="133" t="s">
        <v>36</v>
      </c>
      <c r="N974" s="180" t="s">
        <v>37</v>
      </c>
      <c r="O974" s="125" t="s">
        <v>2172</v>
      </c>
      <c r="P974" s="117"/>
      <c r="Q974" s="118" t="s">
        <v>39</v>
      </c>
      <c r="R974" s="94" t="s">
        <v>1032</v>
      </c>
      <c r="S974" s="91" t="s">
        <v>2173</v>
      </c>
      <c r="T974" s="94" t="s">
        <v>69</v>
      </c>
      <c r="U974" s="94" t="s">
        <v>1453</v>
      </c>
      <c r="V974" s="94" t="s">
        <v>51</v>
      </c>
      <c r="W974" s="94" t="s">
        <v>51</v>
      </c>
      <c r="X974" s="124" t="s">
        <v>52</v>
      </c>
      <c r="Y974" s="124" t="s">
        <v>2109</v>
      </c>
      <c r="Z974" s="91"/>
      <c r="AA974" s="91" t="s">
        <v>754</v>
      </c>
      <c r="AB974" s="91"/>
      <c r="AC974" s="91"/>
      <c r="AD974" s="91"/>
      <c r="AE974" s="91"/>
      <c r="AF974" s="91"/>
      <c r="AG974" s="91"/>
      <c r="AH974" s="91"/>
    </row>
    <row r="975" spans="1:34" s="1" customFormat="1" ht="60">
      <c r="A975" s="120">
        <v>974</v>
      </c>
      <c r="B975" s="120" t="b">
        <f t="shared" ca="1" si="15"/>
        <v>0</v>
      </c>
      <c r="C975" s="121">
        <v>45642</v>
      </c>
      <c r="D975" s="137">
        <v>0.81614583333333335</v>
      </c>
      <c r="E975" s="94">
        <v>2053</v>
      </c>
      <c r="F975" s="91">
        <v>1203</v>
      </c>
      <c r="G975" s="94" t="s">
        <v>34</v>
      </c>
      <c r="H975" s="94">
        <v>1025</v>
      </c>
      <c r="I975" s="115"/>
      <c r="J975" s="94" t="s">
        <v>35</v>
      </c>
      <c r="K975" s="91">
        <v>144.32599999999999</v>
      </c>
      <c r="L975" s="122" t="str">
        <f>VLOOKUP(K975,Liste!$L$2:$O$34,4,1)</f>
        <v>GSMR_25/26</v>
      </c>
      <c r="M975" s="133" t="s">
        <v>36</v>
      </c>
      <c r="N975" s="180" t="s">
        <v>37</v>
      </c>
      <c r="O975" s="125" t="s">
        <v>2174</v>
      </c>
      <c r="P975" s="117"/>
      <c r="Q975" s="118" t="s">
        <v>105</v>
      </c>
      <c r="R975" s="129" t="s">
        <v>1072</v>
      </c>
      <c r="S975" s="91" t="s">
        <v>2175</v>
      </c>
      <c r="T975" s="94" t="s">
        <v>41</v>
      </c>
      <c r="U975" s="94" t="s">
        <v>1498</v>
      </c>
      <c r="V975" s="94" t="s">
        <v>51</v>
      </c>
      <c r="W975" s="94" t="s">
        <v>51</v>
      </c>
      <c r="X975" s="124" t="s">
        <v>52</v>
      </c>
      <c r="Y975" s="124" t="s">
        <v>2162</v>
      </c>
      <c r="Z975" s="91"/>
      <c r="AA975" s="91" t="s">
        <v>754</v>
      </c>
      <c r="AB975" s="91"/>
      <c r="AC975" s="91"/>
      <c r="AD975" s="91"/>
      <c r="AE975" s="91"/>
      <c r="AF975" s="91"/>
      <c r="AG975" s="91"/>
      <c r="AH975" s="91"/>
    </row>
    <row r="976" spans="1:34" s="1" customFormat="1" ht="60">
      <c r="A976" s="120">
        <v>975</v>
      </c>
      <c r="B976" s="120" t="b">
        <f t="shared" ca="1" si="15"/>
        <v>0</v>
      </c>
      <c r="C976" s="121">
        <v>45643</v>
      </c>
      <c r="D976" s="137">
        <v>0.76949074074074075</v>
      </c>
      <c r="E976" s="94">
        <v>2049</v>
      </c>
      <c r="F976" s="91">
        <v>1201</v>
      </c>
      <c r="G976" s="94" t="s">
        <v>34</v>
      </c>
      <c r="H976" s="94">
        <v>1057</v>
      </c>
      <c r="I976" s="115"/>
      <c r="J976" s="94" t="s">
        <v>35</v>
      </c>
      <c r="K976" s="91">
        <v>108.206</v>
      </c>
      <c r="L976" s="122" t="str">
        <f>VLOOKUP(K976,Liste!$L$2:$O$34,4,1)</f>
        <v>GSMR_19/20</v>
      </c>
      <c r="M976" s="133" t="s">
        <v>36</v>
      </c>
      <c r="N976" s="180" t="s">
        <v>37</v>
      </c>
      <c r="O976" s="125" t="s">
        <v>2176</v>
      </c>
      <c r="P976" s="117"/>
      <c r="Q976" s="94" t="s">
        <v>54</v>
      </c>
      <c r="R976" s="94" t="s">
        <v>1930</v>
      </c>
      <c r="S976" s="91" t="s">
        <v>2177</v>
      </c>
      <c r="T976" s="94" t="s">
        <v>56</v>
      </c>
      <c r="U976" s="94" t="s">
        <v>2101</v>
      </c>
      <c r="V976" s="94" t="s">
        <v>51</v>
      </c>
      <c r="W976" s="94" t="s">
        <v>51</v>
      </c>
      <c r="X976" s="124" t="s">
        <v>52</v>
      </c>
      <c r="Y976" s="124" t="s">
        <v>2162</v>
      </c>
      <c r="Z976" s="91"/>
      <c r="AA976" s="91" t="s">
        <v>754</v>
      </c>
      <c r="AB976" s="91"/>
      <c r="AC976" s="91"/>
      <c r="AD976" s="91"/>
      <c r="AE976" s="91"/>
      <c r="AF976" s="91"/>
      <c r="AG976" s="91"/>
      <c r="AH976" s="91"/>
    </row>
    <row r="977" spans="1:34" s="1" customFormat="1" ht="60">
      <c r="A977" s="120">
        <v>976</v>
      </c>
      <c r="B977" s="120" t="b">
        <f t="shared" ca="1" si="15"/>
        <v>0</v>
      </c>
      <c r="C977" s="121">
        <v>45644</v>
      </c>
      <c r="D977" s="137">
        <v>0.6290162037037037</v>
      </c>
      <c r="E977" s="94">
        <v>2037</v>
      </c>
      <c r="F977" s="91">
        <v>1212</v>
      </c>
      <c r="G977" s="94" t="s">
        <v>34</v>
      </c>
      <c r="H977" s="94">
        <v>1057</v>
      </c>
      <c r="I977" s="94"/>
      <c r="J977" s="94" t="s">
        <v>35</v>
      </c>
      <c r="K977" s="152">
        <v>6.13</v>
      </c>
      <c r="L977" s="122" t="str">
        <f>VLOOKUP(K977,Liste!$L$2:$O$34,4,1)</f>
        <v>GSMR_02/03</v>
      </c>
      <c r="M977" s="133" t="s">
        <v>36</v>
      </c>
      <c r="N977" s="180" t="s">
        <v>37</v>
      </c>
      <c r="O977" s="125" t="s">
        <v>2178</v>
      </c>
      <c r="P977" s="117"/>
      <c r="Q977" s="118" t="s">
        <v>39</v>
      </c>
      <c r="R977" s="94" t="s">
        <v>1032</v>
      </c>
      <c r="S977" s="91" t="s">
        <v>2179</v>
      </c>
      <c r="T977" s="94" t="s">
        <v>56</v>
      </c>
      <c r="U977" s="94" t="s">
        <v>1449</v>
      </c>
      <c r="V977" s="94" t="s">
        <v>43</v>
      </c>
      <c r="W977" s="94" t="s">
        <v>51</v>
      </c>
      <c r="X977" s="124" t="s">
        <v>52</v>
      </c>
      <c r="Y977" s="124" t="s">
        <v>2109</v>
      </c>
      <c r="Z977" s="91"/>
      <c r="AA977" s="91" t="s">
        <v>778</v>
      </c>
      <c r="AB977" s="91"/>
      <c r="AC977" s="91"/>
      <c r="AD977" s="91"/>
      <c r="AE977" s="91"/>
      <c r="AF977" s="91"/>
      <c r="AG977" s="91"/>
      <c r="AH977" s="91"/>
    </row>
    <row r="978" spans="1:34" s="1" customFormat="1" ht="60">
      <c r="A978" s="120">
        <v>977</v>
      </c>
      <c r="B978" s="120" t="b">
        <f t="shared" ca="1" si="15"/>
        <v>0</v>
      </c>
      <c r="C978" s="121">
        <v>45644</v>
      </c>
      <c r="D978" s="137">
        <v>0.7949074074074074</v>
      </c>
      <c r="E978" s="94">
        <v>2053</v>
      </c>
      <c r="F978" s="91">
        <v>1202</v>
      </c>
      <c r="G978" s="94" t="s">
        <v>34</v>
      </c>
      <c r="H978" s="94">
        <v>1043</v>
      </c>
      <c r="I978" s="94"/>
      <c r="J978" s="94" t="s">
        <v>35</v>
      </c>
      <c r="K978" s="152">
        <v>6.13</v>
      </c>
      <c r="L978" s="122" t="str">
        <f>VLOOKUP(K978,Liste!$L$2:$O$34,4,1)</f>
        <v>GSMR_02/03</v>
      </c>
      <c r="M978" s="133" t="s">
        <v>36</v>
      </c>
      <c r="N978" s="180" t="s">
        <v>37</v>
      </c>
      <c r="O978" s="125" t="s">
        <v>2180</v>
      </c>
      <c r="P978" s="117"/>
      <c r="Q978" s="118" t="s">
        <v>39</v>
      </c>
      <c r="R978" s="94" t="s">
        <v>1032</v>
      </c>
      <c r="S978" s="91" t="s">
        <v>1843</v>
      </c>
      <c r="T978" s="94" t="s">
        <v>93</v>
      </c>
      <c r="U978" s="94" t="s">
        <v>1688</v>
      </c>
      <c r="V978" s="94" t="s">
        <v>43</v>
      </c>
      <c r="W978" s="94" t="s">
        <v>51</v>
      </c>
      <c r="X978" s="124" t="s">
        <v>52</v>
      </c>
      <c r="Y978" s="124" t="s">
        <v>2109</v>
      </c>
      <c r="Z978" s="91"/>
      <c r="AA978" s="91" t="s">
        <v>778</v>
      </c>
      <c r="AB978" s="91"/>
      <c r="AC978" s="91"/>
      <c r="AD978" s="91"/>
      <c r="AE978" s="91"/>
      <c r="AF978" s="91"/>
      <c r="AG978" s="91"/>
      <c r="AH978" s="91"/>
    </row>
    <row r="979" spans="1:34" s="1" customFormat="1" ht="60">
      <c r="A979" s="120">
        <v>978</v>
      </c>
      <c r="B979" s="120" t="b">
        <f t="shared" ca="1" si="15"/>
        <v>0</v>
      </c>
      <c r="C979" s="121">
        <v>45645</v>
      </c>
      <c r="D979" s="137">
        <v>0.32418981481481479</v>
      </c>
      <c r="E979" s="94">
        <v>1001</v>
      </c>
      <c r="F979" s="91">
        <v>1212</v>
      </c>
      <c r="G979" s="94" t="s">
        <v>71</v>
      </c>
      <c r="H979" s="94">
        <v>1023</v>
      </c>
      <c r="I979" s="115"/>
      <c r="J979" s="94" t="s">
        <v>72</v>
      </c>
      <c r="K979" s="134">
        <v>94.953999999999994</v>
      </c>
      <c r="L979" s="122" t="str">
        <f>VLOOKUP(K979,Liste!$L$2:$O$34,4,1)</f>
        <v>GSMR_17/18</v>
      </c>
      <c r="M979" s="133" t="s">
        <v>36</v>
      </c>
      <c r="N979" s="124" t="s">
        <v>37</v>
      </c>
      <c r="O979" s="126" t="s">
        <v>2181</v>
      </c>
      <c r="P979" s="119"/>
      <c r="Q979" s="94" t="s">
        <v>47</v>
      </c>
      <c r="R979" s="94" t="s">
        <v>2166</v>
      </c>
      <c r="S979" s="124" t="s">
        <v>2182</v>
      </c>
      <c r="T979" s="124" t="s">
        <v>56</v>
      </c>
      <c r="U979" s="124" t="s">
        <v>1449</v>
      </c>
      <c r="V979" s="124" t="s">
        <v>51</v>
      </c>
      <c r="W979" s="124" t="s">
        <v>51</v>
      </c>
      <c r="X979" s="124" t="s">
        <v>52</v>
      </c>
      <c r="Y979" s="124" t="s">
        <v>2109</v>
      </c>
      <c r="Z979" s="124"/>
      <c r="AA979" s="124" t="s">
        <v>802</v>
      </c>
      <c r="AB979" s="91"/>
      <c r="AC979" s="91"/>
      <c r="AD979" s="91"/>
      <c r="AE979" s="91"/>
      <c r="AF979" s="91"/>
      <c r="AG979" s="91"/>
      <c r="AH979" s="91"/>
    </row>
    <row r="980" spans="1:34" s="1" customFormat="1" ht="60">
      <c r="A980" s="120">
        <v>979</v>
      </c>
      <c r="B980" s="120" t="b">
        <f t="shared" ca="1" si="15"/>
        <v>0</v>
      </c>
      <c r="C980" s="121">
        <v>45645</v>
      </c>
      <c r="D980" s="137" t="s">
        <v>2183</v>
      </c>
      <c r="E980" s="94">
        <v>1011</v>
      </c>
      <c r="F980" s="91">
        <v>1205</v>
      </c>
      <c r="G980" s="94" t="s">
        <v>71</v>
      </c>
      <c r="H980" s="94">
        <v>1061</v>
      </c>
      <c r="I980" s="115"/>
      <c r="J980" s="94" t="s">
        <v>72</v>
      </c>
      <c r="K980" s="134">
        <v>94.953999999999994</v>
      </c>
      <c r="L980" s="122" t="str">
        <f>VLOOKUP(K980,Liste!$L$2:$O$34,4,1)</f>
        <v>GSMR_17/18</v>
      </c>
      <c r="M980" s="133" t="s">
        <v>36</v>
      </c>
      <c r="N980" s="124" t="s">
        <v>37</v>
      </c>
      <c r="O980" s="126" t="s">
        <v>2184</v>
      </c>
      <c r="P980" s="119"/>
      <c r="Q980" s="94" t="s">
        <v>47</v>
      </c>
      <c r="R980" s="94" t="s">
        <v>2166</v>
      </c>
      <c r="S980" s="124" t="s">
        <v>1829</v>
      </c>
      <c r="T980" s="94" t="s">
        <v>93</v>
      </c>
      <c r="U980" s="94" t="s">
        <v>1688</v>
      </c>
      <c r="V980" s="124" t="s">
        <v>43</v>
      </c>
      <c r="W980" s="124" t="s">
        <v>51</v>
      </c>
      <c r="X980" s="124" t="s">
        <v>52</v>
      </c>
      <c r="Y980" s="124" t="s">
        <v>2109</v>
      </c>
      <c r="Z980" s="124"/>
      <c r="AA980" s="124" t="s">
        <v>802</v>
      </c>
      <c r="AB980" s="91"/>
      <c r="AC980" s="91"/>
      <c r="AD980" s="91"/>
      <c r="AE980" s="91"/>
      <c r="AF980" s="91"/>
      <c r="AG980" s="91"/>
      <c r="AH980" s="91"/>
    </row>
    <row r="981" spans="1:34" s="1" customFormat="1" ht="60">
      <c r="A981" s="120">
        <v>980</v>
      </c>
      <c r="B981" s="120" t="b">
        <f t="shared" ca="1" si="15"/>
        <v>0</v>
      </c>
      <c r="C981" s="121">
        <v>45646</v>
      </c>
      <c r="D981" s="137">
        <v>0.4284027777777778</v>
      </c>
      <c r="E981" s="94">
        <v>1009</v>
      </c>
      <c r="F981" s="94">
        <v>1208</v>
      </c>
      <c r="G981" s="94" t="s">
        <v>71</v>
      </c>
      <c r="H981" s="94">
        <v>1044</v>
      </c>
      <c r="I981" s="115"/>
      <c r="J981" s="94" t="s">
        <v>72</v>
      </c>
      <c r="K981" s="152">
        <v>7.3209999999999997</v>
      </c>
      <c r="L981" s="122" t="str">
        <f>VLOOKUP(K981,Liste!$L$2:$O$34,4,1)</f>
        <v>GSMR_02/03</v>
      </c>
      <c r="M981" s="133" t="s">
        <v>36</v>
      </c>
      <c r="N981" s="124" t="s">
        <v>37</v>
      </c>
      <c r="O981" s="125" t="s">
        <v>2185</v>
      </c>
      <c r="P981" s="119"/>
      <c r="Q981" s="94" t="s">
        <v>39</v>
      </c>
      <c r="R981" s="94" t="s">
        <v>1032</v>
      </c>
      <c r="S981" s="124" t="s">
        <v>1617</v>
      </c>
      <c r="T981" s="124" t="s">
        <v>56</v>
      </c>
      <c r="U981" s="124" t="s">
        <v>1546</v>
      </c>
      <c r="V981" s="124" t="s">
        <v>51</v>
      </c>
      <c r="W981" s="124" t="s">
        <v>51</v>
      </c>
      <c r="X981" s="124" t="s">
        <v>52</v>
      </c>
      <c r="Y981" s="124" t="s">
        <v>2109</v>
      </c>
      <c r="Z981" s="124"/>
      <c r="AA981" s="124" t="s">
        <v>802</v>
      </c>
      <c r="AB981" s="91"/>
      <c r="AC981" s="91"/>
      <c r="AD981" s="91"/>
      <c r="AE981" s="91"/>
      <c r="AF981" s="91"/>
      <c r="AG981" s="91"/>
      <c r="AH981" s="91"/>
    </row>
    <row r="982" spans="1:34" s="1" customFormat="1" ht="60">
      <c r="A982" s="120">
        <v>981</v>
      </c>
      <c r="B982" s="120" t="b">
        <f t="shared" ca="1" si="15"/>
        <v>0</v>
      </c>
      <c r="C982" s="121">
        <v>45646</v>
      </c>
      <c r="D982" s="137">
        <v>0.83658564814814818</v>
      </c>
      <c r="E982" s="94">
        <v>2057</v>
      </c>
      <c r="F982" s="94">
        <v>1206</v>
      </c>
      <c r="G982" s="94" t="s">
        <v>34</v>
      </c>
      <c r="H982" s="94">
        <v>1054</v>
      </c>
      <c r="I982" s="115"/>
      <c r="J982" s="94" t="s">
        <v>35</v>
      </c>
      <c r="K982" s="152">
        <v>6.13</v>
      </c>
      <c r="L982" s="122" t="str">
        <f>VLOOKUP(K982,Liste!$L$2:$O$34,4,1)</f>
        <v>GSMR_02/03</v>
      </c>
      <c r="M982" s="133" t="s">
        <v>36</v>
      </c>
      <c r="N982" s="181" t="s">
        <v>58</v>
      </c>
      <c r="O982" s="125" t="s">
        <v>2186</v>
      </c>
      <c r="P982" s="119"/>
      <c r="Q982" s="94" t="s">
        <v>39</v>
      </c>
      <c r="R982" s="94" t="s">
        <v>1032</v>
      </c>
      <c r="S982" s="124" t="s">
        <v>1232</v>
      </c>
      <c r="T982" s="124" t="s">
        <v>56</v>
      </c>
      <c r="U982" s="124" t="s">
        <v>1622</v>
      </c>
      <c r="V982" s="124" t="s">
        <v>51</v>
      </c>
      <c r="W982" s="124" t="s">
        <v>51</v>
      </c>
      <c r="X982" s="124" t="s">
        <v>52</v>
      </c>
      <c r="Y982" s="124" t="s">
        <v>2109</v>
      </c>
      <c r="Z982" s="124"/>
      <c r="AA982" s="124" t="s">
        <v>1183</v>
      </c>
      <c r="AB982" s="91"/>
      <c r="AC982" s="91"/>
      <c r="AD982" s="91"/>
      <c r="AE982" s="91"/>
      <c r="AF982" s="91"/>
      <c r="AG982" s="91"/>
      <c r="AH982" s="91"/>
    </row>
    <row r="983" spans="1:34" s="1" customFormat="1" ht="60">
      <c r="A983" s="120">
        <v>982</v>
      </c>
      <c r="B983" s="120" t="b">
        <f t="shared" ca="1" si="15"/>
        <v>0</v>
      </c>
      <c r="C983" s="121">
        <v>45646</v>
      </c>
      <c r="D983" s="137">
        <v>0.87973379629629633</v>
      </c>
      <c r="E983" s="94">
        <v>1053</v>
      </c>
      <c r="F983" s="91">
        <v>1201</v>
      </c>
      <c r="G983" s="94" t="s">
        <v>71</v>
      </c>
      <c r="H983" s="94">
        <v>1028</v>
      </c>
      <c r="I983" s="115"/>
      <c r="J983" s="94" t="s">
        <v>72</v>
      </c>
      <c r="K983" s="152">
        <v>7.3209999999999997</v>
      </c>
      <c r="L983" s="122" t="str">
        <f>VLOOKUP(K983,Liste!$L$2:$O$34,4,1)</f>
        <v>GSMR_02/03</v>
      </c>
      <c r="M983" s="133" t="s">
        <v>36</v>
      </c>
      <c r="N983" s="124" t="s">
        <v>37</v>
      </c>
      <c r="O983" s="125" t="s">
        <v>2187</v>
      </c>
      <c r="P983" s="119"/>
      <c r="Q983" s="94" t="s">
        <v>39</v>
      </c>
      <c r="R983" s="94" t="s">
        <v>1032</v>
      </c>
      <c r="S983" s="124" t="s">
        <v>2130</v>
      </c>
      <c r="T983" s="124" t="s">
        <v>56</v>
      </c>
      <c r="U983" s="124" t="s">
        <v>1693</v>
      </c>
      <c r="V983" s="124" t="s">
        <v>51</v>
      </c>
      <c r="W983" s="124" t="s">
        <v>51</v>
      </c>
      <c r="X983" s="124" t="s">
        <v>52</v>
      </c>
      <c r="Y983" s="124" t="s">
        <v>2109</v>
      </c>
      <c r="Z983" s="124"/>
      <c r="AA983" s="124" t="s">
        <v>778</v>
      </c>
      <c r="AB983" s="91"/>
      <c r="AC983" s="91"/>
      <c r="AD983" s="91"/>
      <c r="AE983" s="91"/>
      <c r="AF983" s="91"/>
      <c r="AG983" s="91"/>
      <c r="AH983" s="91"/>
    </row>
    <row r="984" spans="1:34" s="1" customFormat="1" ht="60">
      <c r="A984" s="120">
        <v>983</v>
      </c>
      <c r="B984" s="120" t="b">
        <f t="shared" ca="1" si="15"/>
        <v>0</v>
      </c>
      <c r="C984" s="121">
        <v>45647</v>
      </c>
      <c r="D984" s="137">
        <v>0.25861111111111112</v>
      </c>
      <c r="E984" s="94">
        <v>10075</v>
      </c>
      <c r="F984" s="91">
        <v>1208</v>
      </c>
      <c r="G984" s="94" t="s">
        <v>34</v>
      </c>
      <c r="H984" s="94">
        <v>1036</v>
      </c>
      <c r="I984" s="115"/>
      <c r="J984" s="94" t="s">
        <v>35</v>
      </c>
      <c r="K984" s="91">
        <v>186.315</v>
      </c>
      <c r="L984" s="122" t="str">
        <f>VLOOKUP(K984,Liste!$L$2:$O$34,4,1)</f>
        <v>GSMR_32/33</v>
      </c>
      <c r="M984" s="133" t="s">
        <v>36</v>
      </c>
      <c r="N984" s="124" t="s">
        <v>37</v>
      </c>
      <c r="O984" s="125" t="s">
        <v>2188</v>
      </c>
      <c r="P984" s="119"/>
      <c r="Q984" s="94" t="s">
        <v>39</v>
      </c>
      <c r="R984" s="94" t="s">
        <v>1032</v>
      </c>
      <c r="S984" s="124" t="s">
        <v>2189</v>
      </c>
      <c r="T984" s="124" t="s">
        <v>69</v>
      </c>
      <c r="U984" s="124" t="s">
        <v>1453</v>
      </c>
      <c r="V984" s="124" t="s">
        <v>51</v>
      </c>
      <c r="W984" s="124" t="s">
        <v>51</v>
      </c>
      <c r="X984" s="124" t="s">
        <v>52</v>
      </c>
      <c r="Y984" s="124" t="s">
        <v>2109</v>
      </c>
      <c r="Z984" s="124"/>
      <c r="AA984" s="124" t="s">
        <v>778</v>
      </c>
      <c r="AB984" s="91"/>
      <c r="AC984" s="91"/>
      <c r="AD984" s="91"/>
      <c r="AE984" s="91"/>
      <c r="AF984" s="91"/>
      <c r="AG984" s="91"/>
      <c r="AH984" s="91"/>
    </row>
    <row r="985" spans="1:34" s="1" customFormat="1" ht="60">
      <c r="A985" s="120">
        <v>984</v>
      </c>
      <c r="B985" s="120" t="b">
        <f t="shared" ca="1" si="15"/>
        <v>0</v>
      </c>
      <c r="C985" s="121">
        <v>45647</v>
      </c>
      <c r="D985" s="137">
        <v>0.37851851851851853</v>
      </c>
      <c r="E985" s="94">
        <v>1005</v>
      </c>
      <c r="F985" s="91">
        <v>1203</v>
      </c>
      <c r="G985" s="94" t="s">
        <v>71</v>
      </c>
      <c r="H985" s="94">
        <v>1027</v>
      </c>
      <c r="I985" s="115"/>
      <c r="J985" s="94" t="s">
        <v>72</v>
      </c>
      <c r="K985" s="152">
        <v>7.3209999999999997</v>
      </c>
      <c r="L985" s="122" t="str">
        <f>VLOOKUP(K985,Liste!$L$2:$O$34,4,1)</f>
        <v>GSMR_02/03</v>
      </c>
      <c r="M985" s="133" t="s">
        <v>36</v>
      </c>
      <c r="N985" s="124" t="s">
        <v>37</v>
      </c>
      <c r="O985" s="125" t="s">
        <v>2190</v>
      </c>
      <c r="P985" s="119"/>
      <c r="Q985" s="94" t="s">
        <v>39</v>
      </c>
      <c r="R985" s="94" t="s">
        <v>1032</v>
      </c>
      <c r="S985" s="124" t="s">
        <v>2191</v>
      </c>
      <c r="T985" s="124" t="s">
        <v>56</v>
      </c>
      <c r="U985" s="124" t="s">
        <v>1546</v>
      </c>
      <c r="V985" s="124" t="s">
        <v>51</v>
      </c>
      <c r="W985" s="124" t="s">
        <v>51</v>
      </c>
      <c r="X985" s="124" t="s">
        <v>52</v>
      </c>
      <c r="Y985" s="124" t="s">
        <v>2109</v>
      </c>
      <c r="Z985" s="124"/>
      <c r="AA985" s="91"/>
      <c r="AB985" s="91"/>
      <c r="AC985" s="91"/>
      <c r="AD985" s="91"/>
      <c r="AE985" s="91"/>
      <c r="AF985" s="91"/>
      <c r="AG985" s="91"/>
      <c r="AH985" s="91"/>
    </row>
    <row r="986" spans="1:34" s="1" customFormat="1" ht="60">
      <c r="A986" s="120">
        <v>985</v>
      </c>
      <c r="B986" s="120" t="b">
        <f t="shared" ca="1" si="15"/>
        <v>0</v>
      </c>
      <c r="C986" s="121">
        <v>45647</v>
      </c>
      <c r="D986" s="137">
        <v>0.44115740740740739</v>
      </c>
      <c r="E986" s="94">
        <v>2017</v>
      </c>
      <c r="F986" s="91">
        <v>1201</v>
      </c>
      <c r="G986" s="94" t="s">
        <v>34</v>
      </c>
      <c r="H986" s="94">
        <v>1041</v>
      </c>
      <c r="I986" s="115"/>
      <c r="J986" s="94" t="s">
        <v>35</v>
      </c>
      <c r="K986" s="91">
        <v>148.02199999999999</v>
      </c>
      <c r="L986" s="122" t="str">
        <f>VLOOKUP(K986,Liste!$L$2:$O$34,4,1)</f>
        <v>GSMR_25/26</v>
      </c>
      <c r="M986" s="133" t="s">
        <v>36</v>
      </c>
      <c r="N986" s="181" t="s">
        <v>58</v>
      </c>
      <c r="O986" s="125" t="s">
        <v>2192</v>
      </c>
      <c r="P986" s="117"/>
      <c r="Q986" s="118" t="s">
        <v>105</v>
      </c>
      <c r="R986" s="129" t="s">
        <v>1072</v>
      </c>
      <c r="S986" s="124" t="s">
        <v>1572</v>
      </c>
      <c r="T986" s="124" t="s">
        <v>1440</v>
      </c>
      <c r="U986" s="124" t="s">
        <v>1441</v>
      </c>
      <c r="V986" s="124"/>
      <c r="W986" s="124" t="s">
        <v>51</v>
      </c>
      <c r="X986" s="124" t="s">
        <v>52</v>
      </c>
      <c r="Y986" s="124" t="s">
        <v>2193</v>
      </c>
      <c r="Z986" s="124"/>
      <c r="AA986" s="124" t="s">
        <v>757</v>
      </c>
      <c r="AB986" s="91"/>
      <c r="AC986" s="91"/>
      <c r="AD986" s="91"/>
      <c r="AE986" s="91"/>
      <c r="AF986" s="91"/>
      <c r="AG986" s="91"/>
      <c r="AH986" s="91"/>
    </row>
    <row r="987" spans="1:34" s="1" customFormat="1" ht="60">
      <c r="A987" s="120">
        <v>986</v>
      </c>
      <c r="B987" s="120" t="b">
        <f t="shared" ca="1" si="15"/>
        <v>0</v>
      </c>
      <c r="C987" s="121">
        <v>45647</v>
      </c>
      <c r="D987" s="137">
        <v>0.67027777777777775</v>
      </c>
      <c r="E987" s="94">
        <v>2041</v>
      </c>
      <c r="F987" s="91">
        <v>1210</v>
      </c>
      <c r="G987" s="94" t="s">
        <v>34</v>
      </c>
      <c r="H987" s="94">
        <v>1049</v>
      </c>
      <c r="I987" s="115"/>
      <c r="J987" s="94" t="s">
        <v>35</v>
      </c>
      <c r="K987" s="152">
        <v>6.13</v>
      </c>
      <c r="L987" s="122" t="str">
        <f>VLOOKUP(K987,Liste!$L$2:$O$34,4,1)</f>
        <v>GSMR_02/03</v>
      </c>
      <c r="M987" s="133" t="s">
        <v>36</v>
      </c>
      <c r="N987" s="181" t="s">
        <v>58</v>
      </c>
      <c r="O987" s="125" t="s">
        <v>2194</v>
      </c>
      <c r="P987" s="119"/>
      <c r="Q987" s="94" t="s">
        <v>39</v>
      </c>
      <c r="R987" s="94" t="s">
        <v>1032</v>
      </c>
      <c r="S987" s="124" t="s">
        <v>2130</v>
      </c>
      <c r="T987" s="124" t="s">
        <v>56</v>
      </c>
      <c r="U987" s="124" t="s">
        <v>1538</v>
      </c>
      <c r="V987" s="124" t="s">
        <v>51</v>
      </c>
      <c r="W987" s="124" t="s">
        <v>51</v>
      </c>
      <c r="X987" s="124" t="s">
        <v>52</v>
      </c>
      <c r="Y987" s="124" t="s">
        <v>2109</v>
      </c>
      <c r="Z987" s="124"/>
      <c r="AA987" s="124" t="s">
        <v>1183</v>
      </c>
      <c r="AB987" s="91"/>
      <c r="AC987" s="91"/>
      <c r="AD987" s="91"/>
      <c r="AE987" s="91"/>
      <c r="AF987" s="91"/>
      <c r="AG987" s="91"/>
      <c r="AH987" s="91"/>
    </row>
    <row r="988" spans="1:34" s="1" customFormat="1" ht="60">
      <c r="A988" s="120">
        <v>987</v>
      </c>
      <c r="B988" s="120" t="b">
        <f t="shared" ca="1" si="15"/>
        <v>0</v>
      </c>
      <c r="C988" s="121">
        <v>45647</v>
      </c>
      <c r="D988" s="137">
        <v>0.77429398148148143</v>
      </c>
      <c r="E988" s="94">
        <v>2049</v>
      </c>
      <c r="F988" s="91">
        <v>1205</v>
      </c>
      <c r="G988" s="94" t="s">
        <v>34</v>
      </c>
      <c r="H988" s="94">
        <v>7218</v>
      </c>
      <c r="I988" s="115"/>
      <c r="J988" s="94" t="s">
        <v>35</v>
      </c>
      <c r="K988" s="91">
        <v>144.32599999999999</v>
      </c>
      <c r="L988" s="122" t="str">
        <f>VLOOKUP(K988,Liste!$L$2:$O$34,4,1)</f>
        <v>GSMR_25/26</v>
      </c>
      <c r="M988" s="133" t="s">
        <v>36</v>
      </c>
      <c r="N988" s="181" t="s">
        <v>58</v>
      </c>
      <c r="O988" s="125" t="s">
        <v>2195</v>
      </c>
      <c r="P988" s="119"/>
      <c r="Q988" s="94" t="s">
        <v>39</v>
      </c>
      <c r="R988" s="94" t="s">
        <v>1032</v>
      </c>
      <c r="S988" s="124" t="s">
        <v>1572</v>
      </c>
      <c r="T988" s="124" t="s">
        <v>78</v>
      </c>
      <c r="U988" s="124" t="s">
        <v>1549</v>
      </c>
      <c r="V988" s="124" t="s">
        <v>51</v>
      </c>
      <c r="W988" s="124" t="s">
        <v>51</v>
      </c>
      <c r="X988" s="124" t="s">
        <v>52</v>
      </c>
      <c r="Y988" s="124" t="s">
        <v>2109</v>
      </c>
      <c r="Z988" s="124"/>
      <c r="AA988" s="124" t="s">
        <v>1183</v>
      </c>
      <c r="AB988" s="91"/>
      <c r="AC988" s="91"/>
      <c r="AD988" s="91"/>
      <c r="AE988" s="91"/>
      <c r="AF988" s="91"/>
      <c r="AG988" s="91"/>
      <c r="AH988" s="91"/>
    </row>
    <row r="989" spans="1:34" s="1" customFormat="1" ht="60">
      <c r="A989" s="120">
        <v>988</v>
      </c>
      <c r="B989" s="120" t="b">
        <f t="shared" ca="1" si="15"/>
        <v>0</v>
      </c>
      <c r="C989" s="121">
        <v>45648</v>
      </c>
      <c r="D989" s="137">
        <v>0.40637731481481482</v>
      </c>
      <c r="E989" s="94">
        <v>1010</v>
      </c>
      <c r="F989" s="91">
        <v>1208</v>
      </c>
      <c r="G989" s="94" t="s">
        <v>71</v>
      </c>
      <c r="H989" s="94">
        <v>1045</v>
      </c>
      <c r="I989" s="115"/>
      <c r="J989" s="94" t="s">
        <v>72</v>
      </c>
      <c r="K989" s="91">
        <v>94.953999999999994</v>
      </c>
      <c r="L989" s="122" t="str">
        <f>VLOOKUP(K989,Liste!$L$2:$O$34,4,1)</f>
        <v>GSMR_17/18</v>
      </c>
      <c r="M989" s="133" t="s">
        <v>36</v>
      </c>
      <c r="N989" s="124" t="s">
        <v>37</v>
      </c>
      <c r="O989" s="125" t="s">
        <v>2196</v>
      </c>
      <c r="P989" s="119"/>
      <c r="Q989" s="94" t="s">
        <v>47</v>
      </c>
      <c r="R989" s="94" t="s">
        <v>2166</v>
      </c>
      <c r="S989" s="124" t="s">
        <v>2182</v>
      </c>
      <c r="T989" s="124" t="s">
        <v>56</v>
      </c>
      <c r="U989" s="124" t="s">
        <v>1570</v>
      </c>
      <c r="V989" s="124" t="s">
        <v>51</v>
      </c>
      <c r="W989" s="124" t="s">
        <v>51</v>
      </c>
      <c r="X989" s="124" t="s">
        <v>52</v>
      </c>
      <c r="Y989" s="124" t="s">
        <v>2109</v>
      </c>
      <c r="Z989" s="124"/>
      <c r="AA989" s="124" t="s">
        <v>1295</v>
      </c>
      <c r="AB989" s="91"/>
      <c r="AC989" s="91"/>
      <c r="AD989" s="91"/>
      <c r="AE989" s="91"/>
      <c r="AF989" s="91"/>
      <c r="AG989" s="91"/>
      <c r="AH989" s="91"/>
    </row>
    <row r="990" spans="1:34" s="1" customFormat="1" ht="60">
      <c r="A990" s="120">
        <v>989</v>
      </c>
      <c r="B990" s="120" t="b">
        <f t="shared" ca="1" si="15"/>
        <v>0</v>
      </c>
      <c r="C990" s="121">
        <v>45649</v>
      </c>
      <c r="D990" s="137">
        <v>0.69156249999999997</v>
      </c>
      <c r="E990" s="94">
        <v>2041</v>
      </c>
      <c r="F990" s="91">
        <v>1209</v>
      </c>
      <c r="G990" s="94" t="s">
        <v>34</v>
      </c>
      <c r="H990" s="94">
        <v>1058</v>
      </c>
      <c r="I990" s="115"/>
      <c r="J990" s="94" t="s">
        <v>35</v>
      </c>
      <c r="K990" s="91">
        <v>146.738</v>
      </c>
      <c r="L990" s="122" t="str">
        <f>VLOOKUP(K990,Liste!$L$2:$O$34,4,1)</f>
        <v>GSMR_25/26</v>
      </c>
      <c r="M990" s="133" t="s">
        <v>36</v>
      </c>
      <c r="N990" s="124" t="s">
        <v>37</v>
      </c>
      <c r="O990" s="125" t="s">
        <v>2197</v>
      </c>
      <c r="P990" s="117"/>
      <c r="Q990" s="118" t="s">
        <v>105</v>
      </c>
      <c r="R990" s="129" t="s">
        <v>1072</v>
      </c>
      <c r="S990" s="124" t="s">
        <v>2198</v>
      </c>
      <c r="T990" s="124" t="s">
        <v>101</v>
      </c>
      <c r="U990" s="124" t="s">
        <v>1693</v>
      </c>
      <c r="V990" s="124" t="s">
        <v>51</v>
      </c>
      <c r="W990" s="124" t="s">
        <v>51</v>
      </c>
      <c r="X990" s="124" t="s">
        <v>52</v>
      </c>
      <c r="Y990" s="124" t="s">
        <v>2199</v>
      </c>
      <c r="Z990" s="124"/>
      <c r="AA990" s="124" t="s">
        <v>1118</v>
      </c>
      <c r="AB990" s="91"/>
      <c r="AC990" s="91"/>
      <c r="AD990" s="91"/>
      <c r="AE990" s="91"/>
      <c r="AF990" s="91"/>
      <c r="AG990" s="91"/>
      <c r="AH990" s="91"/>
    </row>
    <row r="991" spans="1:34" s="1" customFormat="1" ht="60">
      <c r="A991" s="120">
        <v>990</v>
      </c>
      <c r="B991" s="120" t="b">
        <f t="shared" ca="1" si="15"/>
        <v>0</v>
      </c>
      <c r="C991" s="121">
        <v>45649</v>
      </c>
      <c r="D991" s="137">
        <v>0.58725694444444443</v>
      </c>
      <c r="E991" s="94">
        <v>2033</v>
      </c>
      <c r="F991" s="91">
        <v>1210</v>
      </c>
      <c r="G991" s="94" t="s">
        <v>34</v>
      </c>
      <c r="H991" s="94">
        <v>1049</v>
      </c>
      <c r="I991" s="115"/>
      <c r="J991" s="94" t="s">
        <v>35</v>
      </c>
      <c r="K991" s="152">
        <v>6.13</v>
      </c>
      <c r="L991" s="122" t="str">
        <f>VLOOKUP(K991,Liste!$L$2:$O$34,4,1)</f>
        <v>GSMR_02/03</v>
      </c>
      <c r="M991" s="133" t="s">
        <v>36</v>
      </c>
      <c r="N991" s="181" t="s">
        <v>58</v>
      </c>
      <c r="O991" s="125" t="s">
        <v>2200</v>
      </c>
      <c r="P991" s="119"/>
      <c r="Q991" s="94" t="s">
        <v>39</v>
      </c>
      <c r="R991" s="94" t="s">
        <v>1032</v>
      </c>
      <c r="S991" s="124" t="s">
        <v>2201</v>
      </c>
      <c r="T991" s="124" t="s">
        <v>56</v>
      </c>
      <c r="U991" s="124" t="s">
        <v>1538</v>
      </c>
      <c r="V991" s="124" t="s">
        <v>51</v>
      </c>
      <c r="W991" s="124" t="s">
        <v>51</v>
      </c>
      <c r="X991" s="124" t="s">
        <v>52</v>
      </c>
      <c r="Y991" s="124" t="s">
        <v>2109</v>
      </c>
      <c r="Z991" s="124"/>
      <c r="AA991" s="124" t="s">
        <v>802</v>
      </c>
      <c r="AB991" s="91"/>
      <c r="AC991" s="91"/>
      <c r="AD991" s="91"/>
      <c r="AE991" s="91"/>
      <c r="AF991" s="91"/>
      <c r="AG991" s="91"/>
      <c r="AH991" s="91"/>
    </row>
    <row r="992" spans="1:34" s="1" customFormat="1" ht="60">
      <c r="A992" s="120">
        <v>991</v>
      </c>
      <c r="B992" s="120" t="b">
        <f t="shared" ca="1" si="15"/>
        <v>0</v>
      </c>
      <c r="C992" s="121">
        <v>45649</v>
      </c>
      <c r="D992" s="137">
        <v>0.58978009259259256</v>
      </c>
      <c r="E992" s="94">
        <v>2033</v>
      </c>
      <c r="F992" s="91">
        <v>1210</v>
      </c>
      <c r="G992" s="94" t="s">
        <v>34</v>
      </c>
      <c r="H992" s="94">
        <v>1049</v>
      </c>
      <c r="I992" s="115"/>
      <c r="J992" s="94" t="s">
        <v>35</v>
      </c>
      <c r="K992" s="152">
        <v>7.3810000000000002</v>
      </c>
      <c r="L992" s="122" t="str">
        <f>VLOOKUP(K992,Liste!$L$2:$O$34,4,1)</f>
        <v>GSMR_02/03</v>
      </c>
      <c r="M992" s="133" t="s">
        <v>36</v>
      </c>
      <c r="N992" s="181" t="s">
        <v>58</v>
      </c>
      <c r="O992" s="125" t="s">
        <v>2202</v>
      </c>
      <c r="P992" s="119"/>
      <c r="Q992" s="94" t="s">
        <v>39</v>
      </c>
      <c r="R992" s="94" t="s">
        <v>1032</v>
      </c>
      <c r="S992" s="124" t="s">
        <v>2203</v>
      </c>
      <c r="T992" s="124"/>
      <c r="U992" s="124"/>
      <c r="V992" s="124" t="s">
        <v>43</v>
      </c>
      <c r="W992" s="124" t="s">
        <v>51</v>
      </c>
      <c r="X992" s="124"/>
      <c r="Y992" s="124" t="s">
        <v>2109</v>
      </c>
      <c r="Z992" s="124"/>
      <c r="AA992" s="124" t="s">
        <v>802</v>
      </c>
      <c r="AB992" s="91"/>
      <c r="AC992" s="91"/>
      <c r="AD992" s="91"/>
      <c r="AE992" s="91"/>
      <c r="AF992" s="91"/>
      <c r="AG992" s="91"/>
      <c r="AH992" s="91"/>
    </row>
    <row r="993" spans="1:34" s="1" customFormat="1" ht="75">
      <c r="A993" s="120">
        <v>992</v>
      </c>
      <c r="B993" s="120" t="b">
        <f t="shared" ca="1" si="15"/>
        <v>0</v>
      </c>
      <c r="C993" s="121">
        <v>45649</v>
      </c>
      <c r="D993" s="137">
        <v>0.80486111111111114</v>
      </c>
      <c r="E993" s="94">
        <v>1045</v>
      </c>
      <c r="F993" s="91">
        <v>1210</v>
      </c>
      <c r="G993" s="94" t="s">
        <v>71</v>
      </c>
      <c r="H993" s="94">
        <v>1072</v>
      </c>
      <c r="I993" s="115"/>
      <c r="J993" s="94" t="s">
        <v>72</v>
      </c>
      <c r="K993" s="152">
        <v>7.3810000000000002</v>
      </c>
      <c r="L993" s="122" t="str">
        <f>VLOOKUP(K993,Liste!$L$2:$O$34,4,1)</f>
        <v>GSMR_02/03</v>
      </c>
      <c r="M993" s="133" t="s">
        <v>36</v>
      </c>
      <c r="N993" s="181" t="s">
        <v>58</v>
      </c>
      <c r="O993" s="125" t="s">
        <v>2204</v>
      </c>
      <c r="P993" s="119"/>
      <c r="Q993" s="94" t="s">
        <v>39</v>
      </c>
      <c r="R993" s="94" t="s">
        <v>1032</v>
      </c>
      <c r="S993" s="124" t="s">
        <v>2205</v>
      </c>
      <c r="T993" s="124" t="s">
        <v>56</v>
      </c>
      <c r="U993" s="124" t="s">
        <v>1526</v>
      </c>
      <c r="V993" s="124" t="s">
        <v>43</v>
      </c>
      <c r="W993" s="124" t="s">
        <v>51</v>
      </c>
      <c r="X993" s="124"/>
      <c r="Y993" s="124" t="s">
        <v>2109</v>
      </c>
      <c r="Z993" s="124"/>
      <c r="AA993" s="124" t="s">
        <v>810</v>
      </c>
      <c r="AB993" s="91"/>
      <c r="AC993" s="91"/>
      <c r="AD993" s="91"/>
      <c r="AE993" s="91"/>
      <c r="AF993" s="91"/>
      <c r="AG993" s="91"/>
      <c r="AH993" s="91"/>
    </row>
    <row r="994" spans="1:34" s="1" customFormat="1" ht="60">
      <c r="A994" s="120">
        <v>993</v>
      </c>
      <c r="B994" s="120" t="b">
        <f t="shared" ca="1" si="15"/>
        <v>0</v>
      </c>
      <c r="C994" s="121">
        <v>45649</v>
      </c>
      <c r="D994" s="137">
        <v>0.87766203703703705</v>
      </c>
      <c r="E994" s="94">
        <v>1053</v>
      </c>
      <c r="F994" s="91">
        <v>1205</v>
      </c>
      <c r="G994" s="94" t="s">
        <v>71</v>
      </c>
      <c r="H994" s="94">
        <v>1060</v>
      </c>
      <c r="I994" s="115"/>
      <c r="J994" s="94" t="s">
        <v>72</v>
      </c>
      <c r="K994" s="152">
        <v>7.3209999999999997</v>
      </c>
      <c r="L994" s="122" t="str">
        <f>VLOOKUP(K994,Liste!$L$2:$O$34,4,1)</f>
        <v>GSMR_02/03</v>
      </c>
      <c r="M994" s="133" t="s">
        <v>36</v>
      </c>
      <c r="N994" s="181" t="s">
        <v>58</v>
      </c>
      <c r="O994" s="125" t="s">
        <v>2206</v>
      </c>
      <c r="P994" s="119"/>
      <c r="Q994" s="94" t="s">
        <v>39</v>
      </c>
      <c r="R994" s="94" t="s">
        <v>1032</v>
      </c>
      <c r="S994" s="124" t="s">
        <v>2207</v>
      </c>
      <c r="T994" s="124" t="s">
        <v>56</v>
      </c>
      <c r="U994" s="124" t="s">
        <v>1520</v>
      </c>
      <c r="V994" s="124" t="s">
        <v>51</v>
      </c>
      <c r="W994" s="124" t="s">
        <v>51</v>
      </c>
      <c r="X994" s="124" t="s">
        <v>52</v>
      </c>
      <c r="Y994" s="124" t="s">
        <v>2109</v>
      </c>
      <c r="Z994" s="124"/>
      <c r="AA994" s="124" t="s">
        <v>959</v>
      </c>
      <c r="AB994" s="91"/>
      <c r="AC994" s="91"/>
      <c r="AD994" s="91"/>
      <c r="AE994" s="91"/>
      <c r="AF994" s="91"/>
      <c r="AG994" s="91"/>
      <c r="AH994" s="91"/>
    </row>
    <row r="995" spans="1:34" s="1" customFormat="1" ht="60">
      <c r="A995" s="120">
        <v>994</v>
      </c>
      <c r="B995" s="120" t="b">
        <f t="shared" ca="1" si="15"/>
        <v>0</v>
      </c>
      <c r="C995" s="121">
        <v>45650</v>
      </c>
      <c r="D995" s="137">
        <v>0.49081018518518521</v>
      </c>
      <c r="E995" s="94">
        <v>2017</v>
      </c>
      <c r="F995" s="91">
        <v>1205</v>
      </c>
      <c r="G995" s="94" t="s">
        <v>71</v>
      </c>
      <c r="H995" s="94">
        <v>1061</v>
      </c>
      <c r="I995" s="115"/>
      <c r="J995" s="94" t="s">
        <v>72</v>
      </c>
      <c r="K995" s="91">
        <v>94.953999999999994</v>
      </c>
      <c r="L995" s="122" t="str">
        <f>VLOOKUP(K995,Liste!$L$2:$O$34,4,1)</f>
        <v>GSMR_17/18</v>
      </c>
      <c r="M995" s="133" t="s">
        <v>36</v>
      </c>
      <c r="N995" s="124" t="s">
        <v>37</v>
      </c>
      <c r="O995" s="125" t="s">
        <v>2163</v>
      </c>
      <c r="P995" s="119"/>
      <c r="Q995" s="94" t="s">
        <v>47</v>
      </c>
      <c r="R995" s="94" t="s">
        <v>2166</v>
      </c>
      <c r="S995" s="124" t="s">
        <v>1725</v>
      </c>
      <c r="T995" s="124" t="s">
        <v>56</v>
      </c>
      <c r="U995" s="124" t="s">
        <v>2101</v>
      </c>
      <c r="V995" s="124" t="s">
        <v>51</v>
      </c>
      <c r="W995" s="124" t="s">
        <v>51</v>
      </c>
      <c r="X995" s="124" t="s">
        <v>52</v>
      </c>
      <c r="Y995" s="124" t="s">
        <v>2109</v>
      </c>
      <c r="Z995" s="124"/>
      <c r="AA995" s="124" t="s">
        <v>802</v>
      </c>
      <c r="AB995" s="91"/>
      <c r="AC995" s="91"/>
      <c r="AD995" s="91"/>
      <c r="AE995" s="91"/>
      <c r="AF995" s="91"/>
      <c r="AG995" s="91"/>
      <c r="AH995" s="91"/>
    </row>
    <row r="996" spans="1:34" s="1" customFormat="1" ht="60">
      <c r="A996" s="120">
        <v>995</v>
      </c>
      <c r="B996" s="120" t="b">
        <f t="shared" ca="1" si="15"/>
        <v>0</v>
      </c>
      <c r="C996" s="121">
        <v>45650</v>
      </c>
      <c r="D996" s="137">
        <v>0.53145833333333337</v>
      </c>
      <c r="E996" s="94">
        <v>2021</v>
      </c>
      <c r="F996" s="91">
        <v>1207</v>
      </c>
      <c r="G996" s="94" t="s">
        <v>71</v>
      </c>
      <c r="H996" s="94">
        <v>1008</v>
      </c>
      <c r="I996" s="115"/>
      <c r="J996" s="94" t="s">
        <v>72</v>
      </c>
      <c r="K996" s="91">
        <v>94.953999999999994</v>
      </c>
      <c r="L996" s="122" t="str">
        <f>VLOOKUP(K996,Liste!$L$2:$O$34,4,1)</f>
        <v>GSMR_17/18</v>
      </c>
      <c r="M996" s="133" t="s">
        <v>36</v>
      </c>
      <c r="N996" s="124" t="s">
        <v>37</v>
      </c>
      <c r="O996" s="125" t="s">
        <v>2208</v>
      </c>
      <c r="P996" s="119"/>
      <c r="Q996" s="94" t="s">
        <v>47</v>
      </c>
      <c r="R996" s="94" t="s">
        <v>2166</v>
      </c>
      <c r="S996" s="124" t="s">
        <v>2209</v>
      </c>
      <c r="T996" s="124" t="s">
        <v>56</v>
      </c>
      <c r="U996" s="124" t="s">
        <v>1574</v>
      </c>
      <c r="V996" s="124" t="s">
        <v>51</v>
      </c>
      <c r="W996" s="124" t="s">
        <v>51</v>
      </c>
      <c r="X996" s="124" t="s">
        <v>52</v>
      </c>
      <c r="Y996" s="124" t="s">
        <v>2109</v>
      </c>
      <c r="Z996" s="124"/>
      <c r="AA996" s="124" t="s">
        <v>802</v>
      </c>
      <c r="AB996" s="91"/>
      <c r="AC996" s="91"/>
      <c r="AD996" s="91"/>
      <c r="AE996" s="91"/>
      <c r="AF996" s="91"/>
      <c r="AG996" s="91"/>
      <c r="AH996" s="91"/>
    </row>
    <row r="997" spans="1:34" s="1" customFormat="1" ht="75">
      <c r="A997" s="120">
        <v>996</v>
      </c>
      <c r="B997" s="120" t="b">
        <f t="shared" ca="1" si="15"/>
        <v>0</v>
      </c>
      <c r="C997" s="121">
        <v>45650</v>
      </c>
      <c r="D997" s="137">
        <v>0.75376157407407407</v>
      </c>
      <c r="E997" s="94">
        <v>2049</v>
      </c>
      <c r="F997" s="91">
        <v>1209</v>
      </c>
      <c r="G997" s="94" t="s">
        <v>34</v>
      </c>
      <c r="H997" s="94">
        <v>1058</v>
      </c>
      <c r="I997" s="115"/>
      <c r="J997" s="94" t="s">
        <v>35</v>
      </c>
      <c r="K997" s="152">
        <v>6.13</v>
      </c>
      <c r="L997" s="122" t="str">
        <f>VLOOKUP(K997,Liste!$L$2:$O$34,4,1)</f>
        <v>GSMR_02/03</v>
      </c>
      <c r="M997" s="133" t="s">
        <v>36</v>
      </c>
      <c r="N997" s="181" t="s">
        <v>58</v>
      </c>
      <c r="O997" s="125" t="s">
        <v>2210</v>
      </c>
      <c r="P997" s="119"/>
      <c r="Q997" s="94" t="s">
        <v>39</v>
      </c>
      <c r="R997" s="94" t="s">
        <v>1032</v>
      </c>
      <c r="S997" s="124" t="s">
        <v>2211</v>
      </c>
      <c r="T997" s="124" t="s">
        <v>56</v>
      </c>
      <c r="U997" s="124" t="s">
        <v>1541</v>
      </c>
      <c r="V997" s="124" t="s">
        <v>51</v>
      </c>
      <c r="W997" s="124" t="s">
        <v>51</v>
      </c>
      <c r="X997" s="124" t="s">
        <v>52</v>
      </c>
      <c r="Y997" s="124" t="s">
        <v>2109</v>
      </c>
      <c r="Z997" s="124"/>
      <c r="AA997" s="124" t="s">
        <v>810</v>
      </c>
      <c r="AB997" s="91"/>
      <c r="AC997" s="91"/>
      <c r="AD997" s="91"/>
      <c r="AE997" s="91"/>
      <c r="AF997" s="91"/>
      <c r="AG997" s="91"/>
      <c r="AH997" s="91"/>
    </row>
    <row r="998" spans="1:34" s="1" customFormat="1" ht="75">
      <c r="A998" s="120">
        <v>997</v>
      </c>
      <c r="B998" s="120" t="b">
        <f t="shared" ca="1" si="15"/>
        <v>0</v>
      </c>
      <c r="C998" s="121">
        <v>45652</v>
      </c>
      <c r="D998" s="137">
        <v>0.48269675925925926</v>
      </c>
      <c r="E998" s="94">
        <v>2021</v>
      </c>
      <c r="F998" s="91">
        <v>1209</v>
      </c>
      <c r="G998" s="94" t="s">
        <v>34</v>
      </c>
      <c r="H998" s="94">
        <v>1058</v>
      </c>
      <c r="I998" s="115"/>
      <c r="J998" s="94" t="s">
        <v>35</v>
      </c>
      <c r="K998" s="91">
        <v>144.32599999999999</v>
      </c>
      <c r="L998" s="122" t="str">
        <f>VLOOKUP(K998,Liste!$L$2:$O$34,4,1)</f>
        <v>GSMR_25/26</v>
      </c>
      <c r="M998" s="133" t="s">
        <v>36</v>
      </c>
      <c r="N998" s="124" t="s">
        <v>37</v>
      </c>
      <c r="O998" s="125" t="s">
        <v>2212</v>
      </c>
      <c r="P998" s="117"/>
      <c r="Q998" s="118" t="s">
        <v>105</v>
      </c>
      <c r="R998" s="129" t="s">
        <v>1072</v>
      </c>
      <c r="S998" s="124" t="s">
        <v>2213</v>
      </c>
      <c r="T998" s="124" t="s">
        <v>69</v>
      </c>
      <c r="U998" s="124" t="s">
        <v>1446</v>
      </c>
      <c r="V998" s="124" t="s">
        <v>51</v>
      </c>
      <c r="W998" s="124" t="s">
        <v>51</v>
      </c>
      <c r="X998" s="124" t="s">
        <v>52</v>
      </c>
      <c r="Y998" s="124" t="s">
        <v>2199</v>
      </c>
      <c r="Z998" s="124"/>
      <c r="AA998" s="124" t="s">
        <v>802</v>
      </c>
      <c r="AB998" s="91"/>
      <c r="AC998" s="91"/>
      <c r="AD998" s="91"/>
      <c r="AE998" s="91"/>
      <c r="AF998" s="91"/>
      <c r="AG998" s="91"/>
      <c r="AH998" s="91"/>
    </row>
    <row r="999" spans="1:34" s="1" customFormat="1" ht="45">
      <c r="A999" s="120">
        <v>998</v>
      </c>
      <c r="B999" s="120" t="b">
        <f t="shared" ca="1" si="15"/>
        <v>0</v>
      </c>
      <c r="C999" s="121">
        <v>45652</v>
      </c>
      <c r="D999" s="137">
        <v>0.94337962962962962</v>
      </c>
      <c r="E999" s="94">
        <v>1061</v>
      </c>
      <c r="F999" s="91">
        <v>1207</v>
      </c>
      <c r="G999" s="94" t="s">
        <v>71</v>
      </c>
      <c r="H999" s="94">
        <v>1007</v>
      </c>
      <c r="I999" s="115"/>
      <c r="J999" s="94" t="s">
        <v>72</v>
      </c>
      <c r="K999" s="91">
        <v>127.815</v>
      </c>
      <c r="L999" s="122" t="str">
        <f>VLOOKUP(K999,Liste!$L$2:$O$34,4,1)</f>
        <v>GSMR_22/23</v>
      </c>
      <c r="M999" s="133" t="s">
        <v>36</v>
      </c>
      <c r="N999" s="124" t="s">
        <v>37</v>
      </c>
      <c r="O999" s="125" t="s">
        <v>2214</v>
      </c>
      <c r="P999" s="117"/>
      <c r="Q999" s="94" t="s">
        <v>54</v>
      </c>
      <c r="R999" s="129" t="s">
        <v>2215</v>
      </c>
      <c r="S999" s="124" t="s">
        <v>2216</v>
      </c>
      <c r="T999" s="124" t="s">
        <v>93</v>
      </c>
      <c r="U999" s="124" t="s">
        <v>1897</v>
      </c>
      <c r="V999" s="124" t="s">
        <v>51</v>
      </c>
      <c r="W999" s="124" t="s">
        <v>51</v>
      </c>
      <c r="X999" s="124" t="s">
        <v>52</v>
      </c>
      <c r="Y999" s="124" t="s">
        <v>2109</v>
      </c>
      <c r="Z999" s="124"/>
      <c r="AA999" s="124" t="s">
        <v>754</v>
      </c>
      <c r="AB999" s="91"/>
      <c r="AC999" s="91"/>
      <c r="AD999" s="91"/>
      <c r="AE999" s="91"/>
      <c r="AF999" s="91"/>
      <c r="AG999" s="91"/>
      <c r="AH999" s="91"/>
    </row>
    <row r="1000" spans="1:34" s="1" customFormat="1" ht="45">
      <c r="A1000" s="120">
        <v>999</v>
      </c>
      <c r="B1000" s="120" t="b">
        <f t="shared" ca="1" si="15"/>
        <v>0</v>
      </c>
      <c r="C1000" s="121">
        <v>45653</v>
      </c>
      <c r="D1000" s="137">
        <v>0.62850694444444444</v>
      </c>
      <c r="E1000" s="94">
        <v>2037</v>
      </c>
      <c r="F1000" s="91">
        <v>1210</v>
      </c>
      <c r="G1000" s="94" t="s">
        <v>34</v>
      </c>
      <c r="H1000" s="94">
        <v>1049</v>
      </c>
      <c r="I1000" s="115"/>
      <c r="J1000" s="94" t="s">
        <v>35</v>
      </c>
      <c r="K1000" s="152">
        <v>6.13</v>
      </c>
      <c r="L1000" s="122" t="str">
        <f>VLOOKUP(K1000,Liste!$L$2:$O$34,4,1)</f>
        <v>GSMR_02/03</v>
      </c>
      <c r="M1000" s="133" t="s">
        <v>36</v>
      </c>
      <c r="N1000" s="124" t="s">
        <v>37</v>
      </c>
      <c r="O1000" s="125" t="s">
        <v>2217</v>
      </c>
      <c r="P1000" s="117"/>
      <c r="Q1000" s="118" t="s">
        <v>531</v>
      </c>
      <c r="R1000" s="94" t="s">
        <v>1032</v>
      </c>
      <c r="S1000" s="124" t="s">
        <v>2201</v>
      </c>
      <c r="T1000" s="124" t="s">
        <v>56</v>
      </c>
      <c r="U1000" s="124" t="s">
        <v>1541</v>
      </c>
      <c r="V1000" s="124" t="s">
        <v>51</v>
      </c>
      <c r="W1000" s="124" t="s">
        <v>51</v>
      </c>
      <c r="X1000" s="124" t="s">
        <v>52</v>
      </c>
      <c r="Y1000" s="124" t="s">
        <v>2109</v>
      </c>
      <c r="Z1000" s="124"/>
      <c r="AA1000" s="124" t="s">
        <v>802</v>
      </c>
      <c r="AB1000" s="91"/>
      <c r="AC1000" s="91"/>
      <c r="AD1000" s="91"/>
      <c r="AE1000" s="91"/>
      <c r="AF1000" s="91"/>
      <c r="AG1000" s="91"/>
      <c r="AH1000" s="91"/>
    </row>
    <row r="1001" spans="1:34" s="1" customFormat="1" ht="75">
      <c r="A1001" s="120">
        <v>1000</v>
      </c>
      <c r="B1001" s="120" t="b">
        <f t="shared" ca="1" si="15"/>
        <v>0</v>
      </c>
      <c r="C1001" s="121">
        <v>45653</v>
      </c>
      <c r="D1001" s="137">
        <v>0.83112268518518517</v>
      </c>
      <c r="E1001" s="94">
        <v>1050</v>
      </c>
      <c r="F1001" s="91">
        <v>1210</v>
      </c>
      <c r="G1001" s="94" t="s">
        <v>71</v>
      </c>
      <c r="H1001" s="94">
        <v>1020</v>
      </c>
      <c r="I1001" s="115"/>
      <c r="J1001" s="94" t="s">
        <v>72</v>
      </c>
      <c r="K1001" s="91">
        <v>39.215000000000003</v>
      </c>
      <c r="L1001" s="122" t="str">
        <f>VLOOKUP(K1001,Liste!$L$2:$O$34,4,1)</f>
        <v>GSMR_07/08</v>
      </c>
      <c r="M1001" s="133" t="s">
        <v>36</v>
      </c>
      <c r="N1001" s="124" t="s">
        <v>37</v>
      </c>
      <c r="O1001" s="125" t="s">
        <v>2218</v>
      </c>
      <c r="P1001" s="117"/>
      <c r="Q1001" s="94" t="s">
        <v>54</v>
      </c>
      <c r="R1001" s="129" t="s">
        <v>2215</v>
      </c>
      <c r="S1001" s="124" t="s">
        <v>2219</v>
      </c>
      <c r="T1001" s="124" t="s">
        <v>69</v>
      </c>
      <c r="U1001" s="124" t="s">
        <v>1541</v>
      </c>
      <c r="V1001" s="124" t="s">
        <v>43</v>
      </c>
      <c r="W1001" s="124" t="s">
        <v>51</v>
      </c>
      <c r="X1001" s="124" t="s">
        <v>52</v>
      </c>
      <c r="Y1001" s="124" t="s">
        <v>2109</v>
      </c>
      <c r="Z1001" s="124"/>
      <c r="AA1001" s="124" t="s">
        <v>793</v>
      </c>
      <c r="AB1001" s="91"/>
      <c r="AC1001" s="91"/>
      <c r="AD1001" s="91"/>
      <c r="AE1001" s="91"/>
      <c r="AF1001" s="91"/>
      <c r="AG1001" s="91"/>
      <c r="AH1001" s="91"/>
    </row>
    <row r="1002" spans="1:34" s="1" customFormat="1" ht="60">
      <c r="A1002" s="120">
        <v>1001</v>
      </c>
      <c r="B1002" s="120" t="b">
        <f t="shared" ca="1" si="15"/>
        <v>0</v>
      </c>
      <c r="C1002" s="121">
        <v>45654</v>
      </c>
      <c r="D1002" s="137">
        <v>0.30866898148148147</v>
      </c>
      <c r="E1002" s="94">
        <v>2005</v>
      </c>
      <c r="F1002" s="91">
        <v>1201</v>
      </c>
      <c r="G1002" s="94" t="s">
        <v>34</v>
      </c>
      <c r="H1002" s="94">
        <v>1057</v>
      </c>
      <c r="I1002" s="115"/>
      <c r="J1002" s="94" t="s">
        <v>35</v>
      </c>
      <c r="K1002" s="91">
        <v>88.911000000000001</v>
      </c>
      <c r="L1002" s="122" t="str">
        <f>VLOOKUP(K1002,Liste!$L$2:$O$34,4,1)</f>
        <v>GSMR_16/17</v>
      </c>
      <c r="M1002" s="133" t="s">
        <v>36</v>
      </c>
      <c r="N1002" s="124" t="s">
        <v>37</v>
      </c>
      <c r="O1002" s="125" t="s">
        <v>2220</v>
      </c>
      <c r="P1002" s="117"/>
      <c r="Q1002" s="94" t="s">
        <v>54</v>
      </c>
      <c r="R1002" s="129" t="s">
        <v>2215</v>
      </c>
      <c r="S1002" s="124" t="s">
        <v>2221</v>
      </c>
      <c r="T1002" s="124" t="s">
        <v>69</v>
      </c>
      <c r="U1002" s="124" t="s">
        <v>1541</v>
      </c>
      <c r="V1002" s="124" t="s">
        <v>43</v>
      </c>
      <c r="W1002" s="124" t="s">
        <v>51</v>
      </c>
      <c r="X1002" s="124" t="s">
        <v>52</v>
      </c>
      <c r="Y1002" s="124" t="s">
        <v>2109</v>
      </c>
      <c r="Z1002" s="124"/>
      <c r="AA1002" s="124" t="s">
        <v>754</v>
      </c>
      <c r="AB1002" s="91"/>
      <c r="AC1002" s="91"/>
      <c r="AD1002" s="91"/>
      <c r="AE1002" s="91"/>
      <c r="AF1002" s="91"/>
      <c r="AG1002" s="91"/>
      <c r="AH1002" s="91"/>
    </row>
    <row r="1003" spans="1:34" s="1" customFormat="1" ht="60">
      <c r="A1003" s="120">
        <v>1002</v>
      </c>
      <c r="B1003" s="120" t="b">
        <f t="shared" ca="1" si="15"/>
        <v>0</v>
      </c>
      <c r="C1003" s="121">
        <v>45654</v>
      </c>
      <c r="D1003" s="137">
        <v>0.46184027777777775</v>
      </c>
      <c r="E1003" s="94">
        <v>2021</v>
      </c>
      <c r="F1003" s="91">
        <v>1210</v>
      </c>
      <c r="G1003" s="94" t="s">
        <v>34</v>
      </c>
      <c r="H1003" s="94">
        <v>1048</v>
      </c>
      <c r="I1003" s="115"/>
      <c r="J1003" s="94" t="s">
        <v>35</v>
      </c>
      <c r="K1003" s="152">
        <v>6.13</v>
      </c>
      <c r="L1003" s="122" t="str">
        <f>VLOOKUP(K1003,Liste!$L$2:$O$34,4,1)</f>
        <v>GSMR_02/03</v>
      </c>
      <c r="M1003" s="133" t="s">
        <v>36</v>
      </c>
      <c r="N1003" s="124" t="s">
        <v>37</v>
      </c>
      <c r="O1003" s="125" t="s">
        <v>2222</v>
      </c>
      <c r="P1003" s="117"/>
      <c r="Q1003" s="118" t="s">
        <v>531</v>
      </c>
      <c r="R1003" s="94" t="s">
        <v>1032</v>
      </c>
      <c r="S1003" s="124" t="s">
        <v>2223</v>
      </c>
      <c r="T1003" s="124" t="s">
        <v>116</v>
      </c>
      <c r="U1003" s="124" t="s">
        <v>1693</v>
      </c>
      <c r="V1003" s="124" t="s">
        <v>43</v>
      </c>
      <c r="W1003" s="124" t="s">
        <v>51</v>
      </c>
      <c r="X1003" s="124" t="s">
        <v>52</v>
      </c>
      <c r="Y1003" s="124" t="s">
        <v>2199</v>
      </c>
      <c r="Z1003" s="124"/>
      <c r="AA1003" s="124" t="s">
        <v>772</v>
      </c>
      <c r="AB1003" s="91"/>
      <c r="AC1003" s="91"/>
      <c r="AD1003" s="91"/>
      <c r="AE1003" s="91"/>
      <c r="AF1003" s="91"/>
      <c r="AG1003" s="91"/>
      <c r="AH1003" s="91"/>
    </row>
    <row r="1004" spans="1:34" s="1" customFormat="1" ht="45">
      <c r="A1004" s="120">
        <v>1003</v>
      </c>
      <c r="B1004" s="120" t="b">
        <f t="shared" ca="1" si="15"/>
        <v>0</v>
      </c>
      <c r="C1004" s="121">
        <v>45654</v>
      </c>
      <c r="D1004" s="137">
        <v>0.69238425925925928</v>
      </c>
      <c r="E1004" s="94">
        <v>1037</v>
      </c>
      <c r="F1004" s="91">
        <v>1204</v>
      </c>
      <c r="G1004" s="94" t="s">
        <v>71</v>
      </c>
      <c r="H1004" s="94">
        <v>1035</v>
      </c>
      <c r="I1004" s="115"/>
      <c r="J1004" s="91" t="s">
        <v>72</v>
      </c>
      <c r="K1004" s="91">
        <v>189.29900000000001</v>
      </c>
      <c r="L1004" s="122" t="str">
        <f>VLOOKUP(K1004,Liste!$L$2:$O$34,4,1)</f>
        <v>GSMR_33/RAC</v>
      </c>
      <c r="M1004" s="133" t="s">
        <v>36</v>
      </c>
      <c r="N1004" s="181" t="s">
        <v>58</v>
      </c>
      <c r="O1004" s="125" t="s">
        <v>2224</v>
      </c>
      <c r="P1004" s="117"/>
      <c r="Q1004" s="94" t="s">
        <v>54</v>
      </c>
      <c r="R1004" s="129" t="s">
        <v>2215</v>
      </c>
      <c r="S1004" s="124" t="s">
        <v>2225</v>
      </c>
      <c r="T1004" s="124" t="s">
        <v>69</v>
      </c>
      <c r="U1004" s="124" t="s">
        <v>1460</v>
      </c>
      <c r="V1004" s="124" t="s">
        <v>51</v>
      </c>
      <c r="W1004" s="124" t="s">
        <v>43</v>
      </c>
      <c r="X1004" s="124" t="s">
        <v>52</v>
      </c>
      <c r="Y1004" s="124" t="s">
        <v>2199</v>
      </c>
      <c r="Z1004" s="124"/>
      <c r="AA1004" s="124" t="s">
        <v>959</v>
      </c>
      <c r="AB1004" s="91"/>
      <c r="AC1004" s="91"/>
      <c r="AD1004" s="91"/>
      <c r="AE1004" s="91"/>
      <c r="AF1004" s="91"/>
      <c r="AG1004" s="91"/>
      <c r="AH1004" s="91"/>
    </row>
    <row r="1005" spans="1:34" s="1" customFormat="1" ht="60">
      <c r="A1005" s="120">
        <v>1004</v>
      </c>
      <c r="B1005" s="120" t="b">
        <f t="shared" ca="1" si="15"/>
        <v>0</v>
      </c>
      <c r="C1005" s="121">
        <v>45655</v>
      </c>
      <c r="D1005" s="137">
        <v>0.50369212962962961</v>
      </c>
      <c r="E1005" s="94">
        <v>2025</v>
      </c>
      <c r="F1005" s="91">
        <v>1206</v>
      </c>
      <c r="G1005" s="94" t="s">
        <v>34</v>
      </c>
      <c r="H1005" s="94">
        <v>1039</v>
      </c>
      <c r="I1005" s="115"/>
      <c r="J1005" s="91" t="s">
        <v>35</v>
      </c>
      <c r="K1005" s="152">
        <v>6.13</v>
      </c>
      <c r="L1005" s="122" t="str">
        <f>VLOOKUP(K1005,Liste!$L$2:$O$34,4,1)</f>
        <v>GSMR_02/03</v>
      </c>
      <c r="M1005" s="133" t="s">
        <v>36</v>
      </c>
      <c r="N1005" s="181" t="s">
        <v>58</v>
      </c>
      <c r="O1005" s="125" t="s">
        <v>2226</v>
      </c>
      <c r="P1005" s="117"/>
      <c r="Q1005" s="118" t="s">
        <v>531</v>
      </c>
      <c r="R1005" s="94" t="s">
        <v>1032</v>
      </c>
      <c r="S1005" s="124" t="s">
        <v>2227</v>
      </c>
      <c r="T1005" s="124" t="s">
        <v>93</v>
      </c>
      <c r="U1005" s="124" t="s">
        <v>1541</v>
      </c>
      <c r="V1005" s="124" t="s">
        <v>51</v>
      </c>
      <c r="W1005" s="124" t="s">
        <v>51</v>
      </c>
      <c r="X1005" s="124" t="s">
        <v>52</v>
      </c>
      <c r="Y1005" s="124" t="s">
        <v>2109</v>
      </c>
      <c r="Z1005" s="124"/>
      <c r="AA1005" s="124" t="s">
        <v>810</v>
      </c>
      <c r="AB1005" s="91"/>
      <c r="AC1005" s="91"/>
      <c r="AD1005" s="91"/>
      <c r="AE1005" s="91"/>
      <c r="AF1005" s="91"/>
      <c r="AG1005" s="91"/>
      <c r="AH1005" s="91"/>
    </row>
    <row r="1006" spans="1:34" s="1" customFormat="1" ht="60">
      <c r="A1006" s="120">
        <v>1005</v>
      </c>
      <c r="B1006" s="120" t="b">
        <f t="shared" ca="1" si="15"/>
        <v>0</v>
      </c>
      <c r="C1006" s="121">
        <v>45655</v>
      </c>
      <c r="D1006" s="137">
        <v>0.58589120370370373</v>
      </c>
      <c r="E1006" s="94">
        <v>1025</v>
      </c>
      <c r="F1006" s="91">
        <v>1201</v>
      </c>
      <c r="G1006" s="94" t="s">
        <v>71</v>
      </c>
      <c r="H1006" s="94">
        <v>1028</v>
      </c>
      <c r="I1006" s="115"/>
      <c r="J1006" s="91" t="s">
        <v>72</v>
      </c>
      <c r="K1006" s="152">
        <v>7.13</v>
      </c>
      <c r="L1006" s="122" t="str">
        <f>VLOOKUP(K1006,Liste!$L$2:$O$34,4,1)</f>
        <v>GSMR_02/03</v>
      </c>
      <c r="M1006" s="133" t="s">
        <v>36</v>
      </c>
      <c r="N1006" s="181" t="s">
        <v>58</v>
      </c>
      <c r="O1006" s="125" t="s">
        <v>2228</v>
      </c>
      <c r="P1006" s="117"/>
      <c r="Q1006" s="118" t="s">
        <v>531</v>
      </c>
      <c r="R1006" s="94" t="s">
        <v>1032</v>
      </c>
      <c r="S1006" s="124" t="s">
        <v>2229</v>
      </c>
      <c r="T1006" s="124" t="s">
        <v>116</v>
      </c>
      <c r="U1006" s="124" t="s">
        <v>1446</v>
      </c>
      <c r="V1006" s="124" t="s">
        <v>51</v>
      </c>
      <c r="W1006" s="124" t="s">
        <v>51</v>
      </c>
      <c r="X1006" s="124" t="s">
        <v>52</v>
      </c>
      <c r="Y1006" s="124" t="s">
        <v>2199</v>
      </c>
      <c r="Z1006" s="124"/>
      <c r="AA1006" s="124" t="s">
        <v>959</v>
      </c>
      <c r="AB1006" s="91"/>
      <c r="AC1006" s="91"/>
      <c r="AD1006" s="91"/>
      <c r="AE1006" s="91"/>
      <c r="AF1006" s="91"/>
      <c r="AG1006" s="91"/>
      <c r="AH1006" s="91"/>
    </row>
    <row r="1007" spans="1:34" s="1" customFormat="1" ht="45">
      <c r="A1007" s="120">
        <v>1006</v>
      </c>
      <c r="B1007" s="120" t="b">
        <f t="shared" ca="1" si="15"/>
        <v>0</v>
      </c>
      <c r="C1007" s="121">
        <v>45655</v>
      </c>
      <c r="D1007" s="137">
        <v>0.65489583333333334</v>
      </c>
      <c r="E1007" s="94">
        <v>2037</v>
      </c>
      <c r="F1007" s="91">
        <v>1203</v>
      </c>
      <c r="G1007" s="94" t="s">
        <v>34</v>
      </c>
      <c r="H1007" s="94">
        <v>1024</v>
      </c>
      <c r="I1007" s="115"/>
      <c r="J1007" s="91" t="s">
        <v>35</v>
      </c>
      <c r="K1007" s="91">
        <v>172.863</v>
      </c>
      <c r="L1007" s="122" t="str">
        <f>VLOOKUP(K1007,Liste!$L$2:$O$34,4,1)</f>
        <v>GSMR_29/30</v>
      </c>
      <c r="M1007" s="133" t="s">
        <v>36</v>
      </c>
      <c r="N1007" s="124" t="s">
        <v>37</v>
      </c>
      <c r="O1007" s="125" t="s">
        <v>2230</v>
      </c>
      <c r="P1007" s="117"/>
      <c r="Q1007" s="94" t="s">
        <v>54</v>
      </c>
      <c r="R1007" s="129" t="s">
        <v>2215</v>
      </c>
      <c r="S1007" s="124" t="s">
        <v>2231</v>
      </c>
      <c r="T1007" s="124" t="s">
        <v>69</v>
      </c>
      <c r="U1007" s="124" t="s">
        <v>1688</v>
      </c>
      <c r="V1007" s="124" t="s">
        <v>51</v>
      </c>
      <c r="W1007" s="124" t="s">
        <v>51</v>
      </c>
      <c r="X1007" s="124" t="s">
        <v>52</v>
      </c>
      <c r="Y1007" s="124" t="s">
        <v>2109</v>
      </c>
      <c r="Z1007" s="124"/>
      <c r="AA1007" s="124" t="s">
        <v>1295</v>
      </c>
      <c r="AB1007" s="91"/>
      <c r="AC1007" s="91"/>
      <c r="AD1007" s="91"/>
      <c r="AE1007" s="91"/>
      <c r="AF1007" s="91"/>
      <c r="AG1007" s="91"/>
      <c r="AH1007" s="91"/>
    </row>
    <row r="1008" spans="1:34" s="1" customFormat="1" ht="45">
      <c r="A1008" s="120">
        <v>1007</v>
      </c>
      <c r="B1008" s="120" t="b">
        <f t="shared" ca="1" si="15"/>
        <v>0</v>
      </c>
      <c r="C1008" s="121">
        <v>45655</v>
      </c>
      <c r="D1008" s="137">
        <v>0.74002314814814818</v>
      </c>
      <c r="E1008" s="94">
        <v>1041</v>
      </c>
      <c r="F1008" s="91">
        <v>1205</v>
      </c>
      <c r="G1008" s="94" t="s">
        <v>71</v>
      </c>
      <c r="H1008" s="94">
        <v>1061</v>
      </c>
      <c r="I1008" s="115"/>
      <c r="J1008" s="91" t="s">
        <v>72</v>
      </c>
      <c r="K1008" s="91">
        <v>94.653999999999996</v>
      </c>
      <c r="L1008" s="122" t="str">
        <f>VLOOKUP(K1008,Liste!$L$2:$O$34,4,1)</f>
        <v>GSMR_17/18</v>
      </c>
      <c r="M1008" s="133" t="s">
        <v>36</v>
      </c>
      <c r="N1008" s="124" t="s">
        <v>37</v>
      </c>
      <c r="O1008" s="125" t="s">
        <v>2232</v>
      </c>
      <c r="P1008" s="117"/>
      <c r="Q1008" s="118" t="s">
        <v>47</v>
      </c>
      <c r="R1008" s="129" t="s">
        <v>2233</v>
      </c>
      <c r="S1008" s="124" t="s">
        <v>2234</v>
      </c>
      <c r="T1008" s="124" t="s">
        <v>56</v>
      </c>
      <c r="U1008" s="124" t="s">
        <v>1612</v>
      </c>
      <c r="V1008" s="124" t="s">
        <v>51</v>
      </c>
      <c r="W1008" s="124" t="s">
        <v>51</v>
      </c>
      <c r="X1008" s="124" t="s">
        <v>52</v>
      </c>
      <c r="Y1008" s="124" t="s">
        <v>2109</v>
      </c>
      <c r="Z1008" s="124"/>
      <c r="AA1008" s="124" t="s">
        <v>1295</v>
      </c>
      <c r="AB1008" s="91"/>
      <c r="AC1008" s="91"/>
      <c r="AD1008" s="91"/>
      <c r="AE1008" s="91"/>
      <c r="AF1008" s="91"/>
      <c r="AG1008" s="91"/>
      <c r="AH1008" s="91"/>
    </row>
    <row r="1009" spans="1:34" s="1" customFormat="1" ht="60">
      <c r="A1009" s="120">
        <v>1008</v>
      </c>
      <c r="B1009" s="120" t="b">
        <f t="shared" ca="1" si="15"/>
        <v>0</v>
      </c>
      <c r="C1009" s="121">
        <v>45655</v>
      </c>
      <c r="D1009" s="137">
        <v>0.83663194444444444</v>
      </c>
      <c r="E1009" s="94">
        <v>2057</v>
      </c>
      <c r="F1009" s="91">
        <v>1209</v>
      </c>
      <c r="G1009" s="94" t="s">
        <v>34</v>
      </c>
      <c r="H1009" s="94">
        <v>1058</v>
      </c>
      <c r="I1009" s="115"/>
      <c r="J1009" s="91" t="s">
        <v>35</v>
      </c>
      <c r="K1009" s="152">
        <v>6.13</v>
      </c>
      <c r="L1009" s="122" t="str">
        <f>VLOOKUP(K1009,Liste!$L$2:$O$34,4,1)</f>
        <v>GSMR_02/03</v>
      </c>
      <c r="M1009" s="133" t="s">
        <v>36</v>
      </c>
      <c r="N1009" s="124" t="s">
        <v>37</v>
      </c>
      <c r="O1009" s="125" t="s">
        <v>2235</v>
      </c>
      <c r="P1009" s="117"/>
      <c r="Q1009" s="118" t="s">
        <v>531</v>
      </c>
      <c r="R1009" s="94" t="s">
        <v>1032</v>
      </c>
      <c r="S1009" s="124" t="s">
        <v>2227</v>
      </c>
      <c r="T1009" s="124" t="s">
        <v>56</v>
      </c>
      <c r="U1009" s="124" t="s">
        <v>1498</v>
      </c>
      <c r="V1009" s="124" t="s">
        <v>51</v>
      </c>
      <c r="W1009" s="124" t="s">
        <v>51</v>
      </c>
      <c r="X1009" s="124" t="s">
        <v>52</v>
      </c>
      <c r="Y1009" s="124" t="s">
        <v>2109</v>
      </c>
      <c r="Z1009" s="124"/>
      <c r="AA1009" s="124" t="s">
        <v>1295</v>
      </c>
      <c r="AB1009" s="91"/>
      <c r="AC1009" s="91"/>
      <c r="AD1009" s="91"/>
      <c r="AE1009" s="91"/>
      <c r="AF1009" s="91"/>
      <c r="AG1009" s="91"/>
      <c r="AH1009" s="91"/>
    </row>
    <row r="1010" spans="1:34" s="1" customFormat="1" ht="60">
      <c r="A1010" s="120">
        <v>1009</v>
      </c>
      <c r="B1010" s="120" t="b">
        <f t="shared" ca="1" si="15"/>
        <v>0</v>
      </c>
      <c r="C1010" s="121">
        <v>45656</v>
      </c>
      <c r="D1010" s="137" t="s">
        <v>2236</v>
      </c>
      <c r="E1010" s="94">
        <v>2017</v>
      </c>
      <c r="F1010" s="91">
        <v>1203</v>
      </c>
      <c r="G1010" s="94" t="s">
        <v>71</v>
      </c>
      <c r="H1010" s="94">
        <v>1027</v>
      </c>
      <c r="I1010" s="115"/>
      <c r="J1010" s="91" t="s">
        <v>72</v>
      </c>
      <c r="K1010" s="91">
        <v>108.206</v>
      </c>
      <c r="L1010" s="122" t="str">
        <f>VLOOKUP(K1010,Liste!$L$2:$O$34,4,1)</f>
        <v>GSMR_19/20</v>
      </c>
      <c r="M1010" s="133" t="s">
        <v>36</v>
      </c>
      <c r="N1010" s="124" t="s">
        <v>37</v>
      </c>
      <c r="O1010" s="125" t="s">
        <v>2237</v>
      </c>
      <c r="P1010" s="117"/>
      <c r="Q1010" s="94" t="s">
        <v>54</v>
      </c>
      <c r="R1010" s="129" t="s">
        <v>2215</v>
      </c>
      <c r="S1010" s="124" t="s">
        <v>2238</v>
      </c>
      <c r="T1010" s="124" t="s">
        <v>69</v>
      </c>
      <c r="U1010" s="124" t="s">
        <v>1465</v>
      </c>
      <c r="V1010" s="124" t="s">
        <v>43</v>
      </c>
      <c r="W1010" s="124" t="s">
        <v>51</v>
      </c>
      <c r="X1010" s="124" t="s">
        <v>52</v>
      </c>
      <c r="Y1010" s="124" t="s">
        <v>2109</v>
      </c>
      <c r="Z1010" s="124"/>
      <c r="AA1010" s="124" t="s">
        <v>802</v>
      </c>
      <c r="AB1010" s="91"/>
      <c r="AC1010" s="91"/>
      <c r="AD1010" s="91"/>
      <c r="AE1010" s="91"/>
      <c r="AF1010" s="91"/>
      <c r="AG1010" s="91"/>
      <c r="AH1010" s="91"/>
    </row>
    <row r="1011" spans="1:34" s="1" customFormat="1" ht="60">
      <c r="A1011" s="120">
        <v>1010</v>
      </c>
      <c r="B1011" s="120" t="b">
        <f t="shared" ca="1" si="15"/>
        <v>0</v>
      </c>
      <c r="C1011" s="121">
        <v>45656</v>
      </c>
      <c r="D1011" s="137" t="s">
        <v>2239</v>
      </c>
      <c r="E1011" s="94">
        <v>2017</v>
      </c>
      <c r="F1011" s="91">
        <v>1203</v>
      </c>
      <c r="G1011" s="94" t="s">
        <v>71</v>
      </c>
      <c r="H1011" s="94">
        <v>1026</v>
      </c>
      <c r="I1011" s="115"/>
      <c r="J1011" s="91" t="s">
        <v>72</v>
      </c>
      <c r="K1011" s="152">
        <v>7.3209999999999997</v>
      </c>
      <c r="L1011" s="122" t="str">
        <f>VLOOKUP(K1011,Liste!$L$2:$O$34,4,1)</f>
        <v>GSMR_02/03</v>
      </c>
      <c r="M1011" s="133" t="s">
        <v>36</v>
      </c>
      <c r="N1011" s="124" t="s">
        <v>37</v>
      </c>
      <c r="O1011" s="125" t="s">
        <v>2240</v>
      </c>
      <c r="P1011" s="117"/>
      <c r="Q1011" s="118" t="s">
        <v>531</v>
      </c>
      <c r="R1011" s="94" t="s">
        <v>1032</v>
      </c>
      <c r="S1011" s="124" t="s">
        <v>2241</v>
      </c>
      <c r="T1011" s="124" t="s">
        <v>209</v>
      </c>
      <c r="U1011" s="124" t="s">
        <v>1529</v>
      </c>
      <c r="V1011" s="124" t="s">
        <v>43</v>
      </c>
      <c r="W1011" s="124" t="s">
        <v>51</v>
      </c>
      <c r="X1011" s="124" t="s">
        <v>52</v>
      </c>
      <c r="Y1011" s="124" t="s">
        <v>2109</v>
      </c>
      <c r="Z1011" s="124"/>
      <c r="AA1011" s="124" t="s">
        <v>802</v>
      </c>
      <c r="AB1011" s="91"/>
      <c r="AC1011" s="91"/>
      <c r="AD1011" s="91"/>
      <c r="AE1011" s="91"/>
      <c r="AF1011" s="91"/>
      <c r="AG1011" s="91"/>
      <c r="AH1011" s="91"/>
    </row>
    <row r="1012" spans="1:34" s="1" customFormat="1" ht="60">
      <c r="A1012" s="120">
        <v>1011</v>
      </c>
      <c r="B1012" s="120" t="b">
        <f t="shared" ca="1" si="15"/>
        <v>0</v>
      </c>
      <c r="C1012" s="121">
        <v>45656</v>
      </c>
      <c r="D1012" s="137" t="s">
        <v>2242</v>
      </c>
      <c r="E1012" s="94">
        <v>2045</v>
      </c>
      <c r="F1012" s="91">
        <v>1210</v>
      </c>
      <c r="G1012" s="94" t="s">
        <v>34</v>
      </c>
      <c r="H1012" s="94">
        <v>1048</v>
      </c>
      <c r="I1012" s="115"/>
      <c r="J1012" s="91" t="s">
        <v>35</v>
      </c>
      <c r="K1012" s="152">
        <v>6.13</v>
      </c>
      <c r="L1012" s="122" t="str">
        <f>VLOOKUP(K1012,Liste!$L$2:$O$34,4,1)</f>
        <v>GSMR_02/03</v>
      </c>
      <c r="M1012" s="133" t="s">
        <v>36</v>
      </c>
      <c r="N1012" s="181" t="s">
        <v>58</v>
      </c>
      <c r="O1012" s="125" t="s">
        <v>2243</v>
      </c>
      <c r="P1012" s="117"/>
      <c r="Q1012" s="118" t="s">
        <v>531</v>
      </c>
      <c r="R1012" s="94" t="s">
        <v>1032</v>
      </c>
      <c r="S1012" s="124" t="s">
        <v>2244</v>
      </c>
      <c r="T1012" s="124" t="s">
        <v>56</v>
      </c>
      <c r="U1012" s="124" t="s">
        <v>1622</v>
      </c>
      <c r="V1012" s="124" t="s">
        <v>51</v>
      </c>
      <c r="W1012" s="124" t="s">
        <v>51</v>
      </c>
      <c r="X1012" s="124" t="s">
        <v>52</v>
      </c>
      <c r="Y1012" s="124" t="s">
        <v>2199</v>
      </c>
      <c r="Z1012" s="124"/>
      <c r="AA1012" s="124" t="s">
        <v>959</v>
      </c>
      <c r="AB1012" s="91"/>
      <c r="AC1012" s="91"/>
      <c r="AD1012" s="91"/>
      <c r="AE1012" s="91"/>
      <c r="AF1012" s="91"/>
      <c r="AG1012" s="91"/>
      <c r="AH1012" s="91"/>
    </row>
    <row r="1013" spans="1:34" s="1" customFormat="1" ht="60">
      <c r="A1013" s="120">
        <v>1012</v>
      </c>
      <c r="B1013" s="120" t="b">
        <f t="shared" ca="1" si="15"/>
        <v>0</v>
      </c>
      <c r="C1013" s="121">
        <v>45656</v>
      </c>
      <c r="D1013" s="137">
        <v>0.78</v>
      </c>
      <c r="E1013" s="94">
        <v>1045</v>
      </c>
      <c r="F1013" s="91">
        <v>1204</v>
      </c>
      <c r="G1013" s="94" t="s">
        <v>71</v>
      </c>
      <c r="H1013" s="94">
        <v>1035</v>
      </c>
      <c r="I1013" s="115"/>
      <c r="J1013" s="91" t="s">
        <v>72</v>
      </c>
      <c r="K1013" s="91">
        <v>108.206</v>
      </c>
      <c r="L1013" s="122" t="str">
        <f>VLOOKUP(K1013,Liste!$L$2:$O$34,4,1)</f>
        <v>GSMR_19/20</v>
      </c>
      <c r="M1013" s="133" t="s">
        <v>36</v>
      </c>
      <c r="N1013" s="124" t="s">
        <v>37</v>
      </c>
      <c r="O1013" s="125" t="s">
        <v>2245</v>
      </c>
      <c r="P1013" s="117"/>
      <c r="Q1013" s="94" t="s">
        <v>54</v>
      </c>
      <c r="R1013" s="129" t="s">
        <v>2215</v>
      </c>
      <c r="S1013" s="124" t="s">
        <v>2246</v>
      </c>
      <c r="T1013" s="124" t="s">
        <v>78</v>
      </c>
      <c r="U1013" s="124" t="s">
        <v>1465</v>
      </c>
      <c r="V1013" s="124" t="s">
        <v>51</v>
      </c>
      <c r="W1013" s="124" t="s">
        <v>51</v>
      </c>
      <c r="X1013" s="124" t="s">
        <v>52</v>
      </c>
      <c r="Y1013" s="124" t="s">
        <v>2109</v>
      </c>
      <c r="Z1013" s="124"/>
      <c r="AA1013" s="124" t="s">
        <v>1295</v>
      </c>
      <c r="AB1013" s="91"/>
      <c r="AC1013" s="91"/>
      <c r="AD1013" s="91"/>
      <c r="AE1013" s="91"/>
      <c r="AF1013" s="91"/>
      <c r="AG1013" s="91"/>
      <c r="AH1013" s="91"/>
    </row>
    <row r="1014" spans="1:34" s="1" customFormat="1" ht="60">
      <c r="A1014" s="120">
        <v>1013</v>
      </c>
      <c r="B1014" s="120" t="b">
        <f t="shared" ca="1" si="15"/>
        <v>0</v>
      </c>
      <c r="C1014" s="121">
        <v>45657</v>
      </c>
      <c r="D1014" s="137">
        <v>0.62865740740740739</v>
      </c>
      <c r="E1014" s="94">
        <v>2037</v>
      </c>
      <c r="F1014" s="91">
        <v>1203</v>
      </c>
      <c r="G1014" s="94" t="s">
        <v>34</v>
      </c>
      <c r="H1014" s="94">
        <v>1025</v>
      </c>
      <c r="I1014" s="115"/>
      <c r="J1014" s="91" t="s">
        <v>35</v>
      </c>
      <c r="K1014" s="152">
        <v>6.13</v>
      </c>
      <c r="L1014" s="122" t="str">
        <f>VLOOKUP(K1014,Liste!$L$2:$O$34,4,1)</f>
        <v>GSMR_02/03</v>
      </c>
      <c r="M1014" s="133" t="s">
        <v>36</v>
      </c>
      <c r="N1014" s="124" t="s">
        <v>37</v>
      </c>
      <c r="O1014" s="125" t="s">
        <v>2247</v>
      </c>
      <c r="P1014" s="117"/>
      <c r="Q1014" s="118" t="s">
        <v>531</v>
      </c>
      <c r="R1014" s="94" t="s">
        <v>1032</v>
      </c>
      <c r="S1014" s="124" t="s">
        <v>2227</v>
      </c>
      <c r="T1014" s="124" t="s">
        <v>78</v>
      </c>
      <c r="U1014" s="124" t="s">
        <v>1463</v>
      </c>
      <c r="V1014" s="124" t="s">
        <v>51</v>
      </c>
      <c r="W1014" s="124" t="s">
        <v>51</v>
      </c>
      <c r="X1014" s="124" t="s">
        <v>52</v>
      </c>
      <c r="Y1014" s="124" t="s">
        <v>2109</v>
      </c>
      <c r="Z1014" s="124"/>
      <c r="AA1014" s="124" t="s">
        <v>802</v>
      </c>
      <c r="AB1014" s="91"/>
      <c r="AC1014" s="91"/>
      <c r="AD1014" s="91"/>
      <c r="AE1014" s="91"/>
      <c r="AF1014" s="91"/>
      <c r="AG1014" s="91"/>
      <c r="AH1014" s="91"/>
    </row>
    <row r="1015" spans="1:34" s="1" customFormat="1" ht="45">
      <c r="A1015" s="120">
        <v>1014</v>
      </c>
      <c r="B1015" s="120" t="b">
        <f t="shared" ca="1" si="15"/>
        <v>0</v>
      </c>
      <c r="C1015" s="121">
        <v>45657</v>
      </c>
      <c r="D1015" s="137">
        <v>0.76920138888888889</v>
      </c>
      <c r="E1015" s="94">
        <v>1045</v>
      </c>
      <c r="F1015" s="91">
        <v>1205</v>
      </c>
      <c r="G1015" s="94" t="s">
        <v>71</v>
      </c>
      <c r="H1015" s="94">
        <v>1060</v>
      </c>
      <c r="I1015" s="115"/>
      <c r="J1015" s="91" t="s">
        <v>72</v>
      </c>
      <c r="K1015" s="91">
        <v>189.98400000000001</v>
      </c>
      <c r="L1015" s="122" t="str">
        <f>VLOOKUP(K1015,Liste!$L$2:$O$34,4,1)</f>
        <v>GSMR_33/RAC</v>
      </c>
      <c r="M1015" s="133" t="s">
        <v>36</v>
      </c>
      <c r="N1015" s="181" t="s">
        <v>58</v>
      </c>
      <c r="O1015" s="125" t="s">
        <v>2248</v>
      </c>
      <c r="P1015" s="117"/>
      <c r="Q1015" s="94" t="s">
        <v>54</v>
      </c>
      <c r="R1015" s="129" t="s">
        <v>2215</v>
      </c>
      <c r="S1015" s="124" t="s">
        <v>2249</v>
      </c>
      <c r="T1015" s="124" t="s">
        <v>56</v>
      </c>
      <c r="U1015" s="124" t="s">
        <v>1549</v>
      </c>
      <c r="V1015" s="124" t="s">
        <v>51</v>
      </c>
      <c r="W1015" s="124" t="s">
        <v>43</v>
      </c>
      <c r="X1015" s="124" t="s">
        <v>52</v>
      </c>
      <c r="Y1015" s="124" t="s">
        <v>2199</v>
      </c>
      <c r="Z1015" s="124"/>
      <c r="AA1015" s="124" t="s">
        <v>959</v>
      </c>
      <c r="AB1015" s="91"/>
      <c r="AC1015" s="91"/>
      <c r="AD1015" s="91"/>
      <c r="AE1015" s="91"/>
      <c r="AF1015" s="91"/>
      <c r="AG1015" s="91"/>
      <c r="AH1015" s="91"/>
    </row>
    <row r="1016" spans="1:34" s="1" customFormat="1" ht="60">
      <c r="A1016" s="120">
        <v>1015</v>
      </c>
      <c r="B1016" s="120" t="b">
        <f t="shared" ca="1" si="15"/>
        <v>0</v>
      </c>
      <c r="C1016" s="121">
        <v>45657</v>
      </c>
      <c r="D1016" s="137">
        <v>0.89969907407407412</v>
      </c>
      <c r="E1016" s="94">
        <v>2062</v>
      </c>
      <c r="F1016" s="91">
        <v>1203</v>
      </c>
      <c r="G1016" s="94" t="s">
        <v>34</v>
      </c>
      <c r="H1016" s="94">
        <v>1025</v>
      </c>
      <c r="I1016" s="115"/>
      <c r="J1016" s="91" t="s">
        <v>35</v>
      </c>
      <c r="K1016" s="91">
        <v>145.6</v>
      </c>
      <c r="L1016" s="122" t="str">
        <f>VLOOKUP(K1016,Liste!$L$2:$O$34,4,1)</f>
        <v>GSMR_25/26</v>
      </c>
      <c r="M1016" s="133" t="s">
        <v>36</v>
      </c>
      <c r="N1016" s="124" t="s">
        <v>37</v>
      </c>
      <c r="O1016" s="125" t="s">
        <v>2250</v>
      </c>
      <c r="P1016" s="117"/>
      <c r="Q1016" s="118" t="s">
        <v>105</v>
      </c>
      <c r="R1016" s="129" t="s">
        <v>1072</v>
      </c>
      <c r="S1016" s="124" t="s">
        <v>2251</v>
      </c>
      <c r="T1016" s="124" t="s">
        <v>69</v>
      </c>
      <c r="U1016" s="124" t="s">
        <v>1509</v>
      </c>
      <c r="V1016" s="124" t="s">
        <v>51</v>
      </c>
      <c r="W1016" s="124" t="s">
        <v>51</v>
      </c>
      <c r="X1016" s="124" t="s">
        <v>52</v>
      </c>
      <c r="Y1016" s="124" t="s">
        <v>2199</v>
      </c>
      <c r="Z1016" s="124"/>
      <c r="AA1016" s="124" t="s">
        <v>772</v>
      </c>
      <c r="AB1016" s="91"/>
      <c r="AC1016" s="91"/>
      <c r="AD1016" s="91"/>
      <c r="AE1016" s="91"/>
      <c r="AF1016" s="91"/>
      <c r="AG1016" s="91"/>
      <c r="AH1016" s="91"/>
    </row>
    <row r="1017" spans="1:34" s="1" customFormat="1" ht="120">
      <c r="A1017" s="120">
        <v>1016</v>
      </c>
      <c r="B1017" s="120" t="b">
        <f t="shared" ca="1" si="15"/>
        <v>0</v>
      </c>
      <c r="C1017" s="121">
        <v>45658</v>
      </c>
      <c r="D1017" s="137">
        <v>0.42034722222222221</v>
      </c>
      <c r="E1017" s="94">
        <v>2017</v>
      </c>
      <c r="F1017" s="91">
        <v>1204</v>
      </c>
      <c r="G1017" s="94" t="s">
        <v>34</v>
      </c>
      <c r="H1017" s="94">
        <v>1053</v>
      </c>
      <c r="I1017" s="115">
        <v>35214500043740</v>
      </c>
      <c r="J1017" s="91" t="s">
        <v>35</v>
      </c>
      <c r="K1017" s="152">
        <v>6.13</v>
      </c>
      <c r="L1017" s="122" t="str">
        <f>VLOOKUP(K1017,Liste!$L$2:$O$34,4,1)</f>
        <v>GSMR_02/03</v>
      </c>
      <c r="M1017" s="133" t="s">
        <v>36</v>
      </c>
      <c r="N1017" s="124" t="s">
        <v>37</v>
      </c>
      <c r="O1017" s="125" t="s">
        <v>2252</v>
      </c>
      <c r="P1017" s="116" t="s">
        <v>2253</v>
      </c>
      <c r="Q1017" s="118" t="s">
        <v>531</v>
      </c>
      <c r="R1017" s="94" t="s">
        <v>1032</v>
      </c>
      <c r="S1017" s="124" t="s">
        <v>2254</v>
      </c>
      <c r="T1017" s="124" t="s">
        <v>56</v>
      </c>
      <c r="U1017" s="124" t="s">
        <v>1490</v>
      </c>
      <c r="V1017" s="124" t="s">
        <v>51</v>
      </c>
      <c r="W1017" s="124" t="s">
        <v>51</v>
      </c>
      <c r="X1017" s="124" t="s">
        <v>52</v>
      </c>
      <c r="Y1017" s="124" t="s">
        <v>2109</v>
      </c>
      <c r="Z1017" s="124"/>
      <c r="AA1017" s="124" t="s">
        <v>793</v>
      </c>
      <c r="AB1017" s="91"/>
      <c r="AC1017" s="91"/>
      <c r="AD1017" s="91"/>
      <c r="AE1017" s="91"/>
      <c r="AF1017" s="91"/>
      <c r="AG1017" s="91"/>
      <c r="AH1017" s="91"/>
    </row>
    <row r="1018" spans="1:34" ht="120">
      <c r="A1018" s="120">
        <v>1017</v>
      </c>
      <c r="B1018" s="120" t="b">
        <f t="shared" ca="1" si="15"/>
        <v>0</v>
      </c>
      <c r="C1018" s="121">
        <v>45658</v>
      </c>
      <c r="D1018" s="137">
        <v>0.96209490740740744</v>
      </c>
      <c r="E1018" s="94">
        <v>1062</v>
      </c>
      <c r="F1018" s="91">
        <v>1203</v>
      </c>
      <c r="G1018" s="94" t="s">
        <v>71</v>
      </c>
      <c r="H1018" s="94">
        <v>1027</v>
      </c>
      <c r="I1018" s="115">
        <v>35214500045329</v>
      </c>
      <c r="J1018" s="91" t="s">
        <v>72</v>
      </c>
      <c r="K1018" s="152">
        <v>7.3209999999999997</v>
      </c>
      <c r="L1018" s="122" t="str">
        <f>VLOOKUP(K1018,Liste!$L$2:$O$34,4,1)</f>
        <v>GSMR_02/03</v>
      </c>
      <c r="M1018" s="133" t="s">
        <v>36</v>
      </c>
      <c r="N1018" s="124" t="s">
        <v>37</v>
      </c>
      <c r="O1018" s="125" t="s">
        <v>2255</v>
      </c>
      <c r="P1018" s="116" t="s">
        <v>2253</v>
      </c>
      <c r="Q1018" s="118" t="s">
        <v>531</v>
      </c>
      <c r="R1018" s="94" t="s">
        <v>1032</v>
      </c>
      <c r="S1018" s="124" t="s">
        <v>2256</v>
      </c>
      <c r="T1018" s="124" t="s">
        <v>56</v>
      </c>
      <c r="U1018" s="124" t="s">
        <v>1782</v>
      </c>
      <c r="V1018" s="124" t="s">
        <v>43</v>
      </c>
      <c r="W1018" s="124" t="s">
        <v>51</v>
      </c>
      <c r="X1018" s="124" t="s">
        <v>52</v>
      </c>
      <c r="Y1018" s="124" t="s">
        <v>2199</v>
      </c>
      <c r="Z1018" s="124"/>
      <c r="AA1018" s="124" t="s">
        <v>772</v>
      </c>
      <c r="AB1018" s="91"/>
      <c r="AC1018" s="91"/>
      <c r="AD1018" s="91"/>
      <c r="AE1018" s="91"/>
      <c r="AF1018" s="91"/>
      <c r="AG1018" s="91"/>
      <c r="AH1018" s="91"/>
    </row>
    <row r="1019" spans="1:34" ht="135">
      <c r="A1019" s="120">
        <v>1018</v>
      </c>
      <c r="B1019" s="120" t="b">
        <f t="shared" ca="1" si="15"/>
        <v>0</v>
      </c>
      <c r="C1019" s="121">
        <v>45659</v>
      </c>
      <c r="D1019" s="137" t="s">
        <v>2257</v>
      </c>
      <c r="E1019" s="94">
        <v>1021</v>
      </c>
      <c r="F1019" s="91">
        <v>1208</v>
      </c>
      <c r="G1019" s="94" t="s">
        <v>71</v>
      </c>
      <c r="H1019" s="94">
        <v>1045</v>
      </c>
      <c r="I1019" s="115">
        <v>35214500045098</v>
      </c>
      <c r="J1019" s="91" t="s">
        <v>72</v>
      </c>
      <c r="K1019" s="91">
        <v>94.953999999999994</v>
      </c>
      <c r="L1019" s="122" t="str">
        <f>VLOOKUP(K1019,Liste!$L$2:$O$34,4,1)</f>
        <v>GSMR_17/18</v>
      </c>
      <c r="M1019" s="133" t="s">
        <v>36</v>
      </c>
      <c r="N1019" s="124" t="s">
        <v>37</v>
      </c>
      <c r="O1019" s="125" t="s">
        <v>2258</v>
      </c>
      <c r="P1019" s="117" t="s">
        <v>2259</v>
      </c>
      <c r="Q1019" s="118" t="s">
        <v>47</v>
      </c>
      <c r="R1019" s="129" t="s">
        <v>2233</v>
      </c>
      <c r="S1019" s="124" t="s">
        <v>1725</v>
      </c>
      <c r="T1019" s="124" t="s">
        <v>56</v>
      </c>
      <c r="U1019" s="124" t="s">
        <v>1574</v>
      </c>
      <c r="V1019" s="124" t="s">
        <v>51</v>
      </c>
      <c r="W1019" s="124" t="s">
        <v>51</v>
      </c>
      <c r="X1019" s="124" t="s">
        <v>52</v>
      </c>
      <c r="Y1019" s="124" t="s">
        <v>2109</v>
      </c>
      <c r="Z1019" s="124"/>
      <c r="AA1019" s="124" t="s">
        <v>802</v>
      </c>
      <c r="AB1019" s="91"/>
      <c r="AC1019" s="91"/>
      <c r="AD1019" s="91"/>
      <c r="AE1019" s="91"/>
      <c r="AF1019" s="91"/>
      <c r="AG1019" s="91"/>
      <c r="AH1019" s="91"/>
    </row>
    <row r="1020" spans="1:34" ht="120">
      <c r="A1020" s="120">
        <v>1019</v>
      </c>
      <c r="B1020" s="120" t="b">
        <f t="shared" ca="1" si="15"/>
        <v>0</v>
      </c>
      <c r="C1020" s="121">
        <v>45660</v>
      </c>
      <c r="D1020" s="137">
        <v>0.42053240740740738</v>
      </c>
      <c r="E1020" s="94">
        <v>2017</v>
      </c>
      <c r="F1020" s="91">
        <v>1212</v>
      </c>
      <c r="G1020" s="94" t="s">
        <v>34</v>
      </c>
      <c r="H1020" s="94">
        <v>7206</v>
      </c>
      <c r="I1020" s="115">
        <v>35214500040520</v>
      </c>
      <c r="J1020" s="91" t="s">
        <v>35</v>
      </c>
      <c r="K1020" s="152">
        <v>6.13</v>
      </c>
      <c r="L1020" s="122" t="str">
        <f>VLOOKUP(K1020,Liste!$L$2:$O$34,4,1)</f>
        <v>GSMR_02/03</v>
      </c>
      <c r="M1020" s="133" t="s">
        <v>36</v>
      </c>
      <c r="N1020" s="181" t="s">
        <v>58</v>
      </c>
      <c r="O1020" s="125" t="s">
        <v>2260</v>
      </c>
      <c r="P1020" s="116" t="s">
        <v>2253</v>
      </c>
      <c r="Q1020" s="118" t="s">
        <v>531</v>
      </c>
      <c r="R1020" s="94" t="s">
        <v>1032</v>
      </c>
      <c r="S1020" s="124" t="s">
        <v>2261</v>
      </c>
      <c r="T1020" s="124" t="s">
        <v>56</v>
      </c>
      <c r="U1020" s="124" t="s">
        <v>1460</v>
      </c>
      <c r="V1020" s="124" t="s">
        <v>51</v>
      </c>
      <c r="W1020" s="124" t="s">
        <v>51</v>
      </c>
      <c r="X1020" s="124" t="s">
        <v>52</v>
      </c>
      <c r="Y1020" s="124" t="s">
        <v>2109</v>
      </c>
      <c r="Z1020" s="124"/>
      <c r="AA1020" s="124" t="s">
        <v>802</v>
      </c>
      <c r="AB1020" s="91"/>
      <c r="AC1020" s="91"/>
      <c r="AD1020" s="91"/>
      <c r="AE1020" s="91"/>
      <c r="AF1020" s="91"/>
      <c r="AG1020" s="91"/>
      <c r="AH1020" s="91"/>
    </row>
    <row r="1021" spans="1:34" ht="120">
      <c r="A1021" s="120">
        <v>1020</v>
      </c>
      <c r="B1021" s="120" t="b">
        <f t="shared" ca="1" si="15"/>
        <v>0</v>
      </c>
      <c r="C1021" s="121">
        <v>45660</v>
      </c>
      <c r="D1021" s="137">
        <v>0.71206018518518521</v>
      </c>
      <c r="E1021" s="94">
        <v>2045</v>
      </c>
      <c r="F1021" s="91">
        <v>1203</v>
      </c>
      <c r="G1021" s="94" t="s">
        <v>34</v>
      </c>
      <c r="H1021" s="94">
        <v>1024</v>
      </c>
      <c r="I1021" s="115">
        <v>35214500045122</v>
      </c>
      <c r="J1021" s="91" t="s">
        <v>35</v>
      </c>
      <c r="K1021" s="152">
        <v>6.13</v>
      </c>
      <c r="L1021" s="122" t="str">
        <f>VLOOKUP(K1021,Liste!$L$2:$O$34,4,1)</f>
        <v>GSMR_02/03</v>
      </c>
      <c r="M1021" s="133" t="s">
        <v>36</v>
      </c>
      <c r="N1021" s="181" t="s">
        <v>58</v>
      </c>
      <c r="O1021" s="125" t="s">
        <v>2262</v>
      </c>
      <c r="P1021" s="116" t="s">
        <v>2253</v>
      </c>
      <c r="Q1021" s="118" t="s">
        <v>531</v>
      </c>
      <c r="R1021" s="94" t="s">
        <v>1032</v>
      </c>
      <c r="S1021" s="124" t="s">
        <v>2261</v>
      </c>
      <c r="T1021" s="124" t="s">
        <v>56</v>
      </c>
      <c r="U1021" s="124" t="s">
        <v>1468</v>
      </c>
      <c r="V1021" s="124" t="s">
        <v>51</v>
      </c>
      <c r="W1021" s="124" t="s">
        <v>51</v>
      </c>
      <c r="X1021" s="124" t="s">
        <v>52</v>
      </c>
      <c r="Y1021" s="124" t="s">
        <v>2109</v>
      </c>
      <c r="Z1021" s="124"/>
      <c r="AA1021" s="124" t="s">
        <v>757</v>
      </c>
      <c r="AB1021" s="91"/>
      <c r="AC1021" s="91"/>
      <c r="AD1021" s="91"/>
      <c r="AE1021" s="91"/>
      <c r="AF1021" s="91"/>
      <c r="AG1021" s="91"/>
      <c r="AH1021" s="91"/>
    </row>
    <row r="1022" spans="1:34" ht="120">
      <c r="A1022" s="120">
        <v>1021</v>
      </c>
      <c r="B1022" s="120" t="b">
        <f t="shared" ca="1" si="15"/>
        <v>0</v>
      </c>
      <c r="C1022" s="121">
        <v>45660</v>
      </c>
      <c r="D1022" s="137">
        <v>0.79562500000000003</v>
      </c>
      <c r="E1022" s="94">
        <v>1045</v>
      </c>
      <c r="F1022" s="91">
        <v>1204</v>
      </c>
      <c r="G1022" s="94" t="s">
        <v>71</v>
      </c>
      <c r="H1022" s="94">
        <v>1034</v>
      </c>
      <c r="I1022" s="115">
        <v>35214500046011</v>
      </c>
      <c r="J1022" s="91" t="s">
        <v>72</v>
      </c>
      <c r="K1022" s="152">
        <v>7.3209999999999997</v>
      </c>
      <c r="L1022" s="122" t="str">
        <f>VLOOKUP(K1022,Liste!$L$2:$O$34,4,1)</f>
        <v>GSMR_02/03</v>
      </c>
      <c r="M1022" s="133" t="s">
        <v>36</v>
      </c>
      <c r="N1022" s="124" t="s">
        <v>37</v>
      </c>
      <c r="O1022" s="125" t="s">
        <v>2263</v>
      </c>
      <c r="P1022" s="116" t="s">
        <v>2253</v>
      </c>
      <c r="Q1022" s="118" t="s">
        <v>531</v>
      </c>
      <c r="R1022" s="94" t="s">
        <v>1032</v>
      </c>
      <c r="S1022" s="124" t="s">
        <v>2264</v>
      </c>
      <c r="T1022" s="124" t="s">
        <v>116</v>
      </c>
      <c r="U1022" s="124" t="s">
        <v>1632</v>
      </c>
      <c r="V1022" s="124" t="s">
        <v>51</v>
      </c>
      <c r="W1022" s="124" t="s">
        <v>51</v>
      </c>
      <c r="X1022" s="124" t="s">
        <v>52</v>
      </c>
      <c r="Y1022" s="124" t="s">
        <v>2109</v>
      </c>
      <c r="Z1022" s="124"/>
      <c r="AA1022" s="124" t="s">
        <v>754</v>
      </c>
      <c r="AB1022" s="91"/>
      <c r="AC1022" s="91"/>
      <c r="AD1022" s="91"/>
      <c r="AE1022" s="91"/>
      <c r="AF1022" s="91"/>
      <c r="AG1022" s="91"/>
      <c r="AH1022" s="91"/>
    </row>
    <row r="1023" spans="1:34" ht="135">
      <c r="A1023" s="120">
        <v>1022</v>
      </c>
      <c r="B1023" s="120" t="b">
        <f t="shared" ca="1" si="15"/>
        <v>0</v>
      </c>
      <c r="C1023" s="121">
        <v>45660</v>
      </c>
      <c r="D1023" s="137">
        <v>0.82373842592592594</v>
      </c>
      <c r="E1023" s="94">
        <v>1049</v>
      </c>
      <c r="F1023" s="91">
        <v>1210</v>
      </c>
      <c r="G1023" s="94" t="s">
        <v>71</v>
      </c>
      <c r="H1023" s="94">
        <v>1072</v>
      </c>
      <c r="I1023" s="115">
        <v>35214500045494</v>
      </c>
      <c r="J1023" s="91" t="s">
        <v>72</v>
      </c>
      <c r="K1023" s="91">
        <v>94.953999999999994</v>
      </c>
      <c r="L1023" s="122" t="str">
        <f>VLOOKUP(K1023,Liste!$L$2:$O$34,4,1)</f>
        <v>GSMR_17/18</v>
      </c>
      <c r="M1023" s="133" t="s">
        <v>36</v>
      </c>
      <c r="N1023" s="124" t="s">
        <v>37</v>
      </c>
      <c r="O1023" s="125" t="s">
        <v>2265</v>
      </c>
      <c r="P1023" s="117" t="s">
        <v>2259</v>
      </c>
      <c r="Q1023" s="118" t="s">
        <v>47</v>
      </c>
      <c r="R1023" s="129" t="s">
        <v>2233</v>
      </c>
      <c r="S1023" s="124" t="s">
        <v>1725</v>
      </c>
      <c r="T1023" s="124" t="s">
        <v>56</v>
      </c>
      <c r="U1023" s="124" t="s">
        <v>1612</v>
      </c>
      <c r="V1023" s="124" t="s">
        <v>51</v>
      </c>
      <c r="W1023" s="124" t="s">
        <v>51</v>
      </c>
      <c r="X1023" s="124" t="s">
        <v>52</v>
      </c>
      <c r="Y1023" s="124" t="s">
        <v>2109</v>
      </c>
      <c r="Z1023" s="124"/>
      <c r="AA1023" s="124" t="s">
        <v>754</v>
      </c>
      <c r="AB1023" s="91"/>
      <c r="AC1023" s="91"/>
      <c r="AD1023" s="91"/>
      <c r="AE1023" s="91"/>
      <c r="AF1023" s="91"/>
      <c r="AG1023" s="91"/>
      <c r="AH1023" s="91"/>
    </row>
    <row r="1024" spans="1:34" ht="135">
      <c r="A1024" s="120">
        <v>1023</v>
      </c>
      <c r="B1024" s="120" t="b">
        <f t="shared" ca="1" si="15"/>
        <v>0</v>
      </c>
      <c r="C1024" s="121">
        <v>45661</v>
      </c>
      <c r="D1024" s="137">
        <v>0.53180555555555553</v>
      </c>
      <c r="E1024" s="94">
        <v>1021</v>
      </c>
      <c r="F1024" s="91">
        <v>1208</v>
      </c>
      <c r="G1024" s="94" t="s">
        <v>71</v>
      </c>
      <c r="H1024" s="94">
        <v>1045</v>
      </c>
      <c r="I1024" s="115">
        <v>35214500045098</v>
      </c>
      <c r="J1024" s="91" t="s">
        <v>72</v>
      </c>
      <c r="K1024" s="91">
        <v>93.757999999999996</v>
      </c>
      <c r="L1024" s="122" t="str">
        <f>VLOOKUP(K1024,Liste!$L$2:$O$34,4,1)</f>
        <v>GSMR_17/18</v>
      </c>
      <c r="M1024" s="133" t="s">
        <v>36</v>
      </c>
      <c r="N1024" s="124" t="s">
        <v>37</v>
      </c>
      <c r="O1024" s="125" t="s">
        <v>2266</v>
      </c>
      <c r="P1024" s="117" t="s">
        <v>2267</v>
      </c>
      <c r="Q1024" s="118" t="s">
        <v>39</v>
      </c>
      <c r="R1024" s="94" t="s">
        <v>1032</v>
      </c>
      <c r="S1024" s="124" t="s">
        <v>2268</v>
      </c>
      <c r="T1024" s="124" t="s">
        <v>69</v>
      </c>
      <c r="U1024" s="124" t="s">
        <v>1453</v>
      </c>
      <c r="V1024" s="124" t="s">
        <v>51</v>
      </c>
      <c r="W1024" s="124" t="s">
        <v>51</v>
      </c>
      <c r="X1024" s="124" t="s">
        <v>52</v>
      </c>
      <c r="Y1024" s="124" t="s">
        <v>2109</v>
      </c>
      <c r="Z1024" s="124"/>
      <c r="AA1024" s="124" t="s">
        <v>778</v>
      </c>
      <c r="AB1024" s="91"/>
      <c r="AC1024" s="91"/>
      <c r="AD1024" s="91"/>
      <c r="AE1024" s="91"/>
      <c r="AF1024" s="91"/>
      <c r="AG1024" s="91"/>
      <c r="AH1024" s="91"/>
    </row>
    <row r="1025" spans="1:34" ht="120">
      <c r="A1025" s="120">
        <v>1024</v>
      </c>
      <c r="B1025" s="120" t="b">
        <f t="shared" ca="1" si="15"/>
        <v>0</v>
      </c>
      <c r="C1025" s="121">
        <v>45661</v>
      </c>
      <c r="D1025" s="137">
        <v>0.87814814814814812</v>
      </c>
      <c r="E1025" s="94">
        <v>1045</v>
      </c>
      <c r="F1025" s="91">
        <v>1208</v>
      </c>
      <c r="G1025" s="94" t="s">
        <v>71</v>
      </c>
      <c r="H1025" s="94">
        <v>1033</v>
      </c>
      <c r="I1025" s="115">
        <v>35214500045098</v>
      </c>
      <c r="J1025" s="91" t="s">
        <v>72</v>
      </c>
      <c r="K1025" s="152">
        <v>7.3209999999999997</v>
      </c>
      <c r="L1025" s="122" t="str">
        <f>VLOOKUP(K1025,Liste!$L$2:$O$34,4,1)</f>
        <v>GSMR_02/03</v>
      </c>
      <c r="M1025" s="133" t="s">
        <v>36</v>
      </c>
      <c r="N1025" s="124" t="s">
        <v>37</v>
      </c>
      <c r="O1025" s="125" t="s">
        <v>2269</v>
      </c>
      <c r="P1025" s="116" t="s">
        <v>2253</v>
      </c>
      <c r="Q1025" s="118" t="s">
        <v>531</v>
      </c>
      <c r="R1025" s="94" t="s">
        <v>1032</v>
      </c>
      <c r="S1025" s="124" t="s">
        <v>2270</v>
      </c>
      <c r="T1025" s="124" t="s">
        <v>56</v>
      </c>
      <c r="U1025" s="124" t="s">
        <v>1730</v>
      </c>
      <c r="V1025" s="124" t="s">
        <v>51</v>
      </c>
      <c r="W1025" s="124" t="s">
        <v>51</v>
      </c>
      <c r="X1025" s="124" t="s">
        <v>52</v>
      </c>
      <c r="Y1025" s="124" t="s">
        <v>2109</v>
      </c>
      <c r="Z1025" s="124"/>
      <c r="AA1025" s="124" t="s">
        <v>793</v>
      </c>
      <c r="AB1025" s="91"/>
      <c r="AC1025" s="91"/>
      <c r="AD1025" s="91"/>
      <c r="AE1025" s="91"/>
      <c r="AF1025" s="91"/>
      <c r="AG1025" s="91"/>
      <c r="AH1025" s="91"/>
    </row>
    <row r="1026" spans="1:34" ht="90">
      <c r="A1026" s="120">
        <v>1025</v>
      </c>
      <c r="B1026" s="120" t="b">
        <f t="shared" ref="B1026:B1089" ca="1" si="16">AND(C1026&gt;=TODAY()-7, C1026&lt;=TODAY()-1)</f>
        <v>0</v>
      </c>
      <c r="C1026" s="121">
        <v>45662</v>
      </c>
      <c r="D1026" s="137">
        <v>0.68177083333333333</v>
      </c>
      <c r="E1026" s="94">
        <v>2041</v>
      </c>
      <c r="F1026" s="91">
        <v>1208</v>
      </c>
      <c r="G1026" s="94" t="s">
        <v>34</v>
      </c>
      <c r="H1026" s="94">
        <v>1037</v>
      </c>
      <c r="I1026" s="115">
        <v>35214500045488</v>
      </c>
      <c r="J1026" s="91" t="s">
        <v>35</v>
      </c>
      <c r="K1026" s="91">
        <v>78.155000000000001</v>
      </c>
      <c r="L1026" s="122" t="str">
        <f>VLOOKUP(K1026,Liste!$L$2:$O$34,4,1)</f>
        <v>GSMR_14/15</v>
      </c>
      <c r="M1026" s="133" t="s">
        <v>36</v>
      </c>
      <c r="N1026" s="124" t="s">
        <v>37</v>
      </c>
      <c r="O1026" s="125" t="s">
        <v>2271</v>
      </c>
      <c r="P1026" s="117" t="s">
        <v>2272</v>
      </c>
      <c r="Q1026" s="94" t="s">
        <v>54</v>
      </c>
      <c r="R1026" s="129" t="s">
        <v>2215</v>
      </c>
      <c r="S1026" s="124" t="s">
        <v>2273</v>
      </c>
      <c r="T1026" s="124" t="s">
        <v>78</v>
      </c>
      <c r="U1026" s="124" t="s">
        <v>1538</v>
      </c>
      <c r="V1026" s="124" t="s">
        <v>43</v>
      </c>
      <c r="W1026" s="124" t="s">
        <v>51</v>
      </c>
      <c r="X1026" s="124" t="s">
        <v>52</v>
      </c>
      <c r="Y1026" s="124" t="s">
        <v>2109</v>
      </c>
      <c r="Z1026" s="124"/>
      <c r="AA1026" s="124" t="s">
        <v>754</v>
      </c>
      <c r="AB1026" s="91"/>
      <c r="AC1026" s="91"/>
      <c r="AD1026" s="91"/>
      <c r="AE1026" s="91"/>
      <c r="AF1026" s="91"/>
      <c r="AG1026" s="91"/>
      <c r="AH1026" s="91"/>
    </row>
    <row r="1027" spans="1:34" ht="120">
      <c r="A1027" s="120">
        <v>1026</v>
      </c>
      <c r="B1027" s="120" t="b">
        <f t="shared" ca="1" si="16"/>
        <v>0</v>
      </c>
      <c r="C1027" s="121">
        <v>45662</v>
      </c>
      <c r="D1027" s="137">
        <v>0.83703703703703702</v>
      </c>
      <c r="E1027" s="94">
        <v>2057</v>
      </c>
      <c r="F1027" s="91">
        <v>1204</v>
      </c>
      <c r="G1027" s="94" t="s">
        <v>34</v>
      </c>
      <c r="H1027" s="94">
        <v>1036</v>
      </c>
      <c r="I1027" s="115">
        <v>35214500044497</v>
      </c>
      <c r="J1027" s="91" t="s">
        <v>35</v>
      </c>
      <c r="K1027" s="152">
        <v>6.13</v>
      </c>
      <c r="L1027" s="122" t="str">
        <f>VLOOKUP(K1027,Liste!$L$2:$O$34,4,1)</f>
        <v>GSMR_02/03</v>
      </c>
      <c r="M1027" s="133" t="s">
        <v>36</v>
      </c>
      <c r="N1027" s="181" t="s">
        <v>58</v>
      </c>
      <c r="O1027" s="125" t="s">
        <v>2274</v>
      </c>
      <c r="P1027" s="116" t="s">
        <v>2253</v>
      </c>
      <c r="Q1027" s="118" t="s">
        <v>531</v>
      </c>
      <c r="R1027" s="94" t="s">
        <v>1032</v>
      </c>
      <c r="S1027" s="124" t="s">
        <v>1255</v>
      </c>
      <c r="T1027" s="124" t="s">
        <v>56</v>
      </c>
      <c r="U1027" s="124" t="s">
        <v>1622</v>
      </c>
      <c r="V1027" s="124" t="s">
        <v>51</v>
      </c>
      <c r="W1027" s="124" t="s">
        <v>51</v>
      </c>
      <c r="X1027" s="124" t="s">
        <v>52</v>
      </c>
      <c r="Y1027" s="124" t="s">
        <v>2109</v>
      </c>
      <c r="Z1027" s="124"/>
      <c r="AA1027" s="124" t="s">
        <v>757</v>
      </c>
      <c r="AB1027" s="91"/>
      <c r="AC1027" s="91"/>
      <c r="AD1027" s="91"/>
      <c r="AE1027" s="91"/>
      <c r="AF1027" s="91"/>
      <c r="AG1027" s="91"/>
      <c r="AH1027" s="91"/>
    </row>
    <row r="1028" spans="1:34" ht="90">
      <c r="A1028" s="120">
        <v>1027</v>
      </c>
      <c r="B1028" s="120" t="b">
        <f t="shared" ca="1" si="16"/>
        <v>0</v>
      </c>
      <c r="C1028" s="121">
        <v>45663</v>
      </c>
      <c r="D1028" s="137">
        <v>0.39076388888888891</v>
      </c>
      <c r="E1028" s="94">
        <v>2013</v>
      </c>
      <c r="F1028" s="91">
        <v>1202</v>
      </c>
      <c r="G1028" s="94" t="s">
        <v>34</v>
      </c>
      <c r="H1028" s="94">
        <v>1042</v>
      </c>
      <c r="I1028" s="115">
        <v>35214500045498</v>
      </c>
      <c r="J1028" s="91" t="s">
        <v>35</v>
      </c>
      <c r="K1028" s="91">
        <v>83.084000000000003</v>
      </c>
      <c r="L1028" s="122" t="str">
        <f>VLOOKUP(K1028,Liste!$L$2:$O$34,4,1)</f>
        <v>GSMR_15/16</v>
      </c>
      <c r="M1028" s="133" t="s">
        <v>36</v>
      </c>
      <c r="N1028" s="124" t="s">
        <v>37</v>
      </c>
      <c r="O1028" s="125" t="s">
        <v>2275</v>
      </c>
      <c r="P1028" s="117" t="s">
        <v>2272</v>
      </c>
      <c r="Q1028" s="94" t="s">
        <v>54</v>
      </c>
      <c r="R1028" s="129" t="s">
        <v>2215</v>
      </c>
      <c r="S1028" s="124" t="s">
        <v>2276</v>
      </c>
      <c r="T1028" s="124" t="s">
        <v>69</v>
      </c>
      <c r="U1028" s="124" t="s">
        <v>1509</v>
      </c>
      <c r="V1028" s="124" t="s">
        <v>43</v>
      </c>
      <c r="W1028" s="124" t="s">
        <v>51</v>
      </c>
      <c r="X1028" s="124" t="s">
        <v>52</v>
      </c>
      <c r="Y1028" s="124" t="s">
        <v>2109</v>
      </c>
      <c r="Z1028" s="124"/>
      <c r="AA1028" s="124" t="s">
        <v>802</v>
      </c>
      <c r="AB1028" s="91"/>
      <c r="AC1028" s="91"/>
      <c r="AD1028" s="91"/>
      <c r="AE1028" s="91"/>
      <c r="AF1028" s="91"/>
      <c r="AG1028" s="91"/>
      <c r="AH1028" s="91"/>
    </row>
    <row r="1029" spans="1:34" ht="90">
      <c r="A1029" s="120">
        <v>1028</v>
      </c>
      <c r="B1029" s="120" t="b">
        <f t="shared" ca="1" si="16"/>
        <v>0</v>
      </c>
      <c r="C1029" s="121">
        <v>45663</v>
      </c>
      <c r="D1029" s="137">
        <v>0.43724537037037037</v>
      </c>
      <c r="E1029" s="94">
        <v>1014</v>
      </c>
      <c r="F1029" s="91">
        <v>1210</v>
      </c>
      <c r="G1029" s="94" t="s">
        <v>71</v>
      </c>
      <c r="H1029" s="94">
        <v>1072</v>
      </c>
      <c r="I1029" s="115">
        <v>35214500045424</v>
      </c>
      <c r="J1029" s="91" t="s">
        <v>35</v>
      </c>
      <c r="K1029" s="91">
        <v>185.47</v>
      </c>
      <c r="L1029" s="122" t="str">
        <f>VLOOKUP(K1029,Liste!$L$2:$O$34,4,1)</f>
        <v>GSMR_32/33</v>
      </c>
      <c r="M1029" s="133" t="s">
        <v>36</v>
      </c>
      <c r="N1029" s="181" t="s">
        <v>58</v>
      </c>
      <c r="O1029" s="125" t="s">
        <v>2277</v>
      </c>
      <c r="P1029" s="117" t="s">
        <v>2272</v>
      </c>
      <c r="Q1029" s="94" t="s">
        <v>54</v>
      </c>
      <c r="R1029" s="129" t="s">
        <v>2215</v>
      </c>
      <c r="S1029" s="124" t="s">
        <v>2278</v>
      </c>
      <c r="T1029" s="124" t="s">
        <v>69</v>
      </c>
      <c r="U1029" s="124" t="s">
        <v>1745</v>
      </c>
      <c r="V1029" s="124" t="s">
        <v>51</v>
      </c>
      <c r="W1029" s="124" t="s">
        <v>51</v>
      </c>
      <c r="X1029" s="124" t="s">
        <v>52</v>
      </c>
      <c r="Y1029" s="124" t="s">
        <v>2199</v>
      </c>
      <c r="Z1029" s="124"/>
      <c r="AA1029" s="124" t="s">
        <v>802</v>
      </c>
      <c r="AB1029" s="91"/>
      <c r="AC1029" s="91"/>
      <c r="AD1029" s="91"/>
      <c r="AE1029" s="91"/>
      <c r="AF1029" s="91"/>
      <c r="AG1029" s="91"/>
      <c r="AH1029" s="91"/>
    </row>
    <row r="1030" spans="1:34" ht="120">
      <c r="A1030" s="120">
        <v>1029</v>
      </c>
      <c r="B1030" s="120" t="b">
        <f t="shared" ca="1" si="16"/>
        <v>0</v>
      </c>
      <c r="C1030" s="121">
        <v>45663</v>
      </c>
      <c r="D1030" s="137">
        <v>0.71282407407407411</v>
      </c>
      <c r="E1030" s="94">
        <v>2045</v>
      </c>
      <c r="F1030" s="91">
        <v>1212</v>
      </c>
      <c r="G1030" s="94" t="s">
        <v>34</v>
      </c>
      <c r="H1030" s="94">
        <v>7206</v>
      </c>
      <c r="I1030" s="115">
        <v>35214500040520</v>
      </c>
      <c r="J1030" s="91" t="s">
        <v>35</v>
      </c>
      <c r="K1030" s="152">
        <v>6.13</v>
      </c>
      <c r="L1030" s="122" t="str">
        <f>VLOOKUP(K1030,Liste!$L$2:$O$34,4,1)</f>
        <v>GSMR_02/03</v>
      </c>
      <c r="M1030" s="133" t="s">
        <v>36</v>
      </c>
      <c r="N1030" s="181" t="s">
        <v>58</v>
      </c>
      <c r="O1030" s="125" t="s">
        <v>2279</v>
      </c>
      <c r="P1030" s="116" t="s">
        <v>2253</v>
      </c>
      <c r="Q1030" s="118" t="s">
        <v>531</v>
      </c>
      <c r="R1030" s="94" t="s">
        <v>1032</v>
      </c>
      <c r="S1030" s="124" t="s">
        <v>2280</v>
      </c>
      <c r="T1030" s="124" t="s">
        <v>56</v>
      </c>
      <c r="U1030" s="124" t="s">
        <v>1622</v>
      </c>
      <c r="V1030" s="124" t="s">
        <v>43</v>
      </c>
      <c r="W1030" s="124" t="s">
        <v>51</v>
      </c>
      <c r="X1030" s="124" t="s">
        <v>52</v>
      </c>
      <c r="Y1030" s="124" t="s">
        <v>2109</v>
      </c>
      <c r="Z1030" s="124"/>
      <c r="AA1030" s="124" t="s">
        <v>757</v>
      </c>
      <c r="AB1030" s="91"/>
      <c r="AC1030" s="91"/>
      <c r="AD1030" s="91"/>
      <c r="AE1030" s="91"/>
      <c r="AF1030" s="91"/>
      <c r="AG1030" s="91"/>
      <c r="AH1030" s="91"/>
    </row>
    <row r="1031" spans="1:34" ht="120">
      <c r="A1031" s="120">
        <v>1030</v>
      </c>
      <c r="B1031" s="120" t="b">
        <f t="shared" ca="1" si="16"/>
        <v>0</v>
      </c>
      <c r="C1031" s="121">
        <v>45664</v>
      </c>
      <c r="D1031" s="137">
        <v>0.67052083333333334</v>
      </c>
      <c r="E1031" s="94">
        <v>2041</v>
      </c>
      <c r="F1031" s="91">
        <v>1201</v>
      </c>
      <c r="G1031" s="94" t="s">
        <v>34</v>
      </c>
      <c r="H1031" s="94">
        <v>1056</v>
      </c>
      <c r="I1031" s="115">
        <v>35214500045217</v>
      </c>
      <c r="J1031" s="91" t="s">
        <v>35</v>
      </c>
      <c r="K1031" s="152">
        <v>6.13</v>
      </c>
      <c r="L1031" s="122" t="str">
        <f>VLOOKUP(K1031,Liste!$L$2:$O$34,4,1)</f>
        <v>GSMR_02/03</v>
      </c>
      <c r="M1031" s="133" t="s">
        <v>36</v>
      </c>
      <c r="N1031" s="181" t="s">
        <v>58</v>
      </c>
      <c r="O1031" s="125" t="s">
        <v>2252</v>
      </c>
      <c r="P1031" s="116" t="s">
        <v>2253</v>
      </c>
      <c r="Q1031" s="118" t="s">
        <v>531</v>
      </c>
      <c r="R1031" s="94" t="s">
        <v>1032</v>
      </c>
      <c r="S1031" s="124" t="s">
        <v>2280</v>
      </c>
      <c r="T1031" s="124" t="s">
        <v>56</v>
      </c>
      <c r="U1031" s="124" t="s">
        <v>1490</v>
      </c>
      <c r="V1031" s="124" t="s">
        <v>43</v>
      </c>
      <c r="W1031" s="124" t="s">
        <v>51</v>
      </c>
      <c r="X1031" s="124" t="s">
        <v>52</v>
      </c>
      <c r="Y1031" s="124" t="s">
        <v>2109</v>
      </c>
      <c r="Z1031" s="124"/>
      <c r="AA1031" s="124" t="s">
        <v>1342</v>
      </c>
      <c r="AB1031" s="91"/>
      <c r="AC1031" s="91"/>
      <c r="AD1031" s="91"/>
      <c r="AE1031" s="91"/>
      <c r="AF1031" s="91"/>
      <c r="AG1031" s="91"/>
      <c r="AH1031" s="91"/>
    </row>
    <row r="1032" spans="1:34" ht="120">
      <c r="A1032" s="120">
        <v>1031</v>
      </c>
      <c r="B1032" s="120" t="b">
        <f t="shared" ca="1" si="16"/>
        <v>0</v>
      </c>
      <c r="C1032" s="121">
        <v>45664</v>
      </c>
      <c r="D1032" s="137">
        <v>0.79519675925925926</v>
      </c>
      <c r="E1032" s="94">
        <v>2053</v>
      </c>
      <c r="F1032" s="91">
        <v>1202</v>
      </c>
      <c r="G1032" s="94" t="s">
        <v>34</v>
      </c>
      <c r="H1032" s="94">
        <v>1042</v>
      </c>
      <c r="I1032" s="115">
        <v>35214500045200</v>
      </c>
      <c r="J1032" s="91" t="s">
        <v>35</v>
      </c>
      <c r="K1032" s="152">
        <v>6.13</v>
      </c>
      <c r="L1032" s="122" t="str">
        <f>VLOOKUP(K1032,Liste!$L$2:$O$34,4,1)</f>
        <v>GSMR_02/03</v>
      </c>
      <c r="M1032" s="133" t="s">
        <v>36</v>
      </c>
      <c r="N1032" s="124" t="s">
        <v>37</v>
      </c>
      <c r="O1032" s="125" t="s">
        <v>2281</v>
      </c>
      <c r="P1032" s="116" t="s">
        <v>2253</v>
      </c>
      <c r="Q1032" s="118" t="s">
        <v>531</v>
      </c>
      <c r="R1032" s="94" t="s">
        <v>1032</v>
      </c>
      <c r="S1032" s="124" t="s">
        <v>2280</v>
      </c>
      <c r="T1032" s="124" t="s">
        <v>56</v>
      </c>
      <c r="U1032" s="124" t="s">
        <v>1526</v>
      </c>
      <c r="V1032" s="124" t="s">
        <v>43</v>
      </c>
      <c r="W1032" s="124" t="s">
        <v>51</v>
      </c>
      <c r="X1032" s="124" t="s">
        <v>52</v>
      </c>
      <c r="Y1032" s="124" t="s">
        <v>2109</v>
      </c>
      <c r="Z1032" s="124"/>
      <c r="AA1032" s="124" t="s">
        <v>772</v>
      </c>
      <c r="AB1032" s="91"/>
      <c r="AC1032" s="91"/>
      <c r="AD1032" s="91"/>
      <c r="AE1032" s="91"/>
      <c r="AF1032" s="91"/>
      <c r="AG1032" s="91"/>
      <c r="AH1032" s="91"/>
    </row>
    <row r="1033" spans="1:34" ht="60">
      <c r="A1033" s="120">
        <v>1032</v>
      </c>
      <c r="B1033" s="120" t="b">
        <f t="shared" ca="1" si="16"/>
        <v>0</v>
      </c>
      <c r="C1033" s="121">
        <v>45664</v>
      </c>
      <c r="D1033" s="137">
        <v>0.77461805555555552</v>
      </c>
      <c r="E1033" s="94">
        <v>2049</v>
      </c>
      <c r="F1033" s="91">
        <v>1210</v>
      </c>
      <c r="G1033" s="94" t="s">
        <v>34</v>
      </c>
      <c r="H1033" s="94">
        <v>1049</v>
      </c>
      <c r="I1033" s="115">
        <v>35214500046076</v>
      </c>
      <c r="J1033" s="91" t="s">
        <v>35</v>
      </c>
      <c r="K1033" s="91">
        <v>144.32599999999999</v>
      </c>
      <c r="L1033" s="122" t="str">
        <f>VLOOKUP(K1033,Liste!$L$2:$O$34,4,1)</f>
        <v>GSMR_25/26</v>
      </c>
      <c r="M1033" s="133" t="s">
        <v>36</v>
      </c>
      <c r="N1033" s="181" t="s">
        <v>58</v>
      </c>
      <c r="O1033" s="125" t="s">
        <v>2282</v>
      </c>
      <c r="P1033" s="117" t="s">
        <v>2283</v>
      </c>
      <c r="Q1033" s="94" t="s">
        <v>54</v>
      </c>
      <c r="R1033" s="129" t="s">
        <v>2215</v>
      </c>
      <c r="S1033" s="124" t="s">
        <v>2284</v>
      </c>
      <c r="T1033" s="124" t="s">
        <v>78</v>
      </c>
      <c r="U1033" s="124" t="s">
        <v>1541</v>
      </c>
      <c r="V1033" s="124" t="s">
        <v>51</v>
      </c>
      <c r="W1033" s="124" t="s">
        <v>51</v>
      </c>
      <c r="X1033" s="124" t="s">
        <v>52</v>
      </c>
      <c r="Y1033" s="124" t="s">
        <v>2109</v>
      </c>
      <c r="Z1033" s="124"/>
      <c r="AA1033" s="124" t="s">
        <v>1342</v>
      </c>
      <c r="AB1033" s="91"/>
      <c r="AC1033" s="91"/>
      <c r="AD1033" s="91"/>
      <c r="AE1033" s="91"/>
      <c r="AF1033" s="91"/>
      <c r="AG1033" s="91"/>
      <c r="AH1033" s="91"/>
    </row>
    <row r="1034" spans="1:34" ht="120">
      <c r="A1034" s="120">
        <v>1033</v>
      </c>
      <c r="B1034" s="120" t="b">
        <f t="shared" ca="1" si="16"/>
        <v>0</v>
      </c>
      <c r="C1034" s="121">
        <v>45665</v>
      </c>
      <c r="D1034" s="137">
        <v>0.33731481481481479</v>
      </c>
      <c r="E1034" s="94">
        <v>2009</v>
      </c>
      <c r="F1034" s="91">
        <v>1205</v>
      </c>
      <c r="G1034" s="94" t="s">
        <v>34</v>
      </c>
      <c r="H1034" s="94">
        <v>7218</v>
      </c>
      <c r="I1034" s="115">
        <v>35214500044557</v>
      </c>
      <c r="J1034" s="91" t="s">
        <v>35</v>
      </c>
      <c r="K1034" s="152">
        <v>6.13</v>
      </c>
      <c r="L1034" s="122" t="str">
        <f>VLOOKUP(K1034,Liste!$L$2:$O$34,4,1)</f>
        <v>GSMR_02/03</v>
      </c>
      <c r="M1034" s="133" t="s">
        <v>36</v>
      </c>
      <c r="N1034" s="181" t="s">
        <v>58</v>
      </c>
      <c r="O1034" s="125" t="s">
        <v>2285</v>
      </c>
      <c r="P1034" s="116" t="s">
        <v>2253</v>
      </c>
      <c r="Q1034" s="118" t="s">
        <v>531</v>
      </c>
      <c r="R1034" s="94" t="s">
        <v>1032</v>
      </c>
      <c r="S1034" s="124" t="s">
        <v>2286</v>
      </c>
      <c r="T1034" s="124" t="s">
        <v>116</v>
      </c>
      <c r="U1034" s="124" t="s">
        <v>1541</v>
      </c>
      <c r="V1034" s="124" t="s">
        <v>51</v>
      </c>
      <c r="W1034" s="124" t="s">
        <v>51</v>
      </c>
      <c r="X1034" s="124" t="s">
        <v>52</v>
      </c>
      <c r="Y1034" s="124" t="s">
        <v>2109</v>
      </c>
      <c r="Z1034" s="124"/>
      <c r="AA1034" s="124" t="s">
        <v>802</v>
      </c>
      <c r="AB1034" s="91"/>
      <c r="AC1034" s="91"/>
      <c r="AD1034" s="91"/>
      <c r="AE1034" s="91"/>
      <c r="AF1034" s="91"/>
      <c r="AG1034" s="91"/>
      <c r="AH1034" s="91"/>
    </row>
    <row r="1035" spans="1:34" ht="120">
      <c r="A1035" s="120">
        <v>1034</v>
      </c>
      <c r="B1035" s="120" t="b">
        <f t="shared" ca="1" si="16"/>
        <v>0</v>
      </c>
      <c r="C1035" s="121">
        <v>45665</v>
      </c>
      <c r="D1035" s="137" t="s">
        <v>2287</v>
      </c>
      <c r="E1035" s="94">
        <v>2013</v>
      </c>
      <c r="F1035" s="91">
        <v>1210</v>
      </c>
      <c r="G1035" s="94" t="s">
        <v>34</v>
      </c>
      <c r="H1035" s="94">
        <v>1049</v>
      </c>
      <c r="I1035" s="115">
        <v>35214500046076</v>
      </c>
      <c r="J1035" s="91" t="s">
        <v>35</v>
      </c>
      <c r="K1035" s="152">
        <v>6.13</v>
      </c>
      <c r="L1035" s="122" t="str">
        <f>VLOOKUP(K1035,Liste!$L$2:$O$34,4,1)</f>
        <v>GSMR_02/03</v>
      </c>
      <c r="M1035" s="133" t="s">
        <v>36</v>
      </c>
      <c r="N1035" s="181" t="s">
        <v>58</v>
      </c>
      <c r="O1035" s="125" t="s">
        <v>2288</v>
      </c>
      <c r="P1035" s="116" t="s">
        <v>2253</v>
      </c>
      <c r="Q1035" s="118" t="s">
        <v>531</v>
      </c>
      <c r="R1035" s="94" t="s">
        <v>1032</v>
      </c>
      <c r="S1035" s="124" t="s">
        <v>2289</v>
      </c>
      <c r="T1035" s="124" t="s">
        <v>69</v>
      </c>
      <c r="U1035" s="124" t="s">
        <v>1632</v>
      </c>
      <c r="V1035" s="124" t="s">
        <v>51</v>
      </c>
      <c r="W1035" s="124" t="s">
        <v>51</v>
      </c>
      <c r="X1035" s="124" t="s">
        <v>52</v>
      </c>
      <c r="Y1035" s="124" t="s">
        <v>2109</v>
      </c>
      <c r="Z1035" s="124"/>
      <c r="AA1035" s="124" t="s">
        <v>802</v>
      </c>
      <c r="AB1035" s="91"/>
      <c r="AC1035" s="91"/>
      <c r="AD1035" s="91"/>
      <c r="AE1035" s="91"/>
      <c r="AF1035" s="91"/>
      <c r="AG1035" s="91"/>
      <c r="AH1035" s="91"/>
    </row>
    <row r="1036" spans="1:34" ht="120">
      <c r="A1036" s="120">
        <v>1035</v>
      </c>
      <c r="B1036" s="120" t="b">
        <f t="shared" ca="1" si="16"/>
        <v>0</v>
      </c>
      <c r="C1036" s="121">
        <v>45665</v>
      </c>
      <c r="D1036" s="137" t="s">
        <v>2290</v>
      </c>
      <c r="E1036" s="94">
        <v>2037</v>
      </c>
      <c r="F1036" s="91">
        <v>1210</v>
      </c>
      <c r="G1036" s="94" t="s">
        <v>34</v>
      </c>
      <c r="H1036" s="94">
        <v>1049</v>
      </c>
      <c r="I1036" s="115">
        <v>35214500046076</v>
      </c>
      <c r="J1036" s="91" t="s">
        <v>35</v>
      </c>
      <c r="K1036" s="152">
        <v>6.13</v>
      </c>
      <c r="L1036" s="122" t="str">
        <f>VLOOKUP(K1036,Liste!$L$2:$O$34,4,1)</f>
        <v>GSMR_02/03</v>
      </c>
      <c r="M1036" s="133" t="s">
        <v>36</v>
      </c>
      <c r="N1036" s="124" t="s">
        <v>37</v>
      </c>
      <c r="O1036" s="125" t="s">
        <v>2291</v>
      </c>
      <c r="P1036" s="116" t="s">
        <v>2253</v>
      </c>
      <c r="Q1036" s="118" t="s">
        <v>531</v>
      </c>
      <c r="R1036" s="94" t="s">
        <v>1032</v>
      </c>
      <c r="S1036" s="124" t="s">
        <v>2292</v>
      </c>
      <c r="T1036" s="124" t="s">
        <v>93</v>
      </c>
      <c r="U1036" s="124" t="s">
        <v>1493</v>
      </c>
      <c r="V1036" s="124" t="s">
        <v>51</v>
      </c>
      <c r="W1036" s="124" t="s">
        <v>51</v>
      </c>
      <c r="X1036" s="124" t="s">
        <v>52</v>
      </c>
      <c r="Y1036" s="124" t="s">
        <v>2109</v>
      </c>
      <c r="Z1036" s="124"/>
      <c r="AA1036" s="124" t="s">
        <v>802</v>
      </c>
      <c r="AB1036" s="91"/>
      <c r="AC1036" s="91"/>
      <c r="AD1036" s="91"/>
      <c r="AE1036" s="91"/>
      <c r="AF1036" s="91"/>
      <c r="AG1036" s="91"/>
      <c r="AH1036" s="91"/>
    </row>
    <row r="1037" spans="1:34" ht="120">
      <c r="A1037" s="120">
        <v>1036</v>
      </c>
      <c r="B1037" s="120" t="b">
        <f t="shared" ca="1" si="16"/>
        <v>0</v>
      </c>
      <c r="C1037" s="121">
        <v>45665</v>
      </c>
      <c r="D1037" s="137">
        <v>0.71096064814814819</v>
      </c>
      <c r="E1037" s="94">
        <v>1038</v>
      </c>
      <c r="F1037" s="91">
        <v>1201</v>
      </c>
      <c r="G1037" s="94" t="s">
        <v>71</v>
      </c>
      <c r="H1037" s="94">
        <v>1028</v>
      </c>
      <c r="I1037" s="115">
        <v>35214500045449</v>
      </c>
      <c r="J1037" s="91" t="s">
        <v>72</v>
      </c>
      <c r="K1037" s="152">
        <v>7.3209999999999997</v>
      </c>
      <c r="L1037" s="122" t="str">
        <f>VLOOKUP(K1037,Liste!$L$2:$O$34,4,1)</f>
        <v>GSMR_02/03</v>
      </c>
      <c r="M1037" s="133" t="s">
        <v>36</v>
      </c>
      <c r="N1037" s="124" t="s">
        <v>37</v>
      </c>
      <c r="O1037" s="125" t="s">
        <v>2293</v>
      </c>
      <c r="P1037" s="116" t="s">
        <v>2253</v>
      </c>
      <c r="Q1037" s="118" t="s">
        <v>531</v>
      </c>
      <c r="R1037" s="94" t="s">
        <v>1032</v>
      </c>
      <c r="S1037" s="124" t="s">
        <v>2270</v>
      </c>
      <c r="T1037" s="124" t="s">
        <v>69</v>
      </c>
      <c r="U1037" s="124" t="s">
        <v>1538</v>
      </c>
      <c r="V1037" s="124" t="s">
        <v>43</v>
      </c>
      <c r="W1037" s="124" t="s">
        <v>51</v>
      </c>
      <c r="X1037" s="124" t="s">
        <v>52</v>
      </c>
      <c r="Y1037" s="124" t="s">
        <v>2109</v>
      </c>
      <c r="Z1037" s="124"/>
      <c r="AA1037" s="124" t="s">
        <v>772</v>
      </c>
      <c r="AB1037" s="91"/>
      <c r="AC1037" s="91"/>
      <c r="AD1037" s="91"/>
      <c r="AE1037" s="91"/>
      <c r="AF1037" s="91"/>
      <c r="AG1037" s="91"/>
      <c r="AH1037" s="91"/>
    </row>
    <row r="1038" spans="1:34" ht="60">
      <c r="A1038" s="120">
        <v>1037</v>
      </c>
      <c r="B1038" s="120" t="b">
        <f t="shared" ca="1" si="16"/>
        <v>0</v>
      </c>
      <c r="C1038" s="121">
        <v>45665</v>
      </c>
      <c r="D1038" s="137">
        <v>0.8162152777777778</v>
      </c>
      <c r="E1038" s="94">
        <v>2053</v>
      </c>
      <c r="F1038" s="91">
        <v>1203</v>
      </c>
      <c r="G1038" s="94" t="s">
        <v>34</v>
      </c>
      <c r="H1038" s="94">
        <v>1025</v>
      </c>
      <c r="I1038" s="115">
        <v>35214500045122</v>
      </c>
      <c r="J1038" s="91" t="s">
        <v>35</v>
      </c>
      <c r="K1038" s="91">
        <v>144.32599999999999</v>
      </c>
      <c r="L1038" s="122" t="str">
        <f>VLOOKUP(K1038,Liste!$L$2:$O$34,4,1)</f>
        <v>GSMR_25/26</v>
      </c>
      <c r="M1038" s="133" t="s">
        <v>36</v>
      </c>
      <c r="N1038" s="124" t="s">
        <v>37</v>
      </c>
      <c r="O1038" s="125" t="s">
        <v>2294</v>
      </c>
      <c r="P1038" s="117" t="s">
        <v>2283</v>
      </c>
      <c r="Q1038" s="118" t="s">
        <v>531</v>
      </c>
      <c r="R1038" s="94" t="s">
        <v>1032</v>
      </c>
      <c r="S1038" s="124" t="s">
        <v>2295</v>
      </c>
      <c r="T1038" s="124" t="s">
        <v>69</v>
      </c>
      <c r="U1038" s="124" t="s">
        <v>1538</v>
      </c>
      <c r="V1038" s="124" t="s">
        <v>43</v>
      </c>
      <c r="W1038" s="124" t="s">
        <v>51</v>
      </c>
      <c r="X1038" s="124" t="s">
        <v>52</v>
      </c>
      <c r="Y1038" s="124" t="s">
        <v>2109</v>
      </c>
      <c r="Z1038" s="124"/>
      <c r="AA1038" s="124" t="s">
        <v>772</v>
      </c>
      <c r="AB1038" s="91"/>
      <c r="AC1038" s="91"/>
      <c r="AD1038" s="91"/>
      <c r="AE1038" s="91"/>
      <c r="AF1038" s="91"/>
      <c r="AG1038" s="91"/>
      <c r="AH1038" s="91"/>
    </row>
    <row r="1039" spans="1:34" ht="120">
      <c r="A1039" s="120">
        <v>1038</v>
      </c>
      <c r="B1039" s="120" t="b">
        <f t="shared" ca="1" si="16"/>
        <v>0</v>
      </c>
      <c r="C1039" s="121">
        <v>45665</v>
      </c>
      <c r="D1039" s="137">
        <v>0.96197916666666672</v>
      </c>
      <c r="E1039" s="94">
        <v>1062</v>
      </c>
      <c r="F1039" s="91">
        <v>1201</v>
      </c>
      <c r="G1039" s="94" t="s">
        <v>71</v>
      </c>
      <c r="H1039" s="94">
        <v>1028</v>
      </c>
      <c r="I1039" s="115">
        <v>35214500045449</v>
      </c>
      <c r="J1039" s="91" t="s">
        <v>72</v>
      </c>
      <c r="K1039" s="152">
        <v>7.3209999999999997</v>
      </c>
      <c r="L1039" s="122" t="str">
        <f>VLOOKUP(K1039,Liste!$L$2:$O$34,4,1)</f>
        <v>GSMR_02/03</v>
      </c>
      <c r="M1039" s="133" t="s">
        <v>36</v>
      </c>
      <c r="N1039" s="124" t="s">
        <v>37</v>
      </c>
      <c r="O1039" s="125" t="s">
        <v>2296</v>
      </c>
      <c r="P1039" s="116" t="s">
        <v>2253</v>
      </c>
      <c r="Q1039" s="118" t="s">
        <v>531</v>
      </c>
      <c r="R1039" s="94" t="s">
        <v>1032</v>
      </c>
      <c r="S1039" s="124" t="s">
        <v>2270</v>
      </c>
      <c r="T1039" s="124" t="s">
        <v>56</v>
      </c>
      <c r="U1039" s="124" t="s">
        <v>1541</v>
      </c>
      <c r="V1039" s="124" t="s">
        <v>51</v>
      </c>
      <c r="W1039" s="124" t="s">
        <v>51</v>
      </c>
      <c r="X1039" s="124" t="s">
        <v>52</v>
      </c>
      <c r="Y1039" s="124" t="s">
        <v>2109</v>
      </c>
      <c r="Z1039" s="124"/>
      <c r="AA1039" s="124" t="s">
        <v>793</v>
      </c>
      <c r="AB1039" s="91"/>
      <c r="AC1039" s="91"/>
      <c r="AD1039" s="91"/>
      <c r="AE1039" s="91"/>
      <c r="AF1039" s="91"/>
      <c r="AG1039" s="91"/>
      <c r="AH1039" s="91"/>
    </row>
    <row r="1040" spans="1:34" ht="60">
      <c r="A1040" s="120">
        <v>1039</v>
      </c>
      <c r="B1040" s="120" t="b">
        <f t="shared" ca="1" si="16"/>
        <v>0</v>
      </c>
      <c r="C1040" s="121">
        <v>45666</v>
      </c>
      <c r="D1040" s="137" t="s">
        <v>2297</v>
      </c>
      <c r="E1040" s="94">
        <v>2033</v>
      </c>
      <c r="F1040" s="91">
        <v>1204</v>
      </c>
      <c r="G1040" s="94" t="s">
        <v>34</v>
      </c>
      <c r="H1040" s="94">
        <v>1029</v>
      </c>
      <c r="I1040" s="115">
        <v>35214500044497</v>
      </c>
      <c r="J1040" s="91" t="s">
        <v>35</v>
      </c>
      <c r="K1040" s="91">
        <v>141.898</v>
      </c>
      <c r="L1040" s="122" t="str">
        <f>VLOOKUP(K1040,Liste!$L$2:$O$34,4,1)</f>
        <v>GSMR_24/25</v>
      </c>
      <c r="M1040" s="133" t="s">
        <v>36</v>
      </c>
      <c r="N1040" s="124" t="s">
        <v>37</v>
      </c>
      <c r="O1040" s="125" t="s">
        <v>2298</v>
      </c>
      <c r="P1040" s="117" t="s">
        <v>2299</v>
      </c>
      <c r="Q1040" s="118" t="s">
        <v>531</v>
      </c>
      <c r="R1040" s="94" t="s">
        <v>1032</v>
      </c>
      <c r="S1040" s="124" t="s">
        <v>2300</v>
      </c>
      <c r="T1040" s="124" t="s">
        <v>69</v>
      </c>
      <c r="U1040" s="124" t="s">
        <v>1453</v>
      </c>
      <c r="V1040" s="124" t="s">
        <v>51</v>
      </c>
      <c r="W1040" s="124" t="s">
        <v>51</v>
      </c>
      <c r="X1040" s="124" t="s">
        <v>52</v>
      </c>
      <c r="Y1040" s="124" t="s">
        <v>2109</v>
      </c>
      <c r="Z1040" s="124"/>
      <c r="AA1040" s="124" t="s">
        <v>802</v>
      </c>
      <c r="AB1040" s="91"/>
      <c r="AC1040" s="91"/>
      <c r="AD1040" s="91"/>
      <c r="AE1040" s="91"/>
      <c r="AF1040" s="91"/>
      <c r="AG1040" s="91"/>
      <c r="AH1040" s="91"/>
    </row>
    <row r="1041" spans="1:34" ht="60">
      <c r="A1041" s="120">
        <v>1040</v>
      </c>
      <c r="B1041" s="120" t="b">
        <f t="shared" ca="1" si="16"/>
        <v>0</v>
      </c>
      <c r="C1041" s="121">
        <v>45667</v>
      </c>
      <c r="D1041" s="137">
        <v>0.44136574074074075</v>
      </c>
      <c r="E1041" s="94">
        <v>2017</v>
      </c>
      <c r="F1041" s="91">
        <v>1203</v>
      </c>
      <c r="G1041" s="94" t="s">
        <v>34</v>
      </c>
      <c r="H1041" s="94">
        <v>1025</v>
      </c>
      <c r="I1041" s="115">
        <v>35214500045073</v>
      </c>
      <c r="J1041" s="91" t="s">
        <v>35</v>
      </c>
      <c r="K1041" s="91">
        <v>145.6</v>
      </c>
      <c r="L1041" s="122" t="str">
        <f>VLOOKUP(K1041,Liste!$L$2:$O$34,4,1)</f>
        <v>GSMR_25/26</v>
      </c>
      <c r="M1041" s="133" t="s">
        <v>36</v>
      </c>
      <c r="N1041" s="124" t="s">
        <v>37</v>
      </c>
      <c r="O1041" s="125" t="s">
        <v>2301</v>
      </c>
      <c r="P1041" s="117" t="s">
        <v>2283</v>
      </c>
      <c r="Q1041" s="94" t="s">
        <v>54</v>
      </c>
      <c r="R1041" s="94" t="s">
        <v>1032</v>
      </c>
      <c r="S1041" s="124" t="s">
        <v>2302</v>
      </c>
      <c r="T1041" s="124" t="s">
        <v>69</v>
      </c>
      <c r="U1041" s="124" t="s">
        <v>1446</v>
      </c>
      <c r="V1041" s="124" t="s">
        <v>51</v>
      </c>
      <c r="W1041" s="124" t="s">
        <v>51</v>
      </c>
      <c r="X1041" s="124" t="s">
        <v>52</v>
      </c>
      <c r="Y1041" s="124" t="s">
        <v>2109</v>
      </c>
      <c r="Z1041" s="124"/>
      <c r="AA1041" s="124" t="s">
        <v>802</v>
      </c>
      <c r="AB1041" s="91"/>
      <c r="AC1041" s="91"/>
      <c r="AD1041" s="91"/>
      <c r="AE1041" s="91"/>
      <c r="AF1041" s="91"/>
      <c r="AG1041" s="91"/>
      <c r="AH1041" s="91"/>
    </row>
    <row r="1042" spans="1:34" ht="60">
      <c r="A1042" s="120">
        <v>1041</v>
      </c>
      <c r="B1042" s="120" t="b">
        <f t="shared" ca="1" si="16"/>
        <v>0</v>
      </c>
      <c r="C1042" s="121">
        <v>45667</v>
      </c>
      <c r="D1042" s="137">
        <v>0.89159722222222226</v>
      </c>
      <c r="E1042" s="94">
        <v>1057</v>
      </c>
      <c r="F1042" s="91">
        <v>1203</v>
      </c>
      <c r="G1042" s="94" t="s">
        <v>71</v>
      </c>
      <c r="H1042" s="94">
        <v>1026</v>
      </c>
      <c r="I1042" s="115">
        <v>35214500045329</v>
      </c>
      <c r="J1042" s="91" t="s">
        <v>72</v>
      </c>
      <c r="K1042" s="91">
        <v>198.98400000000001</v>
      </c>
      <c r="L1042" s="122" t="str">
        <f>VLOOKUP(K1042,Liste!$L$2:$O$34,4,1)</f>
        <v>GSMR_33/RAC</v>
      </c>
      <c r="M1042" s="133" t="s">
        <v>36</v>
      </c>
      <c r="N1042" s="181" t="s">
        <v>58</v>
      </c>
      <c r="O1042" s="125" t="s">
        <v>2303</v>
      </c>
      <c r="P1042" s="117"/>
      <c r="Q1042" s="94" t="s">
        <v>54</v>
      </c>
      <c r="R1042" s="129" t="s">
        <v>2215</v>
      </c>
      <c r="S1042" s="124" t="s">
        <v>2304</v>
      </c>
      <c r="T1042" s="124" t="s">
        <v>56</v>
      </c>
      <c r="U1042" s="124" t="s">
        <v>1471</v>
      </c>
      <c r="V1042" s="124" t="s">
        <v>51</v>
      </c>
      <c r="W1042" s="124" t="s">
        <v>51</v>
      </c>
      <c r="X1042" s="124" t="s">
        <v>52</v>
      </c>
      <c r="Y1042" s="124" t="s">
        <v>2199</v>
      </c>
      <c r="Z1042" s="124"/>
      <c r="AA1042" s="124" t="s">
        <v>959</v>
      </c>
      <c r="AB1042" s="91"/>
      <c r="AC1042" s="91"/>
      <c r="AD1042" s="91"/>
      <c r="AE1042" s="91"/>
      <c r="AF1042" s="91"/>
      <c r="AG1042" s="91"/>
      <c r="AH1042" s="91"/>
    </row>
    <row r="1043" spans="1:34" ht="120">
      <c r="A1043" s="120">
        <v>1042</v>
      </c>
      <c r="B1043" s="120" t="b">
        <f t="shared" ca="1" si="16"/>
        <v>0</v>
      </c>
      <c r="C1043" s="121">
        <v>45668</v>
      </c>
      <c r="D1043" s="137">
        <v>0.6701273148148148</v>
      </c>
      <c r="E1043" s="94">
        <v>2041</v>
      </c>
      <c r="F1043" s="91">
        <v>1205</v>
      </c>
      <c r="G1043" s="94" t="s">
        <v>34</v>
      </c>
      <c r="H1043" s="94">
        <v>7217</v>
      </c>
      <c r="I1043" s="115">
        <v>35214500044557</v>
      </c>
      <c r="J1043" s="91" t="s">
        <v>35</v>
      </c>
      <c r="K1043" s="152">
        <v>6.13</v>
      </c>
      <c r="L1043" s="122" t="str">
        <f>VLOOKUP(K1043,Liste!$L$2:$O$34,4,1)</f>
        <v>GSMR_02/03</v>
      </c>
      <c r="M1043" s="133" t="s">
        <v>36</v>
      </c>
      <c r="N1043" s="181" t="s">
        <v>58</v>
      </c>
      <c r="O1043" s="125" t="s">
        <v>2305</v>
      </c>
      <c r="P1043" s="116" t="s">
        <v>2253</v>
      </c>
      <c r="Q1043" s="118" t="s">
        <v>531</v>
      </c>
      <c r="R1043" s="94" t="s">
        <v>1032</v>
      </c>
      <c r="S1043" s="124" t="s">
        <v>2306</v>
      </c>
      <c r="T1043" s="124" t="s">
        <v>69</v>
      </c>
      <c r="U1043" s="124" t="s">
        <v>1484</v>
      </c>
      <c r="V1043" s="124" t="s">
        <v>43</v>
      </c>
      <c r="W1043" s="124" t="s">
        <v>51</v>
      </c>
      <c r="X1043" s="124" t="s">
        <v>52</v>
      </c>
      <c r="Y1043" s="124" t="s">
        <v>2109</v>
      </c>
      <c r="Z1043" s="124"/>
      <c r="AA1043" s="124" t="s">
        <v>1342</v>
      </c>
      <c r="AB1043" s="91"/>
      <c r="AC1043" s="91"/>
      <c r="AD1043" s="91"/>
      <c r="AE1043" s="91"/>
      <c r="AF1043" s="91"/>
      <c r="AG1043" s="91"/>
      <c r="AH1043" s="91"/>
    </row>
    <row r="1044" spans="1:34" ht="120">
      <c r="A1044" s="120">
        <v>1043</v>
      </c>
      <c r="B1044" s="120" t="b">
        <f t="shared" ca="1" si="16"/>
        <v>0</v>
      </c>
      <c r="C1044" s="121">
        <v>45668</v>
      </c>
      <c r="D1044" s="137">
        <v>0.87857638888888889</v>
      </c>
      <c r="E1044" s="94">
        <v>2061</v>
      </c>
      <c r="F1044" s="91">
        <v>1206</v>
      </c>
      <c r="G1044" s="94" t="s">
        <v>34</v>
      </c>
      <c r="H1044" s="94">
        <v>1054</v>
      </c>
      <c r="I1044" s="115">
        <v>35214500036582</v>
      </c>
      <c r="J1044" s="91" t="s">
        <v>35</v>
      </c>
      <c r="K1044" s="152">
        <v>6.13</v>
      </c>
      <c r="L1044" s="122" t="str">
        <f>VLOOKUP(K1044,Liste!$L$2:$O$34,4,1)</f>
        <v>GSMR_02/03</v>
      </c>
      <c r="M1044" s="133" t="s">
        <v>36</v>
      </c>
      <c r="N1044" s="124" t="s">
        <v>37</v>
      </c>
      <c r="O1044" s="125" t="s">
        <v>2307</v>
      </c>
      <c r="P1044" s="116" t="s">
        <v>2253</v>
      </c>
      <c r="Q1044" s="118" t="s">
        <v>531</v>
      </c>
      <c r="R1044" s="94" t="s">
        <v>1032</v>
      </c>
      <c r="S1044" s="124" t="s">
        <v>2308</v>
      </c>
      <c r="T1044" s="124" t="s">
        <v>56</v>
      </c>
      <c r="U1044" s="124" t="s">
        <v>1449</v>
      </c>
      <c r="V1044" s="124" t="s">
        <v>43</v>
      </c>
      <c r="W1044" s="124" t="s">
        <v>51</v>
      </c>
      <c r="X1044" s="124" t="s">
        <v>52</v>
      </c>
      <c r="Y1044" s="124" t="s">
        <v>2109</v>
      </c>
      <c r="Z1044" s="124"/>
      <c r="AA1044" s="124" t="s">
        <v>778</v>
      </c>
      <c r="AB1044" s="91"/>
      <c r="AC1044" s="91"/>
      <c r="AD1044" s="91"/>
      <c r="AE1044" s="91"/>
      <c r="AF1044" s="91"/>
      <c r="AG1044" s="91"/>
      <c r="AH1044" s="91"/>
    </row>
    <row r="1045" spans="1:34" ht="120">
      <c r="A1045" s="120">
        <v>1044</v>
      </c>
      <c r="B1045" s="120" t="b">
        <f t="shared" ca="1" si="16"/>
        <v>0</v>
      </c>
      <c r="C1045" s="121">
        <v>45670</v>
      </c>
      <c r="D1045" s="137">
        <v>0.58688657407407407</v>
      </c>
      <c r="E1045" s="94">
        <v>2033</v>
      </c>
      <c r="F1045" s="91">
        <v>1201</v>
      </c>
      <c r="G1045" s="94" t="s">
        <v>34</v>
      </c>
      <c r="H1045" s="94">
        <v>1057</v>
      </c>
      <c r="I1045" s="115">
        <v>35214500045187</v>
      </c>
      <c r="J1045" s="91" t="s">
        <v>35</v>
      </c>
      <c r="K1045" s="152">
        <v>6.13</v>
      </c>
      <c r="L1045" s="122" t="str">
        <f>VLOOKUP(K1045,Liste!$L$2:$O$34,4,1)</f>
        <v>GSMR_02/03</v>
      </c>
      <c r="M1045" s="133" t="s">
        <v>36</v>
      </c>
      <c r="N1045" s="181" t="s">
        <v>58</v>
      </c>
      <c r="O1045" s="125" t="s">
        <v>2309</v>
      </c>
      <c r="P1045" s="116" t="s">
        <v>2253</v>
      </c>
      <c r="Q1045" s="118" t="s">
        <v>531</v>
      </c>
      <c r="R1045" s="94" t="s">
        <v>1032</v>
      </c>
      <c r="S1045" s="124" t="s">
        <v>2306</v>
      </c>
      <c r="T1045" s="124" t="s">
        <v>93</v>
      </c>
      <c r="U1045" s="124" t="s">
        <v>1463</v>
      </c>
      <c r="V1045" s="124" t="s">
        <v>43</v>
      </c>
      <c r="W1045" s="124" t="s">
        <v>51</v>
      </c>
      <c r="X1045" s="124" t="s">
        <v>52</v>
      </c>
      <c r="Y1045" s="124" t="s">
        <v>2199</v>
      </c>
      <c r="Z1045" s="124"/>
      <c r="AA1045" s="124" t="s">
        <v>1295</v>
      </c>
      <c r="AB1045" s="91"/>
      <c r="AC1045" s="91"/>
      <c r="AD1045" s="91"/>
      <c r="AE1045" s="91"/>
      <c r="AF1045" s="91"/>
      <c r="AG1045" s="91"/>
      <c r="AH1045" s="91"/>
    </row>
    <row r="1046" spans="1:34" ht="60">
      <c r="A1046" s="120">
        <v>1045</v>
      </c>
      <c r="B1046" s="120" t="b">
        <f t="shared" ca="1" si="16"/>
        <v>0</v>
      </c>
      <c r="C1046" s="121">
        <v>45670</v>
      </c>
      <c r="D1046" s="137">
        <v>0.8090856481481481</v>
      </c>
      <c r="E1046" s="94">
        <v>1049</v>
      </c>
      <c r="F1046" s="91">
        <v>1206</v>
      </c>
      <c r="G1046" s="94" t="s">
        <v>71</v>
      </c>
      <c r="H1046" s="94">
        <v>1041</v>
      </c>
      <c r="I1046" s="115">
        <v>35214500045480</v>
      </c>
      <c r="J1046" s="91" t="s">
        <v>35</v>
      </c>
      <c r="K1046" s="91">
        <v>198.25399999999999</v>
      </c>
      <c r="L1046" s="122" t="str">
        <f>VLOOKUP(K1046,Liste!$L$2:$O$34,4,1)</f>
        <v>GSMR_33/RAC</v>
      </c>
      <c r="M1046" s="133" t="s">
        <v>36</v>
      </c>
      <c r="N1046" s="181" t="s">
        <v>58</v>
      </c>
      <c r="O1046" s="125" t="s">
        <v>2310</v>
      </c>
      <c r="P1046" s="117"/>
      <c r="Q1046" s="94" t="s">
        <v>54</v>
      </c>
      <c r="R1046" s="129" t="s">
        <v>2215</v>
      </c>
      <c r="S1046" s="124" t="s">
        <v>2311</v>
      </c>
      <c r="T1046" s="124" t="s">
        <v>426</v>
      </c>
      <c r="U1046" s="124" t="s">
        <v>426</v>
      </c>
      <c r="V1046" s="124" t="s">
        <v>426</v>
      </c>
      <c r="W1046" s="124" t="s">
        <v>426</v>
      </c>
      <c r="X1046" s="124" t="s">
        <v>52</v>
      </c>
      <c r="Y1046" s="124" t="s">
        <v>426</v>
      </c>
      <c r="Z1046" s="124"/>
      <c r="AA1046" s="124" t="s">
        <v>959</v>
      </c>
      <c r="AB1046" s="91"/>
      <c r="AC1046" s="91"/>
      <c r="AD1046" s="91"/>
      <c r="AE1046" s="91"/>
      <c r="AF1046" s="91"/>
      <c r="AG1046" s="91"/>
      <c r="AH1046" s="91"/>
    </row>
    <row r="1047" spans="1:34" ht="135">
      <c r="A1047" s="120">
        <v>1046</v>
      </c>
      <c r="B1047" s="120" t="b">
        <f t="shared" ca="1" si="16"/>
        <v>0</v>
      </c>
      <c r="C1047" s="121">
        <v>45671</v>
      </c>
      <c r="D1047" s="137">
        <v>0.53199074074074071</v>
      </c>
      <c r="E1047" s="94">
        <v>1022</v>
      </c>
      <c r="F1047" s="91">
        <v>1204</v>
      </c>
      <c r="G1047" s="94" t="s">
        <v>71</v>
      </c>
      <c r="H1047" s="94">
        <v>1035</v>
      </c>
      <c r="I1047" s="115">
        <v>35214500046011</v>
      </c>
      <c r="J1047" s="91" t="s">
        <v>35</v>
      </c>
      <c r="K1047" s="91">
        <v>96.316999999999993</v>
      </c>
      <c r="L1047" s="122" t="str">
        <f>VLOOKUP(K1047,Liste!$L$2:$O$34,4,1)</f>
        <v>GSMR_17/18</v>
      </c>
      <c r="M1047" s="133" t="s">
        <v>36</v>
      </c>
      <c r="N1047" s="124" t="s">
        <v>37</v>
      </c>
      <c r="O1047" s="125" t="s">
        <v>2312</v>
      </c>
      <c r="P1047" s="117" t="s">
        <v>2267</v>
      </c>
      <c r="Q1047" s="94" t="s">
        <v>54</v>
      </c>
      <c r="R1047" s="129" t="s">
        <v>2215</v>
      </c>
      <c r="S1047" s="124" t="s">
        <v>2313</v>
      </c>
      <c r="T1047" s="124" t="s">
        <v>69</v>
      </c>
      <c r="U1047" s="124" t="s">
        <v>1481</v>
      </c>
      <c r="V1047" s="124" t="s">
        <v>51</v>
      </c>
      <c r="W1047" s="124" t="s">
        <v>51</v>
      </c>
      <c r="X1047" s="124" t="s">
        <v>52</v>
      </c>
      <c r="Y1047" s="124" t="s">
        <v>2199</v>
      </c>
      <c r="Z1047" s="124"/>
      <c r="AA1047" s="124" t="s">
        <v>772</v>
      </c>
      <c r="AB1047" s="91"/>
      <c r="AC1047" s="91"/>
      <c r="AD1047" s="91"/>
      <c r="AE1047" s="91"/>
      <c r="AF1047" s="91"/>
      <c r="AG1047" s="91"/>
      <c r="AH1047" s="91"/>
    </row>
    <row r="1048" spans="1:34" ht="135">
      <c r="A1048" s="120">
        <v>1047</v>
      </c>
      <c r="B1048" s="120" t="b">
        <f t="shared" ca="1" si="16"/>
        <v>0</v>
      </c>
      <c r="C1048" s="121">
        <v>45671</v>
      </c>
      <c r="D1048" s="137">
        <v>0.58697916666666672</v>
      </c>
      <c r="E1048" s="94">
        <v>2033</v>
      </c>
      <c r="F1048" s="91">
        <v>1204</v>
      </c>
      <c r="G1048" s="94" t="s">
        <v>34</v>
      </c>
      <c r="H1048" s="94">
        <v>1053</v>
      </c>
      <c r="I1048" s="115">
        <v>35214500044497</v>
      </c>
      <c r="J1048" s="91" t="s">
        <v>35</v>
      </c>
      <c r="K1048" s="152">
        <v>6.13</v>
      </c>
      <c r="L1048" s="122" t="str">
        <f>VLOOKUP(K1048,Liste!$L$2:$O$34,4,1)</f>
        <v>GSMR_02/03</v>
      </c>
      <c r="M1048" s="133" t="s">
        <v>36</v>
      </c>
      <c r="N1048" s="181" t="s">
        <v>58</v>
      </c>
      <c r="O1048" s="117" t="s">
        <v>2314</v>
      </c>
      <c r="P1048" s="116" t="s">
        <v>2253</v>
      </c>
      <c r="Q1048" s="118" t="s">
        <v>531</v>
      </c>
      <c r="R1048" s="94" t="s">
        <v>1032</v>
      </c>
      <c r="S1048" s="124" t="s">
        <v>2315</v>
      </c>
      <c r="T1048" s="124" t="s">
        <v>93</v>
      </c>
      <c r="U1048" s="124" t="s">
        <v>1490</v>
      </c>
      <c r="V1048" s="124" t="s">
        <v>51</v>
      </c>
      <c r="W1048" s="124" t="s">
        <v>51</v>
      </c>
      <c r="X1048" s="124" t="s">
        <v>52</v>
      </c>
      <c r="Y1048" s="124" t="s">
        <v>2199</v>
      </c>
      <c r="Z1048" s="124"/>
      <c r="AA1048" s="124" t="s">
        <v>1295</v>
      </c>
      <c r="AB1048" s="91"/>
      <c r="AC1048" s="91"/>
      <c r="AD1048" s="91"/>
      <c r="AE1048" s="91"/>
      <c r="AF1048" s="91"/>
      <c r="AG1048" s="91"/>
      <c r="AH1048" s="91"/>
    </row>
    <row r="1049" spans="1:34" ht="135">
      <c r="A1049" s="120">
        <v>1048</v>
      </c>
      <c r="B1049" s="120" t="b">
        <f t="shared" ca="1" si="16"/>
        <v>0</v>
      </c>
      <c r="C1049" s="121">
        <v>45671</v>
      </c>
      <c r="D1049" s="137">
        <v>0.71224537037037039</v>
      </c>
      <c r="E1049" s="94">
        <v>1038</v>
      </c>
      <c r="F1049" s="91">
        <v>1203</v>
      </c>
      <c r="G1049" s="94" t="s">
        <v>71</v>
      </c>
      <c r="H1049" s="94">
        <v>1027</v>
      </c>
      <c r="I1049" s="115">
        <v>35214500045083</v>
      </c>
      <c r="J1049" s="91" t="s">
        <v>72</v>
      </c>
      <c r="K1049" s="152">
        <v>7.3209999999999997</v>
      </c>
      <c r="L1049" s="122" t="str">
        <f>VLOOKUP(K1049,Liste!$L$2:$O$34,4,1)</f>
        <v>GSMR_02/03</v>
      </c>
      <c r="M1049" s="133" t="s">
        <v>36</v>
      </c>
      <c r="N1049" s="181" t="s">
        <v>58</v>
      </c>
      <c r="O1049" s="117" t="s">
        <v>2316</v>
      </c>
      <c r="P1049" s="116" t="s">
        <v>2253</v>
      </c>
      <c r="Q1049" s="118" t="s">
        <v>531</v>
      </c>
      <c r="R1049" s="94" t="s">
        <v>1032</v>
      </c>
      <c r="S1049" s="124" t="s">
        <v>2317</v>
      </c>
      <c r="T1049" s="124" t="s">
        <v>56</v>
      </c>
      <c r="U1049" s="124" t="s">
        <v>1718</v>
      </c>
      <c r="V1049" s="124" t="s">
        <v>51</v>
      </c>
      <c r="W1049" s="124" t="s">
        <v>51</v>
      </c>
      <c r="X1049" s="124" t="s">
        <v>52</v>
      </c>
      <c r="Y1049" s="124" t="s">
        <v>2199</v>
      </c>
      <c r="Z1049" s="124"/>
      <c r="AA1049" s="124" t="s">
        <v>1295</v>
      </c>
      <c r="AB1049" s="91"/>
      <c r="AC1049" s="91"/>
      <c r="AD1049" s="91"/>
      <c r="AE1049" s="91"/>
      <c r="AF1049" s="91"/>
      <c r="AG1049" s="91"/>
      <c r="AH1049" s="91"/>
    </row>
    <row r="1050" spans="1:34" ht="120">
      <c r="A1050" s="120">
        <v>1049</v>
      </c>
      <c r="B1050" s="120" t="b">
        <f t="shared" ca="1" si="16"/>
        <v>0</v>
      </c>
      <c r="C1050" s="121">
        <v>45672</v>
      </c>
      <c r="D1050" s="137">
        <v>0.87861111111111112</v>
      </c>
      <c r="E1050" s="94">
        <v>2061</v>
      </c>
      <c r="F1050" s="91">
        <v>1205</v>
      </c>
      <c r="G1050" s="94" t="s">
        <v>34</v>
      </c>
      <c r="H1050" s="94">
        <v>7217</v>
      </c>
      <c r="I1050" s="115">
        <v>35214500045735</v>
      </c>
      <c r="J1050" s="91" t="s">
        <v>35</v>
      </c>
      <c r="K1050" s="152">
        <v>6.13</v>
      </c>
      <c r="L1050" s="122" t="str">
        <f>VLOOKUP(K1050,Liste!$L$2:$O$34,4,1)</f>
        <v>GSMR_02/03</v>
      </c>
      <c r="M1050" s="133" t="s">
        <v>36</v>
      </c>
      <c r="N1050" s="124" t="s">
        <v>37</v>
      </c>
      <c r="O1050" s="117" t="s">
        <v>2318</v>
      </c>
      <c r="P1050" s="116" t="s">
        <v>2253</v>
      </c>
      <c r="Q1050" s="118" t="s">
        <v>531</v>
      </c>
      <c r="R1050" s="94" t="s">
        <v>1032</v>
      </c>
      <c r="S1050" s="124" t="s">
        <v>2315</v>
      </c>
      <c r="T1050" s="124" t="s">
        <v>56</v>
      </c>
      <c r="U1050" s="124" t="s">
        <v>1730</v>
      </c>
      <c r="V1050" s="124" t="s">
        <v>51</v>
      </c>
      <c r="W1050" s="124" t="s">
        <v>51</v>
      </c>
      <c r="X1050" s="124" t="s">
        <v>52</v>
      </c>
      <c r="Y1050" s="124" t="s">
        <v>2199</v>
      </c>
      <c r="Z1050" s="124"/>
      <c r="AA1050" s="124" t="s">
        <v>754</v>
      </c>
      <c r="AB1050" s="91"/>
      <c r="AC1050" s="91"/>
      <c r="AD1050" s="91"/>
      <c r="AE1050" s="91"/>
      <c r="AF1050" s="91"/>
      <c r="AG1050" s="91"/>
      <c r="AH1050" s="91"/>
    </row>
    <row r="1051" spans="1:34" ht="120">
      <c r="A1051" s="120">
        <v>1050</v>
      </c>
      <c r="B1051" s="120" t="b">
        <f t="shared" ca="1" si="16"/>
        <v>0</v>
      </c>
      <c r="C1051" s="121">
        <v>45675</v>
      </c>
      <c r="D1051" s="137">
        <v>0.33712962962962961</v>
      </c>
      <c r="E1051" s="94">
        <v>2009</v>
      </c>
      <c r="F1051" s="91">
        <v>1208</v>
      </c>
      <c r="G1051" s="94" t="s">
        <v>34</v>
      </c>
      <c r="H1051" s="94">
        <v>1037</v>
      </c>
      <c r="I1051" s="115">
        <v>35214500045488</v>
      </c>
      <c r="J1051" s="91" t="s">
        <v>35</v>
      </c>
      <c r="K1051" s="152">
        <v>6.13</v>
      </c>
      <c r="L1051" s="122" t="str">
        <f>VLOOKUP(K1051,Liste!$L$2:$O$34,4,1)</f>
        <v>GSMR_02/03</v>
      </c>
      <c r="M1051" s="133" t="s">
        <v>36</v>
      </c>
      <c r="N1051" s="124" t="s">
        <v>37</v>
      </c>
      <c r="O1051" s="117" t="s">
        <v>2319</v>
      </c>
      <c r="P1051" s="116" t="s">
        <v>2253</v>
      </c>
      <c r="Q1051" s="118" t="s">
        <v>531</v>
      </c>
      <c r="R1051" s="94" t="s">
        <v>1032</v>
      </c>
      <c r="S1051" s="124" t="s">
        <v>2320</v>
      </c>
      <c r="T1051" s="124" t="s">
        <v>56</v>
      </c>
      <c r="U1051" s="124" t="s">
        <v>2321</v>
      </c>
      <c r="V1051" s="124" t="s">
        <v>43</v>
      </c>
      <c r="W1051" s="124" t="s">
        <v>51</v>
      </c>
      <c r="X1051" s="124" t="s">
        <v>52</v>
      </c>
      <c r="Y1051" s="124" t="s">
        <v>2109</v>
      </c>
      <c r="Z1051" s="124"/>
      <c r="AA1051" s="124" t="s">
        <v>802</v>
      </c>
      <c r="AB1051" s="91"/>
      <c r="AC1051" s="91"/>
      <c r="AD1051" s="91"/>
      <c r="AE1051" s="91"/>
      <c r="AF1051" s="91"/>
      <c r="AG1051" s="91"/>
      <c r="AH1051" s="91"/>
    </row>
    <row r="1052" spans="1:34" ht="120">
      <c r="A1052" s="120">
        <v>1051</v>
      </c>
      <c r="B1052" s="120" t="b">
        <f t="shared" ca="1" si="16"/>
        <v>0</v>
      </c>
      <c r="C1052" s="121">
        <v>45675</v>
      </c>
      <c r="D1052" s="137">
        <v>0.37986111111111109</v>
      </c>
      <c r="E1052" s="94">
        <v>1005</v>
      </c>
      <c r="F1052" s="91">
        <v>1206</v>
      </c>
      <c r="G1052" s="94" t="s">
        <v>71</v>
      </c>
      <c r="H1052" s="94">
        <v>1040</v>
      </c>
      <c r="I1052" s="115">
        <v>35214500045477</v>
      </c>
      <c r="J1052" s="91" t="s">
        <v>72</v>
      </c>
      <c r="K1052" s="152">
        <v>7.3209999999999997</v>
      </c>
      <c r="L1052" s="122" t="str">
        <f>VLOOKUP(K1052,Liste!$L$2:$O$34,4,1)</f>
        <v>GSMR_02/03</v>
      </c>
      <c r="M1052" s="133" t="s">
        <v>36</v>
      </c>
      <c r="N1052" s="124" t="s">
        <v>37</v>
      </c>
      <c r="O1052" s="117" t="s">
        <v>2322</v>
      </c>
      <c r="P1052" s="116" t="s">
        <v>2253</v>
      </c>
      <c r="Q1052" s="118" t="s">
        <v>531</v>
      </c>
      <c r="R1052" s="94" t="s">
        <v>1032</v>
      </c>
      <c r="S1052" s="124" t="s">
        <v>2323</v>
      </c>
      <c r="T1052" s="124" t="s">
        <v>93</v>
      </c>
      <c r="U1052" s="124" t="s">
        <v>1460</v>
      </c>
      <c r="V1052" s="124" t="s">
        <v>43</v>
      </c>
      <c r="W1052" s="124" t="s">
        <v>51</v>
      </c>
      <c r="X1052" s="124" t="s">
        <v>52</v>
      </c>
      <c r="Y1052" s="124" t="s">
        <v>2109</v>
      </c>
      <c r="Z1052" s="124"/>
      <c r="AA1052" s="124" t="s">
        <v>802</v>
      </c>
      <c r="AB1052" s="91"/>
      <c r="AC1052" s="91"/>
      <c r="AD1052" s="91"/>
      <c r="AE1052" s="91"/>
      <c r="AF1052" s="91"/>
      <c r="AG1052" s="91"/>
      <c r="AH1052" s="91"/>
    </row>
    <row r="1053" spans="1:34" ht="120">
      <c r="A1053" s="120">
        <v>1052</v>
      </c>
      <c r="B1053" s="120" t="b">
        <f t="shared" ca="1" si="16"/>
        <v>0</v>
      </c>
      <c r="C1053" s="121">
        <v>45675</v>
      </c>
      <c r="D1053" s="137">
        <v>0.7123032407407407</v>
      </c>
      <c r="E1053" s="94">
        <v>2045</v>
      </c>
      <c r="F1053" s="91">
        <v>1204</v>
      </c>
      <c r="G1053" s="94" t="s">
        <v>34</v>
      </c>
      <c r="H1053" s="94">
        <v>1052</v>
      </c>
      <c r="I1053" s="115">
        <v>35214500043740</v>
      </c>
      <c r="J1053" s="91" t="s">
        <v>35</v>
      </c>
      <c r="K1053" s="152">
        <v>6.13</v>
      </c>
      <c r="L1053" s="122" t="str">
        <f>VLOOKUP(K1053,Liste!$L$2:$O$34,4,1)</f>
        <v>GSMR_02/03</v>
      </c>
      <c r="M1053" s="133" t="s">
        <v>36</v>
      </c>
      <c r="N1053" s="124" t="s">
        <v>37</v>
      </c>
      <c r="O1053" s="117" t="s">
        <v>2324</v>
      </c>
      <c r="P1053" s="116" t="s">
        <v>2253</v>
      </c>
      <c r="Q1053" s="118" t="s">
        <v>531</v>
      </c>
      <c r="R1053" s="94" t="s">
        <v>1032</v>
      </c>
      <c r="S1053" s="124" t="s">
        <v>2323</v>
      </c>
      <c r="T1053" s="124" t="s">
        <v>56</v>
      </c>
      <c r="U1053" s="124" t="s">
        <v>1622</v>
      </c>
      <c r="V1053" s="124" t="s">
        <v>43</v>
      </c>
      <c r="W1053" s="124" t="s">
        <v>51</v>
      </c>
      <c r="X1053" s="124" t="s">
        <v>52</v>
      </c>
      <c r="Y1053" s="124" t="s">
        <v>2109</v>
      </c>
      <c r="Z1053" s="124"/>
      <c r="AA1053" s="124" t="s">
        <v>778</v>
      </c>
      <c r="AB1053" s="91"/>
      <c r="AC1053" s="91"/>
      <c r="AD1053" s="91"/>
      <c r="AE1053" s="91"/>
      <c r="AF1053" s="91"/>
      <c r="AG1053" s="91"/>
      <c r="AH1053" s="91"/>
    </row>
    <row r="1054" spans="1:34" ht="90">
      <c r="A1054" s="120">
        <v>1053</v>
      </c>
      <c r="B1054" s="120" t="b">
        <f t="shared" ca="1" si="16"/>
        <v>0</v>
      </c>
      <c r="C1054" s="121">
        <v>45675</v>
      </c>
      <c r="D1054" s="137">
        <v>0.79925925925925922</v>
      </c>
      <c r="E1054" s="94">
        <v>2053</v>
      </c>
      <c r="F1054" s="91">
        <v>1206</v>
      </c>
      <c r="G1054" s="94" t="s">
        <v>34</v>
      </c>
      <c r="H1054" s="94">
        <v>1055</v>
      </c>
      <c r="I1054" s="115">
        <v>35214500022752</v>
      </c>
      <c r="J1054" s="91" t="s">
        <v>35</v>
      </c>
      <c r="K1054" s="91">
        <v>25.91</v>
      </c>
      <c r="L1054" s="122" t="str">
        <f>VLOOKUP(K1054,Liste!$L$2:$O$34,4,1)</f>
        <v>GSMR_05/06</v>
      </c>
      <c r="M1054" s="133" t="s">
        <v>36</v>
      </c>
      <c r="N1054" s="124" t="s">
        <v>37</v>
      </c>
      <c r="O1054" s="117" t="s">
        <v>2325</v>
      </c>
      <c r="P1054" s="117" t="s">
        <v>2272</v>
      </c>
      <c r="Q1054" s="94" t="s">
        <v>54</v>
      </c>
      <c r="R1054" s="129" t="s">
        <v>2215</v>
      </c>
      <c r="S1054" s="124" t="s">
        <v>2326</v>
      </c>
      <c r="T1054" s="124" t="s">
        <v>41</v>
      </c>
      <c r="U1054" s="124" t="s">
        <v>1570</v>
      </c>
      <c r="V1054" s="124" t="s">
        <v>43</v>
      </c>
      <c r="W1054" s="124" t="s">
        <v>51</v>
      </c>
      <c r="X1054" s="124" t="s">
        <v>52</v>
      </c>
      <c r="Y1054" s="124" t="s">
        <v>2109</v>
      </c>
      <c r="Z1054" s="124"/>
      <c r="AA1054" s="124" t="s">
        <v>778</v>
      </c>
      <c r="AB1054" s="91"/>
      <c r="AC1054" s="91"/>
      <c r="AD1054" s="91"/>
      <c r="AE1054" s="91"/>
      <c r="AF1054" s="91"/>
      <c r="AG1054" s="91"/>
      <c r="AH1054" s="91"/>
    </row>
    <row r="1055" spans="1:34" ht="120">
      <c r="A1055" s="120">
        <v>1054</v>
      </c>
      <c r="B1055" s="120" t="b">
        <f t="shared" ca="1" si="16"/>
        <v>0</v>
      </c>
      <c r="C1055" s="121">
        <v>45676</v>
      </c>
      <c r="D1055" s="137">
        <v>0.79439814814814813</v>
      </c>
      <c r="E1055" s="94">
        <v>1045</v>
      </c>
      <c r="F1055" s="91">
        <v>1202</v>
      </c>
      <c r="G1055" s="94" t="s">
        <v>71</v>
      </c>
      <c r="H1055" s="94">
        <v>1030</v>
      </c>
      <c r="I1055" s="115">
        <v>35214500045491</v>
      </c>
      <c r="J1055" s="91" t="s">
        <v>72</v>
      </c>
      <c r="K1055" s="152">
        <v>7.3209999999999997</v>
      </c>
      <c r="L1055" s="122" t="str">
        <f>VLOOKUP(K1055,Liste!$L$2:$O$34,4,1)</f>
        <v>GSMR_02/03</v>
      </c>
      <c r="M1055" s="133" t="s">
        <v>36</v>
      </c>
      <c r="N1055" s="124" t="s">
        <v>37</v>
      </c>
      <c r="O1055" s="117" t="s">
        <v>2327</v>
      </c>
      <c r="P1055" s="116" t="s">
        <v>2253</v>
      </c>
      <c r="Q1055" s="118" t="s">
        <v>531</v>
      </c>
      <c r="R1055" s="94" t="s">
        <v>1032</v>
      </c>
      <c r="S1055" s="124" t="s">
        <v>2328</v>
      </c>
      <c r="T1055" s="124" t="s">
        <v>93</v>
      </c>
      <c r="U1055" s="124" t="s">
        <v>1493</v>
      </c>
      <c r="V1055" s="124" t="s">
        <v>51</v>
      </c>
      <c r="W1055" s="124" t="s">
        <v>43</v>
      </c>
      <c r="X1055" s="124" t="s">
        <v>52</v>
      </c>
      <c r="Y1055" s="124" t="s">
        <v>2109</v>
      </c>
      <c r="Z1055" s="124"/>
      <c r="AA1055" s="124" t="s">
        <v>778</v>
      </c>
      <c r="AB1055" s="91"/>
      <c r="AC1055" s="91"/>
      <c r="AD1055" s="91"/>
      <c r="AE1055" s="91"/>
      <c r="AF1055" s="91"/>
      <c r="AG1055" s="91"/>
      <c r="AH1055" s="91"/>
    </row>
    <row r="1056" spans="1:34" ht="120">
      <c r="A1056" s="120">
        <v>1055</v>
      </c>
      <c r="B1056" s="120" t="b">
        <f t="shared" ca="1" si="16"/>
        <v>0</v>
      </c>
      <c r="C1056" s="121">
        <v>45676</v>
      </c>
      <c r="D1056" s="137">
        <v>0.79540509259259262</v>
      </c>
      <c r="E1056" s="94">
        <v>2053</v>
      </c>
      <c r="F1056" s="91">
        <v>1208</v>
      </c>
      <c r="G1056" s="94" t="s">
        <v>34</v>
      </c>
      <c r="H1056" s="94">
        <v>1037</v>
      </c>
      <c r="I1056" s="115">
        <v>35214500045461</v>
      </c>
      <c r="J1056" s="91" t="s">
        <v>35</v>
      </c>
      <c r="K1056" s="152">
        <v>6.13</v>
      </c>
      <c r="L1056" s="122" t="str">
        <f>VLOOKUP(K1056,Liste!$L$2:$O$34,4,1)</f>
        <v>GSMR_02/03</v>
      </c>
      <c r="M1056" s="133" t="s">
        <v>36</v>
      </c>
      <c r="N1056" s="124" t="s">
        <v>37</v>
      </c>
      <c r="O1056" s="117" t="s">
        <v>2329</v>
      </c>
      <c r="P1056" s="116" t="s">
        <v>2253</v>
      </c>
      <c r="Q1056" s="118" t="s">
        <v>531</v>
      </c>
      <c r="R1056" s="94" t="s">
        <v>1032</v>
      </c>
      <c r="S1056" s="124" t="s">
        <v>2317</v>
      </c>
      <c r="T1056" s="124" t="s">
        <v>93</v>
      </c>
      <c r="U1056" s="124" t="s">
        <v>1538</v>
      </c>
      <c r="V1056" s="124" t="s">
        <v>51</v>
      </c>
      <c r="W1056" s="124" t="s">
        <v>51</v>
      </c>
      <c r="X1056" s="124" t="s">
        <v>52</v>
      </c>
      <c r="Y1056" s="124" t="s">
        <v>2109</v>
      </c>
      <c r="Z1056" s="124"/>
      <c r="AA1056" s="124" t="s">
        <v>778</v>
      </c>
      <c r="AB1056" s="91"/>
      <c r="AC1056" s="91"/>
      <c r="AD1056" s="91"/>
      <c r="AE1056" s="91"/>
      <c r="AF1056" s="91"/>
      <c r="AG1056" s="91"/>
      <c r="AH1056" s="91"/>
    </row>
    <row r="1057" spans="1:34" ht="120">
      <c r="A1057" s="120">
        <v>1056</v>
      </c>
      <c r="B1057" s="120" t="b">
        <f t="shared" ca="1" si="16"/>
        <v>0</v>
      </c>
      <c r="C1057" s="121">
        <v>45676</v>
      </c>
      <c r="D1057" s="137">
        <v>0.84009259259259261</v>
      </c>
      <c r="E1057" s="94">
        <v>1049</v>
      </c>
      <c r="F1057" s="91">
        <v>1205</v>
      </c>
      <c r="G1057" s="94" t="s">
        <v>71</v>
      </c>
      <c r="H1057" s="94">
        <v>1060</v>
      </c>
      <c r="I1057" s="115">
        <v>35214500042751</v>
      </c>
      <c r="J1057" s="91" t="s">
        <v>72</v>
      </c>
      <c r="K1057" s="152">
        <v>7.3209999999999997</v>
      </c>
      <c r="L1057" s="122" t="str">
        <f>VLOOKUP(K1057,Liste!$L$2:$O$34,4,1)</f>
        <v>GSMR_02/03</v>
      </c>
      <c r="M1057" s="133" t="s">
        <v>36</v>
      </c>
      <c r="N1057" s="181" t="s">
        <v>58</v>
      </c>
      <c r="O1057" s="117" t="s">
        <v>2330</v>
      </c>
      <c r="P1057" s="116" t="s">
        <v>2253</v>
      </c>
      <c r="Q1057" s="118" t="s">
        <v>531</v>
      </c>
      <c r="R1057" s="94" t="s">
        <v>1032</v>
      </c>
      <c r="S1057" s="124" t="s">
        <v>2241</v>
      </c>
      <c r="T1057" s="124" t="s">
        <v>56</v>
      </c>
      <c r="U1057" s="124" t="s">
        <v>1490</v>
      </c>
      <c r="V1057" s="124" t="s">
        <v>51</v>
      </c>
      <c r="W1057" s="124" t="s">
        <v>51</v>
      </c>
      <c r="X1057" s="124" t="s">
        <v>52</v>
      </c>
      <c r="Y1057" s="124" t="s">
        <v>2109</v>
      </c>
      <c r="Z1057" s="124"/>
      <c r="AA1057" s="124" t="s">
        <v>959</v>
      </c>
      <c r="AB1057" s="91"/>
      <c r="AC1057" s="91"/>
      <c r="AD1057" s="91"/>
      <c r="AE1057" s="91"/>
      <c r="AF1057" s="91"/>
      <c r="AG1057" s="91"/>
      <c r="AH1057" s="91"/>
    </row>
    <row r="1058" spans="1:34" ht="120">
      <c r="A1058" s="120">
        <v>1057</v>
      </c>
      <c r="B1058" s="120" t="b">
        <f t="shared" ca="1" si="16"/>
        <v>0</v>
      </c>
      <c r="C1058" s="121">
        <v>45678</v>
      </c>
      <c r="D1058" s="137">
        <v>0.46194444444444444</v>
      </c>
      <c r="E1058" s="94">
        <v>2025</v>
      </c>
      <c r="F1058" s="91">
        <v>1204</v>
      </c>
      <c r="G1058" s="94" t="s">
        <v>34</v>
      </c>
      <c r="H1058" s="94">
        <v>1053</v>
      </c>
      <c r="I1058" s="115">
        <v>35214500044497</v>
      </c>
      <c r="J1058" s="91" t="s">
        <v>35</v>
      </c>
      <c r="K1058" s="152">
        <v>6.13</v>
      </c>
      <c r="L1058" s="122" t="str">
        <f>VLOOKUP(K1058,Liste!$L$2:$O$34,4,1)</f>
        <v>GSMR_02/03</v>
      </c>
      <c r="M1058" s="133" t="s">
        <v>36</v>
      </c>
      <c r="N1058" s="181" t="s">
        <v>58</v>
      </c>
      <c r="O1058" s="117" t="s">
        <v>2331</v>
      </c>
      <c r="P1058" s="116" t="s">
        <v>2253</v>
      </c>
      <c r="Q1058" s="118" t="s">
        <v>531</v>
      </c>
      <c r="R1058" s="94" t="s">
        <v>1032</v>
      </c>
      <c r="S1058" s="124" t="s">
        <v>2317</v>
      </c>
      <c r="T1058" s="124" t="s">
        <v>56</v>
      </c>
      <c r="U1058" s="124" t="s">
        <v>1463</v>
      </c>
      <c r="V1058" s="124" t="s">
        <v>51</v>
      </c>
      <c r="W1058" s="124" t="s">
        <v>51</v>
      </c>
      <c r="X1058" s="124" t="s">
        <v>52</v>
      </c>
      <c r="Y1058" s="124" t="s">
        <v>2109</v>
      </c>
      <c r="Z1058" s="124"/>
      <c r="AA1058" s="124" t="s">
        <v>1183</v>
      </c>
      <c r="AB1058" s="91"/>
      <c r="AC1058" s="91"/>
      <c r="AD1058" s="91"/>
      <c r="AE1058" s="91"/>
      <c r="AF1058" s="91"/>
      <c r="AG1058" s="91"/>
      <c r="AH1058" s="91"/>
    </row>
    <row r="1059" spans="1:34" ht="90">
      <c r="A1059" s="120">
        <v>1058</v>
      </c>
      <c r="B1059" s="120" t="b">
        <f t="shared" ca="1" si="16"/>
        <v>0</v>
      </c>
      <c r="C1059" s="121">
        <v>45678</v>
      </c>
      <c r="D1059" s="137">
        <v>0.59584490740740736</v>
      </c>
      <c r="E1059" s="94">
        <v>2033</v>
      </c>
      <c r="F1059" s="91">
        <v>1209</v>
      </c>
      <c r="G1059" s="94" t="s">
        <v>34</v>
      </c>
      <c r="H1059" s="94">
        <v>7208</v>
      </c>
      <c r="I1059" s="115">
        <v>35214500004427</v>
      </c>
      <c r="J1059" s="91" t="s">
        <v>35</v>
      </c>
      <c r="K1059" s="91">
        <v>58.71</v>
      </c>
      <c r="L1059" s="122" t="str">
        <f>VLOOKUP(K1059,Liste!$L$2:$O$34,4,1)</f>
        <v>GSMR_10/11</v>
      </c>
      <c r="M1059" s="133" t="s">
        <v>36</v>
      </c>
      <c r="N1059" s="124" t="s">
        <v>37</v>
      </c>
      <c r="O1059" s="117" t="s">
        <v>2332</v>
      </c>
      <c r="P1059" s="117" t="s">
        <v>2272</v>
      </c>
      <c r="Q1059" s="94" t="s">
        <v>54</v>
      </c>
      <c r="R1059" s="129" t="s">
        <v>2215</v>
      </c>
      <c r="S1059" s="124" t="s">
        <v>2333</v>
      </c>
      <c r="T1059" s="124" t="s">
        <v>69</v>
      </c>
      <c r="U1059" s="124" t="s">
        <v>1446</v>
      </c>
      <c r="V1059" s="124" t="s">
        <v>43</v>
      </c>
      <c r="W1059" s="124" t="s">
        <v>51</v>
      </c>
      <c r="X1059" s="124" t="s">
        <v>52</v>
      </c>
      <c r="Y1059" s="124" t="s">
        <v>2109</v>
      </c>
      <c r="Z1059" s="124"/>
      <c r="AA1059" s="124" t="s">
        <v>778</v>
      </c>
      <c r="AB1059" s="91"/>
      <c r="AC1059" s="91"/>
      <c r="AD1059" s="91"/>
      <c r="AE1059" s="91"/>
      <c r="AF1059" s="91"/>
      <c r="AG1059" s="91"/>
      <c r="AH1059" s="91"/>
    </row>
    <row r="1060" spans="1:34" ht="135">
      <c r="A1060" s="120">
        <v>1059</v>
      </c>
      <c r="B1060" s="120" t="b">
        <f t="shared" ca="1" si="16"/>
        <v>0</v>
      </c>
      <c r="C1060" s="121">
        <v>45678</v>
      </c>
      <c r="D1060" s="137">
        <v>0.62840277777777775</v>
      </c>
      <c r="E1060" s="94">
        <v>2037</v>
      </c>
      <c r="F1060" s="91">
        <v>1201</v>
      </c>
      <c r="G1060" s="94" t="s">
        <v>34</v>
      </c>
      <c r="H1060" s="94">
        <v>1057</v>
      </c>
      <c r="I1060" s="115">
        <v>35214500045187</v>
      </c>
      <c r="J1060" s="91" t="s">
        <v>35</v>
      </c>
      <c r="K1060" s="152">
        <v>6.13</v>
      </c>
      <c r="L1060" s="122" t="str">
        <f>VLOOKUP(K1060,Liste!$L$2:$O$34,4,1)</f>
        <v>GSMR_02/03</v>
      </c>
      <c r="M1060" s="133" t="s">
        <v>36</v>
      </c>
      <c r="N1060" s="181" t="s">
        <v>58</v>
      </c>
      <c r="O1060" s="117" t="s">
        <v>2334</v>
      </c>
      <c r="P1060" s="116" t="s">
        <v>2253</v>
      </c>
      <c r="Q1060" s="118" t="s">
        <v>531</v>
      </c>
      <c r="R1060" s="94" t="s">
        <v>1032</v>
      </c>
      <c r="S1060" s="124" t="s">
        <v>2317</v>
      </c>
      <c r="T1060" s="124" t="s">
        <v>78</v>
      </c>
      <c r="U1060" s="124" t="s">
        <v>1549</v>
      </c>
      <c r="V1060" s="124" t="s">
        <v>51</v>
      </c>
      <c r="W1060" s="124" t="s">
        <v>51</v>
      </c>
      <c r="X1060" s="124" t="s">
        <v>52</v>
      </c>
      <c r="Y1060" s="124" t="s">
        <v>2109</v>
      </c>
      <c r="Z1060" s="124"/>
      <c r="AA1060" s="124" t="s">
        <v>959</v>
      </c>
      <c r="AB1060" s="91"/>
      <c r="AC1060" s="91"/>
      <c r="AD1060" s="91"/>
      <c r="AE1060" s="91"/>
      <c r="AF1060" s="91"/>
      <c r="AG1060" s="91"/>
      <c r="AH1060" s="91"/>
    </row>
    <row r="1061" spans="1:34" ht="135">
      <c r="A1061" s="120">
        <v>1060</v>
      </c>
      <c r="B1061" s="120" t="b">
        <f t="shared" ca="1" si="16"/>
        <v>0</v>
      </c>
      <c r="C1061" s="121">
        <v>45680</v>
      </c>
      <c r="D1061" s="137">
        <v>0.67053240740740738</v>
      </c>
      <c r="E1061" s="94">
        <v>2041</v>
      </c>
      <c r="F1061" s="91" t="s">
        <v>2335</v>
      </c>
      <c r="G1061" s="94" t="s">
        <v>34</v>
      </c>
      <c r="H1061" s="94">
        <v>1053</v>
      </c>
      <c r="I1061" s="115">
        <v>35214500044497</v>
      </c>
      <c r="J1061" s="91" t="s">
        <v>35</v>
      </c>
      <c r="K1061" s="152">
        <v>6.13</v>
      </c>
      <c r="L1061" s="122" t="str">
        <f>VLOOKUP(K1061,Liste!$L$2:$O$34,4,1)</f>
        <v>GSMR_02/03</v>
      </c>
      <c r="M1061" s="133" t="s">
        <v>36</v>
      </c>
      <c r="N1061" s="181" t="s">
        <v>58</v>
      </c>
      <c r="O1061" s="117" t="s">
        <v>2336</v>
      </c>
      <c r="P1061" s="116" t="s">
        <v>2253</v>
      </c>
      <c r="Q1061" s="118" t="s">
        <v>531</v>
      </c>
      <c r="R1061" s="94" t="s">
        <v>1032</v>
      </c>
      <c r="S1061" s="124" t="s">
        <v>1974</v>
      </c>
      <c r="T1061" s="124" t="s">
        <v>56</v>
      </c>
      <c r="U1061" s="124" t="s">
        <v>1490</v>
      </c>
      <c r="V1061" s="124" t="s">
        <v>51</v>
      </c>
      <c r="W1061" s="124" t="s">
        <v>51</v>
      </c>
      <c r="X1061" s="124" t="s">
        <v>52</v>
      </c>
      <c r="Y1061" s="124" t="s">
        <v>2109</v>
      </c>
      <c r="Z1061" s="124"/>
      <c r="AA1061" s="124" t="s">
        <v>802</v>
      </c>
      <c r="AB1061" s="91"/>
      <c r="AC1061" s="91"/>
      <c r="AD1061" s="91"/>
      <c r="AE1061" s="91"/>
      <c r="AF1061" s="91"/>
      <c r="AG1061" s="91"/>
      <c r="AH1061" s="91"/>
    </row>
    <row r="1062" spans="1:34" ht="45">
      <c r="A1062" s="120">
        <v>1061</v>
      </c>
      <c r="B1062" s="120" t="b">
        <f t="shared" ca="1" si="16"/>
        <v>0</v>
      </c>
      <c r="C1062" s="121">
        <v>45681</v>
      </c>
      <c r="D1062" s="137">
        <v>0.85038194444444448</v>
      </c>
      <c r="E1062" s="94">
        <v>1054</v>
      </c>
      <c r="F1062" s="91" t="s">
        <v>2337</v>
      </c>
      <c r="G1062" s="94" t="s">
        <v>71</v>
      </c>
      <c r="H1062" s="94">
        <v>1029</v>
      </c>
      <c r="I1062" s="115">
        <v>35214500045449</v>
      </c>
      <c r="J1062" s="91" t="s">
        <v>72</v>
      </c>
      <c r="K1062" s="133">
        <v>198.98400000000001</v>
      </c>
      <c r="L1062" s="122" t="str">
        <f>VLOOKUP(K1062,Liste!$L$2:$O$34,4,1)</f>
        <v>GSMR_33/RAC</v>
      </c>
      <c r="M1062" s="133" t="s">
        <v>36</v>
      </c>
      <c r="N1062" s="181" t="s">
        <v>58</v>
      </c>
      <c r="O1062" s="117" t="s">
        <v>2338</v>
      </c>
      <c r="P1062" s="117"/>
      <c r="Q1062" s="94" t="s">
        <v>54</v>
      </c>
      <c r="R1062" s="129" t="s">
        <v>2215</v>
      </c>
      <c r="S1062" s="124" t="s">
        <v>2339</v>
      </c>
      <c r="T1062" s="124" t="s">
        <v>2339</v>
      </c>
      <c r="U1062" s="124" t="s">
        <v>2339</v>
      </c>
      <c r="V1062" s="124" t="s">
        <v>2339</v>
      </c>
      <c r="W1062" s="124" t="s">
        <v>2339</v>
      </c>
      <c r="X1062" s="124" t="s">
        <v>52</v>
      </c>
      <c r="Y1062" s="124"/>
      <c r="Z1062" s="124"/>
      <c r="AA1062" s="124" t="s">
        <v>1295</v>
      </c>
      <c r="AB1062" s="91"/>
      <c r="AC1062" s="91"/>
      <c r="AD1062" s="91"/>
      <c r="AE1062" s="91"/>
      <c r="AF1062" s="91"/>
      <c r="AG1062" s="91"/>
      <c r="AH1062" s="91"/>
    </row>
    <row r="1063" spans="1:34" ht="120">
      <c r="A1063" s="120">
        <v>1062</v>
      </c>
      <c r="B1063" s="120" t="b">
        <f t="shared" ca="1" si="16"/>
        <v>0</v>
      </c>
      <c r="C1063" s="121">
        <v>45682</v>
      </c>
      <c r="D1063" s="137">
        <v>0.87766203703703705</v>
      </c>
      <c r="E1063" s="94">
        <v>1054</v>
      </c>
      <c r="F1063" s="91" t="s">
        <v>2337</v>
      </c>
      <c r="G1063" s="94" t="s">
        <v>71</v>
      </c>
      <c r="H1063" s="94">
        <v>1028</v>
      </c>
      <c r="I1063" s="115">
        <v>35214500045268</v>
      </c>
      <c r="J1063" s="91" t="s">
        <v>72</v>
      </c>
      <c r="K1063" s="152">
        <v>7.3209999999999997</v>
      </c>
      <c r="L1063" s="122" t="str">
        <f>VLOOKUP(K1063,Liste!$L$2:$O$34,4,1)</f>
        <v>GSMR_02/03</v>
      </c>
      <c r="M1063" s="133" t="s">
        <v>36</v>
      </c>
      <c r="N1063" s="181" t="s">
        <v>58</v>
      </c>
      <c r="O1063" s="117" t="s">
        <v>2340</v>
      </c>
      <c r="P1063" s="116" t="s">
        <v>2253</v>
      </c>
      <c r="Q1063" s="118" t="s">
        <v>531</v>
      </c>
      <c r="R1063" s="94" t="s">
        <v>1032</v>
      </c>
      <c r="S1063" s="124" t="s">
        <v>2341</v>
      </c>
      <c r="T1063" s="124" t="s">
        <v>93</v>
      </c>
      <c r="U1063" s="124" t="s">
        <v>1446</v>
      </c>
      <c r="V1063" s="124" t="s">
        <v>51</v>
      </c>
      <c r="W1063" s="124" t="s">
        <v>51</v>
      </c>
      <c r="X1063" s="124" t="s">
        <v>52</v>
      </c>
      <c r="Y1063" s="124" t="s">
        <v>2109</v>
      </c>
      <c r="Z1063" s="124"/>
      <c r="AA1063" s="124" t="s">
        <v>1295</v>
      </c>
      <c r="AB1063" s="91"/>
      <c r="AC1063" s="91"/>
      <c r="AD1063" s="91"/>
      <c r="AE1063" s="91"/>
      <c r="AF1063" s="91"/>
      <c r="AG1063" s="91"/>
      <c r="AH1063" s="91"/>
    </row>
    <row r="1064" spans="1:34" ht="90">
      <c r="A1064" s="120">
        <v>1063</v>
      </c>
      <c r="B1064" s="120" t="b">
        <f t="shared" ca="1" si="16"/>
        <v>0</v>
      </c>
      <c r="C1064" s="121">
        <v>45683</v>
      </c>
      <c r="D1064" s="137">
        <v>0.29959490740740741</v>
      </c>
      <c r="E1064" s="94">
        <v>2005</v>
      </c>
      <c r="F1064" s="91">
        <v>1207</v>
      </c>
      <c r="G1064" s="94" t="s">
        <v>34</v>
      </c>
      <c r="H1064" s="94">
        <v>1047</v>
      </c>
      <c r="I1064" s="115">
        <v>35214500038730</v>
      </c>
      <c r="J1064" s="91" t="s">
        <v>35</v>
      </c>
      <c r="K1064" s="91">
        <v>25.91</v>
      </c>
      <c r="L1064" s="122" t="str">
        <f>VLOOKUP(K1064,Liste!$L$2:$O$34,4,1)</f>
        <v>GSMR_05/06</v>
      </c>
      <c r="M1064" s="133" t="s">
        <v>36</v>
      </c>
      <c r="N1064" s="124" t="s">
        <v>37</v>
      </c>
      <c r="O1064" s="117" t="s">
        <v>2342</v>
      </c>
      <c r="P1064" s="117" t="s">
        <v>2272</v>
      </c>
      <c r="Q1064" s="94" t="s">
        <v>54</v>
      </c>
      <c r="R1064" s="129" t="s">
        <v>2215</v>
      </c>
      <c r="S1064" s="124" t="s">
        <v>2343</v>
      </c>
      <c r="T1064" s="124" t="s">
        <v>41</v>
      </c>
      <c r="U1064" s="124" t="s">
        <v>1554</v>
      </c>
      <c r="V1064" s="124" t="s">
        <v>43</v>
      </c>
      <c r="W1064" s="124" t="s">
        <v>51</v>
      </c>
      <c r="X1064" s="124" t="s">
        <v>52</v>
      </c>
      <c r="Y1064" s="124" t="s">
        <v>2109</v>
      </c>
      <c r="Z1064" s="124"/>
      <c r="AA1064" s="124" t="s">
        <v>778</v>
      </c>
      <c r="AB1064" s="91"/>
      <c r="AC1064" s="91"/>
      <c r="AD1064" s="91"/>
      <c r="AE1064" s="91"/>
      <c r="AF1064" s="91"/>
      <c r="AG1064" s="91"/>
      <c r="AH1064" s="91"/>
    </row>
    <row r="1065" spans="1:34" ht="120">
      <c r="A1065" s="120">
        <v>1064</v>
      </c>
      <c r="B1065" s="120" t="b">
        <f t="shared" ca="1" si="16"/>
        <v>0</v>
      </c>
      <c r="C1065" s="121">
        <v>45683</v>
      </c>
      <c r="D1065" s="137">
        <v>0.37868055555555558</v>
      </c>
      <c r="E1065" s="94">
        <v>2013</v>
      </c>
      <c r="F1065" s="91">
        <v>1202</v>
      </c>
      <c r="G1065" s="94" t="s">
        <v>34</v>
      </c>
      <c r="H1065" s="94">
        <v>1042</v>
      </c>
      <c r="I1065" s="115">
        <v>35214500045498</v>
      </c>
      <c r="J1065" s="91" t="s">
        <v>35</v>
      </c>
      <c r="K1065" s="152">
        <v>6.13</v>
      </c>
      <c r="L1065" s="122" t="str">
        <f>VLOOKUP(K1065,Liste!$L$2:$O$34,4,1)</f>
        <v>GSMR_02/03</v>
      </c>
      <c r="M1065" s="133" t="s">
        <v>36</v>
      </c>
      <c r="N1065" s="124" t="s">
        <v>37</v>
      </c>
      <c r="O1065" s="117" t="s">
        <v>2344</v>
      </c>
      <c r="P1065" s="116" t="s">
        <v>2253</v>
      </c>
      <c r="Q1065" s="118" t="s">
        <v>531</v>
      </c>
      <c r="R1065" s="94" t="s">
        <v>1032</v>
      </c>
      <c r="S1065" s="124" t="s">
        <v>1360</v>
      </c>
      <c r="T1065" s="124" t="s">
        <v>56</v>
      </c>
      <c r="U1065" s="124" t="s">
        <v>1460</v>
      </c>
      <c r="V1065" s="124" t="s">
        <v>43</v>
      </c>
      <c r="W1065" s="124" t="s">
        <v>51</v>
      </c>
      <c r="X1065" s="124" t="s">
        <v>52</v>
      </c>
      <c r="Y1065" s="124" t="s">
        <v>2109</v>
      </c>
      <c r="Z1065" s="124"/>
      <c r="AA1065" s="124" t="s">
        <v>778</v>
      </c>
      <c r="AB1065" s="91"/>
      <c r="AC1065" s="91"/>
      <c r="AD1065" s="91"/>
      <c r="AE1065" s="91"/>
      <c r="AF1065" s="91"/>
      <c r="AG1065" s="91"/>
      <c r="AH1065" s="91"/>
    </row>
    <row r="1066" spans="1:34" ht="75">
      <c r="A1066" s="120">
        <v>1065</v>
      </c>
      <c r="B1066" s="120" t="b">
        <f t="shared" ca="1" si="16"/>
        <v>0</v>
      </c>
      <c r="C1066" s="121">
        <v>45685</v>
      </c>
      <c r="D1066" s="137">
        <v>0.53118055555555554</v>
      </c>
      <c r="E1066" s="94">
        <v>2025</v>
      </c>
      <c r="F1066" s="91">
        <v>1205</v>
      </c>
      <c r="G1066" s="94" t="s">
        <v>34</v>
      </c>
      <c r="H1066" s="94">
        <v>7218</v>
      </c>
      <c r="I1066" s="115">
        <v>35214500045735</v>
      </c>
      <c r="J1066" s="91" t="s">
        <v>35</v>
      </c>
      <c r="K1066" s="91">
        <v>140.65899999999999</v>
      </c>
      <c r="L1066" s="122" t="str">
        <f>VLOOKUP(K1066,Liste!$L$2:$O$34,4,1)</f>
        <v>GSMR_24/25</v>
      </c>
      <c r="M1066" s="133" t="s">
        <v>36</v>
      </c>
      <c r="N1066" s="181" t="s">
        <v>58</v>
      </c>
      <c r="O1066" s="117" t="s">
        <v>2345</v>
      </c>
      <c r="P1066" s="117" t="s">
        <v>2346</v>
      </c>
      <c r="Q1066" s="118" t="s">
        <v>105</v>
      </c>
      <c r="R1066" s="129" t="s">
        <v>1072</v>
      </c>
      <c r="S1066" s="124" t="s">
        <v>1572</v>
      </c>
      <c r="T1066" s="124" t="s">
        <v>69</v>
      </c>
      <c r="U1066" s="124" t="s">
        <v>1632</v>
      </c>
      <c r="V1066" s="124" t="s">
        <v>51</v>
      </c>
      <c r="W1066" s="124" t="s">
        <v>51</v>
      </c>
      <c r="X1066" s="124" t="s">
        <v>52</v>
      </c>
      <c r="Y1066" s="124" t="s">
        <v>2347</v>
      </c>
      <c r="Z1066" s="124"/>
      <c r="AA1066" s="124" t="s">
        <v>1295</v>
      </c>
      <c r="AB1066" s="91"/>
      <c r="AC1066" s="91"/>
      <c r="AD1066" s="91"/>
      <c r="AE1066" s="91"/>
      <c r="AF1066" s="91"/>
      <c r="AG1066" s="91"/>
      <c r="AH1066" s="91"/>
    </row>
    <row r="1067" spans="1:34" ht="120">
      <c r="A1067" s="120">
        <v>1066</v>
      </c>
      <c r="B1067" s="120" t="b">
        <f t="shared" ca="1" si="16"/>
        <v>0</v>
      </c>
      <c r="C1067" s="121">
        <v>45685</v>
      </c>
      <c r="D1067" s="137">
        <v>0.83678240740740739</v>
      </c>
      <c r="E1067" s="94">
        <v>1050</v>
      </c>
      <c r="F1067" s="91">
        <v>1207</v>
      </c>
      <c r="G1067" s="94" t="s">
        <v>71</v>
      </c>
      <c r="H1067" s="94">
        <v>1046</v>
      </c>
      <c r="I1067" s="115">
        <v>35214500038727</v>
      </c>
      <c r="J1067" s="91" t="s">
        <v>72</v>
      </c>
      <c r="K1067" s="152">
        <v>8.9700000000000006</v>
      </c>
      <c r="L1067" s="122" t="str">
        <f>VLOOKUP(K1067,Liste!$L$2:$O$34,4,1)</f>
        <v>GSMR_02/03</v>
      </c>
      <c r="M1067" s="133" t="s">
        <v>36</v>
      </c>
      <c r="N1067" s="124" t="s">
        <v>37</v>
      </c>
      <c r="O1067" s="117" t="s">
        <v>2348</v>
      </c>
      <c r="P1067" s="116" t="s">
        <v>2253</v>
      </c>
      <c r="Q1067" s="118" t="s">
        <v>531</v>
      </c>
      <c r="R1067" s="94" t="s">
        <v>1032</v>
      </c>
      <c r="S1067" s="124" t="s">
        <v>851</v>
      </c>
      <c r="T1067" s="124" t="s">
        <v>78</v>
      </c>
      <c r="U1067" s="124" t="s">
        <v>1463</v>
      </c>
      <c r="V1067" s="124" t="s">
        <v>43</v>
      </c>
      <c r="W1067" s="124" t="s">
        <v>51</v>
      </c>
      <c r="X1067" s="124" t="s">
        <v>52</v>
      </c>
      <c r="Y1067" s="124" t="s">
        <v>2347</v>
      </c>
      <c r="Z1067" s="124"/>
      <c r="AA1067" s="124" t="s">
        <v>772</v>
      </c>
      <c r="AB1067" s="91"/>
      <c r="AC1067" s="91"/>
      <c r="AD1067" s="91"/>
      <c r="AE1067" s="91"/>
      <c r="AF1067" s="91"/>
      <c r="AG1067" s="91"/>
      <c r="AH1067" s="91"/>
    </row>
    <row r="1068" spans="1:34" ht="90">
      <c r="A1068" s="120">
        <v>1067</v>
      </c>
      <c r="B1068" s="120" t="b">
        <f t="shared" ca="1" si="16"/>
        <v>0</v>
      </c>
      <c r="C1068" s="121">
        <v>45686</v>
      </c>
      <c r="D1068" s="137">
        <v>0.45789351851851851</v>
      </c>
      <c r="E1068" s="94">
        <v>2013</v>
      </c>
      <c r="F1068" s="91">
        <v>1202</v>
      </c>
      <c r="G1068" s="94" t="s">
        <v>71</v>
      </c>
      <c r="H1068" s="94">
        <v>1031</v>
      </c>
      <c r="I1068" s="115">
        <v>35214500045348</v>
      </c>
      <c r="J1068" s="91" t="s">
        <v>72</v>
      </c>
      <c r="K1068" s="91">
        <v>32.625999999999998</v>
      </c>
      <c r="L1068" s="122" t="str">
        <f>VLOOKUP(K1068,Liste!$L$2:$O$34,4,1)</f>
        <v>GSMR_06/07</v>
      </c>
      <c r="M1068" s="133" t="s">
        <v>36</v>
      </c>
      <c r="N1068" s="124" t="s">
        <v>37</v>
      </c>
      <c r="O1068" s="117" t="s">
        <v>2349</v>
      </c>
      <c r="P1068" s="117" t="s">
        <v>2272</v>
      </c>
      <c r="Q1068" s="94" t="s">
        <v>54</v>
      </c>
      <c r="R1068" s="129" t="s">
        <v>2215</v>
      </c>
      <c r="S1068" s="124" t="s">
        <v>2350</v>
      </c>
      <c r="T1068" s="124" t="s">
        <v>101</v>
      </c>
      <c r="U1068" s="124" t="s">
        <v>1463</v>
      </c>
      <c r="V1068" s="124" t="s">
        <v>43</v>
      </c>
      <c r="W1068" s="124" t="s">
        <v>51</v>
      </c>
      <c r="X1068" s="124" t="s">
        <v>52</v>
      </c>
      <c r="Y1068" s="124" t="s">
        <v>2109</v>
      </c>
      <c r="Z1068" s="124"/>
      <c r="AA1068" s="124" t="s">
        <v>802</v>
      </c>
      <c r="AB1068" s="91"/>
      <c r="AC1068" s="91"/>
      <c r="AD1068" s="91"/>
      <c r="AE1068" s="91"/>
      <c r="AF1068" s="91"/>
      <c r="AG1068" s="91"/>
      <c r="AH1068" s="91"/>
    </row>
    <row r="1069" spans="1:34" ht="90">
      <c r="A1069" s="120">
        <v>1068</v>
      </c>
      <c r="B1069" s="120" t="b">
        <f t="shared" ca="1" si="16"/>
        <v>0</v>
      </c>
      <c r="C1069" s="121">
        <v>45687</v>
      </c>
      <c r="D1069" s="137">
        <v>0.32920138888888889</v>
      </c>
      <c r="E1069" s="94">
        <v>1001</v>
      </c>
      <c r="F1069" s="91">
        <v>1203</v>
      </c>
      <c r="G1069" s="94" t="s">
        <v>71</v>
      </c>
      <c r="H1069" s="94">
        <v>1026</v>
      </c>
      <c r="I1069" s="115">
        <v>35214500045083</v>
      </c>
      <c r="J1069" s="91" t="s">
        <v>72</v>
      </c>
      <c r="K1069" s="91">
        <v>58.71</v>
      </c>
      <c r="L1069" s="122" t="str">
        <f>VLOOKUP(K1069,Liste!$L$2:$O$34,4,1)</f>
        <v>GSMR_10/11</v>
      </c>
      <c r="M1069" s="133" t="s">
        <v>36</v>
      </c>
      <c r="N1069" s="124" t="s">
        <v>37</v>
      </c>
      <c r="O1069" s="117" t="s">
        <v>2351</v>
      </c>
      <c r="P1069" s="117" t="s">
        <v>2272</v>
      </c>
      <c r="Q1069" s="94" t="s">
        <v>54</v>
      </c>
      <c r="R1069" s="129" t="s">
        <v>2215</v>
      </c>
      <c r="S1069" s="124" t="s">
        <v>2352</v>
      </c>
      <c r="T1069" s="124" t="s">
        <v>41</v>
      </c>
      <c r="U1069" s="124" t="s">
        <v>1546</v>
      </c>
      <c r="V1069" s="124" t="s">
        <v>43</v>
      </c>
      <c r="W1069" s="124" t="s">
        <v>51</v>
      </c>
      <c r="X1069" s="124" t="s">
        <v>52</v>
      </c>
      <c r="Y1069" s="124" t="s">
        <v>2109</v>
      </c>
      <c r="Z1069" s="124"/>
      <c r="AA1069" s="124" t="s">
        <v>754</v>
      </c>
      <c r="AB1069" s="91"/>
      <c r="AC1069" s="91"/>
      <c r="AD1069" s="91"/>
      <c r="AE1069" s="91"/>
      <c r="AF1069" s="91"/>
      <c r="AG1069" s="91"/>
      <c r="AH1069" s="91"/>
    </row>
    <row r="1070" spans="1:34" ht="120">
      <c r="A1070" s="120">
        <v>1069</v>
      </c>
      <c r="B1070" s="120" t="b">
        <f t="shared" ca="1" si="16"/>
        <v>0</v>
      </c>
      <c r="C1070" s="121">
        <v>45687</v>
      </c>
      <c r="D1070" s="137">
        <v>0.46197916666666666</v>
      </c>
      <c r="E1070" s="94">
        <v>2021</v>
      </c>
      <c r="F1070" s="91">
        <v>1211</v>
      </c>
      <c r="G1070" s="94" t="s">
        <v>34</v>
      </c>
      <c r="H1070" s="94">
        <v>7195</v>
      </c>
      <c r="I1070" s="115">
        <v>35214500045671</v>
      </c>
      <c r="J1070" s="91" t="s">
        <v>35</v>
      </c>
      <c r="K1070" s="152">
        <v>6.13</v>
      </c>
      <c r="L1070" s="122" t="str">
        <f>VLOOKUP(K1070,Liste!$L$2:$O$34,4,1)</f>
        <v>GSMR_02/03</v>
      </c>
      <c r="M1070" s="133" t="s">
        <v>36</v>
      </c>
      <c r="N1070" s="181" t="s">
        <v>58</v>
      </c>
      <c r="O1070" s="117" t="s">
        <v>2353</v>
      </c>
      <c r="P1070" s="116" t="s">
        <v>2253</v>
      </c>
      <c r="Q1070" s="118" t="s">
        <v>531</v>
      </c>
      <c r="R1070" s="94" t="s">
        <v>1032</v>
      </c>
      <c r="S1070" s="124" t="s">
        <v>2354</v>
      </c>
      <c r="T1070" s="124" t="s">
        <v>101</v>
      </c>
      <c r="U1070" s="124" t="s">
        <v>1549</v>
      </c>
      <c r="V1070" s="124" t="s">
        <v>51</v>
      </c>
      <c r="W1070" s="124" t="s">
        <v>51</v>
      </c>
      <c r="X1070" s="124" t="s">
        <v>52</v>
      </c>
      <c r="Y1070" s="124" t="s">
        <v>2109</v>
      </c>
      <c r="Z1070" s="124"/>
      <c r="AA1070" s="124" t="s">
        <v>802</v>
      </c>
      <c r="AB1070" s="91"/>
      <c r="AC1070" s="91"/>
      <c r="AD1070" s="91"/>
      <c r="AE1070" s="91"/>
      <c r="AF1070" s="91"/>
      <c r="AG1070" s="91"/>
      <c r="AH1070" s="91"/>
    </row>
    <row r="1071" spans="1:34" ht="75">
      <c r="A1071" s="120">
        <v>1070</v>
      </c>
      <c r="B1071" s="120" t="b">
        <f t="shared" ca="1" si="16"/>
        <v>0</v>
      </c>
      <c r="C1071" s="121">
        <v>45687</v>
      </c>
      <c r="D1071" s="137">
        <v>0.77446759259259257</v>
      </c>
      <c r="E1071" s="94">
        <v>2049</v>
      </c>
      <c r="F1071" s="91">
        <v>1205</v>
      </c>
      <c r="G1071" s="94" t="s">
        <v>34</v>
      </c>
      <c r="H1071" s="94">
        <v>7218</v>
      </c>
      <c r="I1071" s="115">
        <v>35214500045735</v>
      </c>
      <c r="J1071" s="91" t="s">
        <v>35</v>
      </c>
      <c r="K1071" s="91">
        <v>144.32599999999999</v>
      </c>
      <c r="L1071" s="122" t="str">
        <f>VLOOKUP(K1071,Liste!$L$2:$O$34,4,1)</f>
        <v>GSMR_25/26</v>
      </c>
      <c r="M1071" s="133" t="s">
        <v>36</v>
      </c>
      <c r="N1071" s="181" t="s">
        <v>58</v>
      </c>
      <c r="O1071" s="117" t="s">
        <v>2345</v>
      </c>
      <c r="P1071" s="117" t="s">
        <v>2346</v>
      </c>
      <c r="Q1071" s="118" t="s">
        <v>105</v>
      </c>
      <c r="R1071" s="129" t="s">
        <v>1072</v>
      </c>
      <c r="S1071" s="124" t="s">
        <v>1572</v>
      </c>
      <c r="T1071" s="124" t="s">
        <v>69</v>
      </c>
      <c r="U1071" s="124" t="s">
        <v>1481</v>
      </c>
      <c r="V1071" s="124" t="s">
        <v>51</v>
      </c>
      <c r="W1071" s="124" t="s">
        <v>51</v>
      </c>
      <c r="X1071" s="124" t="s">
        <v>52</v>
      </c>
      <c r="Y1071" s="124" t="s">
        <v>2347</v>
      </c>
      <c r="Z1071" s="124"/>
      <c r="AA1071" s="124" t="s">
        <v>1183</v>
      </c>
      <c r="AB1071" s="91"/>
      <c r="AC1071" s="91"/>
      <c r="AD1071" s="91"/>
      <c r="AE1071" s="91"/>
      <c r="AF1071" s="91"/>
      <c r="AG1071" s="91"/>
      <c r="AH1071" s="91"/>
    </row>
    <row r="1072" spans="1:34" ht="75">
      <c r="A1072" s="120">
        <v>1071</v>
      </c>
      <c r="B1072" s="120" t="b">
        <f t="shared" ca="1" si="16"/>
        <v>0</v>
      </c>
      <c r="C1072" s="121">
        <v>45688</v>
      </c>
      <c r="D1072" s="137">
        <v>0.77421296296296294</v>
      </c>
      <c r="E1072" s="94">
        <v>2049</v>
      </c>
      <c r="F1072" s="91">
        <v>1209</v>
      </c>
      <c r="G1072" s="94" t="s">
        <v>34</v>
      </c>
      <c r="H1072" s="94">
        <v>1058</v>
      </c>
      <c r="I1072" s="115">
        <v>35214500044293</v>
      </c>
      <c r="J1072" s="91" t="s">
        <v>72</v>
      </c>
      <c r="K1072" s="91">
        <v>145.6</v>
      </c>
      <c r="L1072" s="122" t="str">
        <f>VLOOKUP(K1072,Liste!$L$2:$O$34,4,1)</f>
        <v>GSMR_25/26</v>
      </c>
      <c r="M1072" s="133" t="s">
        <v>36</v>
      </c>
      <c r="N1072" s="124" t="s">
        <v>37</v>
      </c>
      <c r="O1072" s="117" t="s">
        <v>2355</v>
      </c>
      <c r="P1072" s="117" t="s">
        <v>2346</v>
      </c>
      <c r="Q1072" s="118" t="s">
        <v>105</v>
      </c>
      <c r="R1072" s="129" t="s">
        <v>1072</v>
      </c>
      <c r="S1072" s="124" t="s">
        <v>1572</v>
      </c>
      <c r="T1072" s="124" t="s">
        <v>69</v>
      </c>
      <c r="U1072" s="124" t="s">
        <v>1471</v>
      </c>
      <c r="V1072" s="124" t="s">
        <v>51</v>
      </c>
      <c r="W1072" s="124" t="s">
        <v>51</v>
      </c>
      <c r="X1072" s="124" t="s">
        <v>52</v>
      </c>
      <c r="Y1072" s="124" t="s">
        <v>2347</v>
      </c>
      <c r="Z1072" s="124"/>
      <c r="AA1072" s="124" t="s">
        <v>772</v>
      </c>
      <c r="AB1072" s="91"/>
      <c r="AC1072" s="91"/>
      <c r="AD1072" s="91"/>
      <c r="AE1072" s="91"/>
      <c r="AF1072" s="91"/>
      <c r="AG1072" s="91"/>
      <c r="AH1072" s="91"/>
    </row>
    <row r="1073" spans="1:34" ht="120">
      <c r="A1073" s="120">
        <v>1072</v>
      </c>
      <c r="B1073" s="120" t="b">
        <f t="shared" ca="1" si="16"/>
        <v>0</v>
      </c>
      <c r="C1073" s="121">
        <v>45689</v>
      </c>
      <c r="D1073" s="137">
        <v>0.58920138888888884</v>
      </c>
      <c r="E1073" s="94">
        <v>2049</v>
      </c>
      <c r="F1073" s="91">
        <v>1203</v>
      </c>
      <c r="G1073" s="94" t="s">
        <v>71</v>
      </c>
      <c r="H1073" s="94">
        <v>1027</v>
      </c>
      <c r="I1073" s="115">
        <v>35214500045329</v>
      </c>
      <c r="J1073" s="91" t="s">
        <v>72</v>
      </c>
      <c r="K1073" s="152">
        <v>7.3209999999999997</v>
      </c>
      <c r="L1073" s="122" t="str">
        <f>VLOOKUP(K1073,Liste!$L$2:$O$34,4,1)</f>
        <v>GSMR_02/03</v>
      </c>
      <c r="M1073" s="133" t="s">
        <v>36</v>
      </c>
      <c r="N1073" s="124" t="s">
        <v>37</v>
      </c>
      <c r="O1073" s="117" t="s">
        <v>2356</v>
      </c>
      <c r="P1073" s="116" t="s">
        <v>2253</v>
      </c>
      <c r="Q1073" s="118" t="s">
        <v>531</v>
      </c>
      <c r="R1073" s="94" t="s">
        <v>1032</v>
      </c>
      <c r="S1073" s="124" t="s">
        <v>2130</v>
      </c>
      <c r="T1073" s="124" t="s">
        <v>209</v>
      </c>
      <c r="U1073" s="124" t="s">
        <v>1554</v>
      </c>
      <c r="V1073" s="124" t="s">
        <v>51</v>
      </c>
      <c r="W1073" s="124" t="s">
        <v>51</v>
      </c>
      <c r="X1073" s="124" t="s">
        <v>52</v>
      </c>
      <c r="Y1073" s="124" t="s">
        <v>2109</v>
      </c>
      <c r="Z1073" s="124"/>
      <c r="AA1073" s="124" t="s">
        <v>2357</v>
      </c>
      <c r="AB1073" s="91"/>
      <c r="AC1073" s="91"/>
      <c r="AD1073" s="91"/>
      <c r="AE1073" s="91"/>
      <c r="AF1073" s="91"/>
      <c r="AG1073" s="91"/>
      <c r="AH1073" s="91"/>
    </row>
    <row r="1074" spans="1:34" ht="75">
      <c r="A1074" s="120">
        <v>1073</v>
      </c>
      <c r="B1074" s="120" t="b">
        <f t="shared" ca="1" si="16"/>
        <v>0</v>
      </c>
      <c r="C1074" s="121">
        <v>45690</v>
      </c>
      <c r="D1074" s="137">
        <v>0.22954861111111111</v>
      </c>
      <c r="E1074" s="94">
        <v>10071</v>
      </c>
      <c r="F1074" s="91">
        <v>1204</v>
      </c>
      <c r="G1074" s="94" t="s">
        <v>34</v>
      </c>
      <c r="H1074" s="94">
        <v>1052</v>
      </c>
      <c r="I1074" s="115">
        <v>35214500044497</v>
      </c>
      <c r="J1074" s="91" t="s">
        <v>35</v>
      </c>
      <c r="K1074" s="91">
        <v>78.155000000000001</v>
      </c>
      <c r="L1074" s="122" t="str">
        <f>VLOOKUP(K1074,Liste!$L$2:$O$34,4,1)</f>
        <v>GSMR_14/15</v>
      </c>
      <c r="M1074" s="133" t="s">
        <v>36</v>
      </c>
      <c r="N1074" s="124" t="s">
        <v>37</v>
      </c>
      <c r="O1074" s="117" t="s">
        <v>2358</v>
      </c>
      <c r="P1074" s="117" t="s">
        <v>2346</v>
      </c>
      <c r="Q1074" s="118" t="s">
        <v>105</v>
      </c>
      <c r="R1074" s="129" t="s">
        <v>1072</v>
      </c>
      <c r="S1074" s="124" t="s">
        <v>887</v>
      </c>
      <c r="T1074" s="124" t="s">
        <v>101</v>
      </c>
      <c r="U1074" s="124" t="s">
        <v>1460</v>
      </c>
      <c r="V1074" s="124" t="s">
        <v>51</v>
      </c>
      <c r="W1074" s="124" t="s">
        <v>51</v>
      </c>
      <c r="X1074" s="124" t="s">
        <v>52</v>
      </c>
      <c r="Y1074" s="124" t="s">
        <v>2199</v>
      </c>
      <c r="Z1074" s="124"/>
      <c r="AA1074" s="124" t="s">
        <v>959</v>
      </c>
      <c r="AB1074" s="91"/>
      <c r="AC1074" s="91"/>
      <c r="AD1074" s="91"/>
      <c r="AE1074" s="91"/>
      <c r="AF1074" s="91"/>
      <c r="AG1074" s="91"/>
      <c r="AH1074" s="91"/>
    </row>
    <row r="1075" spans="1:34" ht="120">
      <c r="A1075" s="120">
        <v>1074</v>
      </c>
      <c r="B1075" s="120" t="b">
        <f t="shared" ca="1" si="16"/>
        <v>0</v>
      </c>
      <c r="C1075" s="121">
        <v>45690</v>
      </c>
      <c r="D1075" s="137">
        <v>0.79524305555555552</v>
      </c>
      <c r="E1075" s="94">
        <v>2053</v>
      </c>
      <c r="F1075" s="91">
        <v>1208</v>
      </c>
      <c r="G1075" s="94" t="s">
        <v>34</v>
      </c>
      <c r="H1075" s="94">
        <v>1036</v>
      </c>
      <c r="I1075" s="115">
        <v>35214500045488</v>
      </c>
      <c r="J1075" s="91" t="s">
        <v>35</v>
      </c>
      <c r="K1075" s="152">
        <v>6.13</v>
      </c>
      <c r="L1075" s="122" t="str">
        <f>VLOOKUP(K1075,Liste!$L$2:$O$34,4,1)</f>
        <v>GSMR_02/03</v>
      </c>
      <c r="M1075" s="133" t="s">
        <v>36</v>
      </c>
      <c r="N1075" s="124" t="s">
        <v>37</v>
      </c>
      <c r="O1075" s="117" t="s">
        <v>2359</v>
      </c>
      <c r="P1075" s="116" t="s">
        <v>2253</v>
      </c>
      <c r="Q1075" s="118" t="s">
        <v>531</v>
      </c>
      <c r="R1075" s="94" t="s">
        <v>1032</v>
      </c>
      <c r="S1075" s="124" t="s">
        <v>2360</v>
      </c>
      <c r="T1075" s="124" t="s">
        <v>56</v>
      </c>
      <c r="U1075" s="124" t="s">
        <v>1460</v>
      </c>
      <c r="V1075" s="124" t="s">
        <v>43</v>
      </c>
      <c r="W1075" s="124" t="s">
        <v>51</v>
      </c>
      <c r="X1075" s="124" t="s">
        <v>52</v>
      </c>
      <c r="Y1075" s="124" t="s">
        <v>2109</v>
      </c>
      <c r="Z1075" s="124"/>
      <c r="AA1075" s="124" t="s">
        <v>772</v>
      </c>
      <c r="AB1075" s="91"/>
      <c r="AC1075" s="91"/>
      <c r="AD1075" s="91"/>
      <c r="AE1075" s="91"/>
      <c r="AF1075" s="91"/>
      <c r="AG1075" s="91"/>
      <c r="AH1075" s="91"/>
    </row>
    <row r="1076" spans="1:34" ht="75">
      <c r="A1076" s="120">
        <v>1075</v>
      </c>
      <c r="B1076" s="120" t="b">
        <f t="shared" ca="1" si="16"/>
        <v>0</v>
      </c>
      <c r="C1076" s="121">
        <v>45690</v>
      </c>
      <c r="D1076" s="137">
        <v>0.85751157407407408</v>
      </c>
      <c r="E1076" s="94">
        <v>2057</v>
      </c>
      <c r="F1076" s="91">
        <v>1206</v>
      </c>
      <c r="G1076" s="94" t="s">
        <v>34</v>
      </c>
      <c r="H1076" s="94">
        <v>1055</v>
      </c>
      <c r="I1076" s="115">
        <v>35214500036582</v>
      </c>
      <c r="J1076" s="91" t="s">
        <v>35</v>
      </c>
      <c r="K1076" s="91">
        <v>130.48400000000001</v>
      </c>
      <c r="L1076" s="122" t="str">
        <f>VLOOKUP(K1076,Liste!$L$2:$O$34,4,1)</f>
        <v>GSMR_23/24</v>
      </c>
      <c r="M1076" s="133" t="s">
        <v>36</v>
      </c>
      <c r="N1076" s="181" t="s">
        <v>58</v>
      </c>
      <c r="O1076" s="117" t="s">
        <v>2361</v>
      </c>
      <c r="P1076" s="117" t="s">
        <v>2346</v>
      </c>
      <c r="Q1076" s="118" t="s">
        <v>105</v>
      </c>
      <c r="R1076" s="129" t="s">
        <v>1072</v>
      </c>
      <c r="S1076" s="124" t="s">
        <v>2362</v>
      </c>
      <c r="T1076" s="124" t="s">
        <v>101</v>
      </c>
      <c r="U1076" s="124" t="s">
        <v>1509</v>
      </c>
      <c r="V1076" s="124" t="s">
        <v>51</v>
      </c>
      <c r="W1076" s="124" t="s">
        <v>51</v>
      </c>
      <c r="X1076" s="124" t="s">
        <v>52</v>
      </c>
      <c r="Y1076" s="124" t="s">
        <v>2199</v>
      </c>
      <c r="Z1076" s="124"/>
      <c r="AA1076" s="124" t="s">
        <v>778</v>
      </c>
      <c r="AB1076" s="91"/>
      <c r="AC1076" s="91"/>
      <c r="AD1076" s="91"/>
      <c r="AE1076" s="91"/>
      <c r="AF1076" s="91"/>
      <c r="AG1076" s="91"/>
      <c r="AH1076" s="91"/>
    </row>
    <row r="1077" spans="1:34" ht="90">
      <c r="A1077" s="120">
        <v>1076</v>
      </c>
      <c r="B1077" s="120" t="b">
        <f t="shared" ca="1" si="16"/>
        <v>0</v>
      </c>
      <c r="C1077" s="121">
        <v>45690</v>
      </c>
      <c r="D1077" s="137">
        <v>0.86878472222222225</v>
      </c>
      <c r="E1077" s="94">
        <v>2057</v>
      </c>
      <c r="F1077" s="91">
        <v>1206</v>
      </c>
      <c r="G1077" s="94" t="s">
        <v>34</v>
      </c>
      <c r="H1077" s="94">
        <v>1054</v>
      </c>
      <c r="I1077" s="115">
        <v>35214500036582</v>
      </c>
      <c r="J1077" s="91" t="s">
        <v>35</v>
      </c>
      <c r="K1077" s="91">
        <v>153.84200000000001</v>
      </c>
      <c r="L1077" s="122" t="str">
        <f>VLOOKUP(K1077,Liste!$L$2:$O$34,4,1)</f>
        <v>GSMR_26/27</v>
      </c>
      <c r="M1077" s="133" t="s">
        <v>36</v>
      </c>
      <c r="N1077" s="124" t="s">
        <v>37</v>
      </c>
      <c r="O1077" s="117" t="s">
        <v>2363</v>
      </c>
      <c r="P1077" s="117" t="s">
        <v>2272</v>
      </c>
      <c r="Q1077" s="94" t="s">
        <v>54</v>
      </c>
      <c r="R1077" s="129" t="s">
        <v>2215</v>
      </c>
      <c r="S1077" s="124" t="s">
        <v>2364</v>
      </c>
      <c r="T1077" s="124" t="s">
        <v>69</v>
      </c>
      <c r="U1077" s="124" t="s">
        <v>1541</v>
      </c>
      <c r="V1077" s="124" t="s">
        <v>51</v>
      </c>
      <c r="W1077" s="124" t="s">
        <v>51</v>
      </c>
      <c r="X1077" s="124" t="s">
        <v>52</v>
      </c>
      <c r="Y1077" s="124" t="s">
        <v>2199</v>
      </c>
      <c r="Z1077" s="124"/>
      <c r="AA1077" s="124" t="s">
        <v>959</v>
      </c>
      <c r="AB1077" s="91"/>
      <c r="AC1077" s="91"/>
      <c r="AD1077" s="91"/>
      <c r="AE1077" s="91"/>
      <c r="AF1077" s="91"/>
      <c r="AG1077" s="91"/>
      <c r="AH1077" s="91"/>
    </row>
    <row r="1078" spans="1:34" ht="120">
      <c r="A1078" s="120">
        <v>1077</v>
      </c>
      <c r="B1078" s="120" t="b">
        <f t="shared" ca="1" si="16"/>
        <v>0</v>
      </c>
      <c r="C1078" s="121">
        <v>45693</v>
      </c>
      <c r="D1078" s="137">
        <v>0.58668981481481486</v>
      </c>
      <c r="E1078" s="94">
        <v>1026</v>
      </c>
      <c r="F1078" s="91">
        <v>1204</v>
      </c>
      <c r="G1078" s="94" t="s">
        <v>71</v>
      </c>
      <c r="H1078" s="94">
        <v>1055</v>
      </c>
      <c r="I1078" s="115">
        <v>35214500046011</v>
      </c>
      <c r="J1078" s="91" t="s">
        <v>72</v>
      </c>
      <c r="K1078" s="152">
        <v>7.3209999999999997</v>
      </c>
      <c r="L1078" s="122" t="str">
        <f>VLOOKUP(K1078,Liste!$L$2:$O$34,4,1)</f>
        <v>GSMR_02/03</v>
      </c>
      <c r="M1078" s="133" t="s">
        <v>36</v>
      </c>
      <c r="N1078" s="181" t="s">
        <v>58</v>
      </c>
      <c r="O1078" s="117" t="s">
        <v>2365</v>
      </c>
      <c r="P1078" s="116" t="s">
        <v>2253</v>
      </c>
      <c r="Q1078" s="118" t="s">
        <v>531</v>
      </c>
      <c r="R1078" s="94" t="s">
        <v>1032</v>
      </c>
      <c r="S1078" s="124" t="s">
        <v>2366</v>
      </c>
      <c r="T1078" s="124" t="s">
        <v>56</v>
      </c>
      <c r="U1078" s="124" t="s">
        <v>1745</v>
      </c>
      <c r="V1078" s="124" t="s">
        <v>51</v>
      </c>
      <c r="W1078" s="124" t="s">
        <v>51</v>
      </c>
      <c r="X1078" s="124" t="s">
        <v>52</v>
      </c>
      <c r="Y1078" s="124" t="s">
        <v>2109</v>
      </c>
      <c r="Z1078" s="124"/>
      <c r="AA1078" s="124" t="s">
        <v>745</v>
      </c>
      <c r="AB1078" s="91"/>
      <c r="AC1078" s="91"/>
      <c r="AD1078" s="91"/>
      <c r="AE1078" s="91"/>
      <c r="AF1078" s="91"/>
      <c r="AG1078" s="91"/>
      <c r="AH1078" s="91"/>
    </row>
    <row r="1079" spans="1:34" ht="120">
      <c r="A1079" s="120">
        <v>1078</v>
      </c>
      <c r="B1079" s="120" t="b">
        <f t="shared" ca="1" si="16"/>
        <v>0</v>
      </c>
      <c r="C1079" s="121">
        <v>45693</v>
      </c>
      <c r="D1079" s="137">
        <v>0.87822916666666662</v>
      </c>
      <c r="E1079" s="94">
        <v>1053</v>
      </c>
      <c r="F1079" s="91">
        <v>1201</v>
      </c>
      <c r="G1079" s="94" t="s">
        <v>71</v>
      </c>
      <c r="H1079" s="94">
        <v>1028</v>
      </c>
      <c r="I1079" s="115">
        <v>35214500045449</v>
      </c>
      <c r="J1079" s="91" t="s">
        <v>72</v>
      </c>
      <c r="K1079" s="152">
        <v>7.3209999999999997</v>
      </c>
      <c r="L1079" s="122" t="str">
        <f>VLOOKUP(K1079,Liste!$L$2:$O$34,4,1)</f>
        <v>GSMR_02/03</v>
      </c>
      <c r="M1079" s="133" t="s">
        <v>36</v>
      </c>
      <c r="N1079" s="181" t="s">
        <v>58</v>
      </c>
      <c r="O1079" s="117" t="s">
        <v>2367</v>
      </c>
      <c r="P1079" s="116" t="s">
        <v>2253</v>
      </c>
      <c r="Q1079" s="118" t="s">
        <v>531</v>
      </c>
      <c r="R1079" s="94" t="s">
        <v>1032</v>
      </c>
      <c r="S1079" s="124" t="s">
        <v>2368</v>
      </c>
      <c r="T1079" s="124" t="s">
        <v>56</v>
      </c>
      <c r="U1079" s="124" t="s">
        <v>1460</v>
      </c>
      <c r="V1079" s="124" t="s">
        <v>51</v>
      </c>
      <c r="W1079" s="124" t="s">
        <v>51</v>
      </c>
      <c r="X1079" s="124" t="s">
        <v>52</v>
      </c>
      <c r="Y1079" s="124" t="s">
        <v>2109</v>
      </c>
      <c r="Z1079" s="124"/>
      <c r="AA1079" s="124" t="s">
        <v>754</v>
      </c>
      <c r="AB1079" s="91"/>
      <c r="AC1079" s="91"/>
      <c r="AD1079" s="91"/>
      <c r="AE1079" s="91"/>
      <c r="AF1079" s="91"/>
      <c r="AG1079" s="91"/>
      <c r="AH1079" s="91"/>
    </row>
    <row r="1080" spans="1:34" ht="75">
      <c r="A1080" s="120">
        <v>1079</v>
      </c>
      <c r="B1080" s="120" t="b">
        <f t="shared" ca="1" si="16"/>
        <v>0</v>
      </c>
      <c r="C1080" s="121">
        <v>45694</v>
      </c>
      <c r="D1080" s="137">
        <v>0.55862268518518521</v>
      </c>
      <c r="E1080" s="94">
        <v>1025</v>
      </c>
      <c r="F1080" s="91">
        <v>1205</v>
      </c>
      <c r="G1080" s="94" t="s">
        <v>71</v>
      </c>
      <c r="H1080" s="94">
        <v>1061</v>
      </c>
      <c r="I1080" s="115">
        <v>35214500042751</v>
      </c>
      <c r="J1080" s="91" t="s">
        <v>72</v>
      </c>
      <c r="K1080" s="91">
        <v>198.98400000000001</v>
      </c>
      <c r="L1080" s="122" t="str">
        <f>VLOOKUP(K1080,Liste!$L$2:$O$34,4,1)</f>
        <v>GSMR_33/RAC</v>
      </c>
      <c r="M1080" s="133" t="s">
        <v>36</v>
      </c>
      <c r="N1080" s="181" t="s">
        <v>58</v>
      </c>
      <c r="O1080" s="117" t="s">
        <v>2369</v>
      </c>
      <c r="P1080" s="117" t="s">
        <v>2346</v>
      </c>
      <c r="Q1080" s="118" t="s">
        <v>2370</v>
      </c>
      <c r="R1080" s="129" t="s">
        <v>2371</v>
      </c>
      <c r="S1080" s="124" t="s">
        <v>2372</v>
      </c>
      <c r="T1080" s="124" t="s">
        <v>69</v>
      </c>
      <c r="U1080" s="124" t="s">
        <v>1622</v>
      </c>
      <c r="V1080" s="124" t="s">
        <v>51</v>
      </c>
      <c r="W1080" s="124" t="s">
        <v>43</v>
      </c>
      <c r="X1080" s="124" t="s">
        <v>52</v>
      </c>
      <c r="Y1080" s="124" t="s">
        <v>2199</v>
      </c>
      <c r="Z1080" s="124"/>
      <c r="AA1080" s="124" t="s">
        <v>802</v>
      </c>
      <c r="AB1080" s="91"/>
      <c r="AC1080" s="91"/>
      <c r="AD1080" s="91"/>
      <c r="AE1080" s="91"/>
      <c r="AF1080" s="91"/>
      <c r="AG1080" s="91"/>
      <c r="AH1080" s="91"/>
    </row>
    <row r="1081" spans="1:34" ht="120">
      <c r="A1081" s="120">
        <v>1080</v>
      </c>
      <c r="B1081" s="120" t="b">
        <f t="shared" ca="1" si="16"/>
        <v>0</v>
      </c>
      <c r="C1081" s="121">
        <v>45695</v>
      </c>
      <c r="D1081" s="137">
        <v>0.71151620370370372</v>
      </c>
      <c r="E1081" s="94">
        <v>2045</v>
      </c>
      <c r="F1081" s="91">
        <v>1208</v>
      </c>
      <c r="G1081" s="94" t="s">
        <v>34</v>
      </c>
      <c r="H1081" s="94">
        <v>1036</v>
      </c>
      <c r="I1081" s="115">
        <v>35214500045488</v>
      </c>
      <c r="J1081" s="91" t="s">
        <v>35</v>
      </c>
      <c r="K1081" s="152">
        <v>6.13</v>
      </c>
      <c r="L1081" s="122" t="str">
        <f>VLOOKUP(K1081,Liste!$L$2:$O$34,4,1)</f>
        <v>GSMR_02/03</v>
      </c>
      <c r="M1081" s="133" t="s">
        <v>36</v>
      </c>
      <c r="N1081" s="181" t="s">
        <v>58</v>
      </c>
      <c r="O1081" s="117" t="s">
        <v>2373</v>
      </c>
      <c r="P1081" s="116" t="s">
        <v>2253</v>
      </c>
      <c r="Q1081" s="118" t="s">
        <v>531</v>
      </c>
      <c r="R1081" s="94" t="s">
        <v>1032</v>
      </c>
      <c r="S1081" s="124" t="s">
        <v>2374</v>
      </c>
      <c r="T1081" s="124" t="s">
        <v>56</v>
      </c>
      <c r="U1081" s="124" t="s">
        <v>1526</v>
      </c>
      <c r="V1081" s="124" t="s">
        <v>51</v>
      </c>
      <c r="W1081" s="124" t="s">
        <v>43</v>
      </c>
      <c r="X1081" s="124" t="s">
        <v>52</v>
      </c>
      <c r="Y1081" s="124" t="s">
        <v>2109</v>
      </c>
      <c r="Z1081" s="124"/>
      <c r="AA1081" s="124" t="s">
        <v>1183</v>
      </c>
      <c r="AB1081" s="91"/>
      <c r="AC1081" s="91"/>
      <c r="AD1081" s="91"/>
      <c r="AE1081" s="91"/>
      <c r="AF1081" s="91"/>
      <c r="AG1081" s="91"/>
      <c r="AH1081" s="91"/>
    </row>
    <row r="1082" spans="1:34" ht="120">
      <c r="A1082" s="120">
        <v>1081</v>
      </c>
      <c r="B1082" s="120" t="b">
        <f t="shared" ca="1" si="16"/>
        <v>0</v>
      </c>
      <c r="C1082" s="121">
        <v>45695</v>
      </c>
      <c r="D1082" s="123">
        <v>0.79515046296296299</v>
      </c>
      <c r="E1082" s="94">
        <v>2053</v>
      </c>
      <c r="F1082" s="91">
        <v>1209</v>
      </c>
      <c r="G1082" s="94" t="s">
        <v>34</v>
      </c>
      <c r="H1082" s="94">
        <v>1037</v>
      </c>
      <c r="I1082" s="115">
        <v>35214500044293</v>
      </c>
      <c r="J1082" s="91" t="s">
        <v>35</v>
      </c>
      <c r="K1082" s="152">
        <v>6.13</v>
      </c>
      <c r="L1082" s="122" t="str">
        <f>VLOOKUP(K1082,Liste!$L$2:$O$34,4,1)</f>
        <v>GSMR_02/03</v>
      </c>
      <c r="M1082" s="133" t="s">
        <v>36</v>
      </c>
      <c r="N1082" s="124" t="s">
        <v>37</v>
      </c>
      <c r="O1082" s="117" t="s">
        <v>2375</v>
      </c>
      <c r="P1082" s="116" t="s">
        <v>2253</v>
      </c>
      <c r="Q1082" s="118" t="s">
        <v>531</v>
      </c>
      <c r="R1082" s="94" t="s">
        <v>1032</v>
      </c>
      <c r="S1082" s="124" t="s">
        <v>2366</v>
      </c>
      <c r="T1082" s="124" t="s">
        <v>93</v>
      </c>
      <c r="U1082" s="124" t="s">
        <v>1538</v>
      </c>
      <c r="V1082" s="124" t="s">
        <v>51</v>
      </c>
      <c r="W1082" s="124" t="s">
        <v>51</v>
      </c>
      <c r="X1082" s="124" t="s">
        <v>52</v>
      </c>
      <c r="Y1082" s="124" t="s">
        <v>2109</v>
      </c>
      <c r="Z1082" s="124"/>
      <c r="AA1082" s="124" t="s">
        <v>1295</v>
      </c>
      <c r="AB1082" s="91"/>
      <c r="AC1082" s="91"/>
      <c r="AD1082" s="91"/>
      <c r="AE1082" s="91"/>
      <c r="AF1082" s="91"/>
      <c r="AG1082" s="91"/>
      <c r="AH1082" s="91"/>
    </row>
    <row r="1083" spans="1:34" ht="120">
      <c r="A1083" s="120">
        <v>1082</v>
      </c>
      <c r="B1083" s="120" t="b">
        <f t="shared" ca="1" si="16"/>
        <v>0</v>
      </c>
      <c r="C1083" s="121">
        <v>45696</v>
      </c>
      <c r="D1083" s="137">
        <v>0.62866898148148154</v>
      </c>
      <c r="E1083" s="94">
        <v>2037</v>
      </c>
      <c r="F1083" s="91">
        <v>1206</v>
      </c>
      <c r="G1083" s="94" t="s">
        <v>34</v>
      </c>
      <c r="H1083" s="94">
        <v>1055</v>
      </c>
      <c r="I1083" s="115">
        <v>35214500036582</v>
      </c>
      <c r="J1083" s="91" t="s">
        <v>35</v>
      </c>
      <c r="K1083" s="152">
        <v>6.13</v>
      </c>
      <c r="L1083" s="122" t="str">
        <f>VLOOKUP(K1083,Liste!$L$2:$O$34,4,1)</f>
        <v>GSMR_02/03</v>
      </c>
      <c r="M1083" s="133" t="s">
        <v>36</v>
      </c>
      <c r="N1083" s="181" t="s">
        <v>58</v>
      </c>
      <c r="O1083" s="117" t="s">
        <v>2376</v>
      </c>
      <c r="P1083" s="116" t="s">
        <v>2253</v>
      </c>
      <c r="Q1083" s="118" t="s">
        <v>531</v>
      </c>
      <c r="R1083" s="94" t="s">
        <v>1032</v>
      </c>
      <c r="S1083" s="124" t="s">
        <v>2366</v>
      </c>
      <c r="T1083" s="124" t="s">
        <v>78</v>
      </c>
      <c r="U1083" s="124" t="s">
        <v>1693</v>
      </c>
      <c r="V1083" s="124" t="s">
        <v>43</v>
      </c>
      <c r="W1083" s="124" t="s">
        <v>51</v>
      </c>
      <c r="X1083" s="124" t="s">
        <v>52</v>
      </c>
      <c r="Y1083" s="124" t="s">
        <v>2109</v>
      </c>
      <c r="Z1083" s="124"/>
      <c r="AA1083" s="124" t="s">
        <v>1183</v>
      </c>
      <c r="AB1083" s="91"/>
      <c r="AC1083" s="91"/>
      <c r="AD1083" s="91"/>
      <c r="AE1083" s="91"/>
      <c r="AF1083" s="91"/>
      <c r="AG1083" s="91"/>
      <c r="AH1083" s="91"/>
    </row>
    <row r="1084" spans="1:34" ht="120">
      <c r="A1084" s="120">
        <v>1083</v>
      </c>
      <c r="B1084" s="120" t="b">
        <f t="shared" ca="1" si="16"/>
        <v>0</v>
      </c>
      <c r="C1084" s="121">
        <v>45696</v>
      </c>
      <c r="D1084" s="137">
        <v>0.83667824074074071</v>
      </c>
      <c r="E1084" s="94">
        <v>1050</v>
      </c>
      <c r="F1084" s="91">
        <v>1206</v>
      </c>
      <c r="G1084" s="94" t="s">
        <v>71</v>
      </c>
      <c r="H1084" s="94">
        <v>1040</v>
      </c>
      <c r="I1084" s="115">
        <v>35214500045477</v>
      </c>
      <c r="J1084" s="91" t="s">
        <v>72</v>
      </c>
      <c r="K1084" s="152">
        <v>7.3209999999999997</v>
      </c>
      <c r="L1084" s="122" t="str">
        <f>VLOOKUP(K1084,Liste!$L$2:$O$34,4,1)</f>
        <v>GSMR_02/03</v>
      </c>
      <c r="M1084" s="133" t="s">
        <v>36</v>
      </c>
      <c r="N1084" s="124" t="s">
        <v>37</v>
      </c>
      <c r="O1084" s="117" t="s">
        <v>2375</v>
      </c>
      <c r="P1084" s="116" t="s">
        <v>2253</v>
      </c>
      <c r="Q1084" s="118" t="s">
        <v>531</v>
      </c>
      <c r="R1084" s="94" t="s">
        <v>1032</v>
      </c>
      <c r="S1084" s="124" t="s">
        <v>2368</v>
      </c>
      <c r="T1084" s="124" t="s">
        <v>56</v>
      </c>
      <c r="U1084" s="124" t="s">
        <v>1460</v>
      </c>
      <c r="V1084" s="124" t="s">
        <v>43</v>
      </c>
      <c r="W1084" s="124" t="s">
        <v>51</v>
      </c>
      <c r="X1084" s="124" t="s">
        <v>52</v>
      </c>
      <c r="Y1084" s="124" t="s">
        <v>2109</v>
      </c>
      <c r="Z1084" s="124"/>
      <c r="AA1084" s="124" t="s">
        <v>1295</v>
      </c>
      <c r="AB1084" s="91"/>
      <c r="AC1084" s="91"/>
      <c r="AD1084" s="91"/>
      <c r="AE1084" s="91"/>
      <c r="AF1084" s="91"/>
      <c r="AG1084" s="91"/>
      <c r="AH1084" s="91"/>
    </row>
    <row r="1085" spans="1:34" ht="90">
      <c r="A1085" s="120">
        <v>1084</v>
      </c>
      <c r="B1085" s="120" t="b">
        <f t="shared" ca="1" si="16"/>
        <v>0</v>
      </c>
      <c r="C1085" s="121">
        <v>45697</v>
      </c>
      <c r="D1085" s="137">
        <v>0.25591435185185185</v>
      </c>
      <c r="E1085" s="94">
        <v>10071</v>
      </c>
      <c r="F1085" s="91">
        <v>1211</v>
      </c>
      <c r="G1085" s="94" t="s">
        <v>34</v>
      </c>
      <c r="H1085" s="94">
        <v>7195</v>
      </c>
      <c r="I1085" s="115">
        <v>35214500047160</v>
      </c>
      <c r="J1085" s="91" t="s">
        <v>35</v>
      </c>
      <c r="K1085" s="91">
        <v>177.85</v>
      </c>
      <c r="L1085" s="122" t="str">
        <f>VLOOKUP(K1085,Liste!$L$2:$O$34,4,1)</f>
        <v>GSMR_30/31</v>
      </c>
      <c r="M1085" s="133" t="s">
        <v>36</v>
      </c>
      <c r="N1085" s="124" t="s">
        <v>37</v>
      </c>
      <c r="O1085" s="117" t="s">
        <v>2377</v>
      </c>
      <c r="P1085" s="117" t="s">
        <v>2272</v>
      </c>
      <c r="Q1085" s="94" t="s">
        <v>54</v>
      </c>
      <c r="R1085" s="129" t="s">
        <v>2215</v>
      </c>
      <c r="S1085" s="124" t="s">
        <v>2378</v>
      </c>
      <c r="T1085" s="124" t="s">
        <v>69</v>
      </c>
      <c r="U1085" s="124" t="s">
        <v>1481</v>
      </c>
      <c r="V1085" s="124" t="s">
        <v>51</v>
      </c>
      <c r="W1085" s="124" t="s">
        <v>51</v>
      </c>
      <c r="X1085" s="124" t="s">
        <v>52</v>
      </c>
      <c r="Y1085" s="124" t="s">
        <v>2379</v>
      </c>
      <c r="Z1085" s="124"/>
      <c r="AA1085" s="124" t="s">
        <v>810</v>
      </c>
      <c r="AB1085" s="91"/>
      <c r="AC1085" s="91"/>
      <c r="AD1085" s="91"/>
      <c r="AE1085" s="91"/>
      <c r="AF1085" s="91"/>
      <c r="AG1085" s="91"/>
      <c r="AH1085" s="91"/>
    </row>
    <row r="1086" spans="1:34" ht="75">
      <c r="A1086" s="120">
        <v>1085</v>
      </c>
      <c r="B1086" s="120" t="b">
        <f t="shared" ca="1" si="16"/>
        <v>0</v>
      </c>
      <c r="C1086" s="121">
        <v>45697</v>
      </c>
      <c r="D1086" s="137">
        <v>0.48269675925925926</v>
      </c>
      <c r="E1086" s="94">
        <v>2021</v>
      </c>
      <c r="F1086" s="91">
        <v>1204</v>
      </c>
      <c r="G1086" s="94" t="s">
        <v>34</v>
      </c>
      <c r="H1086" s="94">
        <v>1053</v>
      </c>
      <c r="I1086" s="115">
        <v>35214500044497</v>
      </c>
      <c r="J1086" s="91" t="s">
        <v>35</v>
      </c>
      <c r="K1086" s="91">
        <v>143.54</v>
      </c>
      <c r="L1086" s="122" t="str">
        <f>VLOOKUP(K1086,Liste!$L$2:$O$34,4,1)</f>
        <v>GSMR_25/26</v>
      </c>
      <c r="M1086" s="133" t="s">
        <v>36</v>
      </c>
      <c r="N1086" s="124" t="s">
        <v>37</v>
      </c>
      <c r="O1086" s="117" t="s">
        <v>2380</v>
      </c>
      <c r="P1086" s="117" t="s">
        <v>2346</v>
      </c>
      <c r="Q1086" s="118" t="s">
        <v>105</v>
      </c>
      <c r="R1086" s="129" t="s">
        <v>1072</v>
      </c>
      <c r="S1086" s="124" t="s">
        <v>2381</v>
      </c>
      <c r="T1086" s="124" t="s">
        <v>101</v>
      </c>
      <c r="U1086" s="124" t="s">
        <v>1471</v>
      </c>
      <c r="V1086" s="124" t="s">
        <v>51</v>
      </c>
      <c r="W1086" s="124" t="s">
        <v>51</v>
      </c>
      <c r="X1086" s="124" t="s">
        <v>52</v>
      </c>
      <c r="Y1086" s="124" t="s">
        <v>2199</v>
      </c>
      <c r="Z1086" s="124"/>
      <c r="AA1086" s="124" t="s">
        <v>810</v>
      </c>
      <c r="AB1086" s="91"/>
      <c r="AC1086" s="91"/>
      <c r="AD1086" s="91"/>
      <c r="AE1086" s="91"/>
      <c r="AF1086" s="91"/>
      <c r="AG1086" s="91"/>
      <c r="AH1086" s="91"/>
    </row>
    <row r="1087" spans="1:34" ht="90">
      <c r="A1087" s="120">
        <v>1086</v>
      </c>
      <c r="B1087" s="120" t="b">
        <f t="shared" ca="1" si="16"/>
        <v>0</v>
      </c>
      <c r="C1087" s="121">
        <v>45697</v>
      </c>
      <c r="D1087" s="137">
        <v>0.56373842592592593</v>
      </c>
      <c r="E1087" s="94">
        <v>1025</v>
      </c>
      <c r="F1087" s="91">
        <v>1211</v>
      </c>
      <c r="G1087" s="94" t="s">
        <v>71</v>
      </c>
      <c r="H1087" s="94">
        <v>3062</v>
      </c>
      <c r="I1087" s="115">
        <v>35214500046055</v>
      </c>
      <c r="J1087" s="91" t="s">
        <v>72</v>
      </c>
      <c r="K1087" s="91">
        <v>161.72200000000001</v>
      </c>
      <c r="L1087" s="122" t="str">
        <f>VLOOKUP(K1087,Liste!$L$2:$O$34,4,1)</f>
        <v>GSMR_27/28</v>
      </c>
      <c r="M1087" s="133" t="s">
        <v>36</v>
      </c>
      <c r="N1087" s="124" t="s">
        <v>37</v>
      </c>
      <c r="O1087" s="117" t="s">
        <v>2382</v>
      </c>
      <c r="P1087" s="117" t="s">
        <v>2272</v>
      </c>
      <c r="Q1087" s="118" t="s">
        <v>531</v>
      </c>
      <c r="R1087" s="94" t="s">
        <v>1032</v>
      </c>
      <c r="S1087" s="124" t="s">
        <v>2383</v>
      </c>
      <c r="T1087" s="124" t="s">
        <v>101</v>
      </c>
      <c r="U1087" s="124" t="s">
        <v>1498</v>
      </c>
      <c r="V1087" s="124" t="s">
        <v>43</v>
      </c>
      <c r="W1087" s="124" t="s">
        <v>51</v>
      </c>
      <c r="X1087" s="124" t="s">
        <v>52</v>
      </c>
      <c r="Y1087" s="124" t="s">
        <v>2109</v>
      </c>
      <c r="Z1087" s="124"/>
      <c r="AA1087" s="124" t="s">
        <v>1295</v>
      </c>
      <c r="AB1087" s="91"/>
      <c r="AC1087" s="91"/>
      <c r="AD1087" s="91"/>
      <c r="AE1087" s="91"/>
      <c r="AF1087" s="91"/>
      <c r="AG1087" s="91"/>
      <c r="AH1087" s="91"/>
    </row>
    <row r="1088" spans="1:34" ht="120">
      <c r="A1088" s="120">
        <v>1087</v>
      </c>
      <c r="B1088" s="120" t="b">
        <f t="shared" ca="1" si="16"/>
        <v>0</v>
      </c>
      <c r="C1088" s="121">
        <v>45697</v>
      </c>
      <c r="D1088" s="137">
        <v>0.58729166666666666</v>
      </c>
      <c r="E1088" s="94">
        <v>2033</v>
      </c>
      <c r="F1088" s="91">
        <v>1209</v>
      </c>
      <c r="G1088" s="94" t="s">
        <v>34</v>
      </c>
      <c r="H1088" s="94">
        <v>1058</v>
      </c>
      <c r="I1088" s="115">
        <v>35214500004427</v>
      </c>
      <c r="J1088" s="91" t="s">
        <v>35</v>
      </c>
      <c r="K1088" s="152">
        <v>6.13</v>
      </c>
      <c r="L1088" s="122" t="str">
        <f>VLOOKUP(K1088,Liste!$L$2:$O$34,4,1)</f>
        <v>GSMR_02/03</v>
      </c>
      <c r="M1088" s="133" t="s">
        <v>36</v>
      </c>
      <c r="N1088" s="124" t="s">
        <v>37</v>
      </c>
      <c r="O1088" s="117" t="s">
        <v>2384</v>
      </c>
      <c r="P1088" s="116" t="s">
        <v>2253</v>
      </c>
      <c r="Q1088" s="118" t="s">
        <v>531</v>
      </c>
      <c r="R1088" s="94" t="s">
        <v>1032</v>
      </c>
      <c r="S1088" s="124" t="s">
        <v>2385</v>
      </c>
      <c r="T1088" s="124" t="s">
        <v>101</v>
      </c>
      <c r="U1088" s="124" t="s">
        <v>1693</v>
      </c>
      <c r="V1088" s="124" t="s">
        <v>51</v>
      </c>
      <c r="W1088" s="124" t="s">
        <v>51</v>
      </c>
      <c r="X1088" s="124" t="s">
        <v>52</v>
      </c>
      <c r="Y1088" s="124" t="s">
        <v>2109</v>
      </c>
      <c r="Z1088" s="124"/>
      <c r="AA1088" s="124" t="s">
        <v>1295</v>
      </c>
      <c r="AB1088" s="91"/>
      <c r="AC1088" s="91"/>
      <c r="AD1088" s="91"/>
      <c r="AE1088" s="91"/>
      <c r="AF1088" s="91"/>
      <c r="AG1088" s="91"/>
      <c r="AH1088" s="91"/>
    </row>
    <row r="1089" spans="1:34" ht="75">
      <c r="A1089" s="120">
        <v>1088</v>
      </c>
      <c r="B1089" s="120" t="b">
        <f t="shared" ca="1" si="16"/>
        <v>0</v>
      </c>
      <c r="C1089" s="121">
        <v>45697</v>
      </c>
      <c r="D1089" s="137">
        <v>0.85788194444444443</v>
      </c>
      <c r="E1089" s="94">
        <v>2057</v>
      </c>
      <c r="F1089" s="91">
        <v>1209</v>
      </c>
      <c r="G1089" s="94" t="s">
        <v>34</v>
      </c>
      <c r="H1089" s="94">
        <v>1058</v>
      </c>
      <c r="I1089" s="115">
        <v>35214500004427</v>
      </c>
      <c r="J1089" s="91" t="s">
        <v>35</v>
      </c>
      <c r="K1089" s="91">
        <v>144.32599999999999</v>
      </c>
      <c r="L1089" s="122" t="str">
        <f>VLOOKUP(K1089,Liste!$L$2:$O$34,4,1)</f>
        <v>GSMR_25/26</v>
      </c>
      <c r="M1089" s="133" t="s">
        <v>36</v>
      </c>
      <c r="N1089" s="181" t="s">
        <v>58</v>
      </c>
      <c r="O1089" s="117" t="s">
        <v>2380</v>
      </c>
      <c r="P1089" s="117" t="s">
        <v>2346</v>
      </c>
      <c r="Q1089" s="118" t="s">
        <v>105</v>
      </c>
      <c r="R1089" s="129" t="s">
        <v>1072</v>
      </c>
      <c r="S1089" s="124" t="s">
        <v>2386</v>
      </c>
      <c r="T1089" s="124" t="s">
        <v>209</v>
      </c>
      <c r="U1089" s="124" t="s">
        <v>1693</v>
      </c>
      <c r="V1089" s="124" t="s">
        <v>51</v>
      </c>
      <c r="W1089" s="124" t="s">
        <v>51</v>
      </c>
      <c r="X1089" s="124" t="s">
        <v>52</v>
      </c>
      <c r="Y1089" s="124" t="s">
        <v>2107</v>
      </c>
      <c r="Z1089" s="124"/>
      <c r="AA1089" s="124" t="s">
        <v>772</v>
      </c>
      <c r="AB1089" s="91"/>
      <c r="AC1089" s="91"/>
      <c r="AD1089" s="91"/>
      <c r="AE1089" s="91"/>
      <c r="AF1089" s="91"/>
      <c r="AG1089" s="91"/>
      <c r="AH1089" s="91"/>
    </row>
    <row r="1090" spans="1:34" ht="120">
      <c r="A1090" s="120">
        <v>1089</v>
      </c>
      <c r="B1090" s="120" t="b">
        <f t="shared" ref="B1090:B1153" ca="1" si="17">AND(C1090&gt;=TODAY()-7, C1090&lt;=TODAY()-1)</f>
        <v>0</v>
      </c>
      <c r="C1090" s="121">
        <v>45698</v>
      </c>
      <c r="D1090" s="137">
        <v>0.71122685185185186</v>
      </c>
      <c r="E1090" s="94">
        <v>1038</v>
      </c>
      <c r="F1090" s="91">
        <v>1207</v>
      </c>
      <c r="G1090" s="94" t="s">
        <v>71</v>
      </c>
      <c r="H1090" s="94">
        <v>1046</v>
      </c>
      <c r="I1090" s="115">
        <v>35214500038727</v>
      </c>
      <c r="J1090" s="91" t="s">
        <v>72</v>
      </c>
      <c r="K1090" s="152">
        <v>7.3209999999999997</v>
      </c>
      <c r="L1090" s="122" t="str">
        <f>VLOOKUP(K1090,Liste!$L$2:$O$34,4,1)</f>
        <v>GSMR_02/03</v>
      </c>
      <c r="M1090" s="133" t="s">
        <v>36</v>
      </c>
      <c r="N1090" s="124" t="s">
        <v>37</v>
      </c>
      <c r="O1090" s="117" t="s">
        <v>2387</v>
      </c>
      <c r="P1090" s="116" t="s">
        <v>2253</v>
      </c>
      <c r="Q1090" s="118" t="s">
        <v>531</v>
      </c>
      <c r="R1090" s="94" t="s">
        <v>1032</v>
      </c>
      <c r="S1090" s="124" t="s">
        <v>2374</v>
      </c>
      <c r="T1090" s="124" t="s">
        <v>93</v>
      </c>
      <c r="U1090" s="124" t="s">
        <v>1460</v>
      </c>
      <c r="V1090" s="124" t="s">
        <v>43</v>
      </c>
      <c r="W1090" s="124" t="s">
        <v>51</v>
      </c>
      <c r="X1090" s="124" t="s">
        <v>52</v>
      </c>
      <c r="Y1090" s="124" t="s">
        <v>2109</v>
      </c>
      <c r="Z1090" s="124"/>
      <c r="AA1090" s="124" t="s">
        <v>1295</v>
      </c>
      <c r="AB1090" s="91"/>
      <c r="AC1090" s="91"/>
      <c r="AD1090" s="91"/>
      <c r="AE1090" s="91"/>
      <c r="AF1090" s="91"/>
      <c r="AG1090" s="91"/>
      <c r="AH1090" s="91"/>
    </row>
    <row r="1091" spans="1:34" ht="90">
      <c r="A1091" s="120">
        <v>1090</v>
      </c>
      <c r="B1091" s="120" t="b">
        <f t="shared" ca="1" si="17"/>
        <v>0</v>
      </c>
      <c r="C1091" s="121">
        <v>45698</v>
      </c>
      <c r="D1091" s="137">
        <v>0.85416666666666663</v>
      </c>
      <c r="E1091" s="94">
        <v>1053</v>
      </c>
      <c r="F1091" s="91">
        <v>1206</v>
      </c>
      <c r="G1091" s="94" t="s">
        <v>71</v>
      </c>
      <c r="H1091" s="94">
        <v>1047</v>
      </c>
      <c r="I1091" s="115">
        <v>35214500045477</v>
      </c>
      <c r="J1091" s="91" t="s">
        <v>72</v>
      </c>
      <c r="K1091" s="91">
        <v>177.85</v>
      </c>
      <c r="L1091" s="122" t="str">
        <f>VLOOKUP(K1091,Liste!$L$2:$O$34,4,1)</f>
        <v>GSMR_30/31</v>
      </c>
      <c r="M1091" s="133" t="s">
        <v>36</v>
      </c>
      <c r="N1091" s="124" t="s">
        <v>37</v>
      </c>
      <c r="O1091" s="117" t="s">
        <v>2388</v>
      </c>
      <c r="P1091" s="117" t="s">
        <v>2389</v>
      </c>
      <c r="Q1091" s="94" t="s">
        <v>54</v>
      </c>
      <c r="R1091" s="129" t="s">
        <v>2215</v>
      </c>
      <c r="S1091" s="124" t="s">
        <v>2390</v>
      </c>
      <c r="T1091" s="124" t="s">
        <v>116</v>
      </c>
      <c r="U1091" s="124" t="s">
        <v>1493</v>
      </c>
      <c r="V1091" s="124" t="s">
        <v>43</v>
      </c>
      <c r="W1091" s="124" t="s">
        <v>51</v>
      </c>
      <c r="X1091" s="124" t="s">
        <v>52</v>
      </c>
      <c r="Y1091" s="124" t="s">
        <v>2109</v>
      </c>
      <c r="Z1091" s="124"/>
      <c r="AA1091" s="124" t="s">
        <v>1342</v>
      </c>
      <c r="AB1091" s="91"/>
      <c r="AC1091" s="91"/>
      <c r="AD1091" s="91"/>
      <c r="AE1091" s="91"/>
      <c r="AF1091" s="91"/>
      <c r="AG1091" s="91"/>
      <c r="AH1091" s="91"/>
    </row>
    <row r="1092" spans="1:34" ht="90">
      <c r="A1092" s="120">
        <v>1091</v>
      </c>
      <c r="B1092" s="120" t="b">
        <f t="shared" ca="1" si="17"/>
        <v>0</v>
      </c>
      <c r="C1092" s="121">
        <v>45699</v>
      </c>
      <c r="D1092" s="137">
        <v>0.44201388888888887</v>
      </c>
      <c r="E1092" s="94">
        <v>1013</v>
      </c>
      <c r="F1092" s="91">
        <v>1206</v>
      </c>
      <c r="G1092" s="94" t="s">
        <v>71</v>
      </c>
      <c r="H1092" s="94">
        <v>1040</v>
      </c>
      <c r="I1092" s="115">
        <v>35214500045477</v>
      </c>
      <c r="J1092" s="91" t="s">
        <v>72</v>
      </c>
      <c r="K1092" s="91">
        <v>152.488</v>
      </c>
      <c r="L1092" s="122" t="str">
        <f>VLOOKUP(K1092,Liste!$L$2:$O$34,4,1)</f>
        <v>GSMR_26/27</v>
      </c>
      <c r="M1092" s="133" t="s">
        <v>36</v>
      </c>
      <c r="N1092" s="124" t="s">
        <v>37</v>
      </c>
      <c r="O1092" s="117" t="s">
        <v>2391</v>
      </c>
      <c r="P1092" s="117" t="s">
        <v>2392</v>
      </c>
      <c r="Q1092" s="118" t="s">
        <v>47</v>
      </c>
      <c r="R1092" s="129" t="s">
        <v>2233</v>
      </c>
      <c r="S1092" s="124" t="s">
        <v>2393</v>
      </c>
      <c r="T1092" s="124" t="s">
        <v>56</v>
      </c>
      <c r="U1092" s="124" t="s">
        <v>1595</v>
      </c>
      <c r="V1092" s="124" t="s">
        <v>43</v>
      </c>
      <c r="W1092" s="124" t="s">
        <v>51</v>
      </c>
      <c r="X1092" s="124" t="s">
        <v>52</v>
      </c>
      <c r="Y1092" s="124" t="s">
        <v>2109</v>
      </c>
      <c r="Z1092" s="124"/>
      <c r="AA1092" s="124" t="s">
        <v>802</v>
      </c>
      <c r="AB1092" s="91"/>
      <c r="AC1092" s="91"/>
      <c r="AD1092" s="91"/>
      <c r="AE1092" s="91"/>
      <c r="AF1092" s="91"/>
      <c r="AG1092" s="91"/>
      <c r="AH1092" s="91"/>
    </row>
    <row r="1093" spans="1:34" ht="90">
      <c r="A1093" s="120">
        <v>1092</v>
      </c>
      <c r="B1093" s="120" t="b">
        <f t="shared" ca="1" si="17"/>
        <v>0</v>
      </c>
      <c r="C1093" s="121">
        <v>45701</v>
      </c>
      <c r="D1093" s="137">
        <v>0.39420138888888889</v>
      </c>
      <c r="E1093" s="94">
        <v>2013</v>
      </c>
      <c r="F1093" s="91">
        <v>1205</v>
      </c>
      <c r="G1093" s="94" t="s">
        <v>34</v>
      </c>
      <c r="H1093" s="94">
        <v>7218</v>
      </c>
      <c r="I1093" s="115">
        <v>35214500044557</v>
      </c>
      <c r="J1093" s="91" t="s">
        <v>35</v>
      </c>
      <c r="K1093" s="91">
        <v>101.587</v>
      </c>
      <c r="L1093" s="122" t="str">
        <f>VLOOKUP(K1093,Liste!$L$2:$O$34,4,1)</f>
        <v>GSMR_18/19</v>
      </c>
      <c r="M1093" s="133" t="s">
        <v>36</v>
      </c>
      <c r="N1093" s="124" t="s">
        <v>37</v>
      </c>
      <c r="O1093" s="117" t="s">
        <v>2394</v>
      </c>
      <c r="P1093" s="117" t="s">
        <v>2272</v>
      </c>
      <c r="Q1093" s="94" t="s">
        <v>54</v>
      </c>
      <c r="R1093" s="129" t="s">
        <v>2215</v>
      </c>
      <c r="S1093" s="124" t="s">
        <v>2033</v>
      </c>
      <c r="T1093" s="124" t="s">
        <v>41</v>
      </c>
      <c r="U1093" s="124" t="s">
        <v>1541</v>
      </c>
      <c r="V1093" s="124" t="s">
        <v>43</v>
      </c>
      <c r="W1093" s="124" t="s">
        <v>51</v>
      </c>
      <c r="X1093" s="124" t="s">
        <v>52</v>
      </c>
      <c r="Y1093" s="124" t="s">
        <v>2109</v>
      </c>
      <c r="Z1093" s="124"/>
      <c r="AA1093" s="124" t="s">
        <v>802</v>
      </c>
      <c r="AB1093" s="91"/>
      <c r="AC1093" s="91"/>
      <c r="AD1093" s="91"/>
      <c r="AE1093" s="91"/>
      <c r="AF1093" s="91"/>
      <c r="AG1093" s="91"/>
      <c r="AH1093" s="91"/>
    </row>
    <row r="1094" spans="1:34" ht="120">
      <c r="A1094" s="120">
        <v>1093</v>
      </c>
      <c r="B1094" s="120" t="b">
        <f t="shared" ca="1" si="17"/>
        <v>0</v>
      </c>
      <c r="C1094" s="121">
        <v>45701</v>
      </c>
      <c r="D1094" s="137">
        <v>0.88115740740740744</v>
      </c>
      <c r="E1094" s="94">
        <v>1053</v>
      </c>
      <c r="F1094" s="91">
        <v>1204</v>
      </c>
      <c r="G1094" s="94" t="s">
        <v>71</v>
      </c>
      <c r="H1094" s="94">
        <v>1034</v>
      </c>
      <c r="I1094" s="115">
        <v>35214500046011</v>
      </c>
      <c r="J1094" s="91" t="s">
        <v>72</v>
      </c>
      <c r="K1094" s="152">
        <v>7.3209999999999997</v>
      </c>
      <c r="L1094" s="122" t="str">
        <f>VLOOKUP(K1094,Liste!$L$2:$O$34,4,1)</f>
        <v>GSMR_02/03</v>
      </c>
      <c r="M1094" s="133" t="s">
        <v>36</v>
      </c>
      <c r="N1094" s="124" t="s">
        <v>37</v>
      </c>
      <c r="O1094" s="117" t="s">
        <v>2395</v>
      </c>
      <c r="P1094" s="116" t="s">
        <v>2253</v>
      </c>
      <c r="Q1094" s="118" t="s">
        <v>531</v>
      </c>
      <c r="R1094" s="94" t="s">
        <v>1032</v>
      </c>
      <c r="S1094" s="124" t="s">
        <v>2261</v>
      </c>
      <c r="T1094" s="124" t="s">
        <v>116</v>
      </c>
      <c r="U1094" s="124" t="s">
        <v>1622</v>
      </c>
      <c r="V1094" s="124" t="s">
        <v>51</v>
      </c>
      <c r="W1094" s="124" t="s">
        <v>51</v>
      </c>
      <c r="X1094" s="124" t="s">
        <v>52</v>
      </c>
      <c r="Y1094" s="124" t="s">
        <v>2109</v>
      </c>
      <c r="Z1094" s="124"/>
      <c r="AA1094" s="124" t="s">
        <v>810</v>
      </c>
      <c r="AB1094" s="91"/>
      <c r="AC1094" s="91"/>
      <c r="AD1094" s="91"/>
      <c r="AE1094" s="91"/>
      <c r="AF1094" s="91"/>
      <c r="AG1094" s="91"/>
      <c r="AH1094" s="91"/>
    </row>
    <row r="1095" spans="1:34" ht="120">
      <c r="A1095" s="120">
        <v>1094</v>
      </c>
      <c r="B1095" s="120" t="b">
        <f t="shared" ca="1" si="17"/>
        <v>0</v>
      </c>
      <c r="C1095" s="121">
        <v>45702</v>
      </c>
      <c r="D1095" s="137">
        <v>0.62865740740740739</v>
      </c>
      <c r="E1095" s="94">
        <v>2037</v>
      </c>
      <c r="F1095" s="91">
        <v>1201</v>
      </c>
      <c r="G1095" s="94" t="s">
        <v>34</v>
      </c>
      <c r="H1095" s="94">
        <v>1056</v>
      </c>
      <c r="I1095" s="115">
        <v>35214500045217</v>
      </c>
      <c r="J1095" s="91" t="s">
        <v>35</v>
      </c>
      <c r="K1095" s="152">
        <v>6.13</v>
      </c>
      <c r="L1095" s="122" t="str">
        <f>VLOOKUP(K1095,Liste!$L$2:$O$34,4,1)</f>
        <v>GSMR_02/03</v>
      </c>
      <c r="M1095" s="133" t="s">
        <v>36</v>
      </c>
      <c r="N1095" s="181" t="s">
        <v>58</v>
      </c>
      <c r="O1095" s="117" t="s">
        <v>2396</v>
      </c>
      <c r="P1095" s="116" t="s">
        <v>2253</v>
      </c>
      <c r="Q1095" s="118" t="s">
        <v>531</v>
      </c>
      <c r="R1095" s="94" t="s">
        <v>1032</v>
      </c>
      <c r="S1095" s="124" t="s">
        <v>1255</v>
      </c>
      <c r="T1095" s="124" t="s">
        <v>56</v>
      </c>
      <c r="U1095" s="124" t="s">
        <v>1449</v>
      </c>
      <c r="V1095" s="124" t="s">
        <v>51</v>
      </c>
      <c r="W1095" s="124" t="s">
        <v>51</v>
      </c>
      <c r="X1095" s="124" t="s">
        <v>52</v>
      </c>
      <c r="Y1095" s="124" t="s">
        <v>2109</v>
      </c>
      <c r="Z1095" s="124"/>
      <c r="AA1095" s="124" t="s">
        <v>802</v>
      </c>
      <c r="AB1095" s="91"/>
      <c r="AC1095" s="91"/>
      <c r="AD1095" s="91"/>
      <c r="AE1095" s="91"/>
      <c r="AF1095" s="91"/>
      <c r="AG1095" s="91"/>
      <c r="AH1095" s="91"/>
    </row>
    <row r="1096" spans="1:34" ht="105">
      <c r="A1096" s="120">
        <v>1095</v>
      </c>
      <c r="B1096" s="120" t="b">
        <f t="shared" ca="1" si="17"/>
        <v>0</v>
      </c>
      <c r="C1096" s="121">
        <v>45703</v>
      </c>
      <c r="D1096" s="137" t="s">
        <v>2397</v>
      </c>
      <c r="E1096" s="94">
        <v>2017</v>
      </c>
      <c r="F1096" s="91">
        <v>1204</v>
      </c>
      <c r="G1096" s="94" t="s">
        <v>34</v>
      </c>
      <c r="H1096" s="94">
        <v>1053</v>
      </c>
      <c r="I1096" s="115">
        <v>35214500043740</v>
      </c>
      <c r="J1096" s="91" t="s">
        <v>35</v>
      </c>
      <c r="K1096" s="91">
        <v>144.32599999999999</v>
      </c>
      <c r="L1096" s="122" t="str">
        <f>VLOOKUP(K1096,Liste!$L$2:$O$34,4,1)</f>
        <v>GSMR_25/26</v>
      </c>
      <c r="M1096" s="133" t="s">
        <v>36</v>
      </c>
      <c r="N1096" s="181" t="s">
        <v>58</v>
      </c>
      <c r="O1096" s="117" t="s">
        <v>2398</v>
      </c>
      <c r="P1096" s="117" t="s">
        <v>2399</v>
      </c>
      <c r="Q1096" s="118" t="s">
        <v>531</v>
      </c>
      <c r="R1096" s="94" t="s">
        <v>1032</v>
      </c>
      <c r="S1096" s="124" t="s">
        <v>2386</v>
      </c>
      <c r="T1096" s="124" t="s">
        <v>69</v>
      </c>
      <c r="U1096" s="124" t="s">
        <v>1471</v>
      </c>
      <c r="V1096" s="124" t="s">
        <v>51</v>
      </c>
      <c r="W1096" s="124" t="s">
        <v>51</v>
      </c>
      <c r="X1096" s="124" t="s">
        <v>52</v>
      </c>
      <c r="Y1096" s="124" t="s">
        <v>2109</v>
      </c>
      <c r="Z1096" s="124"/>
      <c r="AA1096" s="124" t="s">
        <v>802</v>
      </c>
      <c r="AB1096" s="91"/>
      <c r="AC1096" s="91"/>
      <c r="AD1096" s="91"/>
      <c r="AE1096" s="91"/>
      <c r="AF1096" s="91"/>
      <c r="AG1096" s="91"/>
      <c r="AH1096" s="91"/>
    </row>
    <row r="1097" spans="1:34" ht="120">
      <c r="A1097" s="120">
        <v>1096</v>
      </c>
      <c r="B1097" s="120" t="b">
        <f t="shared" ca="1" si="17"/>
        <v>0</v>
      </c>
      <c r="C1097" s="121">
        <v>45703</v>
      </c>
      <c r="D1097" s="137" t="s">
        <v>2400</v>
      </c>
      <c r="E1097" s="94">
        <v>1049</v>
      </c>
      <c r="F1097" s="91">
        <v>1205</v>
      </c>
      <c r="G1097" s="94" t="s">
        <v>71</v>
      </c>
      <c r="H1097" s="94">
        <v>1060</v>
      </c>
      <c r="I1097" s="115">
        <v>35214500042751</v>
      </c>
      <c r="J1097" s="91" t="s">
        <v>72</v>
      </c>
      <c r="K1097" s="152">
        <v>7.3209999999999997</v>
      </c>
      <c r="L1097" s="122" t="str">
        <f>VLOOKUP(K1097,Liste!$L$2:$O$34,4,1)</f>
        <v>GSMR_02/03</v>
      </c>
      <c r="M1097" s="133" t="s">
        <v>36</v>
      </c>
      <c r="N1097" s="181" t="s">
        <v>58</v>
      </c>
      <c r="O1097" s="117" t="s">
        <v>2401</v>
      </c>
      <c r="P1097" s="116" t="s">
        <v>2253</v>
      </c>
      <c r="Q1097" s="118" t="s">
        <v>531</v>
      </c>
      <c r="R1097" s="94" t="s">
        <v>1032</v>
      </c>
      <c r="S1097" s="124" t="s">
        <v>2402</v>
      </c>
      <c r="T1097" s="124" t="s">
        <v>56</v>
      </c>
      <c r="U1097" s="124" t="s">
        <v>1529</v>
      </c>
      <c r="V1097" s="124" t="s">
        <v>51</v>
      </c>
      <c r="W1097" s="124" t="s">
        <v>51</v>
      </c>
      <c r="X1097" s="124" t="s">
        <v>52</v>
      </c>
      <c r="Y1097" s="124" t="s">
        <v>2109</v>
      </c>
      <c r="Z1097" s="124"/>
      <c r="AA1097" s="124" t="s">
        <v>754</v>
      </c>
      <c r="AB1097" s="91"/>
      <c r="AC1097" s="91"/>
      <c r="AD1097" s="91"/>
      <c r="AE1097" s="91"/>
      <c r="AF1097" s="91"/>
      <c r="AG1097" s="91"/>
      <c r="AH1097" s="91"/>
    </row>
    <row r="1098" spans="1:34" ht="90">
      <c r="A1098" s="120">
        <v>1097</v>
      </c>
      <c r="B1098" s="120" t="b">
        <f t="shared" ca="1" si="17"/>
        <v>0</v>
      </c>
      <c r="C1098" s="121">
        <v>45703</v>
      </c>
      <c r="D1098" s="137" t="s">
        <v>2403</v>
      </c>
      <c r="E1098" s="94">
        <v>1053</v>
      </c>
      <c r="F1098" s="91">
        <v>1202</v>
      </c>
      <c r="G1098" s="94" t="s">
        <v>71</v>
      </c>
      <c r="H1098" s="94">
        <v>1030</v>
      </c>
      <c r="I1098" s="115">
        <v>35214500045491</v>
      </c>
      <c r="J1098" s="91" t="s">
        <v>72</v>
      </c>
      <c r="K1098" s="91">
        <v>177.85</v>
      </c>
      <c r="L1098" s="122" t="str">
        <f>VLOOKUP(K1098,Liste!$L$2:$O$34,4,1)</f>
        <v>GSMR_30/31</v>
      </c>
      <c r="M1098" s="133" t="s">
        <v>36</v>
      </c>
      <c r="N1098" s="124" t="s">
        <v>37</v>
      </c>
      <c r="O1098" s="117" t="s">
        <v>2404</v>
      </c>
      <c r="P1098" s="117" t="s">
        <v>2389</v>
      </c>
      <c r="Q1098" s="94" t="s">
        <v>54</v>
      </c>
      <c r="R1098" s="129" t="s">
        <v>2215</v>
      </c>
      <c r="S1098" s="124" t="s">
        <v>2405</v>
      </c>
      <c r="T1098" s="124" t="s">
        <v>56</v>
      </c>
      <c r="U1098" s="124" t="s">
        <v>1526</v>
      </c>
      <c r="V1098" s="124" t="s">
        <v>51</v>
      </c>
      <c r="W1098" s="124" t="s">
        <v>51</v>
      </c>
      <c r="X1098" s="124" t="s">
        <v>52</v>
      </c>
      <c r="Y1098" s="124" t="s">
        <v>2109</v>
      </c>
      <c r="Z1098" s="124"/>
      <c r="AA1098" s="124" t="s">
        <v>757</v>
      </c>
      <c r="AB1098" s="91"/>
      <c r="AC1098" s="91"/>
      <c r="AD1098" s="91"/>
      <c r="AE1098" s="91"/>
      <c r="AF1098" s="91"/>
      <c r="AG1098" s="91"/>
      <c r="AH1098" s="91"/>
    </row>
    <row r="1099" spans="1:34" ht="90">
      <c r="A1099" s="120">
        <v>1098</v>
      </c>
      <c r="B1099" s="120" t="b">
        <f t="shared" ca="1" si="17"/>
        <v>0</v>
      </c>
      <c r="C1099" s="121">
        <v>45704</v>
      </c>
      <c r="D1099" s="137">
        <v>0.3838773148148148</v>
      </c>
      <c r="E1099" s="94">
        <v>2013</v>
      </c>
      <c r="F1099" s="91">
        <v>1210</v>
      </c>
      <c r="G1099" s="94" t="s">
        <v>34</v>
      </c>
      <c r="H1099" s="94">
        <v>1051</v>
      </c>
      <c r="I1099" s="115">
        <v>35214500045357</v>
      </c>
      <c r="J1099" s="91" t="s">
        <v>35</v>
      </c>
      <c r="K1099" s="91">
        <v>31.350999999999999</v>
      </c>
      <c r="L1099" s="122" t="str">
        <f>VLOOKUP(K1099,Liste!$L$2:$O$34,4,1)</f>
        <v>GSMR_06/07</v>
      </c>
      <c r="M1099" s="133" t="s">
        <v>36</v>
      </c>
      <c r="N1099" s="124" t="s">
        <v>37</v>
      </c>
      <c r="O1099" s="117" t="s">
        <v>2406</v>
      </c>
      <c r="P1099" s="117" t="s">
        <v>2272</v>
      </c>
      <c r="Q1099" s="94" t="s">
        <v>54</v>
      </c>
      <c r="R1099" s="129" t="s">
        <v>2215</v>
      </c>
      <c r="S1099" s="124" t="s">
        <v>2407</v>
      </c>
      <c r="T1099" s="124" t="s">
        <v>69</v>
      </c>
      <c r="U1099" s="124" t="s">
        <v>1520</v>
      </c>
      <c r="V1099" s="124" t="s">
        <v>51</v>
      </c>
      <c r="W1099" s="124" t="s">
        <v>51</v>
      </c>
      <c r="X1099" s="124" t="s">
        <v>52</v>
      </c>
      <c r="Y1099" s="124" t="s">
        <v>2109</v>
      </c>
      <c r="Z1099" s="124"/>
      <c r="AA1099" s="124" t="s">
        <v>1295</v>
      </c>
      <c r="AB1099" s="91"/>
      <c r="AC1099" s="91"/>
      <c r="AD1099" s="91"/>
      <c r="AE1099" s="91"/>
      <c r="AF1099" s="91"/>
      <c r="AG1099" s="91"/>
      <c r="AH1099" s="91"/>
    </row>
    <row r="1100" spans="1:34" ht="120">
      <c r="A1100" s="120">
        <v>1099</v>
      </c>
      <c r="B1100" s="120" t="b">
        <f t="shared" ca="1" si="17"/>
        <v>0</v>
      </c>
      <c r="C1100" s="121">
        <v>45704</v>
      </c>
      <c r="D1100" s="137">
        <v>0.58680555555555558</v>
      </c>
      <c r="E1100" s="94">
        <v>2033</v>
      </c>
      <c r="F1100" s="91">
        <v>1201</v>
      </c>
      <c r="G1100" s="94" t="s">
        <v>34</v>
      </c>
      <c r="H1100" s="94">
        <v>1056</v>
      </c>
      <c r="I1100" s="115">
        <v>35214500045217</v>
      </c>
      <c r="J1100" s="91" t="s">
        <v>35</v>
      </c>
      <c r="K1100" s="152">
        <v>6.13</v>
      </c>
      <c r="L1100" s="122" t="str">
        <f>VLOOKUP(K1100,Liste!$L$2:$O$34,4,1)</f>
        <v>GSMR_02/03</v>
      </c>
      <c r="M1100" s="133" t="s">
        <v>36</v>
      </c>
      <c r="N1100" s="124" t="s">
        <v>37</v>
      </c>
      <c r="O1100" s="117" t="s">
        <v>2408</v>
      </c>
      <c r="P1100" s="116" t="s">
        <v>2253</v>
      </c>
      <c r="Q1100" s="118" t="s">
        <v>531</v>
      </c>
      <c r="R1100" s="94" t="s">
        <v>1032</v>
      </c>
      <c r="S1100" s="124" t="s">
        <v>2409</v>
      </c>
      <c r="T1100" s="124" t="s">
        <v>56</v>
      </c>
      <c r="U1100" s="124" t="s">
        <v>1526</v>
      </c>
      <c r="V1100" s="124" t="s">
        <v>43</v>
      </c>
      <c r="W1100" s="124" t="s">
        <v>51</v>
      </c>
      <c r="X1100" s="124" t="s">
        <v>52</v>
      </c>
      <c r="Y1100" s="124" t="s">
        <v>2109</v>
      </c>
      <c r="Z1100" s="124"/>
      <c r="AA1100" s="124" t="s">
        <v>1342</v>
      </c>
      <c r="AB1100" s="91"/>
      <c r="AC1100" s="91"/>
      <c r="AD1100" s="91"/>
      <c r="AE1100" s="91"/>
      <c r="AF1100" s="91"/>
      <c r="AG1100" s="91"/>
      <c r="AH1100" s="91"/>
    </row>
    <row r="1101" spans="1:34" ht="120">
      <c r="A1101" s="120">
        <v>1100</v>
      </c>
      <c r="B1101" s="120" t="b">
        <f t="shared" ca="1" si="17"/>
        <v>0</v>
      </c>
      <c r="C1101" s="121">
        <v>45704</v>
      </c>
      <c r="D1101" s="137">
        <v>0.67013888888888884</v>
      </c>
      <c r="E1101" s="94">
        <v>2041</v>
      </c>
      <c r="F1101" s="91">
        <v>1202</v>
      </c>
      <c r="G1101" s="94" t="s">
        <v>34</v>
      </c>
      <c r="H1101" s="94">
        <v>1043</v>
      </c>
      <c r="I1101" s="115">
        <v>35214500045200</v>
      </c>
      <c r="J1101" s="91" t="s">
        <v>35</v>
      </c>
      <c r="K1101" s="152">
        <v>6.13</v>
      </c>
      <c r="L1101" s="122" t="str">
        <f>VLOOKUP(K1101,Liste!$L$2:$O$34,4,1)</f>
        <v>GSMR_02/03</v>
      </c>
      <c r="M1101" s="133" t="s">
        <v>36</v>
      </c>
      <c r="N1101" s="124" t="s">
        <v>37</v>
      </c>
      <c r="O1101" s="117" t="s">
        <v>2410</v>
      </c>
      <c r="P1101" s="116" t="s">
        <v>2253</v>
      </c>
      <c r="Q1101" s="118" t="s">
        <v>531</v>
      </c>
      <c r="R1101" s="94" t="s">
        <v>1032</v>
      </c>
      <c r="S1101" s="124" t="s">
        <v>2411</v>
      </c>
      <c r="T1101" s="124" t="s">
        <v>56</v>
      </c>
      <c r="U1101" s="124" t="s">
        <v>1481</v>
      </c>
      <c r="V1101" s="124" t="s">
        <v>43</v>
      </c>
      <c r="W1101" s="124" t="s">
        <v>51</v>
      </c>
      <c r="X1101" s="124" t="s">
        <v>52</v>
      </c>
      <c r="Y1101" s="124" t="s">
        <v>2109</v>
      </c>
      <c r="Z1101" s="124"/>
      <c r="AA1101" s="124" t="s">
        <v>1342</v>
      </c>
      <c r="AB1101" s="91"/>
      <c r="AC1101" s="91"/>
      <c r="AD1101" s="91"/>
      <c r="AE1101" s="91"/>
      <c r="AF1101" s="91"/>
      <c r="AG1101" s="91"/>
      <c r="AH1101" s="91"/>
    </row>
    <row r="1102" spans="1:34" ht="120">
      <c r="A1102" s="120">
        <v>1101</v>
      </c>
      <c r="B1102" s="120" t="b">
        <f t="shared" ca="1" si="17"/>
        <v>0</v>
      </c>
      <c r="C1102" s="121">
        <v>45704</v>
      </c>
      <c r="D1102" s="137">
        <v>0.79513888888888884</v>
      </c>
      <c r="E1102" s="94">
        <v>2053</v>
      </c>
      <c r="F1102" s="91">
        <v>1207</v>
      </c>
      <c r="G1102" s="94" t="s">
        <v>34</v>
      </c>
      <c r="H1102" s="94">
        <v>1083</v>
      </c>
      <c r="I1102" s="115">
        <v>35214500043517</v>
      </c>
      <c r="J1102" s="91" t="s">
        <v>35</v>
      </c>
      <c r="K1102" s="152">
        <v>6.13</v>
      </c>
      <c r="L1102" s="122" t="str">
        <f>VLOOKUP(K1102,Liste!$L$2:$O$34,4,1)</f>
        <v>GSMR_02/03</v>
      </c>
      <c r="M1102" s="133" t="s">
        <v>36</v>
      </c>
      <c r="N1102" s="124" t="s">
        <v>37</v>
      </c>
      <c r="O1102" s="117" t="s">
        <v>2395</v>
      </c>
      <c r="P1102" s="116" t="s">
        <v>2253</v>
      </c>
      <c r="Q1102" s="118" t="s">
        <v>531</v>
      </c>
      <c r="R1102" s="94" t="s">
        <v>1032</v>
      </c>
      <c r="S1102" s="124" t="s">
        <v>2412</v>
      </c>
      <c r="T1102" s="124" t="s">
        <v>93</v>
      </c>
      <c r="U1102" s="124" t="s">
        <v>1688</v>
      </c>
      <c r="V1102" s="124" t="s">
        <v>43</v>
      </c>
      <c r="W1102" s="124" t="s">
        <v>51</v>
      </c>
      <c r="X1102" s="124" t="s">
        <v>52</v>
      </c>
      <c r="Y1102" s="124" t="s">
        <v>2109</v>
      </c>
      <c r="Z1102" s="124"/>
      <c r="AA1102" s="124" t="s">
        <v>1342</v>
      </c>
      <c r="AB1102" s="91"/>
      <c r="AC1102" s="91"/>
      <c r="AD1102" s="91"/>
      <c r="AE1102" s="91"/>
      <c r="AF1102" s="91"/>
      <c r="AG1102" s="91"/>
      <c r="AH1102" s="91"/>
    </row>
    <row r="1103" spans="1:34" ht="120">
      <c r="A1103" s="120">
        <v>1102</v>
      </c>
      <c r="B1103" s="120" t="b">
        <f t="shared" ca="1" si="17"/>
        <v>0</v>
      </c>
      <c r="C1103" s="121">
        <v>45704</v>
      </c>
      <c r="D1103" s="137" t="s">
        <v>2413</v>
      </c>
      <c r="E1103" s="94">
        <v>1062</v>
      </c>
      <c r="F1103" s="91">
        <v>1205</v>
      </c>
      <c r="G1103" s="94" t="s">
        <v>71</v>
      </c>
      <c r="H1103" s="94">
        <v>1060</v>
      </c>
      <c r="I1103" s="115">
        <v>35214500042751</v>
      </c>
      <c r="J1103" s="91" t="s">
        <v>72</v>
      </c>
      <c r="K1103" s="152">
        <v>7.3209999999999997</v>
      </c>
      <c r="L1103" s="122" t="str">
        <f>VLOOKUP(K1103,Liste!$L$2:$O$34,4,1)</f>
        <v>GSMR_02/03</v>
      </c>
      <c r="M1103" s="133" t="s">
        <v>36</v>
      </c>
      <c r="N1103" s="181" t="s">
        <v>58</v>
      </c>
      <c r="O1103" s="117" t="s">
        <v>2401</v>
      </c>
      <c r="P1103" s="116" t="s">
        <v>2253</v>
      </c>
      <c r="Q1103" s="118" t="s">
        <v>531</v>
      </c>
      <c r="R1103" s="94" t="s">
        <v>1032</v>
      </c>
      <c r="S1103" s="124" t="s">
        <v>2264</v>
      </c>
      <c r="T1103" s="124" t="s">
        <v>56</v>
      </c>
      <c r="U1103" s="124" t="s">
        <v>1449</v>
      </c>
      <c r="V1103" s="124" t="s">
        <v>51</v>
      </c>
      <c r="W1103" s="124" t="s">
        <v>51</v>
      </c>
      <c r="X1103" s="124" t="s">
        <v>52</v>
      </c>
      <c r="Y1103" s="124" t="s">
        <v>2109</v>
      </c>
      <c r="Z1103" s="124"/>
      <c r="AA1103" s="124" t="s">
        <v>793</v>
      </c>
      <c r="AB1103" s="91"/>
      <c r="AC1103" s="91"/>
      <c r="AD1103" s="91"/>
      <c r="AE1103" s="91"/>
      <c r="AF1103" s="91"/>
      <c r="AG1103" s="91"/>
      <c r="AH1103" s="91"/>
    </row>
    <row r="1104" spans="1:34" ht="120">
      <c r="A1104" s="120">
        <v>1103</v>
      </c>
      <c r="B1104" s="120" t="b">
        <f t="shared" ca="1" si="17"/>
        <v>0</v>
      </c>
      <c r="C1104" s="121">
        <v>45706</v>
      </c>
      <c r="D1104" s="137" t="s">
        <v>2414</v>
      </c>
      <c r="E1104" s="94">
        <v>2021</v>
      </c>
      <c r="F1104" s="91">
        <v>1210</v>
      </c>
      <c r="G1104" s="94" t="s">
        <v>34</v>
      </c>
      <c r="H1104" s="94">
        <v>1050</v>
      </c>
      <c r="I1104" s="115">
        <v>35214500045495</v>
      </c>
      <c r="J1104" s="91" t="s">
        <v>35</v>
      </c>
      <c r="K1104" s="152">
        <v>6.13</v>
      </c>
      <c r="L1104" s="122" t="str">
        <f>VLOOKUP(K1104,Liste!$L$2:$O$34,4,1)</f>
        <v>GSMR_02/03</v>
      </c>
      <c r="M1104" s="133" t="s">
        <v>36</v>
      </c>
      <c r="N1104" s="181" t="s">
        <v>58</v>
      </c>
      <c r="O1104" s="117" t="s">
        <v>2415</v>
      </c>
      <c r="P1104" s="116" t="s">
        <v>2253</v>
      </c>
      <c r="Q1104" s="118" t="s">
        <v>531</v>
      </c>
      <c r="R1104" s="94" t="s">
        <v>1032</v>
      </c>
      <c r="S1104" s="124" t="s">
        <v>2416</v>
      </c>
      <c r="T1104" s="124" t="s">
        <v>56</v>
      </c>
      <c r="U1104" s="124" t="s">
        <v>1463</v>
      </c>
      <c r="V1104" s="124" t="s">
        <v>51</v>
      </c>
      <c r="W1104" s="124" t="s">
        <v>51</v>
      </c>
      <c r="X1104" s="124" t="s">
        <v>52</v>
      </c>
      <c r="Y1104" s="124" t="s">
        <v>2109</v>
      </c>
      <c r="Z1104" s="124"/>
      <c r="AA1104" s="124" t="s">
        <v>754</v>
      </c>
      <c r="AB1104" s="91"/>
      <c r="AC1104" s="91"/>
      <c r="AD1104" s="91"/>
      <c r="AE1104" s="91"/>
      <c r="AF1104" s="91"/>
      <c r="AG1104" s="91"/>
      <c r="AH1104" s="91"/>
    </row>
    <row r="1105" spans="1:34" ht="120">
      <c r="A1105" s="120">
        <v>1104</v>
      </c>
      <c r="B1105" s="120" t="b">
        <f t="shared" ca="1" si="17"/>
        <v>0</v>
      </c>
      <c r="C1105" s="121">
        <v>45706</v>
      </c>
      <c r="D1105" s="137">
        <v>0.794525462962963</v>
      </c>
      <c r="E1105" s="94">
        <v>1045</v>
      </c>
      <c r="F1105" s="91">
        <v>1201</v>
      </c>
      <c r="G1105" s="94" t="s">
        <v>71</v>
      </c>
      <c r="H1105" s="94">
        <v>1028</v>
      </c>
      <c r="I1105" s="115">
        <v>35214500045449</v>
      </c>
      <c r="J1105" s="91" t="s">
        <v>72</v>
      </c>
      <c r="K1105" s="152">
        <v>7.3209999999999997</v>
      </c>
      <c r="L1105" s="122" t="str">
        <f>VLOOKUP(K1105,Liste!$L$2:$O$34,4,1)</f>
        <v>GSMR_02/03</v>
      </c>
      <c r="M1105" s="133" t="s">
        <v>36</v>
      </c>
      <c r="N1105" s="181" t="s">
        <v>58</v>
      </c>
      <c r="O1105" s="117" t="s">
        <v>2417</v>
      </c>
      <c r="P1105" s="116" t="s">
        <v>2253</v>
      </c>
      <c r="Q1105" s="118" t="s">
        <v>531</v>
      </c>
      <c r="R1105" s="94" t="s">
        <v>1032</v>
      </c>
      <c r="S1105" s="124" t="s">
        <v>2418</v>
      </c>
      <c r="T1105" s="124" t="s">
        <v>56</v>
      </c>
      <c r="U1105" s="124" t="s">
        <v>1468</v>
      </c>
      <c r="V1105" s="124" t="s">
        <v>51</v>
      </c>
      <c r="W1105" s="124" t="s">
        <v>51</v>
      </c>
      <c r="X1105" s="124" t="s">
        <v>52</v>
      </c>
      <c r="Y1105" s="124" t="s">
        <v>2109</v>
      </c>
      <c r="Z1105" s="124"/>
      <c r="AA1105" s="124" t="s">
        <v>778</v>
      </c>
      <c r="AB1105" s="91"/>
      <c r="AC1105" s="91"/>
      <c r="AD1105" s="91"/>
      <c r="AE1105" s="91"/>
      <c r="AF1105" s="91"/>
      <c r="AG1105" s="91"/>
      <c r="AH1105" s="91"/>
    </row>
    <row r="1106" spans="1:34" ht="120">
      <c r="A1106" s="120">
        <v>1105</v>
      </c>
      <c r="B1106" s="120" t="b">
        <f t="shared" ca="1" si="17"/>
        <v>0</v>
      </c>
      <c r="C1106" s="121">
        <v>45707</v>
      </c>
      <c r="D1106" s="137" t="s">
        <v>2419</v>
      </c>
      <c r="E1106" s="94">
        <v>2021</v>
      </c>
      <c r="F1106" s="91">
        <v>1202</v>
      </c>
      <c r="G1106" s="94" t="s">
        <v>34</v>
      </c>
      <c r="H1106" s="94">
        <v>1043</v>
      </c>
      <c r="I1106" s="115">
        <v>35214500045200</v>
      </c>
      <c r="J1106" s="91" t="s">
        <v>35</v>
      </c>
      <c r="K1106" s="152">
        <v>6.13</v>
      </c>
      <c r="L1106" s="122" t="str">
        <f>VLOOKUP(K1106,Liste!$L$2:$O$34,4,1)</f>
        <v>GSMR_02/03</v>
      </c>
      <c r="M1106" s="133" t="s">
        <v>36</v>
      </c>
      <c r="N1106" s="124" t="s">
        <v>37</v>
      </c>
      <c r="O1106" s="117" t="s">
        <v>2420</v>
      </c>
      <c r="P1106" s="116" t="s">
        <v>2253</v>
      </c>
      <c r="Q1106" s="118" t="s">
        <v>531</v>
      </c>
      <c r="R1106" s="94" t="s">
        <v>1032</v>
      </c>
      <c r="S1106" s="124" t="s">
        <v>1949</v>
      </c>
      <c r="T1106" s="124" t="s">
        <v>56</v>
      </c>
      <c r="U1106" s="124" t="s">
        <v>1481</v>
      </c>
      <c r="V1106" s="124" t="s">
        <v>51</v>
      </c>
      <c r="W1106" s="124" t="s">
        <v>51</v>
      </c>
      <c r="X1106" s="124" t="s">
        <v>52</v>
      </c>
      <c r="Y1106" s="124" t="s">
        <v>2109</v>
      </c>
      <c r="Z1106" s="124"/>
      <c r="AA1106" s="124" t="s">
        <v>757</v>
      </c>
      <c r="AB1106" s="91"/>
      <c r="AC1106" s="91"/>
      <c r="AD1106" s="91"/>
      <c r="AE1106" s="91"/>
      <c r="AF1106" s="91"/>
      <c r="AG1106" s="91"/>
      <c r="AH1106" s="91"/>
    </row>
    <row r="1107" spans="1:34" ht="120">
      <c r="A1107" s="120">
        <v>1106</v>
      </c>
      <c r="B1107" s="120" t="b">
        <f t="shared" ca="1" si="17"/>
        <v>0</v>
      </c>
      <c r="C1107" s="121">
        <v>45707</v>
      </c>
      <c r="D1107" s="137">
        <v>0.67025462962962967</v>
      </c>
      <c r="E1107" s="94">
        <v>2041</v>
      </c>
      <c r="F1107" s="91">
        <v>1208</v>
      </c>
      <c r="G1107" s="94" t="s">
        <v>34</v>
      </c>
      <c r="H1107" s="94">
        <v>1037</v>
      </c>
      <c r="I1107" s="115">
        <v>35214500045488</v>
      </c>
      <c r="J1107" s="91" t="s">
        <v>35</v>
      </c>
      <c r="K1107" s="152">
        <v>6.13</v>
      </c>
      <c r="L1107" s="122" t="str">
        <f>VLOOKUP(K1107,Liste!$L$2:$O$34,4,1)</f>
        <v>GSMR_02/03</v>
      </c>
      <c r="M1107" s="133" t="s">
        <v>36</v>
      </c>
      <c r="N1107" s="181" t="s">
        <v>58</v>
      </c>
      <c r="O1107" s="117" t="s">
        <v>2420</v>
      </c>
      <c r="P1107" s="116" t="s">
        <v>2253</v>
      </c>
      <c r="Q1107" s="118" t="s">
        <v>531</v>
      </c>
      <c r="R1107" s="94" t="s">
        <v>1032</v>
      </c>
      <c r="S1107" s="124" t="s">
        <v>1949</v>
      </c>
      <c r="T1107" s="124" t="s">
        <v>56</v>
      </c>
      <c r="U1107" s="124" t="s">
        <v>1538</v>
      </c>
      <c r="V1107" s="124" t="s">
        <v>51</v>
      </c>
      <c r="W1107" s="124" t="s">
        <v>51</v>
      </c>
      <c r="X1107" s="124" t="s">
        <v>52</v>
      </c>
      <c r="Y1107" s="124" t="s">
        <v>2109</v>
      </c>
      <c r="Z1107" s="124"/>
      <c r="AA1107" s="124" t="s">
        <v>778</v>
      </c>
      <c r="AB1107" s="91"/>
      <c r="AC1107" s="91"/>
      <c r="AD1107" s="91"/>
      <c r="AE1107" s="91"/>
      <c r="AF1107" s="91"/>
      <c r="AG1107" s="91"/>
      <c r="AH1107" s="91"/>
    </row>
    <row r="1108" spans="1:34" ht="90">
      <c r="A1108" s="120">
        <v>1107</v>
      </c>
      <c r="B1108" s="120" t="b">
        <f t="shared" ca="1" si="17"/>
        <v>0</v>
      </c>
      <c r="C1108" s="121">
        <v>45708</v>
      </c>
      <c r="D1108" s="137">
        <v>0.21373842592592593</v>
      </c>
      <c r="E1108" s="94">
        <v>2081</v>
      </c>
      <c r="F1108" s="91">
        <v>1201</v>
      </c>
      <c r="G1108" s="94" t="s">
        <v>34</v>
      </c>
      <c r="H1108" s="94">
        <v>1057</v>
      </c>
      <c r="I1108" s="115">
        <v>35214500045187</v>
      </c>
      <c r="J1108" s="91" t="s">
        <v>35</v>
      </c>
      <c r="K1108" s="91">
        <v>161.72200000000001</v>
      </c>
      <c r="L1108" s="122" t="str">
        <f>VLOOKUP(K1108,Liste!$L$2:$O$34,4,1)</f>
        <v>GSMR_27/28</v>
      </c>
      <c r="M1108" s="133" t="s">
        <v>36</v>
      </c>
      <c r="N1108" s="124" t="s">
        <v>37</v>
      </c>
      <c r="O1108" s="117" t="s">
        <v>2421</v>
      </c>
      <c r="P1108" s="117" t="s">
        <v>2272</v>
      </c>
      <c r="Q1108" s="94" t="s">
        <v>54</v>
      </c>
      <c r="R1108" s="129" t="s">
        <v>2215</v>
      </c>
      <c r="S1108" s="124" t="s">
        <v>2422</v>
      </c>
      <c r="T1108" s="124" t="s">
        <v>78</v>
      </c>
      <c r="U1108" s="124" t="s">
        <v>1471</v>
      </c>
      <c r="V1108" s="124" t="s">
        <v>43</v>
      </c>
      <c r="W1108" s="124" t="s">
        <v>51</v>
      </c>
      <c r="X1108" s="124" t="s">
        <v>52</v>
      </c>
      <c r="Y1108" s="124" t="s">
        <v>2109</v>
      </c>
      <c r="Z1108" s="124"/>
      <c r="AA1108" s="124" t="s">
        <v>1295</v>
      </c>
      <c r="AB1108" s="91"/>
      <c r="AC1108" s="91"/>
      <c r="AD1108" s="91"/>
      <c r="AE1108" s="91"/>
      <c r="AF1108" s="91"/>
      <c r="AG1108" s="91"/>
      <c r="AH1108" s="91"/>
    </row>
    <row r="1109" spans="1:34" ht="90">
      <c r="A1109" s="120">
        <v>1108</v>
      </c>
      <c r="B1109" s="120" t="b">
        <f t="shared" ca="1" si="17"/>
        <v>0</v>
      </c>
      <c r="C1109" s="121">
        <v>45708</v>
      </c>
      <c r="D1109" s="137">
        <v>0.38505787037037037</v>
      </c>
      <c r="E1109" s="94">
        <v>2013</v>
      </c>
      <c r="F1109" s="91">
        <v>1203</v>
      </c>
      <c r="G1109" s="94" t="s">
        <v>34</v>
      </c>
      <c r="H1109" s="94">
        <v>1025</v>
      </c>
      <c r="I1109" s="115">
        <v>35214500045073</v>
      </c>
      <c r="J1109" s="91" t="s">
        <v>35</v>
      </c>
      <c r="K1109" s="91">
        <v>39.215000000000003</v>
      </c>
      <c r="L1109" s="122" t="str">
        <f>VLOOKUP(K1109,Liste!$L$2:$O$34,4,1)</f>
        <v>GSMR_07/08</v>
      </c>
      <c r="M1109" s="133" t="s">
        <v>36</v>
      </c>
      <c r="N1109" s="124" t="s">
        <v>37</v>
      </c>
      <c r="O1109" s="117" t="s">
        <v>2423</v>
      </c>
      <c r="P1109" s="117" t="s">
        <v>2272</v>
      </c>
      <c r="Q1109" s="94" t="s">
        <v>54</v>
      </c>
      <c r="R1109" s="129" t="s">
        <v>2215</v>
      </c>
      <c r="S1109" s="124" t="s">
        <v>1634</v>
      </c>
      <c r="T1109" s="124" t="s">
        <v>78</v>
      </c>
      <c r="U1109" s="124" t="s">
        <v>1693</v>
      </c>
      <c r="V1109" s="124" t="s">
        <v>43</v>
      </c>
      <c r="W1109" s="124" t="s">
        <v>51</v>
      </c>
      <c r="X1109" s="124" t="s">
        <v>52</v>
      </c>
      <c r="Y1109" s="124" t="s">
        <v>2109</v>
      </c>
      <c r="Z1109" s="124"/>
      <c r="AA1109" s="124" t="s">
        <v>802</v>
      </c>
      <c r="AB1109" s="91"/>
      <c r="AC1109" s="91"/>
      <c r="AD1109" s="91"/>
      <c r="AE1109" s="91"/>
      <c r="AF1109" s="91"/>
      <c r="AG1109" s="91"/>
      <c r="AH1109" s="91"/>
    </row>
    <row r="1110" spans="1:34" ht="60">
      <c r="A1110" s="120">
        <v>1109</v>
      </c>
      <c r="B1110" s="120" t="b">
        <f t="shared" ca="1" si="17"/>
        <v>0</v>
      </c>
      <c r="C1110" s="121">
        <v>45708</v>
      </c>
      <c r="D1110" s="137">
        <v>0.77495370370370376</v>
      </c>
      <c r="E1110" s="94">
        <v>2049</v>
      </c>
      <c r="F1110" s="91">
        <v>1208</v>
      </c>
      <c r="G1110" s="94" t="s">
        <v>34</v>
      </c>
      <c r="H1110" s="94">
        <v>1037</v>
      </c>
      <c r="I1110" s="115">
        <v>35214500045488</v>
      </c>
      <c r="J1110" s="91" t="s">
        <v>35</v>
      </c>
      <c r="K1110" s="91">
        <v>144.32599999999999</v>
      </c>
      <c r="L1110" s="122" t="str">
        <f>VLOOKUP(K1110,Liste!$L$2:$O$34,4,1)</f>
        <v>GSMR_25/26</v>
      </c>
      <c r="M1110" s="133" t="s">
        <v>36</v>
      </c>
      <c r="N1110" s="181" t="s">
        <v>58</v>
      </c>
      <c r="O1110" s="117" t="s">
        <v>2424</v>
      </c>
      <c r="P1110" s="117" t="s">
        <v>2425</v>
      </c>
      <c r="Q1110" s="118" t="s">
        <v>531</v>
      </c>
      <c r="R1110" s="94" t="s">
        <v>1032</v>
      </c>
      <c r="S1110" s="124" t="s">
        <v>2426</v>
      </c>
      <c r="T1110" s="124" t="s">
        <v>69</v>
      </c>
      <c r="U1110" s="124" t="s">
        <v>1471</v>
      </c>
      <c r="V1110" s="124" t="s">
        <v>51</v>
      </c>
      <c r="W1110" s="124" t="s">
        <v>51</v>
      </c>
      <c r="X1110" s="124" t="s">
        <v>52</v>
      </c>
      <c r="Y1110" s="124" t="s">
        <v>2109</v>
      </c>
      <c r="Z1110" s="124"/>
      <c r="AA1110" s="124" t="s">
        <v>778</v>
      </c>
      <c r="AB1110" s="91"/>
      <c r="AC1110" s="91"/>
      <c r="AD1110" s="91"/>
      <c r="AE1110" s="91"/>
      <c r="AF1110" s="91"/>
      <c r="AG1110" s="91"/>
      <c r="AH1110" s="91"/>
    </row>
    <row r="1111" spans="1:34" ht="90">
      <c r="A1111" s="120">
        <v>1110</v>
      </c>
      <c r="B1111" s="120" t="b">
        <f t="shared" ca="1" si="17"/>
        <v>0</v>
      </c>
      <c r="C1111" s="121">
        <v>45708</v>
      </c>
      <c r="D1111" s="137">
        <v>0.78010416666666671</v>
      </c>
      <c r="E1111" s="94">
        <v>1045</v>
      </c>
      <c r="F1111" s="91">
        <v>1201</v>
      </c>
      <c r="G1111" s="94" t="s">
        <v>71</v>
      </c>
      <c r="H1111" s="94">
        <v>1028</v>
      </c>
      <c r="I1111" s="115">
        <v>35214500045449</v>
      </c>
      <c r="J1111" s="91" t="s">
        <v>72</v>
      </c>
      <c r="K1111" s="91">
        <v>122.536</v>
      </c>
      <c r="L1111" s="122" t="str">
        <f>VLOOKUP(K1111,Liste!$L$2:$O$34,4,1)</f>
        <v>GSMR_21/22</v>
      </c>
      <c r="M1111" s="133" t="s">
        <v>36</v>
      </c>
      <c r="N1111" s="124" t="s">
        <v>37</v>
      </c>
      <c r="O1111" s="117" t="s">
        <v>2427</v>
      </c>
      <c r="P1111" s="117" t="s">
        <v>2272</v>
      </c>
      <c r="Q1111" s="94" t="s">
        <v>54</v>
      </c>
      <c r="R1111" s="129" t="s">
        <v>2215</v>
      </c>
      <c r="S1111" s="124" t="s">
        <v>2428</v>
      </c>
      <c r="T1111" s="124" t="s">
        <v>69</v>
      </c>
      <c r="U1111" s="124" t="s">
        <v>1471</v>
      </c>
      <c r="V1111" s="124" t="s">
        <v>43</v>
      </c>
      <c r="W1111" s="124" t="s">
        <v>51</v>
      </c>
      <c r="X1111" s="124" t="s">
        <v>52</v>
      </c>
      <c r="Y1111" s="124" t="s">
        <v>2109</v>
      </c>
      <c r="Z1111" s="124"/>
      <c r="AA1111" s="124" t="s">
        <v>1342</v>
      </c>
      <c r="AB1111" s="91"/>
      <c r="AC1111" s="91"/>
      <c r="AD1111" s="91"/>
      <c r="AE1111" s="91"/>
      <c r="AF1111" s="91"/>
      <c r="AG1111" s="91"/>
      <c r="AH1111" s="91"/>
    </row>
    <row r="1112" spans="1:34" ht="120">
      <c r="A1112" s="120">
        <v>1111</v>
      </c>
      <c r="B1112" s="120" t="b">
        <f t="shared" ca="1" si="17"/>
        <v>0</v>
      </c>
      <c r="C1112" s="121">
        <v>45708</v>
      </c>
      <c r="D1112" s="137">
        <v>0.79496527777777781</v>
      </c>
      <c r="E1112" s="94">
        <v>2053</v>
      </c>
      <c r="F1112" s="91">
        <v>1210</v>
      </c>
      <c r="G1112" s="94" t="s">
        <v>34</v>
      </c>
      <c r="H1112" s="94">
        <v>1028</v>
      </c>
      <c r="I1112" s="115">
        <v>35214500045495</v>
      </c>
      <c r="J1112" s="91" t="s">
        <v>35</v>
      </c>
      <c r="K1112" s="152">
        <v>6.13</v>
      </c>
      <c r="L1112" s="122" t="str">
        <f>VLOOKUP(K1112,Liste!$L$2:$O$34,4,1)</f>
        <v>GSMR_02/03</v>
      </c>
      <c r="M1112" s="133" t="s">
        <v>36</v>
      </c>
      <c r="N1112" s="124" t="s">
        <v>37</v>
      </c>
      <c r="O1112" s="117" t="s">
        <v>2429</v>
      </c>
      <c r="P1112" s="116" t="s">
        <v>2253</v>
      </c>
      <c r="Q1112" s="118" t="s">
        <v>531</v>
      </c>
      <c r="R1112" s="94" t="s">
        <v>1032</v>
      </c>
      <c r="S1112" s="124" t="s">
        <v>2430</v>
      </c>
      <c r="T1112" s="124" t="s">
        <v>116</v>
      </c>
      <c r="U1112" s="124" t="s">
        <v>1463</v>
      </c>
      <c r="V1112" s="124" t="s">
        <v>51</v>
      </c>
      <c r="W1112" s="124" t="s">
        <v>51</v>
      </c>
      <c r="X1112" s="124" t="s">
        <v>52</v>
      </c>
      <c r="Y1112" s="124" t="s">
        <v>2109</v>
      </c>
      <c r="Z1112" s="124"/>
      <c r="AA1112" s="124" t="s">
        <v>1342</v>
      </c>
      <c r="AB1112" s="91"/>
      <c r="AC1112" s="91"/>
      <c r="AD1112" s="91"/>
      <c r="AE1112" s="91"/>
      <c r="AF1112" s="91"/>
      <c r="AG1112" s="91"/>
      <c r="AH1112" s="91"/>
    </row>
    <row r="1113" spans="1:34" ht="120">
      <c r="A1113" s="120">
        <v>1112</v>
      </c>
      <c r="B1113" s="120" t="b">
        <f t="shared" ca="1" si="17"/>
        <v>0</v>
      </c>
      <c r="C1113" s="121">
        <v>45709</v>
      </c>
      <c r="D1113" s="137">
        <v>0.17043981481481482</v>
      </c>
      <c r="E1113" s="94">
        <v>2081</v>
      </c>
      <c r="F1113" s="91">
        <v>1205</v>
      </c>
      <c r="G1113" s="94" t="s">
        <v>34</v>
      </c>
      <c r="H1113" s="94">
        <v>7218</v>
      </c>
      <c r="I1113" s="115">
        <v>35214500044557</v>
      </c>
      <c r="J1113" s="91" t="s">
        <v>35</v>
      </c>
      <c r="K1113" s="152">
        <v>6.13</v>
      </c>
      <c r="L1113" s="122" t="str">
        <f>VLOOKUP(K1113,Liste!$L$2:$O$34,4,1)</f>
        <v>GSMR_02/03</v>
      </c>
      <c r="M1113" s="133" t="s">
        <v>36</v>
      </c>
      <c r="N1113" s="124" t="s">
        <v>37</v>
      </c>
      <c r="O1113" s="117" t="s">
        <v>2429</v>
      </c>
      <c r="P1113" s="116" t="s">
        <v>2253</v>
      </c>
      <c r="Q1113" s="118" t="s">
        <v>531</v>
      </c>
      <c r="R1113" s="94" t="s">
        <v>1032</v>
      </c>
      <c r="S1113" s="124" t="s">
        <v>2431</v>
      </c>
      <c r="T1113" s="124" t="s">
        <v>56</v>
      </c>
      <c r="U1113" s="124" t="s">
        <v>1549</v>
      </c>
      <c r="V1113" s="124" t="s">
        <v>43</v>
      </c>
      <c r="W1113" s="124" t="s">
        <v>51</v>
      </c>
      <c r="X1113" s="124" t="s">
        <v>52</v>
      </c>
      <c r="Y1113" s="124" t="s">
        <v>2109</v>
      </c>
      <c r="Z1113" s="124"/>
      <c r="AA1113" s="124" t="s">
        <v>1295</v>
      </c>
      <c r="AB1113" s="91"/>
      <c r="AC1113" s="91"/>
      <c r="AD1113" s="91"/>
      <c r="AE1113" s="91"/>
      <c r="AF1113" s="91"/>
      <c r="AG1113" s="91"/>
      <c r="AH1113" s="91"/>
    </row>
    <row r="1114" spans="1:34" ht="120">
      <c r="A1114" s="120">
        <v>1113</v>
      </c>
      <c r="B1114" s="120" t="b">
        <f t="shared" ca="1" si="17"/>
        <v>0</v>
      </c>
      <c r="C1114" s="121">
        <v>45709</v>
      </c>
      <c r="D1114" s="137">
        <v>0.88118055555555552</v>
      </c>
      <c r="E1114" s="94">
        <v>1053</v>
      </c>
      <c r="F1114" s="91">
        <v>1207</v>
      </c>
      <c r="G1114" s="94" t="s">
        <v>71</v>
      </c>
      <c r="H1114" s="94">
        <v>1046</v>
      </c>
      <c r="I1114" s="115">
        <v>35214500038727</v>
      </c>
      <c r="J1114" s="91" t="s">
        <v>72</v>
      </c>
      <c r="K1114" s="152">
        <v>7.3209999999999997</v>
      </c>
      <c r="L1114" s="122" t="str">
        <f>VLOOKUP(K1114,Liste!$L$2:$O$34,4,1)</f>
        <v>GSMR_02/03</v>
      </c>
      <c r="M1114" s="133" t="s">
        <v>36</v>
      </c>
      <c r="N1114" s="124" t="s">
        <v>37</v>
      </c>
      <c r="O1114" s="117" t="s">
        <v>2432</v>
      </c>
      <c r="P1114" s="116" t="s">
        <v>2253</v>
      </c>
      <c r="Q1114" s="118" t="s">
        <v>531</v>
      </c>
      <c r="R1114" s="94" t="s">
        <v>1032</v>
      </c>
      <c r="S1114" s="124" t="s">
        <v>2433</v>
      </c>
      <c r="T1114" s="124" t="s">
        <v>93</v>
      </c>
      <c r="U1114" s="124" t="s">
        <v>1622</v>
      </c>
      <c r="V1114" s="124" t="s">
        <v>51</v>
      </c>
      <c r="W1114" s="124" t="s">
        <v>51</v>
      </c>
      <c r="X1114" s="124" t="s">
        <v>52</v>
      </c>
      <c r="Y1114" s="124" t="s">
        <v>2109</v>
      </c>
      <c r="Z1114" s="124"/>
      <c r="AA1114" s="124" t="s">
        <v>1295</v>
      </c>
      <c r="AB1114" s="91"/>
      <c r="AC1114" s="91"/>
      <c r="AD1114" s="91"/>
      <c r="AE1114" s="91"/>
      <c r="AF1114" s="91"/>
      <c r="AG1114" s="91"/>
      <c r="AH1114" s="91"/>
    </row>
    <row r="1115" spans="1:34" ht="120">
      <c r="A1115" s="120">
        <v>1114</v>
      </c>
      <c r="B1115" s="120" t="b">
        <f t="shared" ca="1" si="17"/>
        <v>0</v>
      </c>
      <c r="C1115" s="121">
        <v>45710</v>
      </c>
      <c r="D1115" s="137">
        <v>0.50339120370370372</v>
      </c>
      <c r="E1115" s="94">
        <v>2025</v>
      </c>
      <c r="F1115" s="91">
        <v>1201</v>
      </c>
      <c r="G1115" s="94" t="s">
        <v>34</v>
      </c>
      <c r="H1115" s="94">
        <v>1056</v>
      </c>
      <c r="I1115" s="115">
        <v>35214500045187</v>
      </c>
      <c r="J1115" s="91" t="s">
        <v>35</v>
      </c>
      <c r="K1115" s="152">
        <v>8.3209999999999997</v>
      </c>
      <c r="L1115" s="122" t="str">
        <f>VLOOKUP(K1115,Liste!$L$2:$O$34,4,1)</f>
        <v>GSMR_02/03</v>
      </c>
      <c r="M1115" s="133" t="s">
        <v>36</v>
      </c>
      <c r="N1115" s="124" t="s">
        <v>37</v>
      </c>
      <c r="O1115" s="117" t="s">
        <v>2432</v>
      </c>
      <c r="P1115" s="116" t="s">
        <v>2253</v>
      </c>
      <c r="Q1115" s="118" t="s">
        <v>531</v>
      </c>
      <c r="R1115" s="94" t="s">
        <v>1032</v>
      </c>
      <c r="S1115" s="124" t="s">
        <v>2261</v>
      </c>
      <c r="T1115" s="124" t="s">
        <v>56</v>
      </c>
      <c r="U1115" s="124" t="s">
        <v>1526</v>
      </c>
      <c r="V1115" s="124" t="s">
        <v>43</v>
      </c>
      <c r="W1115" s="124" t="s">
        <v>51</v>
      </c>
      <c r="X1115" s="124" t="s">
        <v>52</v>
      </c>
      <c r="Y1115" s="124" t="s">
        <v>2109</v>
      </c>
      <c r="Z1115" s="124"/>
      <c r="AA1115" s="124" t="s">
        <v>1342</v>
      </c>
      <c r="AB1115" s="91"/>
      <c r="AC1115" s="91"/>
      <c r="AD1115" s="91"/>
      <c r="AE1115" s="91"/>
      <c r="AF1115" s="91"/>
      <c r="AG1115" s="91"/>
      <c r="AH1115" s="91"/>
    </row>
    <row r="1116" spans="1:34" ht="120">
      <c r="A1116" s="120">
        <v>1115</v>
      </c>
      <c r="B1116" s="120" t="b">
        <f t="shared" ca="1" si="17"/>
        <v>0</v>
      </c>
      <c r="C1116" s="121">
        <v>45710</v>
      </c>
      <c r="D1116" s="137">
        <v>0.58682870370370366</v>
      </c>
      <c r="E1116" s="94">
        <v>2033</v>
      </c>
      <c r="F1116" s="91">
        <v>1208</v>
      </c>
      <c r="G1116" s="94" t="s">
        <v>34</v>
      </c>
      <c r="H1116" s="94">
        <v>1037</v>
      </c>
      <c r="I1116" s="115">
        <v>35214500045461</v>
      </c>
      <c r="J1116" s="91" t="s">
        <v>35</v>
      </c>
      <c r="K1116" s="152">
        <v>6.13</v>
      </c>
      <c r="L1116" s="122" t="str">
        <f>VLOOKUP(K1116,Liste!$L$2:$O$34,4,1)</f>
        <v>GSMR_02/03</v>
      </c>
      <c r="M1116" s="133" t="s">
        <v>36</v>
      </c>
      <c r="N1116" s="124" t="s">
        <v>37</v>
      </c>
      <c r="O1116" s="117" t="s">
        <v>2434</v>
      </c>
      <c r="P1116" s="116" t="s">
        <v>2253</v>
      </c>
      <c r="Q1116" s="118" t="s">
        <v>531</v>
      </c>
      <c r="R1116" s="94" t="s">
        <v>1032</v>
      </c>
      <c r="S1116" s="124" t="s">
        <v>2435</v>
      </c>
      <c r="T1116" s="124" t="s">
        <v>101</v>
      </c>
      <c r="U1116" s="124" t="s">
        <v>1471</v>
      </c>
      <c r="V1116" s="124" t="s">
        <v>51</v>
      </c>
      <c r="W1116" s="124" t="s">
        <v>51</v>
      </c>
      <c r="X1116" s="124" t="s">
        <v>52</v>
      </c>
      <c r="Y1116" s="124" t="s">
        <v>2109</v>
      </c>
      <c r="Z1116" s="124"/>
      <c r="AA1116" s="124" t="s">
        <v>810</v>
      </c>
      <c r="AB1116" s="91"/>
      <c r="AC1116" s="91"/>
      <c r="AD1116" s="91"/>
      <c r="AE1116" s="91"/>
      <c r="AF1116" s="91"/>
      <c r="AG1116" s="91"/>
      <c r="AH1116" s="91"/>
    </row>
    <row r="1117" spans="1:34" ht="120">
      <c r="A1117" s="120">
        <v>1116</v>
      </c>
      <c r="B1117" s="120" t="b">
        <f t="shared" ca="1" si="17"/>
        <v>0</v>
      </c>
      <c r="C1117" s="121">
        <v>45710</v>
      </c>
      <c r="D1117" s="137">
        <v>0.71150462962962968</v>
      </c>
      <c r="E1117" s="94">
        <v>1038</v>
      </c>
      <c r="F1117" s="91">
        <v>1201</v>
      </c>
      <c r="G1117" s="94" t="s">
        <v>71</v>
      </c>
      <c r="H1117" s="94">
        <v>1028</v>
      </c>
      <c r="I1117" s="115">
        <v>35214500045449</v>
      </c>
      <c r="J1117" s="91" t="s">
        <v>72</v>
      </c>
      <c r="K1117" s="152">
        <v>7.3209999999999997</v>
      </c>
      <c r="L1117" s="122" t="str">
        <f>VLOOKUP(K1117,Liste!$L$2:$O$34,4,1)</f>
        <v>GSMR_02/03</v>
      </c>
      <c r="M1117" s="133" t="s">
        <v>36</v>
      </c>
      <c r="N1117" s="124" t="s">
        <v>37</v>
      </c>
      <c r="O1117" s="117" t="s">
        <v>2436</v>
      </c>
      <c r="P1117" s="116" t="s">
        <v>2253</v>
      </c>
      <c r="Q1117" s="118" t="s">
        <v>531</v>
      </c>
      <c r="R1117" s="94" t="s">
        <v>1032</v>
      </c>
      <c r="S1117" s="124" t="s">
        <v>2437</v>
      </c>
      <c r="T1117" s="124" t="s">
        <v>93</v>
      </c>
      <c r="U1117" s="124" t="s">
        <v>1493</v>
      </c>
      <c r="V1117" s="124" t="s">
        <v>51</v>
      </c>
      <c r="W1117" s="124" t="s">
        <v>51</v>
      </c>
      <c r="X1117" s="124" t="s">
        <v>52</v>
      </c>
      <c r="Y1117" s="124" t="s">
        <v>2109</v>
      </c>
      <c r="Z1117" s="124"/>
      <c r="AA1117" s="124" t="s">
        <v>810</v>
      </c>
      <c r="AB1117" s="91"/>
      <c r="AC1117" s="91"/>
      <c r="AD1117" s="91"/>
      <c r="AE1117" s="91"/>
      <c r="AF1117" s="91"/>
      <c r="AG1117" s="91"/>
      <c r="AH1117" s="91"/>
    </row>
    <row r="1118" spans="1:34" ht="120">
      <c r="A1118" s="120">
        <v>1117</v>
      </c>
      <c r="B1118" s="120" t="b">
        <f t="shared" ca="1" si="17"/>
        <v>0</v>
      </c>
      <c r="C1118" s="121">
        <v>45711</v>
      </c>
      <c r="D1118" s="137">
        <v>0.37865740740740739</v>
      </c>
      <c r="E1118" s="94">
        <v>2009</v>
      </c>
      <c r="F1118" s="91">
        <v>1205</v>
      </c>
      <c r="G1118" s="94" t="s">
        <v>34</v>
      </c>
      <c r="H1118" s="94">
        <v>7218</v>
      </c>
      <c r="I1118" s="115">
        <v>35214500045735</v>
      </c>
      <c r="J1118" s="91" t="s">
        <v>35</v>
      </c>
      <c r="K1118" s="152">
        <v>6.13</v>
      </c>
      <c r="L1118" s="122" t="str">
        <f>VLOOKUP(K1118,Liste!$L$2:$O$34,4,1)</f>
        <v>GSMR_02/03</v>
      </c>
      <c r="M1118" s="133" t="s">
        <v>36</v>
      </c>
      <c r="N1118" s="124" t="s">
        <v>37</v>
      </c>
      <c r="O1118" s="117" t="s">
        <v>2438</v>
      </c>
      <c r="P1118" s="116" t="s">
        <v>2253</v>
      </c>
      <c r="Q1118" s="118" t="s">
        <v>531</v>
      </c>
      <c r="R1118" s="94" t="s">
        <v>1032</v>
      </c>
      <c r="S1118" s="124" t="s">
        <v>2439</v>
      </c>
      <c r="T1118" s="124" t="s">
        <v>56</v>
      </c>
      <c r="U1118" s="124" t="s">
        <v>1481</v>
      </c>
      <c r="V1118" s="124" t="s">
        <v>43</v>
      </c>
      <c r="W1118" s="124" t="s">
        <v>51</v>
      </c>
      <c r="X1118" s="124" t="s">
        <v>52</v>
      </c>
      <c r="Y1118" s="124" t="s">
        <v>2109</v>
      </c>
      <c r="Z1118" s="124"/>
      <c r="AA1118" s="124" t="s">
        <v>1342</v>
      </c>
      <c r="AB1118" s="91"/>
      <c r="AC1118" s="91"/>
      <c r="AD1118" s="91"/>
      <c r="AE1118" s="91"/>
      <c r="AF1118" s="91"/>
      <c r="AG1118" s="91"/>
      <c r="AH1118" s="91"/>
    </row>
    <row r="1119" spans="1:34" ht="120">
      <c r="A1119" s="120">
        <v>1118</v>
      </c>
      <c r="B1119" s="120" t="b">
        <f t="shared" ca="1" si="17"/>
        <v>0</v>
      </c>
      <c r="C1119" s="121">
        <v>45711</v>
      </c>
      <c r="D1119" s="137">
        <v>0.58680555555555558</v>
      </c>
      <c r="E1119" s="94">
        <v>2033</v>
      </c>
      <c r="F1119" s="91">
        <v>1205</v>
      </c>
      <c r="G1119" s="94" t="s">
        <v>34</v>
      </c>
      <c r="H1119" s="94">
        <v>7218</v>
      </c>
      <c r="I1119" s="115">
        <v>35214500045735</v>
      </c>
      <c r="J1119" s="91" t="s">
        <v>35</v>
      </c>
      <c r="K1119" s="152">
        <v>6.13</v>
      </c>
      <c r="L1119" s="122" t="str">
        <f>VLOOKUP(K1119,Liste!$L$2:$O$34,4,1)</f>
        <v>GSMR_02/03</v>
      </c>
      <c r="M1119" s="133" t="s">
        <v>36</v>
      </c>
      <c r="N1119" s="124" t="s">
        <v>37</v>
      </c>
      <c r="O1119" s="117" t="s">
        <v>2440</v>
      </c>
      <c r="P1119" s="116" t="s">
        <v>2253</v>
      </c>
      <c r="Q1119" s="118" t="s">
        <v>531</v>
      </c>
      <c r="R1119" s="94" t="s">
        <v>1032</v>
      </c>
      <c r="S1119" s="124" t="s">
        <v>2441</v>
      </c>
      <c r="T1119" s="124" t="s">
        <v>93</v>
      </c>
      <c r="U1119" s="124" t="s">
        <v>1493</v>
      </c>
      <c r="V1119" s="124" t="s">
        <v>51</v>
      </c>
      <c r="W1119" s="124" t="s">
        <v>51</v>
      </c>
      <c r="X1119" s="124" t="s">
        <v>52</v>
      </c>
      <c r="Y1119" s="124" t="s">
        <v>2109</v>
      </c>
      <c r="Z1119" s="124"/>
      <c r="AA1119" s="124" t="s">
        <v>810</v>
      </c>
      <c r="AB1119" s="91"/>
      <c r="AC1119" s="91"/>
      <c r="AD1119" s="91"/>
      <c r="AE1119" s="91"/>
      <c r="AF1119" s="91"/>
      <c r="AG1119" s="91"/>
      <c r="AH1119" s="91"/>
    </row>
    <row r="1120" spans="1:34" ht="120">
      <c r="A1120" s="120">
        <v>1119</v>
      </c>
      <c r="B1120" s="120" t="b">
        <f t="shared" ca="1" si="17"/>
        <v>0</v>
      </c>
      <c r="C1120" s="121">
        <v>45711</v>
      </c>
      <c r="D1120" s="137">
        <v>0.71151620370370372</v>
      </c>
      <c r="E1120" s="94">
        <v>2041</v>
      </c>
      <c r="F1120" s="91">
        <v>1201</v>
      </c>
      <c r="G1120" s="94" t="s">
        <v>34</v>
      </c>
      <c r="H1120" s="94">
        <v>1057</v>
      </c>
      <c r="I1120" s="115">
        <v>35214500045187</v>
      </c>
      <c r="J1120" s="91" t="s">
        <v>35</v>
      </c>
      <c r="K1120" s="152">
        <v>6.13</v>
      </c>
      <c r="L1120" s="122" t="str">
        <f>VLOOKUP(K1120,Liste!$L$2:$O$34,4,1)</f>
        <v>GSMR_02/03</v>
      </c>
      <c r="M1120" s="133" t="s">
        <v>36</v>
      </c>
      <c r="N1120" s="181" t="s">
        <v>58</v>
      </c>
      <c r="O1120" s="117" t="s">
        <v>2442</v>
      </c>
      <c r="P1120" s="116" t="s">
        <v>2253</v>
      </c>
      <c r="Q1120" s="118" t="s">
        <v>531</v>
      </c>
      <c r="R1120" s="94" t="s">
        <v>1032</v>
      </c>
      <c r="S1120" s="124" t="s">
        <v>2443</v>
      </c>
      <c r="T1120" s="124" t="s">
        <v>56</v>
      </c>
      <c r="U1120" s="124" t="s">
        <v>1481</v>
      </c>
      <c r="V1120" s="124" t="s">
        <v>51</v>
      </c>
      <c r="W1120" s="124" t="s">
        <v>51</v>
      </c>
      <c r="X1120" s="124" t="s">
        <v>52</v>
      </c>
      <c r="Y1120" s="124" t="s">
        <v>2109</v>
      </c>
      <c r="Z1120" s="124"/>
      <c r="AA1120" s="124" t="s">
        <v>793</v>
      </c>
      <c r="AB1120" s="91"/>
      <c r="AC1120" s="91"/>
      <c r="AD1120" s="91"/>
      <c r="AE1120" s="91"/>
      <c r="AF1120" s="91"/>
      <c r="AG1120" s="91"/>
      <c r="AH1120" s="91"/>
    </row>
    <row r="1121" spans="1:34" ht="120">
      <c r="A1121" s="120">
        <v>1120</v>
      </c>
      <c r="B1121" s="120" t="b">
        <f t="shared" ca="1" si="17"/>
        <v>0</v>
      </c>
      <c r="C1121" s="121">
        <v>45711</v>
      </c>
      <c r="D1121" s="137">
        <v>0.87768518518518523</v>
      </c>
      <c r="E1121" s="94">
        <v>1053</v>
      </c>
      <c r="F1121" s="91">
        <v>1201</v>
      </c>
      <c r="G1121" s="94" t="s">
        <v>71</v>
      </c>
      <c r="H1121" s="94">
        <v>1028</v>
      </c>
      <c r="I1121" s="115">
        <v>35214500045449</v>
      </c>
      <c r="J1121" s="91" t="s">
        <v>72</v>
      </c>
      <c r="K1121" s="152">
        <v>7.3209999999999997</v>
      </c>
      <c r="L1121" s="122" t="str">
        <f>VLOOKUP(K1121,Liste!$L$2:$O$34,4,1)</f>
        <v>GSMR_02/03</v>
      </c>
      <c r="M1121" s="133" t="s">
        <v>36</v>
      </c>
      <c r="N1121" s="181" t="s">
        <v>58</v>
      </c>
      <c r="O1121" s="117" t="s">
        <v>2444</v>
      </c>
      <c r="P1121" s="116" t="s">
        <v>2253</v>
      </c>
      <c r="Q1121" s="118" t="s">
        <v>531</v>
      </c>
      <c r="R1121" s="94" t="s">
        <v>1032</v>
      </c>
      <c r="S1121" s="124" t="s">
        <v>2445</v>
      </c>
      <c r="T1121" s="124" t="s">
        <v>56</v>
      </c>
      <c r="U1121" s="124" t="s">
        <v>1460</v>
      </c>
      <c r="V1121" s="124" t="s">
        <v>51</v>
      </c>
      <c r="W1121" s="124" t="s">
        <v>51</v>
      </c>
      <c r="X1121" s="124" t="s">
        <v>52</v>
      </c>
      <c r="Y1121" s="124" t="s">
        <v>2109</v>
      </c>
      <c r="Z1121" s="124"/>
      <c r="AA1121" s="124" t="s">
        <v>754</v>
      </c>
      <c r="AB1121" s="91"/>
      <c r="AC1121" s="91"/>
      <c r="AD1121" s="91"/>
      <c r="AE1121" s="91"/>
      <c r="AF1121" s="91"/>
      <c r="AG1121" s="91"/>
      <c r="AH1121" s="91"/>
    </row>
    <row r="1122" spans="1:34" ht="120">
      <c r="A1122" s="120">
        <v>1121</v>
      </c>
      <c r="B1122" s="120" t="b">
        <f t="shared" ca="1" si="17"/>
        <v>0</v>
      </c>
      <c r="C1122" s="121">
        <v>45711</v>
      </c>
      <c r="D1122" s="137">
        <v>0.87869212962962961</v>
      </c>
      <c r="E1122" s="94">
        <v>2061</v>
      </c>
      <c r="F1122" s="91">
        <v>1210</v>
      </c>
      <c r="G1122" s="94" t="s">
        <v>34</v>
      </c>
      <c r="H1122" s="94">
        <v>1051</v>
      </c>
      <c r="I1122" s="115">
        <v>35214500045357</v>
      </c>
      <c r="J1122" s="91" t="s">
        <v>35</v>
      </c>
      <c r="K1122" s="152">
        <v>6.13</v>
      </c>
      <c r="L1122" s="122" t="str">
        <f>VLOOKUP(K1122,Liste!$L$2:$O$34,4,1)</f>
        <v>GSMR_02/03</v>
      </c>
      <c r="M1122" s="133" t="s">
        <v>36</v>
      </c>
      <c r="N1122" s="181" t="s">
        <v>58</v>
      </c>
      <c r="O1122" s="117" t="s">
        <v>2446</v>
      </c>
      <c r="P1122" s="116" t="s">
        <v>2253</v>
      </c>
      <c r="Q1122" s="118" t="s">
        <v>531</v>
      </c>
      <c r="R1122" s="94" t="s">
        <v>1032</v>
      </c>
      <c r="S1122" s="124" t="s">
        <v>2447</v>
      </c>
      <c r="T1122" s="124" t="s">
        <v>93</v>
      </c>
      <c r="U1122" s="124" t="s">
        <v>1449</v>
      </c>
      <c r="V1122" s="124" t="s">
        <v>51</v>
      </c>
      <c r="W1122" s="124" t="s">
        <v>51</v>
      </c>
      <c r="X1122" s="124" t="s">
        <v>52</v>
      </c>
      <c r="Y1122" s="124" t="s">
        <v>2109</v>
      </c>
      <c r="Z1122" s="124"/>
      <c r="AA1122" s="124" t="s">
        <v>754</v>
      </c>
      <c r="AB1122" s="91"/>
      <c r="AC1122" s="91"/>
      <c r="AD1122" s="91"/>
      <c r="AE1122" s="91"/>
      <c r="AF1122" s="91"/>
      <c r="AG1122" s="91"/>
      <c r="AH1122" s="91"/>
    </row>
    <row r="1123" spans="1:34" ht="90">
      <c r="A1123" s="120">
        <v>1122</v>
      </c>
      <c r="B1123" s="120" t="b">
        <f t="shared" ca="1" si="17"/>
        <v>0</v>
      </c>
      <c r="C1123" s="121">
        <v>45712</v>
      </c>
      <c r="D1123" s="137">
        <v>0.25737268518518519</v>
      </c>
      <c r="E1123" s="94">
        <v>2001</v>
      </c>
      <c r="F1123" s="91">
        <v>1203</v>
      </c>
      <c r="G1123" s="94" t="s">
        <v>34</v>
      </c>
      <c r="H1123" s="94">
        <v>1025</v>
      </c>
      <c r="I1123" s="115">
        <v>35214500045122</v>
      </c>
      <c r="J1123" s="91" t="s">
        <v>35</v>
      </c>
      <c r="K1123" s="133">
        <v>21.55</v>
      </c>
      <c r="L1123" s="122" t="str">
        <f>VLOOKUP(K1123,Liste!$L$2:$O$34,4,1)</f>
        <v>GSMR_04/05</v>
      </c>
      <c r="M1123" s="133" t="s">
        <v>36</v>
      </c>
      <c r="N1123" s="124" t="s">
        <v>37</v>
      </c>
      <c r="O1123" s="117" t="s">
        <v>2448</v>
      </c>
      <c r="P1123" s="117" t="s">
        <v>2272</v>
      </c>
      <c r="Q1123" s="94" t="s">
        <v>54</v>
      </c>
      <c r="R1123" s="129" t="s">
        <v>2215</v>
      </c>
      <c r="S1123" s="124" t="s">
        <v>2449</v>
      </c>
      <c r="T1123" s="124" t="s">
        <v>69</v>
      </c>
      <c r="U1123" s="124" t="s">
        <v>1541</v>
      </c>
      <c r="V1123" s="124" t="s">
        <v>51</v>
      </c>
      <c r="W1123" s="124" t="s">
        <v>51</v>
      </c>
      <c r="X1123" s="124" t="s">
        <v>52</v>
      </c>
      <c r="Y1123" s="124" t="s">
        <v>2109</v>
      </c>
      <c r="Z1123" s="124"/>
      <c r="AA1123" s="124" t="s">
        <v>757</v>
      </c>
      <c r="AB1123" s="91"/>
      <c r="AC1123" s="91"/>
      <c r="AD1123" s="91"/>
      <c r="AE1123" s="91"/>
      <c r="AF1123" s="91"/>
      <c r="AG1123" s="91"/>
      <c r="AH1123" s="91"/>
    </row>
    <row r="1124" spans="1:34" ht="75">
      <c r="A1124" s="120">
        <v>1123</v>
      </c>
      <c r="B1124" s="120" t="b">
        <f t="shared" ca="1" si="17"/>
        <v>0</v>
      </c>
      <c r="C1124" s="121">
        <v>45712</v>
      </c>
      <c r="D1124" s="137">
        <v>0.60788194444444443</v>
      </c>
      <c r="E1124" s="94">
        <v>2033</v>
      </c>
      <c r="F1124" s="91">
        <v>1209</v>
      </c>
      <c r="G1124" s="94" t="s">
        <v>34</v>
      </c>
      <c r="H1124" s="94">
        <v>1058</v>
      </c>
      <c r="I1124" s="115">
        <v>35214500044293</v>
      </c>
      <c r="J1124" s="91" t="s">
        <v>35</v>
      </c>
      <c r="K1124" s="133">
        <v>141.898</v>
      </c>
      <c r="L1124" s="122" t="str">
        <f>VLOOKUP(K1124,Liste!$L$2:$O$34,4,1)</f>
        <v>GSMR_24/25</v>
      </c>
      <c r="M1124" s="133" t="s">
        <v>36</v>
      </c>
      <c r="N1124" s="124" t="s">
        <v>37</v>
      </c>
      <c r="O1124" s="117" t="s">
        <v>2450</v>
      </c>
      <c r="P1124" s="117" t="s">
        <v>2346</v>
      </c>
      <c r="Q1124" s="118" t="s">
        <v>105</v>
      </c>
      <c r="R1124" s="129" t="s">
        <v>1072</v>
      </c>
      <c r="S1124" s="124" t="s">
        <v>1888</v>
      </c>
      <c r="T1124" s="124" t="s">
        <v>69</v>
      </c>
      <c r="U1124" s="124" t="s">
        <v>1453</v>
      </c>
      <c r="V1124" s="124" t="s">
        <v>51</v>
      </c>
      <c r="W1124" s="124" t="s">
        <v>51</v>
      </c>
      <c r="X1124" s="124" t="s">
        <v>52</v>
      </c>
      <c r="Y1124" s="124" t="s">
        <v>2199</v>
      </c>
      <c r="Z1124" s="124"/>
      <c r="AA1124" s="124" t="s">
        <v>810</v>
      </c>
      <c r="AB1124" s="91"/>
      <c r="AC1124" s="91"/>
      <c r="AD1124" s="91"/>
      <c r="AE1124" s="91"/>
      <c r="AF1124" s="91"/>
      <c r="AG1124" s="91"/>
      <c r="AH1124" s="91"/>
    </row>
    <row r="1125" spans="1:34" ht="90">
      <c r="A1125" s="120">
        <v>1124</v>
      </c>
      <c r="B1125" s="120" t="b">
        <f t="shared" ca="1" si="17"/>
        <v>0</v>
      </c>
      <c r="C1125" s="121">
        <v>45712</v>
      </c>
      <c r="D1125" s="137">
        <v>0.64425925925925931</v>
      </c>
      <c r="E1125" s="94">
        <v>2037</v>
      </c>
      <c r="F1125" s="91">
        <v>1201</v>
      </c>
      <c r="G1125" s="94" t="s">
        <v>34</v>
      </c>
      <c r="H1125" s="94">
        <v>1056</v>
      </c>
      <c r="I1125" s="115">
        <v>35214500045217</v>
      </c>
      <c r="J1125" s="91" t="s">
        <v>35</v>
      </c>
      <c r="K1125" s="133">
        <v>109.495</v>
      </c>
      <c r="L1125" s="122" t="str">
        <f>VLOOKUP(K1125,Liste!$L$2:$O$34,4,1)</f>
        <v>GSMR_19/20</v>
      </c>
      <c r="M1125" s="133" t="s">
        <v>36</v>
      </c>
      <c r="N1125" s="124" t="s">
        <v>37</v>
      </c>
      <c r="O1125" s="117" t="s">
        <v>2451</v>
      </c>
      <c r="P1125" s="117" t="s">
        <v>2389</v>
      </c>
      <c r="Q1125" s="94" t="s">
        <v>54</v>
      </c>
      <c r="R1125" s="129" t="s">
        <v>2215</v>
      </c>
      <c r="S1125" s="124" t="s">
        <v>2452</v>
      </c>
      <c r="T1125" s="124" t="s">
        <v>56</v>
      </c>
      <c r="U1125" s="124" t="s">
        <v>1493</v>
      </c>
      <c r="V1125" s="124" t="s">
        <v>43</v>
      </c>
      <c r="W1125" s="124" t="s">
        <v>51</v>
      </c>
      <c r="X1125" s="124" t="s">
        <v>52</v>
      </c>
      <c r="Y1125" s="124" t="s">
        <v>2109</v>
      </c>
      <c r="Z1125" s="124"/>
      <c r="AA1125" s="124" t="s">
        <v>810</v>
      </c>
      <c r="AB1125" s="91"/>
      <c r="AC1125" s="91"/>
      <c r="AD1125" s="91"/>
      <c r="AE1125" s="91"/>
      <c r="AF1125" s="91"/>
      <c r="AG1125" s="91"/>
      <c r="AH1125" s="91"/>
    </row>
    <row r="1126" spans="1:34" ht="120">
      <c r="A1126" s="120">
        <v>1125</v>
      </c>
      <c r="B1126" s="120" t="b">
        <f t="shared" ca="1" si="17"/>
        <v>0</v>
      </c>
      <c r="C1126" s="121">
        <v>45713</v>
      </c>
      <c r="D1126" s="137">
        <v>0.67033564814814817</v>
      </c>
      <c r="E1126" s="94">
        <v>2037</v>
      </c>
      <c r="F1126" s="91">
        <v>1205</v>
      </c>
      <c r="G1126" s="94" t="s">
        <v>34</v>
      </c>
      <c r="H1126" s="94">
        <v>7217</v>
      </c>
      <c r="I1126" s="115">
        <v>35214500045735</v>
      </c>
      <c r="J1126" s="91" t="s">
        <v>35</v>
      </c>
      <c r="K1126" s="152">
        <v>6.13</v>
      </c>
      <c r="L1126" s="122" t="str">
        <f>VLOOKUP(K1126,Liste!$L$2:$O$34,4,1)</f>
        <v>GSMR_02/03</v>
      </c>
      <c r="M1126" s="133" t="s">
        <v>36</v>
      </c>
      <c r="N1126" s="181" t="s">
        <v>58</v>
      </c>
      <c r="O1126" s="117" t="s">
        <v>2453</v>
      </c>
      <c r="P1126" s="116" t="s">
        <v>2253</v>
      </c>
      <c r="Q1126" s="118" t="s">
        <v>531</v>
      </c>
      <c r="R1126" s="94" t="s">
        <v>1032</v>
      </c>
      <c r="S1126" s="124" t="s">
        <v>1255</v>
      </c>
      <c r="T1126" s="124" t="s">
        <v>56</v>
      </c>
      <c r="U1126" s="124" t="s">
        <v>1490</v>
      </c>
      <c r="V1126" s="124" t="s">
        <v>43</v>
      </c>
      <c r="W1126" s="124" t="s">
        <v>51</v>
      </c>
      <c r="X1126" s="124" t="s">
        <v>52</v>
      </c>
      <c r="Y1126" s="124" t="s">
        <v>2109</v>
      </c>
      <c r="Z1126" s="124"/>
      <c r="AA1126" s="124" t="s">
        <v>745</v>
      </c>
      <c r="AB1126" s="91"/>
      <c r="AC1126" s="91"/>
      <c r="AD1126" s="91"/>
      <c r="AE1126" s="91"/>
      <c r="AF1126" s="91"/>
      <c r="AG1126" s="91"/>
      <c r="AH1126" s="91"/>
    </row>
    <row r="1127" spans="1:34" ht="120">
      <c r="A1127" s="120">
        <v>1126</v>
      </c>
      <c r="B1127" s="120" t="b">
        <f t="shared" ca="1" si="17"/>
        <v>0</v>
      </c>
      <c r="C1127" s="121">
        <v>45713</v>
      </c>
      <c r="D1127" s="137">
        <v>0.8790972222222222</v>
      </c>
      <c r="E1127" s="94">
        <v>2061</v>
      </c>
      <c r="F1127" s="91">
        <v>1205</v>
      </c>
      <c r="G1127" s="94" t="s">
        <v>71</v>
      </c>
      <c r="H1127" s="94">
        <v>7217</v>
      </c>
      <c r="I1127" s="115">
        <v>35214500005339</v>
      </c>
      <c r="J1127" s="91" t="s">
        <v>72</v>
      </c>
      <c r="K1127" s="152">
        <v>6.13</v>
      </c>
      <c r="L1127" s="122" t="str">
        <f>VLOOKUP(K1127,Liste!$L$2:$O$34,4,1)</f>
        <v>GSMR_02/03</v>
      </c>
      <c r="M1127" s="133" t="s">
        <v>36</v>
      </c>
      <c r="N1127" s="181" t="s">
        <v>58</v>
      </c>
      <c r="O1127" s="117" t="s">
        <v>2454</v>
      </c>
      <c r="P1127" s="116" t="s">
        <v>2253</v>
      </c>
      <c r="Q1127" s="118" t="s">
        <v>531</v>
      </c>
      <c r="R1127" s="94" t="s">
        <v>1032</v>
      </c>
      <c r="S1127" s="124" t="s">
        <v>2455</v>
      </c>
      <c r="T1127" s="124" t="s">
        <v>56</v>
      </c>
      <c r="U1127" s="124" t="s">
        <v>1730</v>
      </c>
      <c r="V1127" s="124" t="s">
        <v>43</v>
      </c>
      <c r="W1127" s="124" t="s">
        <v>51</v>
      </c>
      <c r="X1127" s="124" t="s">
        <v>52</v>
      </c>
      <c r="Y1127" s="124" t="s">
        <v>2109</v>
      </c>
      <c r="Z1127" s="124"/>
      <c r="AA1127" s="124" t="s">
        <v>754</v>
      </c>
      <c r="AB1127" s="91"/>
      <c r="AC1127" s="91"/>
      <c r="AD1127" s="91"/>
      <c r="AE1127" s="91"/>
      <c r="AF1127" s="91"/>
      <c r="AG1127" s="91"/>
      <c r="AH1127" s="91"/>
    </row>
    <row r="1128" spans="1:34" ht="90">
      <c r="A1128" s="120">
        <v>1127</v>
      </c>
      <c r="B1128" s="120" t="b">
        <f t="shared" ca="1" si="17"/>
        <v>0</v>
      </c>
      <c r="C1128" s="121">
        <v>45714</v>
      </c>
      <c r="D1128" s="137">
        <v>0.27674768518518517</v>
      </c>
      <c r="E1128" s="94">
        <v>2001</v>
      </c>
      <c r="F1128" s="91">
        <v>1209</v>
      </c>
      <c r="G1128" s="94" t="s">
        <v>34</v>
      </c>
      <c r="H1128" s="94">
        <v>1058</v>
      </c>
      <c r="I1128" s="115">
        <v>35214500004427</v>
      </c>
      <c r="J1128" s="91" t="s">
        <v>35</v>
      </c>
      <c r="K1128" s="133">
        <v>153.68600000000001</v>
      </c>
      <c r="L1128" s="122" t="str">
        <f>VLOOKUP(K1128,Liste!$L$2:$O$34,4,1)</f>
        <v>GSMR_26/27</v>
      </c>
      <c r="M1128" s="133" t="s">
        <v>36</v>
      </c>
      <c r="N1128" s="124" t="s">
        <v>37</v>
      </c>
      <c r="O1128" s="117" t="s">
        <v>2456</v>
      </c>
      <c r="P1128" s="117" t="s">
        <v>2272</v>
      </c>
      <c r="Q1128" s="94" t="s">
        <v>54</v>
      </c>
      <c r="R1128" s="129" t="s">
        <v>2215</v>
      </c>
      <c r="S1128" s="124" t="s">
        <v>2457</v>
      </c>
      <c r="T1128" s="124" t="s">
        <v>101</v>
      </c>
      <c r="U1128" s="124" t="s">
        <v>1693</v>
      </c>
      <c r="V1128" s="124" t="s">
        <v>43</v>
      </c>
      <c r="W1128" s="124" t="s">
        <v>51</v>
      </c>
      <c r="X1128" s="124" t="s">
        <v>52</v>
      </c>
      <c r="Y1128" s="124" t="s">
        <v>2109</v>
      </c>
      <c r="Z1128" s="124"/>
      <c r="AA1128" s="124" t="s">
        <v>757</v>
      </c>
      <c r="AB1128" s="91"/>
      <c r="AC1128" s="91"/>
      <c r="AD1128" s="91"/>
      <c r="AE1128" s="91"/>
      <c r="AF1128" s="91"/>
      <c r="AG1128" s="91"/>
      <c r="AH1128" s="91"/>
    </row>
    <row r="1129" spans="1:34" ht="120">
      <c r="A1129" s="120">
        <v>1128</v>
      </c>
      <c r="B1129" s="120" t="b">
        <f t="shared" ca="1" si="17"/>
        <v>0</v>
      </c>
      <c r="C1129" s="121">
        <v>45714</v>
      </c>
      <c r="D1129" s="137">
        <v>0.50387731481481479</v>
      </c>
      <c r="E1129" s="94">
        <v>2025</v>
      </c>
      <c r="F1129" s="91">
        <v>1209</v>
      </c>
      <c r="G1129" s="94" t="s">
        <v>34</v>
      </c>
      <c r="H1129" s="94">
        <v>1058</v>
      </c>
      <c r="I1129" s="115">
        <v>35214500004427</v>
      </c>
      <c r="J1129" s="91" t="s">
        <v>35</v>
      </c>
      <c r="K1129" s="152">
        <v>6.13</v>
      </c>
      <c r="L1129" s="122" t="str">
        <f>VLOOKUP(K1129,Liste!$L$2:$O$34,4,1)</f>
        <v>GSMR_02/03</v>
      </c>
      <c r="M1129" s="133" t="s">
        <v>36</v>
      </c>
      <c r="N1129" s="181" t="s">
        <v>58</v>
      </c>
      <c r="O1129" s="117" t="s">
        <v>2458</v>
      </c>
      <c r="P1129" s="116" t="s">
        <v>2253</v>
      </c>
      <c r="Q1129" s="118" t="s">
        <v>531</v>
      </c>
      <c r="R1129" s="94" t="s">
        <v>1032</v>
      </c>
      <c r="S1129" s="124" t="s">
        <v>2130</v>
      </c>
      <c r="T1129" s="124" t="s">
        <v>56</v>
      </c>
      <c r="U1129" s="124" t="s">
        <v>1538</v>
      </c>
      <c r="V1129" s="124" t="s">
        <v>51</v>
      </c>
      <c r="W1129" s="124" t="s">
        <v>51</v>
      </c>
      <c r="X1129" s="124" t="s">
        <v>52</v>
      </c>
      <c r="Y1129" s="124" t="s">
        <v>2109</v>
      </c>
      <c r="Z1129" s="124"/>
      <c r="AA1129" s="124" t="s">
        <v>802</v>
      </c>
      <c r="AB1129" s="91"/>
      <c r="AC1129" s="91"/>
      <c r="AD1129" s="91"/>
      <c r="AE1129" s="91"/>
      <c r="AF1129" s="91"/>
      <c r="AG1129" s="91"/>
      <c r="AH1129" s="91"/>
    </row>
    <row r="1130" spans="1:34" ht="120">
      <c r="A1130" s="120">
        <v>1129</v>
      </c>
      <c r="B1130" s="120" t="b">
        <f t="shared" ca="1" si="17"/>
        <v>0</v>
      </c>
      <c r="C1130" s="121">
        <v>45714</v>
      </c>
      <c r="D1130" s="137">
        <v>0.71204861111111106</v>
      </c>
      <c r="E1130" s="94">
        <v>2045</v>
      </c>
      <c r="F1130" s="91">
        <v>1201</v>
      </c>
      <c r="G1130" s="94" t="s">
        <v>34</v>
      </c>
      <c r="H1130" s="94">
        <v>1056</v>
      </c>
      <c r="I1130" s="115">
        <v>35214500045187</v>
      </c>
      <c r="J1130" s="91" t="s">
        <v>35</v>
      </c>
      <c r="K1130" s="152">
        <v>6.13</v>
      </c>
      <c r="L1130" s="122" t="str">
        <f>VLOOKUP(K1130,Liste!$L$2:$O$34,4,1)</f>
        <v>GSMR_02/03</v>
      </c>
      <c r="M1130" s="133" t="s">
        <v>36</v>
      </c>
      <c r="N1130" s="181" t="s">
        <v>58</v>
      </c>
      <c r="O1130" s="117" t="s">
        <v>2459</v>
      </c>
      <c r="P1130" s="116" t="s">
        <v>2253</v>
      </c>
      <c r="Q1130" s="118" t="s">
        <v>531</v>
      </c>
      <c r="R1130" s="94" t="s">
        <v>1032</v>
      </c>
      <c r="S1130" s="124" t="s">
        <v>1232</v>
      </c>
      <c r="T1130" s="124" t="s">
        <v>56</v>
      </c>
      <c r="U1130" s="124" t="s">
        <v>1468</v>
      </c>
      <c r="V1130" s="124" t="s">
        <v>51</v>
      </c>
      <c r="W1130" s="124" t="s">
        <v>51</v>
      </c>
      <c r="X1130" s="124" t="s">
        <v>52</v>
      </c>
      <c r="Y1130" s="124" t="s">
        <v>2109</v>
      </c>
      <c r="Z1130" s="124"/>
      <c r="AA1130" s="124" t="s">
        <v>1183</v>
      </c>
      <c r="AB1130" s="91"/>
      <c r="AC1130" s="91"/>
      <c r="AD1130" s="91"/>
      <c r="AE1130" s="91"/>
      <c r="AF1130" s="91"/>
      <c r="AG1130" s="91"/>
      <c r="AH1130" s="91"/>
    </row>
    <row r="1131" spans="1:34" ht="120">
      <c r="A1131" s="120">
        <v>1130</v>
      </c>
      <c r="B1131" s="120" t="b">
        <f t="shared" ca="1" si="17"/>
        <v>0</v>
      </c>
      <c r="C1131" s="121">
        <v>45717</v>
      </c>
      <c r="D1131" s="137">
        <v>0.42005787037037035</v>
      </c>
      <c r="E1131" s="94">
        <v>2017</v>
      </c>
      <c r="F1131" s="91">
        <v>1211</v>
      </c>
      <c r="G1131" s="94" t="s">
        <v>34</v>
      </c>
      <c r="H1131" s="94">
        <v>7195</v>
      </c>
      <c r="I1131" s="115">
        <v>35214500045671</v>
      </c>
      <c r="J1131" s="91" t="s">
        <v>35</v>
      </c>
      <c r="K1131" s="152">
        <v>6.13</v>
      </c>
      <c r="L1131" s="122" t="str">
        <f>VLOOKUP(K1131,Liste!$L$2:$O$34,4,1)</f>
        <v>GSMR_02/03</v>
      </c>
      <c r="M1131" s="133" t="s">
        <v>36</v>
      </c>
      <c r="N1131" s="124" t="s">
        <v>37</v>
      </c>
      <c r="O1131" s="117" t="s">
        <v>2460</v>
      </c>
      <c r="P1131" s="116" t="s">
        <v>2253</v>
      </c>
      <c r="Q1131" s="118" t="s">
        <v>531</v>
      </c>
      <c r="R1131" s="94" t="s">
        <v>1032</v>
      </c>
      <c r="S1131" s="124" t="s">
        <v>2130</v>
      </c>
      <c r="T1131" s="124" t="s">
        <v>56</v>
      </c>
      <c r="U1131" s="124" t="s">
        <v>1693</v>
      </c>
      <c r="V1131" s="124" t="s">
        <v>51</v>
      </c>
      <c r="W1131" s="124" t="s">
        <v>51</v>
      </c>
      <c r="X1131" s="124" t="s">
        <v>52</v>
      </c>
      <c r="Y1131" s="124" t="s">
        <v>2109</v>
      </c>
      <c r="Z1131" s="124"/>
      <c r="AA1131" s="124" t="s">
        <v>802</v>
      </c>
      <c r="AB1131" s="91"/>
      <c r="AC1131" s="91"/>
      <c r="AD1131" s="91"/>
      <c r="AE1131" s="91"/>
      <c r="AF1131" s="91"/>
      <c r="AG1131" s="91"/>
      <c r="AH1131" s="91"/>
    </row>
    <row r="1132" spans="1:34" ht="90">
      <c r="A1132" s="120">
        <v>1131</v>
      </c>
      <c r="B1132" s="120" t="b">
        <f t="shared" ca="1" si="17"/>
        <v>0</v>
      </c>
      <c r="C1132" s="121">
        <v>45721</v>
      </c>
      <c r="D1132" s="137">
        <v>0.43593749999999998</v>
      </c>
      <c r="E1132" s="94">
        <v>1013</v>
      </c>
      <c r="F1132" s="91">
        <v>1207</v>
      </c>
      <c r="G1132" s="94" t="s">
        <v>71</v>
      </c>
      <c r="H1132" s="94">
        <v>1047</v>
      </c>
      <c r="I1132" s="115">
        <v>35214500038727</v>
      </c>
      <c r="J1132" s="122" t="s">
        <v>72</v>
      </c>
      <c r="K1132" s="133">
        <v>185.47</v>
      </c>
      <c r="L1132" s="122" t="str">
        <f>VLOOKUP(K1132,Liste!$L$2:$O$34,4,1)</f>
        <v>GSMR_32/33</v>
      </c>
      <c r="M1132" s="133" t="s">
        <v>36</v>
      </c>
      <c r="N1132" s="124" t="s">
        <v>37</v>
      </c>
      <c r="O1132" s="117" t="s">
        <v>2461</v>
      </c>
      <c r="P1132" s="117" t="s">
        <v>2272</v>
      </c>
      <c r="Q1132" s="94" t="s">
        <v>54</v>
      </c>
      <c r="R1132" s="129" t="s">
        <v>2215</v>
      </c>
      <c r="S1132" s="124" t="s">
        <v>2462</v>
      </c>
      <c r="T1132" s="124" t="s">
        <v>101</v>
      </c>
      <c r="U1132" s="124" t="s">
        <v>1718</v>
      </c>
      <c r="V1132" s="124" t="s">
        <v>43</v>
      </c>
      <c r="W1132" s="124" t="s">
        <v>51</v>
      </c>
      <c r="X1132" s="124" t="s">
        <v>52</v>
      </c>
      <c r="Y1132" s="124" t="s">
        <v>2109</v>
      </c>
      <c r="Z1132" s="124"/>
      <c r="AA1132" s="124" t="s">
        <v>802</v>
      </c>
      <c r="AB1132" s="91"/>
      <c r="AC1132" s="91"/>
      <c r="AD1132" s="91"/>
      <c r="AE1132" s="91"/>
      <c r="AF1132" s="91"/>
      <c r="AG1132" s="91"/>
      <c r="AH1132" s="91"/>
    </row>
    <row r="1133" spans="1:34" ht="120">
      <c r="A1133" s="120">
        <v>1132</v>
      </c>
      <c r="B1133" s="120" t="b">
        <f t="shared" ca="1" si="17"/>
        <v>0</v>
      </c>
      <c r="C1133" s="121">
        <v>45721</v>
      </c>
      <c r="D1133" s="137">
        <v>0.71182870370370366</v>
      </c>
      <c r="E1133" s="94">
        <v>2045</v>
      </c>
      <c r="F1133" s="91">
        <v>1209</v>
      </c>
      <c r="G1133" s="94" t="s">
        <v>34</v>
      </c>
      <c r="H1133" s="94">
        <v>7208</v>
      </c>
      <c r="I1133" s="115">
        <v>35214500004427</v>
      </c>
      <c r="J1133" s="122" t="s">
        <v>35</v>
      </c>
      <c r="K1133" s="152">
        <v>6.13</v>
      </c>
      <c r="L1133" s="122" t="str">
        <f>VLOOKUP(K1133,Liste!$L$2:$O$34,4,1)</f>
        <v>GSMR_02/03</v>
      </c>
      <c r="M1133" s="133" t="s">
        <v>36</v>
      </c>
      <c r="N1133" s="124" t="s">
        <v>37</v>
      </c>
      <c r="O1133" s="117" t="s">
        <v>2463</v>
      </c>
      <c r="P1133" s="116" t="s">
        <v>2253</v>
      </c>
      <c r="Q1133" s="118" t="s">
        <v>531</v>
      </c>
      <c r="R1133" s="94" t="s">
        <v>1032</v>
      </c>
      <c r="S1133" s="124" t="s">
        <v>1255</v>
      </c>
      <c r="T1133" s="124" t="s">
        <v>56</v>
      </c>
      <c r="U1133" s="124" t="s">
        <v>1622</v>
      </c>
      <c r="V1133" s="124" t="s">
        <v>51</v>
      </c>
      <c r="W1133" s="124" t="s">
        <v>51</v>
      </c>
      <c r="X1133" s="124" t="s">
        <v>52</v>
      </c>
      <c r="Y1133" s="124" t="s">
        <v>2109</v>
      </c>
      <c r="Z1133" s="124"/>
      <c r="AA1133" s="124" t="s">
        <v>754</v>
      </c>
      <c r="AB1133" s="91"/>
      <c r="AC1133" s="91"/>
      <c r="AD1133" s="91"/>
      <c r="AE1133" s="91"/>
      <c r="AF1133" s="91"/>
      <c r="AG1133" s="91"/>
      <c r="AH1133" s="91"/>
    </row>
    <row r="1134" spans="1:34" ht="120">
      <c r="A1134" s="120">
        <v>1133</v>
      </c>
      <c r="B1134" s="120" t="b">
        <f t="shared" ca="1" si="17"/>
        <v>0</v>
      </c>
      <c r="C1134" s="121">
        <v>45724</v>
      </c>
      <c r="D1134" s="137">
        <v>0.92038194444444443</v>
      </c>
      <c r="E1134" s="94">
        <v>10081</v>
      </c>
      <c r="F1134" s="91">
        <v>1202</v>
      </c>
      <c r="G1134" s="94" t="s">
        <v>34</v>
      </c>
      <c r="H1134" s="94">
        <v>1043</v>
      </c>
      <c r="I1134" s="115">
        <v>35214500045200</v>
      </c>
      <c r="J1134" s="122" t="s">
        <v>35</v>
      </c>
      <c r="K1134" s="152">
        <v>6.13</v>
      </c>
      <c r="L1134" s="122" t="str">
        <f>VLOOKUP(K1134,Liste!$L$2:$O$34,4,1)</f>
        <v>GSMR_02/03</v>
      </c>
      <c r="M1134" s="133" t="s">
        <v>36</v>
      </c>
      <c r="N1134" s="124" t="s">
        <v>37</v>
      </c>
      <c r="O1134" s="117" t="s">
        <v>2464</v>
      </c>
      <c r="P1134" s="116" t="s">
        <v>2253</v>
      </c>
      <c r="Q1134" s="118" t="s">
        <v>531</v>
      </c>
      <c r="R1134" s="94" t="s">
        <v>1032</v>
      </c>
      <c r="S1134" s="124" t="s">
        <v>1258</v>
      </c>
      <c r="T1134" s="124" t="s">
        <v>56</v>
      </c>
      <c r="U1134" s="124" t="s">
        <v>1463</v>
      </c>
      <c r="V1134" s="124" t="s">
        <v>43</v>
      </c>
      <c r="W1134" s="124" t="s">
        <v>51</v>
      </c>
      <c r="X1134" s="124" t="s">
        <v>52</v>
      </c>
      <c r="Y1134" s="124" t="s">
        <v>2109</v>
      </c>
      <c r="Z1134" s="124"/>
      <c r="AA1134" s="124" t="s">
        <v>1295</v>
      </c>
      <c r="AB1134" s="91"/>
      <c r="AC1134" s="91"/>
      <c r="AD1134" s="91"/>
      <c r="AE1134" s="91"/>
      <c r="AF1134" s="91"/>
      <c r="AG1134" s="91"/>
      <c r="AH1134" s="91"/>
    </row>
    <row r="1135" spans="1:34" ht="60">
      <c r="A1135" s="120">
        <v>1134</v>
      </c>
      <c r="B1135" s="120" t="b">
        <f t="shared" ca="1" si="17"/>
        <v>0</v>
      </c>
      <c r="C1135" s="121">
        <v>45725</v>
      </c>
      <c r="D1135" s="137">
        <v>0.36417824074074073</v>
      </c>
      <c r="E1135" s="94">
        <v>15061</v>
      </c>
      <c r="F1135" s="91">
        <v>1208</v>
      </c>
      <c r="G1135" s="94" t="s">
        <v>71</v>
      </c>
      <c r="H1135" s="94">
        <v>1044</v>
      </c>
      <c r="I1135" s="115">
        <v>35214500045131</v>
      </c>
      <c r="J1135" s="122" t="s">
        <v>72</v>
      </c>
      <c r="K1135" s="133">
        <v>202.125</v>
      </c>
      <c r="L1135" s="122" t="str">
        <f>VLOOKUP(K1135,Liste!$L$2:$O$34,4,1)</f>
        <v>GSMR_33/RAC</v>
      </c>
      <c r="M1135" s="133" t="s">
        <v>36</v>
      </c>
      <c r="N1135" s="124" t="s">
        <v>37</v>
      </c>
      <c r="O1135" s="117" t="s">
        <v>2465</v>
      </c>
      <c r="P1135" s="117" t="s">
        <v>2466</v>
      </c>
      <c r="Q1135" s="94" t="s">
        <v>54</v>
      </c>
      <c r="R1135" s="129" t="s">
        <v>2215</v>
      </c>
      <c r="S1135" s="124" t="s">
        <v>2467</v>
      </c>
      <c r="T1135" s="124" t="s">
        <v>2339</v>
      </c>
      <c r="U1135" s="124" t="s">
        <v>2339</v>
      </c>
      <c r="V1135" s="124" t="s">
        <v>43</v>
      </c>
      <c r="W1135" s="124" t="s">
        <v>51</v>
      </c>
      <c r="X1135" s="124" t="s">
        <v>52</v>
      </c>
      <c r="Y1135" s="124" t="s">
        <v>2199</v>
      </c>
      <c r="Z1135" s="124"/>
      <c r="AA1135" s="124" t="s">
        <v>754</v>
      </c>
      <c r="AB1135" s="91"/>
      <c r="AC1135" s="91"/>
      <c r="AD1135" s="91"/>
      <c r="AE1135" s="91"/>
      <c r="AF1135" s="91"/>
      <c r="AG1135" s="91"/>
      <c r="AH1135" s="91"/>
    </row>
    <row r="1136" spans="1:34" ht="120">
      <c r="A1136" s="120">
        <v>1135</v>
      </c>
      <c r="B1136" s="120" t="b">
        <f t="shared" ca="1" si="17"/>
        <v>0</v>
      </c>
      <c r="C1136" s="121">
        <v>45725</v>
      </c>
      <c r="D1136" s="137">
        <v>0.67053240740740738</v>
      </c>
      <c r="E1136" s="94">
        <v>2041</v>
      </c>
      <c r="F1136" s="91">
        <v>1203</v>
      </c>
      <c r="G1136" s="94" t="s">
        <v>34</v>
      </c>
      <c r="H1136" s="94">
        <v>1025</v>
      </c>
      <c r="I1136" s="115">
        <v>35214500045073</v>
      </c>
      <c r="J1136" s="122" t="s">
        <v>35</v>
      </c>
      <c r="K1136" s="152">
        <v>6.13</v>
      </c>
      <c r="L1136" s="122" t="str">
        <f>VLOOKUP(K1136,Liste!$L$2:$O$34,4,1)</f>
        <v>GSMR_02/03</v>
      </c>
      <c r="M1136" s="133" t="s">
        <v>36</v>
      </c>
      <c r="N1136" s="124" t="s">
        <v>37</v>
      </c>
      <c r="O1136" s="117" t="s">
        <v>2468</v>
      </c>
      <c r="P1136" s="116" t="s">
        <v>2253</v>
      </c>
      <c r="Q1136" s="118" t="s">
        <v>531</v>
      </c>
      <c r="R1136" s="94" t="s">
        <v>1032</v>
      </c>
      <c r="S1136" s="124" t="s">
        <v>1258</v>
      </c>
      <c r="T1136" s="124" t="s">
        <v>56</v>
      </c>
      <c r="U1136" s="124" t="s">
        <v>1463</v>
      </c>
      <c r="V1136" s="124" t="s">
        <v>43</v>
      </c>
      <c r="W1136" s="124" t="s">
        <v>51</v>
      </c>
      <c r="X1136" s="124" t="s">
        <v>52</v>
      </c>
      <c r="Y1136" s="124" t="s">
        <v>2199</v>
      </c>
      <c r="Z1136" s="124"/>
      <c r="AA1136" s="124" t="s">
        <v>772</v>
      </c>
      <c r="AB1136" s="91"/>
      <c r="AC1136" s="91"/>
      <c r="AD1136" s="91"/>
      <c r="AE1136" s="91"/>
      <c r="AF1136" s="91"/>
      <c r="AG1136" s="91"/>
      <c r="AH1136" s="91"/>
    </row>
    <row r="1137" spans="1:34" ht="105">
      <c r="A1137" s="120">
        <v>1136</v>
      </c>
      <c r="B1137" s="120" t="b">
        <f t="shared" ca="1" si="17"/>
        <v>0</v>
      </c>
      <c r="C1137" s="121">
        <v>45726</v>
      </c>
      <c r="D1137" s="137">
        <v>0.3367013888888889</v>
      </c>
      <c r="E1137" s="94">
        <v>2009</v>
      </c>
      <c r="F1137" s="91">
        <v>1211</v>
      </c>
      <c r="G1137" s="94" t="s">
        <v>34</v>
      </c>
      <c r="H1137" s="94">
        <v>7194</v>
      </c>
      <c r="I1137" s="115">
        <v>35214500047160</v>
      </c>
      <c r="J1137" s="122" t="s">
        <v>35</v>
      </c>
      <c r="K1137" s="152">
        <v>6.13</v>
      </c>
      <c r="L1137" s="122" t="str">
        <f>VLOOKUP(K1137,Liste!$L$2:$O$34,4,1)</f>
        <v>GSMR_02/03</v>
      </c>
      <c r="M1137" s="133" t="s">
        <v>36</v>
      </c>
      <c r="N1137" s="124" t="s">
        <v>37</v>
      </c>
      <c r="O1137" s="117" t="s">
        <v>2469</v>
      </c>
      <c r="P1137" s="116" t="s">
        <v>2470</v>
      </c>
      <c r="Q1137" s="118" t="s">
        <v>531</v>
      </c>
      <c r="R1137" s="94" t="s">
        <v>1032</v>
      </c>
      <c r="S1137" s="124" t="s">
        <v>2471</v>
      </c>
      <c r="T1137" s="124" t="s">
        <v>56</v>
      </c>
      <c r="U1137" s="124" t="s">
        <v>1460</v>
      </c>
      <c r="V1137" s="124" t="s">
        <v>43</v>
      </c>
      <c r="W1137" s="124" t="s">
        <v>51</v>
      </c>
      <c r="X1137" s="124" t="s">
        <v>52</v>
      </c>
      <c r="Y1137" s="124" t="s">
        <v>2199</v>
      </c>
      <c r="Z1137" s="124"/>
      <c r="AA1137" s="124" t="s">
        <v>754</v>
      </c>
      <c r="AB1137" s="91"/>
      <c r="AC1137" s="91"/>
      <c r="AD1137" s="91"/>
      <c r="AE1137" s="91"/>
      <c r="AF1137" s="91"/>
      <c r="AG1137" s="91"/>
      <c r="AH1137" s="91"/>
    </row>
    <row r="1138" spans="1:34" ht="105">
      <c r="A1138" s="120">
        <v>1137</v>
      </c>
      <c r="B1138" s="120" t="b">
        <f t="shared" ca="1" si="17"/>
        <v>0</v>
      </c>
      <c r="C1138" s="121">
        <v>45726</v>
      </c>
      <c r="D1138" s="137">
        <v>0.5854166666666667</v>
      </c>
      <c r="E1138" s="94">
        <v>1025</v>
      </c>
      <c r="F1138" s="91">
        <v>1201</v>
      </c>
      <c r="G1138" s="94" t="s">
        <v>71</v>
      </c>
      <c r="H1138" s="94">
        <v>1060</v>
      </c>
      <c r="I1138" s="115">
        <v>35214500045449</v>
      </c>
      <c r="J1138" s="122" t="s">
        <v>35</v>
      </c>
      <c r="K1138" s="152">
        <v>6.13</v>
      </c>
      <c r="L1138" s="122" t="str">
        <f>VLOOKUP(K1138,Liste!$L$2:$O$34,4,1)</f>
        <v>GSMR_02/03</v>
      </c>
      <c r="M1138" s="133" t="s">
        <v>36</v>
      </c>
      <c r="N1138" s="181" t="s">
        <v>58</v>
      </c>
      <c r="O1138" s="117" t="s">
        <v>2472</v>
      </c>
      <c r="P1138" s="116" t="s">
        <v>2470</v>
      </c>
      <c r="Q1138" s="118" t="s">
        <v>531</v>
      </c>
      <c r="R1138" s="94" t="s">
        <v>1032</v>
      </c>
      <c r="S1138" s="124" t="s">
        <v>2473</v>
      </c>
      <c r="T1138" s="124" t="s">
        <v>116</v>
      </c>
      <c r="U1138" s="124" t="s">
        <v>1622</v>
      </c>
      <c r="V1138" s="124"/>
      <c r="W1138" s="124"/>
      <c r="X1138" s="124"/>
      <c r="Y1138" s="124"/>
      <c r="Z1138" s="124"/>
      <c r="AA1138" s="124" t="s">
        <v>802</v>
      </c>
      <c r="AB1138" s="91"/>
      <c r="AC1138" s="91"/>
      <c r="AD1138" s="91"/>
      <c r="AE1138" s="91"/>
      <c r="AF1138" s="91"/>
      <c r="AG1138" s="91"/>
      <c r="AH1138" s="91"/>
    </row>
    <row r="1139" spans="1:34" ht="105">
      <c r="A1139" s="120">
        <v>1138</v>
      </c>
      <c r="B1139" s="120" t="b">
        <f t="shared" ca="1" si="17"/>
        <v>0</v>
      </c>
      <c r="C1139" s="121">
        <v>45726</v>
      </c>
      <c r="D1139" s="137">
        <v>0.71180555555555558</v>
      </c>
      <c r="E1139" s="94">
        <v>2045</v>
      </c>
      <c r="F1139" s="91">
        <v>1208</v>
      </c>
      <c r="G1139" s="94" t="s">
        <v>34</v>
      </c>
      <c r="H1139" s="94">
        <v>1037</v>
      </c>
      <c r="I1139" s="115">
        <v>35214500045461</v>
      </c>
      <c r="J1139" s="122" t="s">
        <v>35</v>
      </c>
      <c r="K1139" s="152">
        <v>6.13</v>
      </c>
      <c r="L1139" s="122" t="str">
        <f>VLOOKUP(K1139,Liste!$L$2:$O$34,4,1)</f>
        <v>GSMR_02/03</v>
      </c>
      <c r="M1139" s="133" t="s">
        <v>36</v>
      </c>
      <c r="N1139" s="124" t="s">
        <v>37</v>
      </c>
      <c r="O1139" s="117" t="s">
        <v>2474</v>
      </c>
      <c r="P1139" s="116" t="s">
        <v>2470</v>
      </c>
      <c r="Q1139" s="118" t="s">
        <v>531</v>
      </c>
      <c r="R1139" s="94" t="s">
        <v>1032</v>
      </c>
      <c r="S1139" s="124" t="s">
        <v>1255</v>
      </c>
      <c r="T1139" s="124" t="s">
        <v>56</v>
      </c>
      <c r="U1139" s="124" t="s">
        <v>1622</v>
      </c>
      <c r="V1139" s="124"/>
      <c r="W1139" s="124"/>
      <c r="X1139" s="124"/>
      <c r="Y1139" s="124"/>
      <c r="Z1139" s="124"/>
      <c r="AA1139" s="124" t="s">
        <v>772</v>
      </c>
      <c r="AB1139" s="91"/>
      <c r="AC1139" s="91"/>
      <c r="AD1139" s="91"/>
      <c r="AE1139" s="91"/>
      <c r="AF1139" s="91"/>
      <c r="AG1139" s="91"/>
      <c r="AH1139" s="91"/>
    </row>
    <row r="1140" spans="1:34" ht="105">
      <c r="A1140" s="120">
        <v>1139</v>
      </c>
      <c r="B1140" s="120" t="b">
        <f t="shared" ca="1" si="17"/>
        <v>0</v>
      </c>
      <c r="C1140" s="121">
        <v>45727</v>
      </c>
      <c r="D1140" s="137">
        <v>0.92045138888888889</v>
      </c>
      <c r="E1140" s="94">
        <v>10081</v>
      </c>
      <c r="F1140" s="91">
        <v>1208</v>
      </c>
      <c r="G1140" s="94" t="s">
        <v>34</v>
      </c>
      <c r="H1140" s="94">
        <v>1025</v>
      </c>
      <c r="I1140" s="115">
        <v>35214500045073</v>
      </c>
      <c r="J1140" s="122" t="s">
        <v>35</v>
      </c>
      <c r="K1140" s="152">
        <v>6.13</v>
      </c>
      <c r="L1140" s="122" t="str">
        <f>VLOOKUP(K1140,Liste!$L$2:$O$34,4,1)</f>
        <v>GSMR_02/03</v>
      </c>
      <c r="M1140" s="133" t="s">
        <v>36</v>
      </c>
      <c r="N1140" s="124" t="s">
        <v>37</v>
      </c>
      <c r="O1140" s="117" t="s">
        <v>2475</v>
      </c>
      <c r="P1140" s="116" t="s">
        <v>2470</v>
      </c>
      <c r="Q1140" s="118" t="s">
        <v>531</v>
      </c>
      <c r="R1140" s="94" t="s">
        <v>1032</v>
      </c>
      <c r="S1140" s="124" t="s">
        <v>1255</v>
      </c>
      <c r="T1140" s="124" t="s">
        <v>93</v>
      </c>
      <c r="U1140" s="124" t="s">
        <v>1498</v>
      </c>
      <c r="V1140" s="124" t="s">
        <v>51</v>
      </c>
      <c r="W1140" s="124" t="s">
        <v>51</v>
      </c>
      <c r="X1140" s="124" t="s">
        <v>52</v>
      </c>
      <c r="Y1140" s="124" t="s">
        <v>2109</v>
      </c>
      <c r="Z1140" s="124"/>
      <c r="AA1140" s="124" t="s">
        <v>778</v>
      </c>
      <c r="AB1140" s="91"/>
      <c r="AC1140" s="91"/>
      <c r="AD1140" s="91"/>
      <c r="AE1140" s="91"/>
      <c r="AF1140" s="91"/>
      <c r="AG1140" s="91"/>
      <c r="AH1140" s="91"/>
    </row>
    <row r="1141" spans="1:34" ht="90">
      <c r="A1141" s="120">
        <v>1140</v>
      </c>
      <c r="B1141" s="120" t="b">
        <f t="shared" ca="1" si="17"/>
        <v>0</v>
      </c>
      <c r="C1141" s="121">
        <v>45728</v>
      </c>
      <c r="D1141" s="137">
        <v>0.35791666666666666</v>
      </c>
      <c r="E1141" s="94">
        <v>1005</v>
      </c>
      <c r="F1141" s="91">
        <v>1202</v>
      </c>
      <c r="G1141" s="94" t="s">
        <v>71</v>
      </c>
      <c r="H1141" s="94">
        <v>1031</v>
      </c>
      <c r="I1141" s="115">
        <v>35214500045491</v>
      </c>
      <c r="J1141" s="122" t="s">
        <v>72</v>
      </c>
      <c r="K1141" s="133">
        <v>146.738</v>
      </c>
      <c r="L1141" s="122" t="str">
        <f>VLOOKUP(K1141,Liste!$L$2:$O$34,4,1)</f>
        <v>GSMR_25/26</v>
      </c>
      <c r="M1141" s="133" t="s">
        <v>36</v>
      </c>
      <c r="N1141" s="124" t="s">
        <v>37</v>
      </c>
      <c r="O1141" s="117" t="s">
        <v>2476</v>
      </c>
      <c r="P1141" s="117" t="s">
        <v>2272</v>
      </c>
      <c r="Q1141" s="94" t="s">
        <v>54</v>
      </c>
      <c r="R1141" s="129" t="s">
        <v>2215</v>
      </c>
      <c r="S1141" s="124" t="s">
        <v>2477</v>
      </c>
      <c r="T1141" s="124" t="s">
        <v>69</v>
      </c>
      <c r="U1141" s="124" t="s">
        <v>1541</v>
      </c>
      <c r="V1141" s="124" t="s">
        <v>43</v>
      </c>
      <c r="W1141" s="124" t="s">
        <v>51</v>
      </c>
      <c r="X1141" s="124" t="s">
        <v>52</v>
      </c>
      <c r="Y1141" s="124" t="s">
        <v>2109</v>
      </c>
      <c r="Z1141" s="124"/>
      <c r="AA1141" s="124" t="s">
        <v>754</v>
      </c>
      <c r="AB1141" s="91"/>
      <c r="AC1141" s="91"/>
      <c r="AD1141" s="91"/>
      <c r="AE1141" s="91"/>
      <c r="AF1141" s="91"/>
      <c r="AG1141" s="91"/>
      <c r="AH1141" s="91"/>
    </row>
    <row r="1142" spans="1:34" ht="105">
      <c r="A1142" s="120">
        <v>1141</v>
      </c>
      <c r="B1142" s="120" t="b">
        <f t="shared" ca="1" si="17"/>
        <v>0</v>
      </c>
      <c r="C1142" s="121">
        <v>45729</v>
      </c>
      <c r="D1142" s="137" t="s">
        <v>2478</v>
      </c>
      <c r="E1142" s="94">
        <v>2025</v>
      </c>
      <c r="F1142" s="91">
        <v>1202</v>
      </c>
      <c r="G1142" s="94" t="s">
        <v>34</v>
      </c>
      <c r="H1142" s="94">
        <v>1043</v>
      </c>
      <c r="I1142" s="115">
        <v>35214500045491</v>
      </c>
      <c r="J1142" s="122" t="s">
        <v>35</v>
      </c>
      <c r="K1142" s="152">
        <v>6.13</v>
      </c>
      <c r="L1142" s="122" t="str">
        <f>VLOOKUP(K1142,Liste!$L$2:$O$34,4,1)</f>
        <v>GSMR_02/03</v>
      </c>
      <c r="M1142" s="133" t="s">
        <v>36</v>
      </c>
      <c r="N1142" s="181" t="s">
        <v>58</v>
      </c>
      <c r="O1142" s="117" t="s">
        <v>2479</v>
      </c>
      <c r="P1142" s="116" t="s">
        <v>2470</v>
      </c>
      <c r="Q1142" s="118" t="s">
        <v>531</v>
      </c>
      <c r="R1142" s="94" t="s">
        <v>1032</v>
      </c>
      <c r="S1142" s="124" t="s">
        <v>2480</v>
      </c>
      <c r="T1142" s="124" t="s">
        <v>2339</v>
      </c>
      <c r="U1142" s="124" t="s">
        <v>2339</v>
      </c>
      <c r="V1142" s="124" t="s">
        <v>43</v>
      </c>
      <c r="W1142" s="124" t="s">
        <v>51</v>
      </c>
      <c r="X1142" s="124" t="s">
        <v>52</v>
      </c>
      <c r="Y1142" s="124" t="s">
        <v>2109</v>
      </c>
      <c r="Z1142" s="124"/>
      <c r="AA1142" s="124" t="s">
        <v>802</v>
      </c>
      <c r="AB1142" s="91"/>
      <c r="AC1142" s="91"/>
      <c r="AD1142" s="91"/>
      <c r="AE1142" s="91"/>
      <c r="AF1142" s="91"/>
      <c r="AG1142" s="91"/>
      <c r="AH1142" s="91"/>
    </row>
    <row r="1143" spans="1:34" ht="105">
      <c r="A1143" s="120">
        <v>1142</v>
      </c>
      <c r="B1143" s="120" t="b">
        <f t="shared" ca="1" si="17"/>
        <v>0</v>
      </c>
      <c r="C1143" s="121">
        <v>45729</v>
      </c>
      <c r="D1143" s="137">
        <v>0.94111111111111112</v>
      </c>
      <c r="E1143" s="94">
        <v>10081</v>
      </c>
      <c r="F1143" s="91">
        <v>1208</v>
      </c>
      <c r="G1143" s="94" t="s">
        <v>34</v>
      </c>
      <c r="H1143" s="94">
        <v>1037</v>
      </c>
      <c r="I1143" s="115">
        <v>35214500045488</v>
      </c>
      <c r="J1143" s="122" t="s">
        <v>35</v>
      </c>
      <c r="K1143" s="91">
        <v>145.6</v>
      </c>
      <c r="L1143" s="122" t="str">
        <f>VLOOKUP(K1143,Liste!$L$2:$O$34,4,1)</f>
        <v>GSMR_25/26</v>
      </c>
      <c r="M1143" s="133" t="s">
        <v>36</v>
      </c>
      <c r="N1143" s="124" t="s">
        <v>37</v>
      </c>
      <c r="O1143" s="117" t="s">
        <v>2481</v>
      </c>
      <c r="P1143" s="117" t="s">
        <v>2482</v>
      </c>
      <c r="Q1143" s="118" t="s">
        <v>105</v>
      </c>
      <c r="R1143" s="94" t="s">
        <v>1072</v>
      </c>
      <c r="S1143" s="124" t="s">
        <v>2483</v>
      </c>
      <c r="T1143" s="124" t="s">
        <v>2339</v>
      </c>
      <c r="U1143" s="124" t="s">
        <v>2339</v>
      </c>
      <c r="V1143" s="124" t="s">
        <v>51</v>
      </c>
      <c r="W1143" s="124" t="s">
        <v>51</v>
      </c>
      <c r="X1143" s="124" t="s">
        <v>52</v>
      </c>
      <c r="Y1143" s="124" t="s">
        <v>2199</v>
      </c>
      <c r="Z1143" s="124"/>
      <c r="AA1143" s="124" t="s">
        <v>778</v>
      </c>
      <c r="AB1143" s="91"/>
      <c r="AC1143" s="91"/>
      <c r="AD1143" s="91"/>
      <c r="AE1143" s="91"/>
      <c r="AF1143" s="91"/>
      <c r="AG1143" s="91"/>
      <c r="AH1143" s="91"/>
    </row>
    <row r="1144" spans="1:34" ht="90">
      <c r="A1144" s="120">
        <v>1143</v>
      </c>
      <c r="B1144" s="120" t="b">
        <f t="shared" ca="1" si="17"/>
        <v>0</v>
      </c>
      <c r="C1144" s="121">
        <v>45730</v>
      </c>
      <c r="D1144" s="137">
        <v>0.48571759259259262</v>
      </c>
      <c r="E1144" s="94">
        <v>1017</v>
      </c>
      <c r="F1144" s="91">
        <v>1207</v>
      </c>
      <c r="G1144" s="94" t="s">
        <v>71</v>
      </c>
      <c r="H1144" s="94">
        <v>1047</v>
      </c>
      <c r="I1144" s="115">
        <v>35214500038730</v>
      </c>
      <c r="J1144" s="122" t="s">
        <v>72</v>
      </c>
      <c r="K1144" s="91">
        <v>127.815</v>
      </c>
      <c r="L1144" s="122" t="str">
        <f>VLOOKUP(K1144,Liste!$L$2:$O$34,4,1)</f>
        <v>GSMR_22/23</v>
      </c>
      <c r="M1144" s="133" t="s">
        <v>36</v>
      </c>
      <c r="N1144" s="124" t="s">
        <v>37</v>
      </c>
      <c r="O1144" s="117" t="s">
        <v>2484</v>
      </c>
      <c r="P1144" s="117" t="s">
        <v>2392</v>
      </c>
      <c r="Q1144" s="118" t="s">
        <v>47</v>
      </c>
      <c r="R1144" s="94" t="s">
        <v>2233</v>
      </c>
      <c r="S1144" s="124" t="s">
        <v>2485</v>
      </c>
      <c r="T1144" s="124" t="s">
        <v>56</v>
      </c>
      <c r="U1144" s="124" t="s">
        <v>1666</v>
      </c>
      <c r="V1144" s="124" t="s">
        <v>51</v>
      </c>
      <c r="W1144" s="124" t="s">
        <v>51</v>
      </c>
      <c r="X1144" s="124" t="s">
        <v>52</v>
      </c>
      <c r="Y1144" s="124" t="s">
        <v>2109</v>
      </c>
      <c r="Z1144" s="124"/>
      <c r="AA1144" s="124" t="s">
        <v>802</v>
      </c>
      <c r="AB1144" s="91"/>
      <c r="AC1144" s="91"/>
      <c r="AD1144" s="91"/>
      <c r="AE1144" s="91"/>
      <c r="AF1144" s="91"/>
      <c r="AG1144" s="91"/>
      <c r="AH1144" s="91"/>
    </row>
    <row r="1145" spans="1:34" ht="105">
      <c r="A1145" s="120">
        <v>1144</v>
      </c>
      <c r="B1145" s="120" t="b">
        <f t="shared" ca="1" si="17"/>
        <v>0</v>
      </c>
      <c r="C1145" s="121">
        <v>45731</v>
      </c>
      <c r="D1145" s="137">
        <v>0.71225694444444443</v>
      </c>
      <c r="E1145" s="94">
        <v>2045</v>
      </c>
      <c r="F1145" s="91">
        <v>1201</v>
      </c>
      <c r="G1145" s="94" t="s">
        <v>34</v>
      </c>
      <c r="H1145" s="94">
        <v>1056</v>
      </c>
      <c r="I1145" s="115">
        <v>35214500045217</v>
      </c>
      <c r="J1145" s="122" t="s">
        <v>35</v>
      </c>
      <c r="K1145" s="152">
        <v>6.13</v>
      </c>
      <c r="L1145" s="122" t="str">
        <f>VLOOKUP(K1145,Liste!$L$2:$O$34,4,1)</f>
        <v>GSMR_02/03</v>
      </c>
      <c r="M1145" s="133" t="s">
        <v>36</v>
      </c>
      <c r="N1145" s="124" t="s">
        <v>37</v>
      </c>
      <c r="O1145" s="117" t="s">
        <v>2486</v>
      </c>
      <c r="P1145" s="116" t="s">
        <v>2470</v>
      </c>
      <c r="Q1145" s="118" t="s">
        <v>531</v>
      </c>
      <c r="R1145" s="94" t="s">
        <v>1032</v>
      </c>
      <c r="S1145" s="124" t="s">
        <v>2480</v>
      </c>
      <c r="T1145" s="124" t="s">
        <v>56</v>
      </c>
      <c r="U1145" s="124" t="s">
        <v>1632</v>
      </c>
      <c r="V1145" s="124" t="s">
        <v>43</v>
      </c>
      <c r="W1145" s="124" t="s">
        <v>51</v>
      </c>
      <c r="X1145" s="124" t="s">
        <v>52</v>
      </c>
      <c r="Y1145" s="124" t="s">
        <v>946</v>
      </c>
      <c r="Z1145" s="124"/>
      <c r="AA1145" s="124" t="s">
        <v>793</v>
      </c>
      <c r="AB1145" s="91"/>
      <c r="AC1145" s="91"/>
      <c r="AD1145" s="91"/>
      <c r="AE1145" s="91"/>
      <c r="AF1145" s="91"/>
      <c r="AG1145" s="91"/>
      <c r="AH1145" s="91"/>
    </row>
    <row r="1146" spans="1:34" ht="90">
      <c r="A1146" s="120">
        <v>1145</v>
      </c>
      <c r="B1146" s="120" t="b">
        <f t="shared" ca="1" si="17"/>
        <v>0</v>
      </c>
      <c r="C1146" s="121">
        <v>45733</v>
      </c>
      <c r="D1146" s="137">
        <v>0.42854166666666665</v>
      </c>
      <c r="E1146" s="94">
        <v>2017</v>
      </c>
      <c r="F1146" s="91">
        <v>1211</v>
      </c>
      <c r="G1146" s="94" t="s">
        <v>34</v>
      </c>
      <c r="H1146" s="94">
        <v>7194</v>
      </c>
      <c r="I1146" s="115">
        <v>35214500047160</v>
      </c>
      <c r="J1146" s="122" t="s">
        <v>35</v>
      </c>
      <c r="K1146" s="91">
        <v>53.540999999999997</v>
      </c>
      <c r="L1146" s="122" t="str">
        <f>VLOOKUP(K1146,Liste!$L$2:$O$34,4,1)</f>
        <v>GSMR_09/10</v>
      </c>
      <c r="M1146" s="133" t="s">
        <v>36</v>
      </c>
      <c r="N1146" s="124" t="s">
        <v>37</v>
      </c>
      <c r="O1146" s="117" t="s">
        <v>2487</v>
      </c>
      <c r="P1146" s="117" t="s">
        <v>2272</v>
      </c>
      <c r="Q1146" s="94" t="s">
        <v>54</v>
      </c>
      <c r="R1146" s="129" t="s">
        <v>2215</v>
      </c>
      <c r="S1146" s="124" t="s">
        <v>2488</v>
      </c>
      <c r="T1146" s="124" t="s">
        <v>101</v>
      </c>
      <c r="U1146" s="124" t="s">
        <v>1493</v>
      </c>
      <c r="V1146" s="124" t="s">
        <v>43</v>
      </c>
      <c r="W1146" s="124" t="s">
        <v>51</v>
      </c>
      <c r="X1146" s="124" t="s">
        <v>52</v>
      </c>
      <c r="Y1146" s="124" t="s">
        <v>946</v>
      </c>
      <c r="Z1146" s="124"/>
      <c r="AA1146" s="124" t="s">
        <v>802</v>
      </c>
      <c r="AB1146" s="91"/>
      <c r="AC1146" s="91"/>
      <c r="AD1146" s="91"/>
      <c r="AE1146" s="91"/>
      <c r="AF1146" s="91"/>
      <c r="AG1146" s="91"/>
      <c r="AH1146" s="91"/>
    </row>
    <row r="1147" spans="1:34" ht="60">
      <c r="A1147" s="120">
        <v>1146</v>
      </c>
      <c r="B1147" s="120" t="b">
        <f t="shared" ca="1" si="17"/>
        <v>0</v>
      </c>
      <c r="C1147" s="121">
        <v>45734</v>
      </c>
      <c r="D1147" s="137">
        <v>0.59038194444444447</v>
      </c>
      <c r="E1147" s="94">
        <v>2033</v>
      </c>
      <c r="F1147" s="91">
        <v>1205</v>
      </c>
      <c r="G1147" s="94" t="s">
        <v>34</v>
      </c>
      <c r="H1147" s="94">
        <v>7217</v>
      </c>
      <c r="I1147" s="115">
        <v>35214500044557</v>
      </c>
      <c r="J1147" s="122" t="s">
        <v>35</v>
      </c>
      <c r="K1147" s="91">
        <v>21.55</v>
      </c>
      <c r="L1147" s="122" t="str">
        <f>VLOOKUP(K1147,Liste!$L$2:$O$34,4,1)</f>
        <v>GSMR_04/05</v>
      </c>
      <c r="M1147" s="133" t="s">
        <v>36</v>
      </c>
      <c r="N1147" s="124" t="s">
        <v>37</v>
      </c>
      <c r="O1147" s="117" t="s">
        <v>2489</v>
      </c>
      <c r="P1147" s="117" t="s">
        <v>2299</v>
      </c>
      <c r="Q1147" s="118" t="s">
        <v>531</v>
      </c>
      <c r="R1147" s="94" t="s">
        <v>1032</v>
      </c>
      <c r="S1147" s="124" t="s">
        <v>2490</v>
      </c>
      <c r="T1147" s="124" t="s">
        <v>69</v>
      </c>
      <c r="U1147" s="124" t="s">
        <v>1453</v>
      </c>
      <c r="V1147" s="124" t="s">
        <v>51</v>
      </c>
      <c r="W1147" s="124" t="s">
        <v>51</v>
      </c>
      <c r="X1147" s="124" t="s">
        <v>52</v>
      </c>
      <c r="Y1147" s="124" t="s">
        <v>946</v>
      </c>
      <c r="Z1147" s="124"/>
      <c r="AA1147" s="124" t="s">
        <v>802</v>
      </c>
      <c r="AB1147" s="91"/>
      <c r="AC1147" s="91"/>
      <c r="AD1147" s="91"/>
      <c r="AE1147" s="91"/>
      <c r="AF1147" s="91"/>
      <c r="AG1147" s="91"/>
      <c r="AH1147" s="91"/>
    </row>
    <row r="1148" spans="1:34" ht="90">
      <c r="A1148" s="120">
        <v>1147</v>
      </c>
      <c r="B1148" s="120" t="b">
        <f t="shared" ca="1" si="17"/>
        <v>0</v>
      </c>
      <c r="C1148" s="121">
        <v>45734</v>
      </c>
      <c r="D1148" s="137">
        <v>0.59320601851851851</v>
      </c>
      <c r="E1148" s="94">
        <v>2033</v>
      </c>
      <c r="F1148" s="91">
        <v>1205</v>
      </c>
      <c r="G1148" s="94" t="s">
        <v>34</v>
      </c>
      <c r="H1148" s="94">
        <v>7218</v>
      </c>
      <c r="I1148" s="115">
        <v>35214500044557</v>
      </c>
      <c r="J1148" s="122" t="s">
        <v>35</v>
      </c>
      <c r="K1148" s="91">
        <v>35.259</v>
      </c>
      <c r="L1148" s="122" t="str">
        <f>VLOOKUP(K1148,Liste!$L$2:$O$34,4,1)</f>
        <v>GSMR_06/07</v>
      </c>
      <c r="M1148" s="133" t="s">
        <v>36</v>
      </c>
      <c r="N1148" s="124" t="s">
        <v>37</v>
      </c>
      <c r="O1148" s="117" t="s">
        <v>2491</v>
      </c>
      <c r="P1148" s="117" t="s">
        <v>2272</v>
      </c>
      <c r="Q1148" s="94" t="s">
        <v>54</v>
      </c>
      <c r="R1148" s="129" t="s">
        <v>2215</v>
      </c>
      <c r="S1148" s="124" t="s">
        <v>2492</v>
      </c>
      <c r="T1148" s="124" t="s">
        <v>56</v>
      </c>
      <c r="U1148" s="124" t="s">
        <v>1897</v>
      </c>
      <c r="V1148" s="124" t="s">
        <v>51</v>
      </c>
      <c r="W1148" s="124" t="s">
        <v>51</v>
      </c>
      <c r="X1148" s="124" t="s">
        <v>52</v>
      </c>
      <c r="Y1148" s="124" t="s">
        <v>946</v>
      </c>
      <c r="Z1148" s="124"/>
      <c r="AA1148" s="124" t="s">
        <v>802</v>
      </c>
      <c r="AB1148" s="91"/>
      <c r="AC1148" s="91"/>
      <c r="AD1148" s="91"/>
      <c r="AE1148" s="91"/>
      <c r="AF1148" s="91"/>
      <c r="AG1148" s="91"/>
      <c r="AH1148" s="91"/>
    </row>
    <row r="1149" spans="1:34" ht="60">
      <c r="A1149" s="120">
        <v>1148</v>
      </c>
      <c r="B1149" s="120" t="b">
        <f t="shared" ca="1" si="17"/>
        <v>0</v>
      </c>
      <c r="C1149" s="121">
        <v>45734</v>
      </c>
      <c r="D1149" s="137">
        <v>0.97960648148148144</v>
      </c>
      <c r="E1149" s="94">
        <v>10091</v>
      </c>
      <c r="F1149" s="91">
        <v>1208</v>
      </c>
      <c r="G1149" s="94" t="s">
        <v>71</v>
      </c>
      <c r="H1149" s="94">
        <v>1044</v>
      </c>
      <c r="I1149" s="115">
        <v>35214500045131</v>
      </c>
      <c r="J1149" s="122" t="s">
        <v>72</v>
      </c>
      <c r="K1149" s="91">
        <v>170.298</v>
      </c>
      <c r="L1149" s="122" t="str">
        <f>VLOOKUP(K1149,Liste!$L$2:$O$34,4,1)</f>
        <v>GSMR_29/30</v>
      </c>
      <c r="M1149" s="133" t="s">
        <v>36</v>
      </c>
      <c r="N1149" s="124" t="s">
        <v>37</v>
      </c>
      <c r="O1149" s="117" t="s">
        <v>2493</v>
      </c>
      <c r="P1149" s="127" t="s">
        <v>2425</v>
      </c>
      <c r="Q1149" s="118" t="s">
        <v>531</v>
      </c>
      <c r="R1149" s="94" t="s">
        <v>1032</v>
      </c>
      <c r="S1149" s="124" t="s">
        <v>2494</v>
      </c>
      <c r="T1149" s="124" t="s">
        <v>69</v>
      </c>
      <c r="U1149" s="124" t="s">
        <v>1453</v>
      </c>
      <c r="V1149" s="124" t="s">
        <v>51</v>
      </c>
      <c r="W1149" s="124" t="s">
        <v>51</v>
      </c>
      <c r="X1149" s="124" t="s">
        <v>52</v>
      </c>
      <c r="Y1149" s="124" t="s">
        <v>946</v>
      </c>
      <c r="Z1149" s="124"/>
      <c r="AA1149" s="124" t="s">
        <v>754</v>
      </c>
      <c r="AB1149" s="91"/>
      <c r="AC1149" s="91"/>
      <c r="AD1149" s="91"/>
      <c r="AE1149" s="91"/>
      <c r="AF1149" s="91"/>
      <c r="AG1149" s="91"/>
      <c r="AH1149" s="91"/>
    </row>
    <row r="1150" spans="1:34" ht="120">
      <c r="A1150" s="120">
        <v>1149</v>
      </c>
      <c r="B1150" s="120" t="b">
        <f t="shared" ca="1" si="17"/>
        <v>0</v>
      </c>
      <c r="C1150" s="121">
        <v>45736</v>
      </c>
      <c r="D1150" s="137" t="s">
        <v>2495</v>
      </c>
      <c r="E1150" s="94">
        <v>2017</v>
      </c>
      <c r="F1150" s="91">
        <v>1205</v>
      </c>
      <c r="G1150" s="94" t="s">
        <v>34</v>
      </c>
      <c r="H1150" s="94">
        <v>7218</v>
      </c>
      <c r="I1150" s="115">
        <v>35214500045735</v>
      </c>
      <c r="J1150" s="122" t="s">
        <v>35</v>
      </c>
      <c r="K1150" s="152">
        <v>6.13</v>
      </c>
      <c r="L1150" s="122" t="str">
        <f>VLOOKUP(K1150,Liste!$L$2:$O$34,4,1)</f>
        <v>GSMR_02/03</v>
      </c>
      <c r="M1150" s="133" t="s">
        <v>36</v>
      </c>
      <c r="N1150" s="124" t="s">
        <v>37</v>
      </c>
      <c r="O1150" s="117" t="s">
        <v>2479</v>
      </c>
      <c r="P1150" s="117" t="s">
        <v>2253</v>
      </c>
      <c r="Q1150" s="118" t="s">
        <v>531</v>
      </c>
      <c r="R1150" s="94" t="s">
        <v>1032</v>
      </c>
      <c r="S1150" s="124" t="s">
        <v>2480</v>
      </c>
      <c r="T1150" s="124" t="s">
        <v>116</v>
      </c>
      <c r="U1150" s="124" t="s">
        <v>1463</v>
      </c>
      <c r="V1150" s="124" t="s">
        <v>51</v>
      </c>
      <c r="W1150" s="124" t="s">
        <v>51</v>
      </c>
      <c r="X1150" s="124" t="s">
        <v>52</v>
      </c>
      <c r="Y1150" s="124" t="s">
        <v>946</v>
      </c>
      <c r="Z1150" s="124"/>
      <c r="AA1150" s="124" t="s">
        <v>802</v>
      </c>
      <c r="AB1150" s="91"/>
      <c r="AC1150" s="91"/>
      <c r="AD1150" s="91"/>
      <c r="AE1150" s="91"/>
      <c r="AF1150" s="91"/>
      <c r="AG1150" s="91"/>
      <c r="AH1150" s="91"/>
    </row>
    <row r="1151" spans="1:34" ht="120">
      <c r="A1151" s="120">
        <v>1150</v>
      </c>
      <c r="B1151" s="120" t="b">
        <f t="shared" ca="1" si="17"/>
        <v>0</v>
      </c>
      <c r="C1151" s="121">
        <v>45737</v>
      </c>
      <c r="D1151" s="137" t="s">
        <v>2496</v>
      </c>
      <c r="E1151" s="94">
        <v>2033</v>
      </c>
      <c r="F1151" s="91">
        <v>1208</v>
      </c>
      <c r="G1151" s="94" t="s">
        <v>34</v>
      </c>
      <c r="H1151" s="94">
        <v>7218</v>
      </c>
      <c r="I1151" s="115">
        <v>35214500045461</v>
      </c>
      <c r="J1151" s="122" t="s">
        <v>35</v>
      </c>
      <c r="K1151" s="152">
        <v>6.13</v>
      </c>
      <c r="L1151" s="122" t="str">
        <f>VLOOKUP(K1151,Liste!$L$2:$O$34,4,1)</f>
        <v>GSMR_02/03</v>
      </c>
      <c r="M1151" s="133" t="s">
        <v>36</v>
      </c>
      <c r="N1151" s="124" t="s">
        <v>37</v>
      </c>
      <c r="O1151" s="117" t="s">
        <v>2497</v>
      </c>
      <c r="P1151" s="117" t="s">
        <v>2253</v>
      </c>
      <c r="Q1151" s="118" t="s">
        <v>531</v>
      </c>
      <c r="R1151" s="94" t="s">
        <v>1032</v>
      </c>
      <c r="S1151" s="124" t="s">
        <v>1232</v>
      </c>
      <c r="T1151" s="124" t="s">
        <v>56</v>
      </c>
      <c r="U1151" s="124" t="s">
        <v>1460</v>
      </c>
      <c r="V1151" s="124" t="s">
        <v>51</v>
      </c>
      <c r="W1151" s="124" t="s">
        <v>51</v>
      </c>
      <c r="X1151" s="124" t="s">
        <v>52</v>
      </c>
      <c r="Y1151" s="124" t="s">
        <v>946</v>
      </c>
      <c r="Z1151" s="124"/>
      <c r="AA1151" s="124" t="s">
        <v>802</v>
      </c>
      <c r="AB1151" s="91"/>
      <c r="AC1151" s="91"/>
      <c r="AD1151" s="91"/>
      <c r="AE1151" s="91"/>
      <c r="AF1151" s="91"/>
      <c r="AG1151" s="91"/>
      <c r="AH1151" s="91"/>
    </row>
    <row r="1152" spans="1:34" ht="120">
      <c r="A1152" s="120">
        <v>1151</v>
      </c>
      <c r="B1152" s="120" t="b">
        <f t="shared" ca="1" si="17"/>
        <v>0</v>
      </c>
      <c r="C1152" s="121">
        <v>45739</v>
      </c>
      <c r="D1152" s="137" t="s">
        <v>2498</v>
      </c>
      <c r="E1152" s="94">
        <v>2033</v>
      </c>
      <c r="F1152" s="91">
        <v>1209</v>
      </c>
      <c r="G1152" s="94" t="s">
        <v>34</v>
      </c>
      <c r="H1152" s="94">
        <v>7208</v>
      </c>
      <c r="I1152" s="115">
        <v>35214500004427</v>
      </c>
      <c r="J1152" s="122" t="s">
        <v>35</v>
      </c>
      <c r="K1152" s="152">
        <v>6.13</v>
      </c>
      <c r="L1152" s="122" t="str">
        <f>VLOOKUP(K1152,Liste!$L$2:$O$34,4,1)</f>
        <v>GSMR_02/03</v>
      </c>
      <c r="M1152" s="133" t="s">
        <v>36</v>
      </c>
      <c r="N1152" s="181" t="s">
        <v>58</v>
      </c>
      <c r="O1152" s="117" t="s">
        <v>2499</v>
      </c>
      <c r="P1152" s="117" t="s">
        <v>2253</v>
      </c>
      <c r="Q1152" s="118" t="s">
        <v>531</v>
      </c>
      <c r="R1152" s="94" t="s">
        <v>1032</v>
      </c>
      <c r="S1152" s="124" t="s">
        <v>1255</v>
      </c>
      <c r="T1152" s="124" t="s">
        <v>116</v>
      </c>
      <c r="U1152" s="124" t="s">
        <v>1622</v>
      </c>
      <c r="V1152" s="124" t="s">
        <v>51</v>
      </c>
      <c r="W1152" s="124" t="s">
        <v>51</v>
      </c>
      <c r="X1152" s="124" t="s">
        <v>52</v>
      </c>
      <c r="Y1152" s="124" t="s">
        <v>946</v>
      </c>
      <c r="Z1152" s="124"/>
      <c r="AA1152" s="124" t="s">
        <v>757</v>
      </c>
      <c r="AB1152" s="91"/>
      <c r="AC1152" s="91"/>
      <c r="AD1152" s="91"/>
      <c r="AE1152" s="91"/>
      <c r="AF1152" s="91"/>
      <c r="AG1152" s="91"/>
      <c r="AH1152" s="91"/>
    </row>
    <row r="1153" spans="1:34" ht="120">
      <c r="A1153" s="120">
        <v>1152</v>
      </c>
      <c r="B1153" s="120" t="b">
        <f t="shared" ca="1" si="17"/>
        <v>0</v>
      </c>
      <c r="C1153" s="121">
        <v>45739</v>
      </c>
      <c r="D1153" s="137" t="s">
        <v>2500</v>
      </c>
      <c r="E1153" s="94">
        <v>2037</v>
      </c>
      <c r="F1153" s="91">
        <v>1203</v>
      </c>
      <c r="G1153" s="94" t="s">
        <v>34</v>
      </c>
      <c r="H1153" s="94">
        <v>1024</v>
      </c>
      <c r="I1153" s="115">
        <v>35214500045122</v>
      </c>
      <c r="J1153" s="122" t="s">
        <v>35</v>
      </c>
      <c r="K1153" s="152">
        <v>6.13</v>
      </c>
      <c r="L1153" s="122" t="str">
        <f>VLOOKUP(K1153,Liste!$L$2:$O$34,4,1)</f>
        <v>GSMR_02/03</v>
      </c>
      <c r="M1153" s="133" t="s">
        <v>36</v>
      </c>
      <c r="N1153" s="124" t="s">
        <v>37</v>
      </c>
      <c r="O1153" s="117" t="s">
        <v>2501</v>
      </c>
      <c r="P1153" s="117" t="s">
        <v>2253</v>
      </c>
      <c r="Q1153" s="118" t="s">
        <v>531</v>
      </c>
      <c r="R1153" s="94" t="s">
        <v>1032</v>
      </c>
      <c r="S1153" s="124" t="s">
        <v>1268</v>
      </c>
      <c r="T1153" s="124" t="s">
        <v>41</v>
      </c>
      <c r="U1153" s="124" t="s">
        <v>1529</v>
      </c>
      <c r="V1153" s="124" t="s">
        <v>51</v>
      </c>
      <c r="W1153" s="124" t="s">
        <v>51</v>
      </c>
      <c r="X1153" s="124" t="s">
        <v>52</v>
      </c>
      <c r="Y1153" s="124" t="s">
        <v>946</v>
      </c>
      <c r="Z1153" s="124"/>
      <c r="AA1153" s="124" t="s">
        <v>754</v>
      </c>
      <c r="AB1153" s="91"/>
      <c r="AC1153" s="91"/>
      <c r="AD1153" s="91"/>
      <c r="AE1153" s="91"/>
      <c r="AF1153" s="91"/>
      <c r="AG1153" s="91"/>
      <c r="AH1153" s="91"/>
    </row>
    <row r="1154" spans="1:34" ht="120">
      <c r="A1154" s="120">
        <v>1153</v>
      </c>
      <c r="B1154" s="120" t="b">
        <f t="shared" ref="B1154:B1217" ca="1" si="18">AND(C1154&gt;=TODAY()-7, C1154&lt;=TODAY()-1)</f>
        <v>0</v>
      </c>
      <c r="C1154" s="121">
        <v>45739</v>
      </c>
      <c r="D1154" s="137" t="s">
        <v>2502</v>
      </c>
      <c r="E1154" s="94">
        <v>1046</v>
      </c>
      <c r="F1154" s="91">
        <v>1209</v>
      </c>
      <c r="G1154" s="94" t="s">
        <v>71</v>
      </c>
      <c r="H1154" s="94">
        <v>1033</v>
      </c>
      <c r="I1154" s="115">
        <v>35214500040707</v>
      </c>
      <c r="J1154" s="122" t="s">
        <v>35</v>
      </c>
      <c r="K1154" s="152">
        <v>7.3209999999999997</v>
      </c>
      <c r="L1154" s="122" t="str">
        <f>VLOOKUP(K1154,Liste!$L$2:$O$34,4,1)</f>
        <v>GSMR_02/03</v>
      </c>
      <c r="M1154" s="133" t="s">
        <v>36</v>
      </c>
      <c r="N1154" s="124" t="s">
        <v>37</v>
      </c>
      <c r="O1154" s="117" t="s">
        <v>2503</v>
      </c>
      <c r="P1154" s="117" t="s">
        <v>2253</v>
      </c>
      <c r="Q1154" s="118" t="s">
        <v>531</v>
      </c>
      <c r="R1154" s="94" t="s">
        <v>1032</v>
      </c>
      <c r="S1154" s="124" t="s">
        <v>1232</v>
      </c>
      <c r="T1154" s="124" t="s">
        <v>116</v>
      </c>
      <c r="U1154" s="124" t="s">
        <v>1622</v>
      </c>
      <c r="V1154" s="124" t="s">
        <v>43</v>
      </c>
      <c r="W1154" s="124" t="s">
        <v>51</v>
      </c>
      <c r="X1154" s="124" t="s">
        <v>52</v>
      </c>
      <c r="Y1154" s="124" t="s">
        <v>946</v>
      </c>
      <c r="Z1154" s="124"/>
      <c r="AA1154" s="124" t="s">
        <v>754</v>
      </c>
      <c r="AB1154" s="91"/>
      <c r="AC1154" s="91"/>
      <c r="AD1154" s="91"/>
      <c r="AE1154" s="91"/>
      <c r="AF1154" s="91"/>
      <c r="AG1154" s="91"/>
      <c r="AH1154" s="91"/>
    </row>
    <row r="1155" spans="1:34" ht="120">
      <c r="A1155" s="120">
        <v>1154</v>
      </c>
      <c r="B1155" s="120" t="b">
        <f t="shared" ca="1" si="18"/>
        <v>0</v>
      </c>
      <c r="C1155" s="121">
        <v>45742</v>
      </c>
      <c r="D1155" s="137" t="s">
        <v>2504</v>
      </c>
      <c r="E1155" s="94">
        <v>2033</v>
      </c>
      <c r="F1155" s="91">
        <v>1209</v>
      </c>
      <c r="G1155" s="94" t="s">
        <v>34</v>
      </c>
      <c r="H1155" s="94">
        <v>7208</v>
      </c>
      <c r="I1155" s="115">
        <v>35214500004427</v>
      </c>
      <c r="J1155" s="122" t="s">
        <v>35</v>
      </c>
      <c r="K1155" s="152">
        <v>6.13</v>
      </c>
      <c r="L1155" s="122" t="str">
        <f>VLOOKUP(K1155,Liste!$L$2:$O$34,4,1)</f>
        <v>GSMR_02/03</v>
      </c>
      <c r="M1155" s="133" t="s">
        <v>36</v>
      </c>
      <c r="N1155" s="181" t="s">
        <v>58</v>
      </c>
      <c r="O1155" s="117" t="s">
        <v>2505</v>
      </c>
      <c r="P1155" s="117" t="s">
        <v>2253</v>
      </c>
      <c r="Q1155" s="118" t="s">
        <v>531</v>
      </c>
      <c r="R1155" s="94" t="s">
        <v>1032</v>
      </c>
      <c r="S1155" s="124" t="s">
        <v>2261</v>
      </c>
      <c r="T1155" s="124" t="s">
        <v>93</v>
      </c>
      <c r="U1155" s="124" t="s">
        <v>1546</v>
      </c>
      <c r="V1155" s="124" t="s">
        <v>51</v>
      </c>
      <c r="W1155" s="124" t="s">
        <v>51</v>
      </c>
      <c r="X1155" s="124" t="s">
        <v>52</v>
      </c>
      <c r="Y1155" s="124" t="s">
        <v>2199</v>
      </c>
      <c r="Z1155" s="124"/>
      <c r="AA1155" s="124" t="s">
        <v>757</v>
      </c>
      <c r="AB1155" s="91"/>
      <c r="AC1155" s="91"/>
      <c r="AD1155" s="91"/>
      <c r="AE1155" s="91"/>
      <c r="AF1155" s="91"/>
      <c r="AG1155" s="91"/>
      <c r="AH1155" s="91"/>
    </row>
    <row r="1156" spans="1:34" ht="120">
      <c r="A1156" s="120">
        <v>1155</v>
      </c>
      <c r="B1156" s="120" t="b">
        <f t="shared" ca="1" si="18"/>
        <v>0</v>
      </c>
      <c r="C1156" s="121">
        <v>45744</v>
      </c>
      <c r="D1156" s="137" t="s">
        <v>2506</v>
      </c>
      <c r="E1156" s="94">
        <v>2061</v>
      </c>
      <c r="F1156" s="91">
        <v>1205</v>
      </c>
      <c r="G1156" s="94" t="s">
        <v>34</v>
      </c>
      <c r="H1156" s="94">
        <v>7217</v>
      </c>
      <c r="I1156" s="115">
        <v>35214500044557</v>
      </c>
      <c r="J1156" s="122" t="s">
        <v>35</v>
      </c>
      <c r="K1156" s="152">
        <v>4.7069999999999999</v>
      </c>
      <c r="L1156" s="122" t="str">
        <f>VLOOKUP(K1156,Liste!$L$2:$O$34,4,1)</f>
        <v>GSMR_02/03</v>
      </c>
      <c r="M1156" s="133" t="s">
        <v>36</v>
      </c>
      <c r="N1156" s="124" t="s">
        <v>37</v>
      </c>
      <c r="O1156" s="117" t="s">
        <v>2507</v>
      </c>
      <c r="P1156" s="117" t="s">
        <v>2253</v>
      </c>
      <c r="Q1156" s="118" t="s">
        <v>531</v>
      </c>
      <c r="R1156" s="94" t="s">
        <v>1032</v>
      </c>
      <c r="S1156" s="124" t="s">
        <v>1232</v>
      </c>
      <c r="T1156" s="124" t="s">
        <v>56</v>
      </c>
      <c r="U1156" s="124" t="s">
        <v>1632</v>
      </c>
      <c r="V1156" s="124" t="s">
        <v>43</v>
      </c>
      <c r="W1156" s="124" t="s">
        <v>51</v>
      </c>
      <c r="X1156" s="124" t="s">
        <v>52</v>
      </c>
      <c r="Y1156" s="124" t="s">
        <v>946</v>
      </c>
      <c r="Z1156" s="124"/>
      <c r="AA1156" s="124" t="s">
        <v>793</v>
      </c>
      <c r="AB1156" s="91"/>
      <c r="AC1156" s="91"/>
      <c r="AD1156" s="91"/>
      <c r="AE1156" s="91"/>
      <c r="AF1156" s="91"/>
      <c r="AG1156" s="91"/>
      <c r="AH1156" s="91"/>
    </row>
    <row r="1157" spans="1:34" ht="120">
      <c r="A1157" s="120">
        <v>1156</v>
      </c>
      <c r="B1157" s="120" t="b">
        <f t="shared" ca="1" si="18"/>
        <v>0</v>
      </c>
      <c r="C1157" s="121">
        <v>45745</v>
      </c>
      <c r="D1157" s="137">
        <v>0.71254629629629629</v>
      </c>
      <c r="E1157" s="94">
        <v>1037</v>
      </c>
      <c r="F1157" s="91">
        <v>1201</v>
      </c>
      <c r="G1157" s="94" t="s">
        <v>71</v>
      </c>
      <c r="H1157" s="94">
        <v>1028</v>
      </c>
      <c r="I1157" s="115">
        <v>35214500045268</v>
      </c>
      <c r="J1157" s="91" t="s">
        <v>72</v>
      </c>
      <c r="K1157" s="152">
        <v>7.3209999999999997</v>
      </c>
      <c r="L1157" s="122" t="str">
        <f>VLOOKUP(K1157,Liste!$L$2:$O$34,4,1)</f>
        <v>GSMR_02/03</v>
      </c>
      <c r="M1157" s="133" t="s">
        <v>36</v>
      </c>
      <c r="N1157" s="124" t="s">
        <v>37</v>
      </c>
      <c r="O1157" s="117" t="s">
        <v>2508</v>
      </c>
      <c r="P1157" s="117" t="s">
        <v>2253</v>
      </c>
      <c r="Q1157" s="118" t="s">
        <v>531</v>
      </c>
      <c r="R1157" s="94" t="s">
        <v>1032</v>
      </c>
      <c r="S1157" s="124" t="s">
        <v>2509</v>
      </c>
      <c r="T1157" s="124" t="s">
        <v>69</v>
      </c>
      <c r="U1157" s="124" t="s">
        <v>1498</v>
      </c>
      <c r="V1157" s="124" t="s">
        <v>43</v>
      </c>
      <c r="W1157" s="124" t="s">
        <v>51</v>
      </c>
      <c r="X1157" s="124" t="s">
        <v>52</v>
      </c>
      <c r="Y1157" s="124" t="s">
        <v>2199</v>
      </c>
      <c r="Z1157" s="124"/>
      <c r="AA1157" s="124" t="s">
        <v>772</v>
      </c>
      <c r="AB1157" s="91"/>
      <c r="AC1157" s="91"/>
      <c r="AD1157" s="91"/>
      <c r="AE1157" s="91"/>
      <c r="AF1157" s="91"/>
      <c r="AG1157" s="91"/>
      <c r="AH1157" s="91"/>
    </row>
    <row r="1158" spans="1:34" ht="90">
      <c r="A1158" s="120">
        <v>1157</v>
      </c>
      <c r="B1158" s="120" t="b">
        <f t="shared" ca="1" si="18"/>
        <v>0</v>
      </c>
      <c r="C1158" s="121">
        <v>45745</v>
      </c>
      <c r="D1158" s="137">
        <v>0.99262731481481481</v>
      </c>
      <c r="E1158" s="94">
        <v>10082</v>
      </c>
      <c r="F1158" s="91">
        <v>1201</v>
      </c>
      <c r="G1158" s="94" t="s">
        <v>71</v>
      </c>
      <c r="H1158" s="94">
        <v>1029</v>
      </c>
      <c r="I1158" s="115">
        <v>35214500045449</v>
      </c>
      <c r="J1158" s="91" t="s">
        <v>72</v>
      </c>
      <c r="K1158" s="91">
        <v>79.281999999999996</v>
      </c>
      <c r="L1158" s="122" t="str">
        <f>VLOOKUP(K1158,Liste!$L$2:$O$34,4,1)</f>
        <v>GSMR_14/15</v>
      </c>
      <c r="M1158" s="133" t="s">
        <v>36</v>
      </c>
      <c r="N1158" s="124" t="s">
        <v>37</v>
      </c>
      <c r="O1158" s="117" t="s">
        <v>2510</v>
      </c>
      <c r="P1158" s="117" t="s">
        <v>2272</v>
      </c>
      <c r="Q1158" s="94" t="s">
        <v>54</v>
      </c>
      <c r="R1158" s="129" t="s">
        <v>2215</v>
      </c>
      <c r="S1158" s="124" t="s">
        <v>2511</v>
      </c>
      <c r="T1158" s="124" t="s">
        <v>101</v>
      </c>
      <c r="U1158" s="124" t="s">
        <v>1498</v>
      </c>
      <c r="V1158" s="124" t="s">
        <v>43</v>
      </c>
      <c r="W1158" s="124" t="s">
        <v>51</v>
      </c>
      <c r="X1158" s="124" t="s">
        <v>52</v>
      </c>
      <c r="Y1158" s="124" t="s">
        <v>946</v>
      </c>
      <c r="Z1158" s="124"/>
      <c r="AA1158" s="124" t="s">
        <v>793</v>
      </c>
      <c r="AB1158" s="91"/>
      <c r="AC1158" s="91"/>
      <c r="AD1158" s="91"/>
      <c r="AE1158" s="91"/>
      <c r="AF1158" s="91"/>
      <c r="AG1158" s="91"/>
      <c r="AH1158" s="91"/>
    </row>
    <row r="1159" spans="1:34" ht="120">
      <c r="A1159" s="120">
        <v>1158</v>
      </c>
      <c r="B1159" s="120" t="b">
        <f t="shared" ca="1" si="18"/>
        <v>0</v>
      </c>
      <c r="C1159" s="121">
        <v>45748</v>
      </c>
      <c r="D1159" s="137">
        <v>0.46195601851851853</v>
      </c>
      <c r="E1159" s="94">
        <v>2021</v>
      </c>
      <c r="F1159" s="91">
        <v>1205</v>
      </c>
      <c r="G1159" s="94" t="s">
        <v>34</v>
      </c>
      <c r="H1159" s="94">
        <v>7218</v>
      </c>
      <c r="I1159" s="115">
        <v>35214500045735</v>
      </c>
      <c r="J1159" s="122" t="s">
        <v>35</v>
      </c>
      <c r="K1159" s="152">
        <v>6.13</v>
      </c>
      <c r="L1159" s="122" t="str">
        <f>VLOOKUP(K1159,Liste!$L$2:$O$34,4,1)</f>
        <v>GSMR_02/03</v>
      </c>
      <c r="M1159" s="133" t="s">
        <v>36</v>
      </c>
      <c r="N1159" s="124" t="s">
        <v>37</v>
      </c>
      <c r="O1159" s="117" t="s">
        <v>2512</v>
      </c>
      <c r="P1159" s="117" t="s">
        <v>2253</v>
      </c>
      <c r="Q1159" s="118" t="s">
        <v>531</v>
      </c>
      <c r="R1159" s="94" t="s">
        <v>1032</v>
      </c>
      <c r="S1159" s="124" t="s">
        <v>2513</v>
      </c>
      <c r="T1159" s="124" t="s">
        <v>209</v>
      </c>
      <c r="U1159" s="124" t="s">
        <v>1471</v>
      </c>
      <c r="V1159" s="124" t="s">
        <v>51</v>
      </c>
      <c r="W1159" s="124" t="s">
        <v>51</v>
      </c>
      <c r="X1159" s="124" t="s">
        <v>52</v>
      </c>
      <c r="Y1159" s="124" t="s">
        <v>946</v>
      </c>
      <c r="Z1159" s="124"/>
      <c r="AA1159" s="124" t="s">
        <v>754</v>
      </c>
      <c r="AB1159" s="91"/>
      <c r="AC1159" s="91"/>
      <c r="AD1159" s="91"/>
      <c r="AE1159" s="91"/>
      <c r="AF1159" s="91"/>
      <c r="AG1159" s="91"/>
      <c r="AH1159" s="91"/>
    </row>
    <row r="1160" spans="1:34" ht="120">
      <c r="A1160" s="120">
        <v>1159</v>
      </c>
      <c r="B1160" s="120" t="b">
        <f t="shared" ca="1" si="18"/>
        <v>0</v>
      </c>
      <c r="C1160" s="121">
        <v>45748</v>
      </c>
      <c r="D1160" s="137">
        <v>0.71223379629629635</v>
      </c>
      <c r="E1160" s="94">
        <v>2045</v>
      </c>
      <c r="F1160" s="91">
        <v>1205</v>
      </c>
      <c r="G1160" s="94" t="s">
        <v>34</v>
      </c>
      <c r="H1160" s="94">
        <v>7218</v>
      </c>
      <c r="I1160" s="115">
        <v>35214500045735</v>
      </c>
      <c r="J1160" s="122" t="s">
        <v>35</v>
      </c>
      <c r="K1160" s="152">
        <v>6.13</v>
      </c>
      <c r="L1160" s="122" t="str">
        <f>VLOOKUP(K1160,Liste!$L$2:$O$34,4,1)</f>
        <v>GSMR_02/03</v>
      </c>
      <c r="M1160" s="133" t="s">
        <v>36</v>
      </c>
      <c r="N1160" s="124" t="s">
        <v>37</v>
      </c>
      <c r="O1160" s="117" t="s">
        <v>2514</v>
      </c>
      <c r="P1160" s="117" t="s">
        <v>2253</v>
      </c>
      <c r="Q1160" s="118" t="s">
        <v>531</v>
      </c>
      <c r="R1160" s="94" t="s">
        <v>1032</v>
      </c>
      <c r="S1160" s="124" t="s">
        <v>2513</v>
      </c>
      <c r="T1160" s="124" t="s">
        <v>56</v>
      </c>
      <c r="U1160" s="124" t="s">
        <v>1632</v>
      </c>
      <c r="V1160" s="124" t="s">
        <v>43</v>
      </c>
      <c r="W1160" s="124" t="s">
        <v>51</v>
      </c>
      <c r="X1160" s="124" t="s">
        <v>52</v>
      </c>
      <c r="Y1160" s="124" t="s">
        <v>946</v>
      </c>
      <c r="Z1160" s="124"/>
      <c r="AA1160" s="124" t="s">
        <v>772</v>
      </c>
      <c r="AB1160" s="91"/>
      <c r="AC1160" s="91"/>
      <c r="AD1160" s="91"/>
      <c r="AE1160" s="91"/>
      <c r="AF1160" s="91"/>
      <c r="AG1160" s="91"/>
      <c r="AH1160" s="91"/>
    </row>
    <row r="1161" spans="1:34" ht="120">
      <c r="A1161" s="120">
        <v>1160</v>
      </c>
      <c r="B1161" s="120" t="b">
        <f t="shared" ca="1" si="18"/>
        <v>0</v>
      </c>
      <c r="C1161" s="121">
        <v>45748</v>
      </c>
      <c r="D1161" s="137">
        <v>0.79562500000000003</v>
      </c>
      <c r="E1161" s="94">
        <v>2053</v>
      </c>
      <c r="F1161" s="91">
        <v>1201</v>
      </c>
      <c r="G1161" s="94" t="s">
        <v>34</v>
      </c>
      <c r="H1161" s="94">
        <v>1056</v>
      </c>
      <c r="I1161" s="115">
        <v>35214500045217</v>
      </c>
      <c r="J1161" s="122" t="s">
        <v>35</v>
      </c>
      <c r="K1161" s="152">
        <v>6.13</v>
      </c>
      <c r="L1161" s="122" t="str">
        <f>VLOOKUP(K1161,Liste!$L$2:$O$34,4,1)</f>
        <v>GSMR_02/03</v>
      </c>
      <c r="M1161" s="133" t="s">
        <v>36</v>
      </c>
      <c r="N1161" s="181" t="s">
        <v>58</v>
      </c>
      <c r="O1161" s="117" t="s">
        <v>2515</v>
      </c>
      <c r="P1161" s="117" t="s">
        <v>2253</v>
      </c>
      <c r="Q1161" s="118" t="s">
        <v>531</v>
      </c>
      <c r="R1161" s="94" t="s">
        <v>1032</v>
      </c>
      <c r="S1161" s="124" t="s">
        <v>2516</v>
      </c>
      <c r="T1161" s="124" t="s">
        <v>41</v>
      </c>
      <c r="U1161" s="124" t="s">
        <v>1468</v>
      </c>
      <c r="V1161" s="124" t="s">
        <v>43</v>
      </c>
      <c r="W1161" s="124" t="s">
        <v>51</v>
      </c>
      <c r="X1161" s="124" t="s">
        <v>52</v>
      </c>
      <c r="Y1161" s="124" t="s">
        <v>946</v>
      </c>
      <c r="Z1161" s="124"/>
      <c r="AA1161" s="124" t="s">
        <v>1342</v>
      </c>
      <c r="AB1161" s="91"/>
      <c r="AC1161" s="91"/>
      <c r="AD1161" s="91"/>
      <c r="AE1161" s="91"/>
      <c r="AF1161" s="91"/>
      <c r="AG1161" s="91"/>
      <c r="AH1161" s="91"/>
    </row>
    <row r="1162" spans="1:34" ht="120">
      <c r="A1162" s="120">
        <v>1161</v>
      </c>
      <c r="B1162" s="120" t="b">
        <f t="shared" ca="1" si="18"/>
        <v>0</v>
      </c>
      <c r="C1162" s="121">
        <v>45749</v>
      </c>
      <c r="D1162" s="137">
        <v>0.58620370370370367</v>
      </c>
      <c r="E1162" s="94">
        <v>1025</v>
      </c>
      <c r="F1162" s="91">
        <v>1204</v>
      </c>
      <c r="G1162" s="94" t="s">
        <v>71</v>
      </c>
      <c r="H1162" s="94">
        <v>1035</v>
      </c>
      <c r="I1162" s="115">
        <v>35214500046011</v>
      </c>
      <c r="J1162" s="91" t="s">
        <v>72</v>
      </c>
      <c r="K1162" s="152">
        <v>7.32</v>
      </c>
      <c r="L1162" s="122" t="str">
        <f>VLOOKUP(K1162,Liste!$L$2:$O$34,4,1)</f>
        <v>GSMR_02/03</v>
      </c>
      <c r="M1162" s="133" t="s">
        <v>36</v>
      </c>
      <c r="N1162" s="124" t="s">
        <v>37</v>
      </c>
      <c r="O1162" s="117" t="s">
        <v>2517</v>
      </c>
      <c r="P1162" s="117" t="s">
        <v>2253</v>
      </c>
      <c r="Q1162" s="118" t="s">
        <v>531</v>
      </c>
      <c r="R1162" s="94" t="s">
        <v>1032</v>
      </c>
      <c r="S1162" s="124" t="s">
        <v>2518</v>
      </c>
      <c r="T1162" s="124" t="s">
        <v>116</v>
      </c>
      <c r="U1162" s="124" t="s">
        <v>1554</v>
      </c>
      <c r="V1162" s="124" t="s">
        <v>51</v>
      </c>
      <c r="W1162" s="124" t="s">
        <v>51</v>
      </c>
      <c r="X1162" s="124" t="s">
        <v>52</v>
      </c>
      <c r="Y1162" s="124" t="s">
        <v>946</v>
      </c>
      <c r="Z1162" s="124"/>
      <c r="AA1162" s="124" t="s">
        <v>802</v>
      </c>
      <c r="AB1162" s="91"/>
      <c r="AC1162" s="91"/>
      <c r="AD1162" s="91"/>
      <c r="AE1162" s="91"/>
      <c r="AF1162" s="91"/>
      <c r="AG1162" s="91"/>
      <c r="AH1162" s="91"/>
    </row>
    <row r="1163" spans="1:34" ht="120">
      <c r="A1163" s="120">
        <v>1162</v>
      </c>
      <c r="B1163" s="120" t="b">
        <f t="shared" ca="1" si="18"/>
        <v>0</v>
      </c>
      <c r="C1163" s="121">
        <v>45750</v>
      </c>
      <c r="D1163" s="137">
        <v>0.67024305555555552</v>
      </c>
      <c r="E1163" s="94">
        <v>2041</v>
      </c>
      <c r="F1163" s="91">
        <v>1205</v>
      </c>
      <c r="G1163" s="94" t="s">
        <v>34</v>
      </c>
      <c r="H1163" s="94">
        <v>7218</v>
      </c>
      <c r="I1163" s="115">
        <v>35214500045735</v>
      </c>
      <c r="J1163" s="91" t="s">
        <v>35</v>
      </c>
      <c r="K1163" s="152">
        <v>6.13</v>
      </c>
      <c r="L1163" s="122" t="str">
        <f>VLOOKUP(K1163,Liste!$L$2:$O$34,4,1)</f>
        <v>GSMR_02/03</v>
      </c>
      <c r="M1163" s="133" t="s">
        <v>36</v>
      </c>
      <c r="N1163" s="124" t="s">
        <v>37</v>
      </c>
      <c r="O1163" s="117" t="s">
        <v>2517</v>
      </c>
      <c r="P1163" s="117" t="s">
        <v>2253</v>
      </c>
      <c r="Q1163" s="118" t="s">
        <v>531</v>
      </c>
      <c r="R1163" s="94" t="s">
        <v>1032</v>
      </c>
      <c r="S1163" s="124" t="s">
        <v>2518</v>
      </c>
      <c r="T1163" s="124" t="s">
        <v>56</v>
      </c>
      <c r="U1163" s="124" t="s">
        <v>1446</v>
      </c>
      <c r="V1163" s="124" t="s">
        <v>51</v>
      </c>
      <c r="W1163" s="124" t="s">
        <v>51</v>
      </c>
      <c r="X1163" s="124" t="s">
        <v>52</v>
      </c>
      <c r="Y1163" s="124" t="s">
        <v>946</v>
      </c>
      <c r="Z1163" s="124"/>
      <c r="AA1163" s="124" t="s">
        <v>793</v>
      </c>
      <c r="AB1163" s="91"/>
      <c r="AC1163" s="91"/>
      <c r="AD1163" s="91"/>
      <c r="AE1163" s="91"/>
      <c r="AF1163" s="91"/>
      <c r="AG1163" s="91"/>
      <c r="AH1163" s="91"/>
    </row>
    <row r="1164" spans="1:34" ht="120">
      <c r="A1164" s="120">
        <v>1163</v>
      </c>
      <c r="B1164" s="120" t="b">
        <f t="shared" ca="1" si="18"/>
        <v>0</v>
      </c>
      <c r="C1164" s="121">
        <v>45750</v>
      </c>
      <c r="D1164" s="137">
        <v>0.87853009259259263</v>
      </c>
      <c r="E1164" s="94">
        <v>2061</v>
      </c>
      <c r="F1164" s="91">
        <v>1209</v>
      </c>
      <c r="G1164" s="94" t="s">
        <v>34</v>
      </c>
      <c r="H1164" s="94">
        <v>7208</v>
      </c>
      <c r="I1164" s="115">
        <v>35214500004427</v>
      </c>
      <c r="J1164" s="91" t="s">
        <v>35</v>
      </c>
      <c r="K1164" s="152">
        <v>6.13</v>
      </c>
      <c r="L1164" s="122" t="str">
        <f>VLOOKUP(K1164,Liste!$L$2:$O$34,4,1)</f>
        <v>GSMR_02/03</v>
      </c>
      <c r="M1164" s="133" t="s">
        <v>36</v>
      </c>
      <c r="N1164" s="124" t="s">
        <v>37</v>
      </c>
      <c r="O1164" s="117" t="s">
        <v>2519</v>
      </c>
      <c r="P1164" s="117" t="s">
        <v>2253</v>
      </c>
      <c r="Q1164" s="118" t="s">
        <v>531</v>
      </c>
      <c r="R1164" s="94" t="s">
        <v>1032</v>
      </c>
      <c r="S1164" s="124" t="s">
        <v>1255</v>
      </c>
      <c r="T1164" s="124" t="s">
        <v>56</v>
      </c>
      <c r="U1164" s="124" t="s">
        <v>1449</v>
      </c>
      <c r="V1164" s="124" t="s">
        <v>43</v>
      </c>
      <c r="W1164" s="124" t="s">
        <v>43</v>
      </c>
      <c r="X1164" s="124" t="s">
        <v>52</v>
      </c>
      <c r="Y1164" s="124" t="s">
        <v>946</v>
      </c>
      <c r="Z1164" s="124"/>
      <c r="AA1164" s="124" t="s">
        <v>778</v>
      </c>
      <c r="AB1164" s="91"/>
      <c r="AC1164" s="91"/>
      <c r="AD1164" s="91"/>
      <c r="AE1164" s="91"/>
      <c r="AF1164" s="91"/>
      <c r="AG1164" s="91"/>
      <c r="AH1164" s="91"/>
    </row>
    <row r="1165" spans="1:34" ht="90">
      <c r="A1165" s="120">
        <v>1164</v>
      </c>
      <c r="B1165" s="120" t="b">
        <f t="shared" ca="1" si="18"/>
        <v>0</v>
      </c>
      <c r="C1165" s="121">
        <v>45751</v>
      </c>
      <c r="D1165" s="137">
        <v>0.76944444444444449</v>
      </c>
      <c r="E1165" s="94">
        <v>2049</v>
      </c>
      <c r="F1165" s="91">
        <v>1208</v>
      </c>
      <c r="G1165" s="94" t="s">
        <v>34</v>
      </c>
      <c r="H1165" s="94">
        <v>1037</v>
      </c>
      <c r="I1165" s="115">
        <v>35214500045461</v>
      </c>
      <c r="J1165" s="91" t="s">
        <v>35</v>
      </c>
      <c r="K1165" s="91">
        <v>109.495</v>
      </c>
      <c r="L1165" s="122" t="str">
        <f>VLOOKUP(K1165,Liste!$L$2:$O$34,4,1)</f>
        <v>GSMR_19/20</v>
      </c>
      <c r="M1165" s="133" t="s">
        <v>36</v>
      </c>
      <c r="N1165" s="124" t="s">
        <v>37</v>
      </c>
      <c r="O1165" s="117" t="s">
        <v>2520</v>
      </c>
      <c r="P1165" s="117" t="s">
        <v>2392</v>
      </c>
      <c r="Q1165" s="118" t="s">
        <v>47</v>
      </c>
      <c r="R1165" s="94" t="s">
        <v>2233</v>
      </c>
      <c r="S1165" s="124" t="s">
        <v>1553</v>
      </c>
      <c r="T1165" s="124" t="s">
        <v>116</v>
      </c>
      <c r="U1165" s="124" t="s">
        <v>1520</v>
      </c>
      <c r="V1165" s="124" t="s">
        <v>43</v>
      </c>
      <c r="W1165" s="124" t="s">
        <v>51</v>
      </c>
      <c r="X1165" s="124" t="s">
        <v>52</v>
      </c>
      <c r="Y1165" s="124" t="s">
        <v>946</v>
      </c>
      <c r="Z1165" s="124"/>
      <c r="AA1165" s="124" t="s">
        <v>793</v>
      </c>
      <c r="AB1165" s="91"/>
      <c r="AC1165" s="91"/>
      <c r="AD1165" s="91"/>
      <c r="AE1165" s="91"/>
      <c r="AF1165" s="91"/>
      <c r="AG1165" s="91"/>
      <c r="AH1165" s="91"/>
    </row>
    <row r="1166" spans="1:34" ht="120">
      <c r="A1166" s="120">
        <v>1165</v>
      </c>
      <c r="B1166" s="120" t="b">
        <f t="shared" ca="1" si="18"/>
        <v>0</v>
      </c>
      <c r="C1166" s="121">
        <v>45753</v>
      </c>
      <c r="D1166" s="137">
        <v>0.46180555555555558</v>
      </c>
      <c r="E1166" s="94">
        <v>2025</v>
      </c>
      <c r="F1166" s="91">
        <v>1205</v>
      </c>
      <c r="G1166" s="94" t="s">
        <v>34</v>
      </c>
      <c r="H1166" s="94">
        <v>7217</v>
      </c>
      <c r="I1166" s="115">
        <v>35214500045735</v>
      </c>
      <c r="J1166" s="91" t="s">
        <v>35</v>
      </c>
      <c r="K1166" s="152">
        <v>6.13</v>
      </c>
      <c r="L1166" s="122" t="str">
        <f>VLOOKUP(K1166,Liste!$L$2:$O$34,4,1)</f>
        <v>GSMR_02/03</v>
      </c>
      <c r="M1166" s="133" t="s">
        <v>36</v>
      </c>
      <c r="N1166" s="181" t="s">
        <v>58</v>
      </c>
      <c r="O1166" s="117" t="s">
        <v>2521</v>
      </c>
      <c r="P1166" s="117" t="s">
        <v>2253</v>
      </c>
      <c r="Q1166" s="118" t="s">
        <v>531</v>
      </c>
      <c r="R1166" s="94" t="s">
        <v>1032</v>
      </c>
      <c r="S1166" s="124" t="s">
        <v>1255</v>
      </c>
      <c r="T1166" s="124" t="s">
        <v>56</v>
      </c>
      <c r="U1166" s="124" t="s">
        <v>1529</v>
      </c>
      <c r="V1166" s="124" t="s">
        <v>51</v>
      </c>
      <c r="W1166" s="124" t="s">
        <v>51</v>
      </c>
      <c r="X1166" s="124" t="s">
        <v>52</v>
      </c>
      <c r="Y1166" s="124" t="s">
        <v>946</v>
      </c>
      <c r="Z1166" s="124"/>
      <c r="AA1166" s="124" t="s">
        <v>1342</v>
      </c>
      <c r="AB1166" s="91"/>
      <c r="AC1166" s="91"/>
      <c r="AD1166" s="91"/>
      <c r="AE1166" s="91"/>
      <c r="AF1166" s="91"/>
      <c r="AG1166" s="91"/>
      <c r="AH1166" s="91"/>
    </row>
    <row r="1167" spans="1:34" ht="120">
      <c r="A1167" s="120">
        <v>1166</v>
      </c>
      <c r="B1167" s="120" t="b">
        <f t="shared" ca="1" si="18"/>
        <v>0</v>
      </c>
      <c r="C1167" s="121">
        <v>45753</v>
      </c>
      <c r="D1167" s="137">
        <v>0.58684027777777781</v>
      </c>
      <c r="E1167" s="94">
        <v>2037</v>
      </c>
      <c r="F1167" s="91">
        <v>1204</v>
      </c>
      <c r="G1167" s="94" t="s">
        <v>34</v>
      </c>
      <c r="H1167" s="94">
        <v>1052</v>
      </c>
      <c r="I1167" s="115">
        <v>35214500043740</v>
      </c>
      <c r="J1167" s="91" t="s">
        <v>35</v>
      </c>
      <c r="K1167" s="152">
        <v>6.13</v>
      </c>
      <c r="L1167" s="122" t="str">
        <f>VLOOKUP(K1167,Liste!$L$2:$O$34,4,1)</f>
        <v>GSMR_02/03</v>
      </c>
      <c r="M1167" s="133" t="s">
        <v>36</v>
      </c>
      <c r="N1167" s="124" t="s">
        <v>37</v>
      </c>
      <c r="O1167" s="117" t="s">
        <v>2522</v>
      </c>
      <c r="P1167" s="117" t="s">
        <v>2253</v>
      </c>
      <c r="Q1167" s="118" t="s">
        <v>531</v>
      </c>
      <c r="R1167" s="94" t="s">
        <v>1032</v>
      </c>
      <c r="S1167" s="124" t="s">
        <v>2523</v>
      </c>
      <c r="T1167" s="124" t="s">
        <v>56</v>
      </c>
      <c r="U1167" s="124" t="s">
        <v>1460</v>
      </c>
      <c r="V1167" s="124" t="s">
        <v>43</v>
      </c>
      <c r="W1167" s="124" t="s">
        <v>51</v>
      </c>
      <c r="X1167" s="124" t="s">
        <v>52</v>
      </c>
      <c r="Y1167" s="124" t="s">
        <v>946</v>
      </c>
      <c r="Z1167" s="124"/>
      <c r="AA1167" s="124" t="s">
        <v>772</v>
      </c>
      <c r="AB1167" s="91"/>
      <c r="AC1167" s="91"/>
      <c r="AD1167" s="91"/>
      <c r="AE1167" s="91"/>
      <c r="AF1167" s="91"/>
      <c r="AG1167" s="91"/>
      <c r="AH1167" s="91"/>
    </row>
    <row r="1168" spans="1:34" ht="120">
      <c r="A1168" s="120">
        <v>1167</v>
      </c>
      <c r="B1168" s="120" t="b">
        <f t="shared" ca="1" si="18"/>
        <v>0</v>
      </c>
      <c r="C1168" s="121">
        <v>45754</v>
      </c>
      <c r="D1168" s="137" t="s">
        <v>2524</v>
      </c>
      <c r="E1168" s="94">
        <v>2013</v>
      </c>
      <c r="F1168" s="91">
        <v>1205</v>
      </c>
      <c r="G1168" s="94" t="s">
        <v>34</v>
      </c>
      <c r="H1168" s="94">
        <v>7218</v>
      </c>
      <c r="I1168" s="115">
        <v>35214500045735</v>
      </c>
      <c r="J1168" s="91" t="s">
        <v>35</v>
      </c>
      <c r="K1168" s="152">
        <v>6.13</v>
      </c>
      <c r="L1168" s="122" t="str">
        <f>VLOOKUP(K1168,Liste!$L$2:$O$34,4,1)</f>
        <v>GSMR_02/03</v>
      </c>
      <c r="M1168" s="133" t="s">
        <v>36</v>
      </c>
      <c r="N1168" s="124" t="s">
        <v>37</v>
      </c>
      <c r="O1168" s="117" t="s">
        <v>2525</v>
      </c>
      <c r="P1168" s="117" t="s">
        <v>2253</v>
      </c>
      <c r="Q1168" s="118" t="s">
        <v>531</v>
      </c>
      <c r="R1168" s="94" t="s">
        <v>1032</v>
      </c>
      <c r="S1168" s="124" t="s">
        <v>1232</v>
      </c>
      <c r="T1168" s="124" t="s">
        <v>56</v>
      </c>
      <c r="U1168" s="124" t="s">
        <v>1498</v>
      </c>
      <c r="V1168" s="124" t="s">
        <v>51</v>
      </c>
      <c r="W1168" s="124" t="s">
        <v>51</v>
      </c>
      <c r="X1168" s="124" t="s">
        <v>52</v>
      </c>
      <c r="Y1168" s="124" t="s">
        <v>946</v>
      </c>
      <c r="Z1168" s="124"/>
      <c r="AA1168" s="124" t="s">
        <v>802</v>
      </c>
      <c r="AB1168" s="91"/>
      <c r="AC1168" s="91"/>
      <c r="AD1168" s="91"/>
      <c r="AE1168" s="91"/>
      <c r="AF1168" s="91"/>
      <c r="AG1168" s="91"/>
      <c r="AH1168" s="91"/>
    </row>
    <row r="1169" spans="1:34" ht="120">
      <c r="A1169" s="120">
        <v>1168</v>
      </c>
      <c r="B1169" s="120" t="b">
        <f t="shared" ca="1" si="18"/>
        <v>0</v>
      </c>
      <c r="C1169" s="121">
        <v>45755</v>
      </c>
      <c r="D1169" s="137">
        <v>0.62844907407407402</v>
      </c>
      <c r="E1169" s="94">
        <v>2037</v>
      </c>
      <c r="F1169" s="91">
        <v>1208</v>
      </c>
      <c r="G1169" s="94" t="s">
        <v>34</v>
      </c>
      <c r="H1169" s="94">
        <v>1036</v>
      </c>
      <c r="I1169" s="115">
        <v>35214500045488</v>
      </c>
      <c r="J1169" s="91" t="s">
        <v>35</v>
      </c>
      <c r="K1169" s="152">
        <v>6.13</v>
      </c>
      <c r="L1169" s="122" t="str">
        <f>VLOOKUP(K1169,Liste!$L$2:$O$34,4,1)</f>
        <v>GSMR_02/03</v>
      </c>
      <c r="M1169" s="133" t="s">
        <v>36</v>
      </c>
      <c r="N1169" s="181" t="s">
        <v>58</v>
      </c>
      <c r="O1169" s="117" t="s">
        <v>2526</v>
      </c>
      <c r="P1169" s="117" t="s">
        <v>2253</v>
      </c>
      <c r="Q1169" s="118" t="s">
        <v>531</v>
      </c>
      <c r="R1169" s="94" t="s">
        <v>1032</v>
      </c>
      <c r="S1169" s="124" t="s">
        <v>2261</v>
      </c>
      <c r="T1169" s="124" t="s">
        <v>56</v>
      </c>
      <c r="U1169" s="124" t="s">
        <v>1622</v>
      </c>
      <c r="V1169" s="124" t="s">
        <v>51</v>
      </c>
      <c r="W1169" s="124" t="s">
        <v>51</v>
      </c>
      <c r="X1169" s="124" t="s">
        <v>52</v>
      </c>
      <c r="Y1169" s="124" t="s">
        <v>946</v>
      </c>
      <c r="Z1169" s="124"/>
      <c r="AA1169" s="124" t="s">
        <v>802</v>
      </c>
      <c r="AB1169" s="91"/>
      <c r="AC1169" s="91"/>
      <c r="AD1169" s="91"/>
      <c r="AE1169" s="91"/>
      <c r="AF1169" s="91"/>
      <c r="AG1169" s="91"/>
      <c r="AH1169" s="91"/>
    </row>
    <row r="1170" spans="1:34" ht="120">
      <c r="A1170" s="120">
        <v>1169</v>
      </c>
      <c r="B1170" s="120" t="b">
        <f t="shared" ca="1" si="18"/>
        <v>0</v>
      </c>
      <c r="C1170" s="121">
        <v>45757</v>
      </c>
      <c r="D1170" s="137">
        <v>0.4621527777777778</v>
      </c>
      <c r="E1170" s="94">
        <v>2025</v>
      </c>
      <c r="F1170" s="91">
        <v>1205</v>
      </c>
      <c r="G1170" s="94" t="s">
        <v>34</v>
      </c>
      <c r="H1170" s="94">
        <v>7217</v>
      </c>
      <c r="I1170" s="115">
        <v>35214500044557</v>
      </c>
      <c r="J1170" s="91" t="s">
        <v>35</v>
      </c>
      <c r="K1170" s="152">
        <v>6.13</v>
      </c>
      <c r="L1170" s="122" t="str">
        <f>VLOOKUP(K1170,Liste!$L$2:$O$34,4,1)</f>
        <v>GSMR_02/03</v>
      </c>
      <c r="M1170" s="133" t="s">
        <v>36</v>
      </c>
      <c r="N1170" s="124" t="s">
        <v>37</v>
      </c>
      <c r="O1170" s="117" t="s">
        <v>2527</v>
      </c>
      <c r="P1170" s="117" t="s">
        <v>2253</v>
      </c>
      <c r="Q1170" s="118" t="s">
        <v>531</v>
      </c>
      <c r="R1170" s="94" t="s">
        <v>1032</v>
      </c>
      <c r="S1170" s="124" t="s">
        <v>2261</v>
      </c>
      <c r="T1170" s="124" t="s">
        <v>56</v>
      </c>
      <c r="U1170" s="124" t="s">
        <v>1529</v>
      </c>
      <c r="V1170" s="124" t="s">
        <v>51</v>
      </c>
      <c r="W1170" s="124" t="s">
        <v>51</v>
      </c>
      <c r="X1170" s="124" t="s">
        <v>52</v>
      </c>
      <c r="Y1170" s="124" t="s">
        <v>946</v>
      </c>
      <c r="Z1170" s="124"/>
      <c r="AA1170" s="124" t="s">
        <v>802</v>
      </c>
      <c r="AB1170" s="91"/>
      <c r="AC1170" s="91"/>
      <c r="AD1170" s="91"/>
      <c r="AE1170" s="91"/>
      <c r="AF1170" s="91"/>
      <c r="AG1170" s="91"/>
      <c r="AH1170" s="91"/>
    </row>
    <row r="1171" spans="1:34" ht="120">
      <c r="A1171" s="120">
        <v>1170</v>
      </c>
      <c r="B1171" s="120" t="b">
        <f t="shared" ca="1" si="18"/>
        <v>0</v>
      </c>
      <c r="C1171" s="121">
        <v>45757</v>
      </c>
      <c r="D1171" s="137">
        <v>0.7535532407407407</v>
      </c>
      <c r="E1171" s="94">
        <v>2049</v>
      </c>
      <c r="F1171" s="91">
        <v>1205</v>
      </c>
      <c r="G1171" s="94" t="s">
        <v>34</v>
      </c>
      <c r="H1171" s="94">
        <v>7217</v>
      </c>
      <c r="I1171" s="115">
        <v>35214500044557</v>
      </c>
      <c r="J1171" s="91" t="s">
        <v>35</v>
      </c>
      <c r="K1171" s="152">
        <v>6.13</v>
      </c>
      <c r="L1171" s="122" t="str">
        <f>VLOOKUP(K1171,Liste!$L$2:$O$34,4,1)</f>
        <v>GSMR_02/03</v>
      </c>
      <c r="M1171" s="133" t="s">
        <v>36</v>
      </c>
      <c r="N1171" s="181" t="s">
        <v>58</v>
      </c>
      <c r="O1171" s="117" t="s">
        <v>2528</v>
      </c>
      <c r="P1171" s="117" t="s">
        <v>2253</v>
      </c>
      <c r="Q1171" s="118" t="s">
        <v>531</v>
      </c>
      <c r="R1171" s="94" t="s">
        <v>1032</v>
      </c>
      <c r="S1171" s="124" t="s">
        <v>2529</v>
      </c>
      <c r="T1171" s="124" t="s">
        <v>56</v>
      </c>
      <c r="U1171" s="124" t="s">
        <v>1526</v>
      </c>
      <c r="V1171" s="124" t="s">
        <v>51</v>
      </c>
      <c r="W1171" s="124" t="s">
        <v>51</v>
      </c>
      <c r="X1171" s="124" t="s">
        <v>52</v>
      </c>
      <c r="Y1171" s="124" t="s">
        <v>946</v>
      </c>
      <c r="Z1171" s="124"/>
      <c r="AA1171" s="124" t="s">
        <v>802</v>
      </c>
      <c r="AB1171" s="91"/>
      <c r="AC1171" s="91"/>
      <c r="AD1171" s="91"/>
      <c r="AE1171" s="91"/>
      <c r="AF1171" s="91"/>
      <c r="AG1171" s="91"/>
      <c r="AH1171" s="91"/>
    </row>
    <row r="1172" spans="1:34" ht="120">
      <c r="A1172" s="120">
        <v>1171</v>
      </c>
      <c r="B1172" s="120" t="b">
        <f t="shared" ca="1" si="18"/>
        <v>0</v>
      </c>
      <c r="C1172" s="121">
        <v>45759</v>
      </c>
      <c r="D1172" s="137">
        <v>0.79565972222222225</v>
      </c>
      <c r="E1172" s="94">
        <v>1045</v>
      </c>
      <c r="F1172" s="91">
        <v>1210</v>
      </c>
      <c r="G1172" s="94" t="s">
        <v>71</v>
      </c>
      <c r="H1172" s="94">
        <v>1020</v>
      </c>
      <c r="I1172" s="115">
        <v>35214500045494</v>
      </c>
      <c r="J1172" s="94" t="s">
        <v>72</v>
      </c>
      <c r="K1172" s="152">
        <v>7.3209999999999997</v>
      </c>
      <c r="L1172" s="122" t="str">
        <f>VLOOKUP(K1172,Liste!$L$2:$O$34,4,1)</f>
        <v>GSMR_02/03</v>
      </c>
      <c r="M1172" s="133" t="s">
        <v>36</v>
      </c>
      <c r="N1172" s="124" t="s">
        <v>37</v>
      </c>
      <c r="O1172" s="117" t="s">
        <v>2530</v>
      </c>
      <c r="P1172" s="117" t="s">
        <v>2253</v>
      </c>
      <c r="Q1172" s="118" t="s">
        <v>531</v>
      </c>
      <c r="R1172" s="94" t="s">
        <v>1032</v>
      </c>
      <c r="S1172" s="124" t="s">
        <v>2264</v>
      </c>
      <c r="T1172" s="124" t="s">
        <v>209</v>
      </c>
      <c r="U1172" s="124" t="s">
        <v>1595</v>
      </c>
      <c r="V1172" s="124" t="s">
        <v>51</v>
      </c>
      <c r="W1172" s="124" t="s">
        <v>51</v>
      </c>
      <c r="X1172" s="124" t="s">
        <v>52</v>
      </c>
      <c r="Y1172" s="124" t="s">
        <v>950</v>
      </c>
      <c r="Z1172" s="124"/>
      <c r="AA1172" s="124" t="s">
        <v>1118</v>
      </c>
      <c r="AB1172" s="91"/>
      <c r="AC1172" s="91"/>
      <c r="AD1172" s="91"/>
      <c r="AE1172" s="91"/>
      <c r="AF1172" s="91"/>
      <c r="AG1172" s="91"/>
      <c r="AH1172" s="91"/>
    </row>
    <row r="1173" spans="1:34" ht="120">
      <c r="A1173" s="120">
        <v>1172</v>
      </c>
      <c r="B1173" s="120" t="b">
        <f t="shared" ca="1" si="18"/>
        <v>0</v>
      </c>
      <c r="C1173" s="121">
        <v>45759</v>
      </c>
      <c r="D1173" s="137">
        <v>0.50369212962962961</v>
      </c>
      <c r="E1173" s="94">
        <v>2025</v>
      </c>
      <c r="F1173" s="91">
        <v>1208</v>
      </c>
      <c r="G1173" s="94" t="s">
        <v>34</v>
      </c>
      <c r="H1173" s="94">
        <v>1037</v>
      </c>
      <c r="I1173" s="115">
        <v>35214500045488</v>
      </c>
      <c r="J1173" s="94" t="s">
        <v>35</v>
      </c>
      <c r="K1173" s="152">
        <v>6.13</v>
      </c>
      <c r="L1173" s="122" t="str">
        <f>VLOOKUP(K1173,Liste!$L$2:$O$34,4,1)</f>
        <v>GSMR_02/03</v>
      </c>
      <c r="M1173" s="133" t="s">
        <v>36</v>
      </c>
      <c r="N1173" s="124" t="s">
        <v>37</v>
      </c>
      <c r="O1173" s="117" t="s">
        <v>2525</v>
      </c>
      <c r="P1173" s="117" t="s">
        <v>2253</v>
      </c>
      <c r="Q1173" s="118" t="s">
        <v>531</v>
      </c>
      <c r="R1173" s="94" t="s">
        <v>1032</v>
      </c>
      <c r="S1173" s="124" t="s">
        <v>2130</v>
      </c>
      <c r="T1173" s="124" t="s">
        <v>56</v>
      </c>
      <c r="U1173" s="124" t="s">
        <v>1541</v>
      </c>
      <c r="V1173" s="124" t="s">
        <v>51</v>
      </c>
      <c r="W1173" s="124" t="s">
        <v>51</v>
      </c>
      <c r="X1173" s="124" t="s">
        <v>52</v>
      </c>
      <c r="Y1173" s="124" t="s">
        <v>950</v>
      </c>
      <c r="Z1173" s="124"/>
      <c r="AA1173" s="124" t="s">
        <v>793</v>
      </c>
      <c r="AB1173" s="91"/>
      <c r="AC1173" s="91"/>
      <c r="AD1173" s="91"/>
      <c r="AE1173" s="91"/>
      <c r="AF1173" s="91"/>
      <c r="AG1173" s="91"/>
      <c r="AH1173" s="91"/>
    </row>
    <row r="1174" spans="1:34" ht="90">
      <c r="A1174" s="120">
        <v>1173</v>
      </c>
      <c r="B1174" s="120" t="b">
        <f t="shared" ca="1" si="18"/>
        <v>0</v>
      </c>
      <c r="C1174" s="121">
        <v>45759</v>
      </c>
      <c r="D1174" s="137">
        <v>0.89444444444444449</v>
      </c>
      <c r="E1174" s="94">
        <v>2061</v>
      </c>
      <c r="F1174" s="91">
        <v>1205</v>
      </c>
      <c r="G1174" s="94" t="s">
        <v>34</v>
      </c>
      <c r="H1174" s="94">
        <v>7217</v>
      </c>
      <c r="I1174" s="115">
        <v>35214500044557</v>
      </c>
      <c r="J1174" s="94" t="s">
        <v>35</v>
      </c>
      <c r="K1174" s="91">
        <v>109.495</v>
      </c>
      <c r="L1174" s="122" t="str">
        <f>VLOOKUP(K1174,Liste!$L$2:$O$34,4,1)</f>
        <v>GSMR_19/20</v>
      </c>
      <c r="M1174" s="133" t="s">
        <v>36</v>
      </c>
      <c r="N1174" s="124" t="s">
        <v>37</v>
      </c>
      <c r="O1174" s="117" t="s">
        <v>2531</v>
      </c>
      <c r="P1174" s="117" t="s">
        <v>2392</v>
      </c>
      <c r="Q1174" s="94" t="s">
        <v>47</v>
      </c>
      <c r="R1174" s="94" t="s">
        <v>2532</v>
      </c>
      <c r="S1174" s="124" t="s">
        <v>1553</v>
      </c>
      <c r="T1174" s="124" t="s">
        <v>116</v>
      </c>
      <c r="U1174" s="124" t="s">
        <v>1666</v>
      </c>
      <c r="V1174" s="124" t="s">
        <v>51</v>
      </c>
      <c r="W1174" s="124" t="s">
        <v>51</v>
      </c>
      <c r="X1174" s="124" t="s">
        <v>52</v>
      </c>
      <c r="Y1174" s="124" t="s">
        <v>946</v>
      </c>
      <c r="Z1174" s="124"/>
      <c r="AA1174" s="124" t="s">
        <v>772</v>
      </c>
      <c r="AB1174" s="91"/>
      <c r="AC1174" s="91"/>
      <c r="AD1174" s="91"/>
      <c r="AE1174" s="91"/>
      <c r="AF1174" s="91"/>
      <c r="AG1174" s="91"/>
      <c r="AH1174" s="91"/>
    </row>
    <row r="1175" spans="1:34" ht="120">
      <c r="A1175" s="120">
        <v>1174</v>
      </c>
      <c r="B1175" s="120" t="b">
        <f t="shared" ca="1" si="18"/>
        <v>0</v>
      </c>
      <c r="C1175" s="121">
        <v>45760</v>
      </c>
      <c r="D1175" s="137">
        <v>0.75361111111111112</v>
      </c>
      <c r="E1175" s="94">
        <v>2049</v>
      </c>
      <c r="F1175" s="91">
        <v>1205</v>
      </c>
      <c r="G1175" s="94" t="s">
        <v>34</v>
      </c>
      <c r="H1175" s="94">
        <v>7217</v>
      </c>
      <c r="I1175" s="115">
        <v>35214500044557</v>
      </c>
      <c r="J1175" s="91" t="s">
        <v>35</v>
      </c>
      <c r="K1175" s="152">
        <v>6.13</v>
      </c>
      <c r="L1175" s="122" t="str">
        <f>VLOOKUP(K1175,Liste!$L$2:$O$34,4,1)</f>
        <v>GSMR_02/03</v>
      </c>
      <c r="M1175" s="133" t="s">
        <v>36</v>
      </c>
      <c r="N1175" s="181" t="s">
        <v>58</v>
      </c>
      <c r="O1175" s="117" t="s">
        <v>2533</v>
      </c>
      <c r="P1175" s="117" t="s">
        <v>2253</v>
      </c>
      <c r="Q1175" s="118" t="s">
        <v>531</v>
      </c>
      <c r="R1175" s="94" t="s">
        <v>1032</v>
      </c>
      <c r="S1175" s="124" t="s">
        <v>1255</v>
      </c>
      <c r="T1175" s="124" t="s">
        <v>93</v>
      </c>
      <c r="U1175" s="124" t="s">
        <v>1622</v>
      </c>
      <c r="V1175" s="124" t="s">
        <v>51</v>
      </c>
      <c r="W1175" s="124" t="s">
        <v>51</v>
      </c>
      <c r="X1175" s="124" t="s">
        <v>52</v>
      </c>
      <c r="Y1175" s="124" t="s">
        <v>946</v>
      </c>
      <c r="Z1175" s="124"/>
      <c r="AA1175" s="124" t="s">
        <v>757</v>
      </c>
      <c r="AB1175" s="91"/>
      <c r="AC1175" s="91"/>
      <c r="AD1175" s="91"/>
      <c r="AE1175" s="91"/>
      <c r="AF1175" s="91"/>
      <c r="AG1175" s="91"/>
      <c r="AH1175" s="91"/>
    </row>
    <row r="1176" spans="1:34" ht="120">
      <c r="A1176" s="120">
        <v>1175</v>
      </c>
      <c r="B1176" s="120" t="b">
        <f t="shared" ca="1" si="18"/>
        <v>0</v>
      </c>
      <c r="C1176" s="121">
        <v>45761</v>
      </c>
      <c r="D1176" s="137">
        <v>0.87905092592592593</v>
      </c>
      <c r="E1176" s="94">
        <v>2061</v>
      </c>
      <c r="F1176" s="91">
        <v>1205</v>
      </c>
      <c r="G1176" s="94" t="s">
        <v>34</v>
      </c>
      <c r="H1176" s="94">
        <v>7218</v>
      </c>
      <c r="I1176" s="115">
        <v>35214500044557</v>
      </c>
      <c r="J1176" s="94" t="s">
        <v>35</v>
      </c>
      <c r="K1176" s="152">
        <v>6.13</v>
      </c>
      <c r="L1176" s="122" t="str">
        <f>VLOOKUP(K1176,Liste!$L$2:$O$34,4,1)</f>
        <v>GSMR_02/03</v>
      </c>
      <c r="M1176" s="133" t="s">
        <v>36</v>
      </c>
      <c r="N1176" s="124" t="s">
        <v>37</v>
      </c>
      <c r="O1176" s="117" t="s">
        <v>2534</v>
      </c>
      <c r="P1176" s="117" t="s">
        <v>2253</v>
      </c>
      <c r="Q1176" s="118" t="s">
        <v>531</v>
      </c>
      <c r="R1176" s="94" t="s">
        <v>1032</v>
      </c>
      <c r="S1176" s="124" t="s">
        <v>1255</v>
      </c>
      <c r="T1176" s="124" t="s">
        <v>93</v>
      </c>
      <c r="U1176" s="124" t="s">
        <v>1446</v>
      </c>
      <c r="V1176" s="124" t="s">
        <v>51</v>
      </c>
      <c r="W1176" s="124" t="s">
        <v>51</v>
      </c>
      <c r="X1176" s="124" t="s">
        <v>52</v>
      </c>
      <c r="Y1176" s="124" t="s">
        <v>946</v>
      </c>
      <c r="Z1176" s="124"/>
      <c r="AA1176" s="124" t="s">
        <v>793</v>
      </c>
      <c r="AB1176" s="91"/>
      <c r="AC1176" s="91"/>
      <c r="AD1176" s="91"/>
      <c r="AE1176" s="91"/>
      <c r="AF1176" s="91"/>
      <c r="AG1176" s="91"/>
      <c r="AH1176" s="91"/>
    </row>
    <row r="1177" spans="1:34" ht="120">
      <c r="A1177" s="120">
        <v>1176</v>
      </c>
      <c r="B1177" s="120" t="b">
        <f t="shared" ca="1" si="18"/>
        <v>0</v>
      </c>
      <c r="C1177" s="121">
        <v>45763</v>
      </c>
      <c r="D1177" s="137">
        <v>0.6700694444444445</v>
      </c>
      <c r="E1177" s="94">
        <v>2041</v>
      </c>
      <c r="F1177" s="91">
        <v>1201</v>
      </c>
      <c r="G1177" s="94" t="s">
        <v>34</v>
      </c>
      <c r="H1177" s="94">
        <v>1056</v>
      </c>
      <c r="I1177" s="115">
        <v>35214500045217</v>
      </c>
      <c r="J1177" s="94" t="s">
        <v>35</v>
      </c>
      <c r="K1177" s="152">
        <v>7.13</v>
      </c>
      <c r="L1177" s="122" t="str">
        <f>VLOOKUP(K1177,Liste!$L$2:$O$34,4,1)</f>
        <v>GSMR_02/03</v>
      </c>
      <c r="M1177" s="133" t="s">
        <v>36</v>
      </c>
      <c r="N1177" s="181" t="s">
        <v>58</v>
      </c>
      <c r="O1177" s="117" t="s">
        <v>2535</v>
      </c>
      <c r="P1177" s="117" t="s">
        <v>2253</v>
      </c>
      <c r="Q1177" s="118" t="s">
        <v>531</v>
      </c>
      <c r="R1177" s="94" t="s">
        <v>1032</v>
      </c>
      <c r="S1177" s="124" t="s">
        <v>1551</v>
      </c>
      <c r="T1177" s="124" t="s">
        <v>56</v>
      </c>
      <c r="U1177" s="124" t="s">
        <v>1460</v>
      </c>
      <c r="V1177" s="124" t="s">
        <v>51</v>
      </c>
      <c r="W1177" s="124" t="s">
        <v>51</v>
      </c>
      <c r="X1177" s="124" t="s">
        <v>52</v>
      </c>
      <c r="Y1177" s="124" t="s">
        <v>946</v>
      </c>
      <c r="Z1177" s="124"/>
      <c r="AA1177" s="124" t="s">
        <v>757</v>
      </c>
      <c r="AB1177" s="91"/>
      <c r="AC1177" s="91"/>
      <c r="AD1177" s="91"/>
      <c r="AE1177" s="91"/>
      <c r="AF1177" s="91"/>
      <c r="AG1177" s="91"/>
      <c r="AH1177" s="91"/>
    </row>
    <row r="1178" spans="1:34" ht="120">
      <c r="A1178" s="120">
        <v>1177</v>
      </c>
      <c r="B1178" s="120" t="b">
        <f t="shared" ca="1" si="18"/>
        <v>0</v>
      </c>
      <c r="C1178" s="121">
        <v>45763</v>
      </c>
      <c r="D1178" s="137">
        <v>0.75266203703703705</v>
      </c>
      <c r="E1178" s="94">
        <v>1042</v>
      </c>
      <c r="F1178" s="91">
        <v>1204</v>
      </c>
      <c r="G1178" s="94" t="s">
        <v>71</v>
      </c>
      <c r="H1178" s="94">
        <v>1035</v>
      </c>
      <c r="I1178" s="115">
        <v>35214500046011</v>
      </c>
      <c r="J1178" s="94" t="s">
        <v>72</v>
      </c>
      <c r="K1178" s="152">
        <v>7.3209999999999997</v>
      </c>
      <c r="L1178" s="122" t="str">
        <f>VLOOKUP(K1178,Liste!$L$2:$O$34,4,1)</f>
        <v>GSMR_02/03</v>
      </c>
      <c r="M1178" s="133" t="s">
        <v>36</v>
      </c>
      <c r="N1178" s="124" t="s">
        <v>37</v>
      </c>
      <c r="O1178" s="117" t="s">
        <v>2536</v>
      </c>
      <c r="P1178" s="117" t="s">
        <v>2253</v>
      </c>
      <c r="Q1178" s="118" t="s">
        <v>531</v>
      </c>
      <c r="R1178" s="94" t="s">
        <v>1032</v>
      </c>
      <c r="S1178" s="124" t="s">
        <v>2537</v>
      </c>
      <c r="T1178" s="124" t="s">
        <v>56</v>
      </c>
      <c r="U1178" s="124" t="s">
        <v>1481</v>
      </c>
      <c r="V1178" s="124" t="s">
        <v>51</v>
      </c>
      <c r="W1178" s="124" t="s">
        <v>51</v>
      </c>
      <c r="X1178" s="124" t="s">
        <v>52</v>
      </c>
      <c r="Y1178" s="124" t="s">
        <v>946</v>
      </c>
      <c r="Z1178" s="124"/>
      <c r="AA1178" s="124" t="s">
        <v>754</v>
      </c>
      <c r="AB1178" s="91"/>
      <c r="AC1178" s="91"/>
      <c r="AD1178" s="91"/>
      <c r="AE1178" s="91"/>
      <c r="AF1178" s="91"/>
      <c r="AG1178" s="91"/>
      <c r="AH1178" s="91"/>
    </row>
    <row r="1179" spans="1:34" ht="120">
      <c r="A1179" s="120">
        <v>1178</v>
      </c>
      <c r="B1179" s="120" t="b">
        <f t="shared" ca="1" si="18"/>
        <v>0</v>
      </c>
      <c r="C1179" s="121">
        <v>45763</v>
      </c>
      <c r="D1179" s="137">
        <v>0.87834490740740745</v>
      </c>
      <c r="E1179" s="94">
        <v>2061</v>
      </c>
      <c r="F1179" s="91">
        <v>1211</v>
      </c>
      <c r="G1179" s="94" t="s">
        <v>34</v>
      </c>
      <c r="H1179" s="94">
        <v>7194</v>
      </c>
      <c r="I1179" s="115">
        <v>604070051706194</v>
      </c>
      <c r="J1179" s="94" t="s">
        <v>35</v>
      </c>
      <c r="K1179" s="152">
        <v>7.13</v>
      </c>
      <c r="L1179" s="122" t="str">
        <f>VLOOKUP(K1179,Liste!$L$2:$O$34,4,1)</f>
        <v>GSMR_02/03</v>
      </c>
      <c r="M1179" s="133" t="s">
        <v>36</v>
      </c>
      <c r="N1179" s="181" t="s">
        <v>58</v>
      </c>
      <c r="O1179" s="117" t="s">
        <v>2533</v>
      </c>
      <c r="P1179" s="117" t="s">
        <v>2253</v>
      </c>
      <c r="Q1179" s="118" t="s">
        <v>531</v>
      </c>
      <c r="R1179" s="94" t="s">
        <v>1032</v>
      </c>
      <c r="S1179" s="124" t="s">
        <v>1255</v>
      </c>
      <c r="T1179" s="124" t="s">
        <v>56</v>
      </c>
      <c r="U1179" s="124" t="s">
        <v>1460</v>
      </c>
      <c r="V1179" s="124" t="s">
        <v>51</v>
      </c>
      <c r="W1179" s="124" t="s">
        <v>51</v>
      </c>
      <c r="X1179" s="124" t="s">
        <v>52</v>
      </c>
      <c r="Y1179" s="124" t="s">
        <v>946</v>
      </c>
      <c r="Z1179" s="124"/>
      <c r="AA1179" s="124" t="s">
        <v>745</v>
      </c>
      <c r="AB1179" s="91"/>
      <c r="AC1179" s="91"/>
      <c r="AD1179" s="91"/>
      <c r="AE1179" s="91"/>
      <c r="AF1179" s="91"/>
      <c r="AG1179" s="91"/>
      <c r="AH1179" s="91"/>
    </row>
    <row r="1180" spans="1:34" ht="105">
      <c r="A1180" s="120">
        <v>1179</v>
      </c>
      <c r="B1180" s="120" t="b">
        <f t="shared" ca="1" si="18"/>
        <v>0</v>
      </c>
      <c r="C1180" s="121">
        <v>45765</v>
      </c>
      <c r="D1180" s="137">
        <v>0.77462962962962967</v>
      </c>
      <c r="E1180" s="94">
        <v>2049</v>
      </c>
      <c r="F1180" s="91">
        <v>1208</v>
      </c>
      <c r="G1180" s="94" t="s">
        <v>34</v>
      </c>
      <c r="H1180" s="94">
        <v>1037</v>
      </c>
      <c r="I1180" s="115">
        <v>35214500045488</v>
      </c>
      <c r="J1180" s="94" t="s">
        <v>35</v>
      </c>
      <c r="K1180" s="91">
        <v>145.6</v>
      </c>
      <c r="L1180" s="122" t="str">
        <f>VLOOKUP(K1180,Liste!$L$2:$O$34,4,1)</f>
        <v>GSMR_25/26</v>
      </c>
      <c r="M1180" s="133" t="s">
        <v>36</v>
      </c>
      <c r="N1180" s="124" t="s">
        <v>37</v>
      </c>
      <c r="O1180" s="117" t="s">
        <v>2538</v>
      </c>
      <c r="P1180" s="117" t="s">
        <v>2482</v>
      </c>
      <c r="Q1180" s="118" t="s">
        <v>105</v>
      </c>
      <c r="R1180" s="94" t="s">
        <v>2539</v>
      </c>
      <c r="S1180" s="124" t="s">
        <v>1676</v>
      </c>
      <c r="T1180" s="124" t="s">
        <v>78</v>
      </c>
      <c r="U1180" s="124" t="s">
        <v>1745</v>
      </c>
      <c r="V1180" s="124" t="s">
        <v>51</v>
      </c>
      <c r="W1180" s="124" t="s">
        <v>51</v>
      </c>
      <c r="X1180" s="124" t="s">
        <v>52</v>
      </c>
      <c r="Y1180" s="124" t="s">
        <v>950</v>
      </c>
      <c r="Z1180" s="91"/>
      <c r="AA1180" s="124" t="s">
        <v>772</v>
      </c>
      <c r="AB1180" s="91"/>
      <c r="AC1180" s="91"/>
      <c r="AD1180" s="91"/>
      <c r="AE1180" s="91"/>
      <c r="AF1180" s="91"/>
      <c r="AG1180" s="91"/>
      <c r="AH1180" s="91"/>
    </row>
    <row r="1181" spans="1:34" ht="120">
      <c r="A1181" s="120">
        <v>1180</v>
      </c>
      <c r="B1181" s="120" t="b">
        <f t="shared" ca="1" si="18"/>
        <v>0</v>
      </c>
      <c r="C1181" s="121">
        <v>45765</v>
      </c>
      <c r="D1181" s="137">
        <v>0.7952893518518519</v>
      </c>
      <c r="E1181" s="94">
        <v>2053</v>
      </c>
      <c r="F1181" s="91">
        <v>1205</v>
      </c>
      <c r="G1181" s="94" t="s">
        <v>34</v>
      </c>
      <c r="H1181" s="94">
        <v>5735</v>
      </c>
      <c r="I1181" s="115">
        <v>35214500045735</v>
      </c>
      <c r="J1181" s="94" t="s">
        <v>35</v>
      </c>
      <c r="K1181" s="152">
        <v>6.13</v>
      </c>
      <c r="L1181" s="122" t="str">
        <f>VLOOKUP(K1181,Liste!$L$2:$O$34,4,1)</f>
        <v>GSMR_02/03</v>
      </c>
      <c r="M1181" s="133" t="s">
        <v>36</v>
      </c>
      <c r="N1181" s="124" t="s">
        <v>37</v>
      </c>
      <c r="O1181" s="117" t="s">
        <v>2533</v>
      </c>
      <c r="P1181" s="117" t="s">
        <v>2253</v>
      </c>
      <c r="Q1181" s="118" t="s">
        <v>531</v>
      </c>
      <c r="R1181" s="94" t="s">
        <v>1032</v>
      </c>
      <c r="S1181" s="124" t="s">
        <v>2523</v>
      </c>
      <c r="T1181" s="124" t="s">
        <v>93</v>
      </c>
      <c r="U1181" s="124" t="s">
        <v>1520</v>
      </c>
      <c r="V1181" s="124" t="s">
        <v>43</v>
      </c>
      <c r="W1181" s="124" t="s">
        <v>51</v>
      </c>
      <c r="X1181" s="124" t="s">
        <v>52</v>
      </c>
      <c r="Y1181" s="124" t="s">
        <v>950</v>
      </c>
      <c r="Z1181" s="91"/>
      <c r="AA1181" s="124" t="s">
        <v>772</v>
      </c>
      <c r="AB1181" s="91"/>
      <c r="AC1181" s="91"/>
      <c r="AD1181" s="91"/>
      <c r="AE1181" s="91"/>
      <c r="AF1181" s="91"/>
      <c r="AG1181" s="91"/>
      <c r="AH1181" s="91"/>
    </row>
    <row r="1182" spans="1:34" ht="120">
      <c r="A1182" s="120">
        <v>1181</v>
      </c>
      <c r="B1182" s="120" t="b">
        <f t="shared" ca="1" si="18"/>
        <v>0</v>
      </c>
      <c r="C1182" s="121">
        <v>45767</v>
      </c>
      <c r="D1182" s="137">
        <v>0.7533333333333333</v>
      </c>
      <c r="E1182" s="94">
        <v>2049</v>
      </c>
      <c r="F1182" s="91">
        <v>1210</v>
      </c>
      <c r="G1182" s="94" t="s">
        <v>34</v>
      </c>
      <c r="H1182" s="94">
        <v>1051</v>
      </c>
      <c r="I1182" s="115">
        <v>35214500045495</v>
      </c>
      <c r="J1182" s="94" t="s">
        <v>35</v>
      </c>
      <c r="K1182" s="152">
        <v>6.13</v>
      </c>
      <c r="L1182" s="122" t="str">
        <f>VLOOKUP(K1182,Liste!$L$2:$O$34,4,1)</f>
        <v>GSMR_02/03</v>
      </c>
      <c r="M1182" s="133" t="s">
        <v>36</v>
      </c>
      <c r="N1182" s="124" t="s">
        <v>37</v>
      </c>
      <c r="O1182" s="117" t="s">
        <v>2533</v>
      </c>
      <c r="P1182" s="117" t="s">
        <v>2253</v>
      </c>
      <c r="Q1182" s="118" t="s">
        <v>531</v>
      </c>
      <c r="R1182" s="94" t="s">
        <v>1032</v>
      </c>
      <c r="S1182" s="124" t="s">
        <v>1255</v>
      </c>
      <c r="T1182" s="124" t="s">
        <v>56</v>
      </c>
      <c r="U1182" s="124" t="s">
        <v>1688</v>
      </c>
      <c r="V1182" s="124" t="s">
        <v>43</v>
      </c>
      <c r="W1182" s="124" t="s">
        <v>51</v>
      </c>
      <c r="X1182" s="124" t="s">
        <v>52</v>
      </c>
      <c r="Y1182" s="124" t="s">
        <v>950</v>
      </c>
      <c r="Z1182" s="91"/>
      <c r="AA1182" s="124" t="s">
        <v>772</v>
      </c>
      <c r="AB1182" s="91"/>
      <c r="AC1182" s="91"/>
      <c r="AD1182" s="91"/>
      <c r="AE1182" s="91"/>
      <c r="AF1182" s="91"/>
      <c r="AG1182" s="91"/>
      <c r="AH1182" s="91"/>
    </row>
    <row r="1183" spans="1:34" ht="120">
      <c r="A1183" s="120">
        <v>1182</v>
      </c>
      <c r="B1183" s="120" t="b">
        <f t="shared" ca="1" si="18"/>
        <v>0</v>
      </c>
      <c r="C1183" s="121">
        <v>45768</v>
      </c>
      <c r="D1183" s="137">
        <v>0.87854166666666667</v>
      </c>
      <c r="E1183" s="94">
        <v>2061</v>
      </c>
      <c r="F1183" s="91">
        <v>1210</v>
      </c>
      <c r="G1183" s="94" t="s">
        <v>34</v>
      </c>
      <c r="H1183" s="94">
        <v>1050</v>
      </c>
      <c r="I1183" s="115">
        <v>35214500045357</v>
      </c>
      <c r="J1183" s="94" t="s">
        <v>35</v>
      </c>
      <c r="K1183" s="152">
        <v>6.13</v>
      </c>
      <c r="L1183" s="122" t="str">
        <f>VLOOKUP(K1183,Liste!$L$2:$O$34,4,1)</f>
        <v>GSMR_02/03</v>
      </c>
      <c r="M1183" s="133" t="s">
        <v>36</v>
      </c>
      <c r="N1183" s="124" t="s">
        <v>37</v>
      </c>
      <c r="O1183" s="117" t="s">
        <v>2533</v>
      </c>
      <c r="P1183" s="117" t="s">
        <v>2253</v>
      </c>
      <c r="Q1183" s="118" t="s">
        <v>531</v>
      </c>
      <c r="R1183" s="94" t="s">
        <v>1032</v>
      </c>
      <c r="S1183" s="124" t="s">
        <v>2211</v>
      </c>
      <c r="T1183" s="124" t="s">
        <v>101</v>
      </c>
      <c r="U1183" s="124" t="s">
        <v>1481</v>
      </c>
      <c r="V1183" s="124" t="s">
        <v>51</v>
      </c>
      <c r="W1183" s="124" t="s">
        <v>51</v>
      </c>
      <c r="X1183" s="124" t="s">
        <v>52</v>
      </c>
      <c r="Y1183" s="124" t="s">
        <v>946</v>
      </c>
      <c r="Z1183" s="91"/>
      <c r="AA1183" s="124" t="s">
        <v>778</v>
      </c>
      <c r="AB1183" s="91"/>
      <c r="AC1183" s="91"/>
      <c r="AD1183" s="91"/>
      <c r="AE1183" s="91"/>
      <c r="AF1183" s="91"/>
      <c r="AG1183" s="91"/>
      <c r="AH1183" s="91"/>
    </row>
    <row r="1184" spans="1:34" ht="120">
      <c r="A1184" s="120">
        <v>1183</v>
      </c>
      <c r="B1184" s="120" t="b">
        <f t="shared" ca="1" si="18"/>
        <v>0</v>
      </c>
      <c r="C1184" s="121">
        <v>45769</v>
      </c>
      <c r="D1184" s="137">
        <v>0.46186342592592594</v>
      </c>
      <c r="E1184" s="94">
        <v>2021</v>
      </c>
      <c r="F1184" s="91">
        <v>1211</v>
      </c>
      <c r="G1184" s="94" t="s">
        <v>34</v>
      </c>
      <c r="H1184" s="94">
        <v>7195</v>
      </c>
      <c r="I1184" s="115">
        <v>35214500045671</v>
      </c>
      <c r="J1184" s="94" t="s">
        <v>35</v>
      </c>
      <c r="K1184" s="152">
        <v>6.13</v>
      </c>
      <c r="L1184" s="122" t="str">
        <f>VLOOKUP(K1184,Liste!$L$2:$O$34,4,1)</f>
        <v>GSMR_02/03</v>
      </c>
      <c r="M1184" s="133" t="s">
        <v>36</v>
      </c>
      <c r="N1184" s="181" t="s">
        <v>58</v>
      </c>
      <c r="O1184" s="117" t="s">
        <v>2536</v>
      </c>
      <c r="P1184" s="117" t="s">
        <v>2253</v>
      </c>
      <c r="Q1184" s="118" t="s">
        <v>531</v>
      </c>
      <c r="R1184" s="94" t="s">
        <v>1032</v>
      </c>
      <c r="S1184" s="124" t="s">
        <v>2537</v>
      </c>
      <c r="T1184" s="124" t="s">
        <v>56</v>
      </c>
      <c r="U1184" s="124" t="s">
        <v>1541</v>
      </c>
      <c r="V1184" s="124" t="s">
        <v>51</v>
      </c>
      <c r="W1184" s="124" t="s">
        <v>51</v>
      </c>
      <c r="X1184" s="124" t="s">
        <v>52</v>
      </c>
      <c r="Y1184" s="124" t="s">
        <v>946</v>
      </c>
      <c r="Z1184" s="91"/>
      <c r="AA1184" s="124" t="s">
        <v>745</v>
      </c>
      <c r="AB1184" s="91"/>
      <c r="AC1184" s="91"/>
      <c r="AD1184" s="91"/>
      <c r="AE1184" s="91"/>
      <c r="AF1184" s="91"/>
      <c r="AG1184" s="91"/>
      <c r="AH1184" s="91"/>
    </row>
    <row r="1185" spans="1:34" ht="105">
      <c r="A1185" s="120">
        <v>1184</v>
      </c>
      <c r="B1185" s="120" t="b">
        <f t="shared" ca="1" si="18"/>
        <v>0</v>
      </c>
      <c r="C1185" s="121">
        <v>45769</v>
      </c>
      <c r="D1185" s="137">
        <v>0.51755787037037038</v>
      </c>
      <c r="E1185" s="94">
        <v>2025</v>
      </c>
      <c r="F1185" s="91">
        <v>1209</v>
      </c>
      <c r="G1185" s="94" t="s">
        <v>34</v>
      </c>
      <c r="H1185" s="94">
        <v>7208</v>
      </c>
      <c r="I1185" s="115">
        <v>35214500004427</v>
      </c>
      <c r="J1185" s="94" t="s">
        <v>35</v>
      </c>
      <c r="K1185" s="91">
        <v>93.757999999999996</v>
      </c>
      <c r="L1185" s="122" t="str">
        <f>VLOOKUP(K1185,Liste!$L$2:$O$34,4,1)</f>
        <v>GSMR_17/18</v>
      </c>
      <c r="M1185" s="133" t="s">
        <v>36</v>
      </c>
      <c r="N1185" s="124" t="s">
        <v>37</v>
      </c>
      <c r="O1185" s="117" t="s">
        <v>2540</v>
      </c>
      <c r="P1185" s="117" t="s">
        <v>2482</v>
      </c>
      <c r="Q1185" s="124" t="s">
        <v>105</v>
      </c>
      <c r="R1185" s="94" t="s">
        <v>2539</v>
      </c>
      <c r="S1185" s="124" t="s">
        <v>2541</v>
      </c>
      <c r="T1185" s="124" t="s">
        <v>116</v>
      </c>
      <c r="U1185" s="124" t="s">
        <v>1546</v>
      </c>
      <c r="V1185" s="124" t="s">
        <v>43</v>
      </c>
      <c r="W1185" s="124" t="s">
        <v>51</v>
      </c>
      <c r="X1185" s="124" t="s">
        <v>52</v>
      </c>
      <c r="Y1185" s="124" t="s">
        <v>946</v>
      </c>
      <c r="Z1185" s="91"/>
      <c r="AA1185" s="124" t="s">
        <v>754</v>
      </c>
      <c r="AB1185" s="91"/>
      <c r="AC1185" s="91"/>
      <c r="AD1185" s="91"/>
      <c r="AE1185" s="91"/>
      <c r="AF1185" s="91"/>
      <c r="AG1185" s="91"/>
      <c r="AH1185" s="91"/>
    </row>
    <row r="1186" spans="1:34" ht="180">
      <c r="A1186" s="120">
        <v>1185</v>
      </c>
      <c r="B1186" s="120" t="b">
        <f t="shared" ca="1" si="18"/>
        <v>0</v>
      </c>
      <c r="C1186" s="121">
        <v>45769</v>
      </c>
      <c r="D1186" s="137">
        <v>0.76928240740740739</v>
      </c>
      <c r="E1186" s="94">
        <v>2049</v>
      </c>
      <c r="F1186" s="91">
        <v>1209</v>
      </c>
      <c r="G1186" s="94" t="s">
        <v>34</v>
      </c>
      <c r="H1186" s="94">
        <v>7208</v>
      </c>
      <c r="I1186" s="115">
        <v>35214500004427</v>
      </c>
      <c r="J1186" s="94" t="s">
        <v>35</v>
      </c>
      <c r="K1186" s="91">
        <v>109.495</v>
      </c>
      <c r="L1186" s="122" t="str">
        <f>VLOOKUP(K1186,Liste!$L$2:$O$34,4,1)</f>
        <v>GSMR_19/20</v>
      </c>
      <c r="M1186" s="133" t="s">
        <v>36</v>
      </c>
      <c r="N1186" s="124" t="s">
        <v>37</v>
      </c>
      <c r="O1186" s="117" t="s">
        <v>2451</v>
      </c>
      <c r="P1186" s="117" t="s">
        <v>2542</v>
      </c>
      <c r="Q1186" s="118" t="s">
        <v>47</v>
      </c>
      <c r="R1186" s="94" t="s">
        <v>2532</v>
      </c>
      <c r="S1186" s="124" t="s">
        <v>2543</v>
      </c>
      <c r="T1186" s="124" t="s">
        <v>56</v>
      </c>
      <c r="U1186" s="124" t="s">
        <v>1520</v>
      </c>
      <c r="V1186" s="124" t="s">
        <v>43</v>
      </c>
      <c r="W1186" s="124" t="s">
        <v>51</v>
      </c>
      <c r="X1186" s="124" t="s">
        <v>52</v>
      </c>
      <c r="Y1186" s="124" t="s">
        <v>946</v>
      </c>
      <c r="Z1186" s="91"/>
      <c r="AA1186" s="124" t="s">
        <v>793</v>
      </c>
      <c r="AB1186" s="91"/>
      <c r="AC1186" s="91"/>
      <c r="AD1186" s="91"/>
      <c r="AE1186" s="91"/>
      <c r="AF1186" s="91"/>
      <c r="AG1186" s="91"/>
      <c r="AH1186" s="91"/>
    </row>
    <row r="1187" spans="1:34" ht="60">
      <c r="A1187" s="120">
        <v>1186</v>
      </c>
      <c r="B1187" s="120" t="b">
        <f t="shared" ca="1" si="18"/>
        <v>0</v>
      </c>
      <c r="C1187" s="121">
        <v>45770</v>
      </c>
      <c r="D1187" s="137">
        <v>0.86356481481481484</v>
      </c>
      <c r="E1187" s="94">
        <v>1053</v>
      </c>
      <c r="F1187" s="91">
        <v>1206</v>
      </c>
      <c r="G1187" s="94" t="s">
        <v>71</v>
      </c>
      <c r="H1187" s="94">
        <v>1040</v>
      </c>
      <c r="I1187" s="115">
        <v>35214500045480</v>
      </c>
      <c r="J1187" s="94" t="s">
        <v>72</v>
      </c>
      <c r="K1187" s="91">
        <v>127.815</v>
      </c>
      <c r="L1187" s="122" t="str">
        <f>VLOOKUP(K1187,Liste!$L$2:$O$34,4,1)</f>
        <v>GSMR_22/23</v>
      </c>
      <c r="M1187" s="133" t="s">
        <v>36</v>
      </c>
      <c r="N1187" s="124" t="s">
        <v>37</v>
      </c>
      <c r="O1187" s="117" t="s">
        <v>2484</v>
      </c>
      <c r="P1187" s="117" t="s">
        <v>2425</v>
      </c>
      <c r="Q1187" s="118" t="s">
        <v>54</v>
      </c>
      <c r="R1187" s="94" t="s">
        <v>2544</v>
      </c>
      <c r="S1187" s="124" t="s">
        <v>2545</v>
      </c>
      <c r="T1187" s="124" t="s">
        <v>93</v>
      </c>
      <c r="U1187" s="124" t="s">
        <v>1745</v>
      </c>
      <c r="V1187" s="124" t="s">
        <v>51</v>
      </c>
      <c r="W1187" s="124" t="s">
        <v>51</v>
      </c>
      <c r="X1187" s="124" t="s">
        <v>52</v>
      </c>
      <c r="Y1187" s="124" t="s">
        <v>946</v>
      </c>
      <c r="Z1187" s="91"/>
      <c r="AA1187" s="124" t="s">
        <v>778</v>
      </c>
      <c r="AB1187" s="91"/>
      <c r="AC1187" s="91"/>
      <c r="AD1187" s="91"/>
      <c r="AE1187" s="91"/>
      <c r="AF1187" s="91"/>
      <c r="AG1187" s="91"/>
      <c r="AH1187" s="91"/>
    </row>
    <row r="1188" spans="1:34" ht="120">
      <c r="A1188" s="120">
        <v>1187</v>
      </c>
      <c r="B1188" s="120" t="b">
        <f t="shared" ca="1" si="18"/>
        <v>0</v>
      </c>
      <c r="C1188" s="121">
        <v>45771</v>
      </c>
      <c r="D1188" s="137">
        <v>0.62856481481481485</v>
      </c>
      <c r="E1188" s="94">
        <v>2037</v>
      </c>
      <c r="F1188" s="91">
        <v>1208</v>
      </c>
      <c r="G1188" s="94" t="s">
        <v>34</v>
      </c>
      <c r="H1188" s="94">
        <v>1037</v>
      </c>
      <c r="I1188" s="115">
        <v>35214500045488</v>
      </c>
      <c r="J1188" s="94" t="s">
        <v>35</v>
      </c>
      <c r="K1188" s="152">
        <v>6.13</v>
      </c>
      <c r="L1188" s="122" t="str">
        <f>VLOOKUP(K1188,Liste!$L$2:$O$34,4,1)</f>
        <v>GSMR_02/03</v>
      </c>
      <c r="M1188" s="133" t="s">
        <v>36</v>
      </c>
      <c r="N1188" s="181" t="s">
        <v>58</v>
      </c>
      <c r="O1188" s="117" t="s">
        <v>2536</v>
      </c>
      <c r="P1188" s="117" t="s">
        <v>2253</v>
      </c>
      <c r="Q1188" s="118" t="s">
        <v>531</v>
      </c>
      <c r="R1188" s="94" t="s">
        <v>1032</v>
      </c>
      <c r="S1188" s="124" t="s">
        <v>1258</v>
      </c>
      <c r="T1188" s="124" t="s">
        <v>116</v>
      </c>
      <c r="U1188" s="124" t="s">
        <v>1549</v>
      </c>
      <c r="V1188" s="124" t="s">
        <v>51</v>
      </c>
      <c r="W1188" s="124" t="s">
        <v>51</v>
      </c>
      <c r="X1188" s="124" t="s">
        <v>52</v>
      </c>
      <c r="Y1188" s="124" t="s">
        <v>946</v>
      </c>
      <c r="Z1188" s="91"/>
      <c r="AA1188" s="124" t="s">
        <v>1342</v>
      </c>
      <c r="AB1188" s="91"/>
      <c r="AC1188" s="91"/>
      <c r="AD1188" s="91"/>
      <c r="AE1188" s="91"/>
      <c r="AF1188" s="91"/>
      <c r="AG1188" s="91"/>
      <c r="AH1188" s="91"/>
    </row>
    <row r="1189" spans="1:34" ht="120">
      <c r="A1189" s="120">
        <v>1188</v>
      </c>
      <c r="B1189" s="120" t="b">
        <f t="shared" ca="1" si="18"/>
        <v>0</v>
      </c>
      <c r="C1189" s="121">
        <v>45772</v>
      </c>
      <c r="D1189" s="137">
        <v>0.44103009259259257</v>
      </c>
      <c r="E1189" s="94">
        <v>2017</v>
      </c>
      <c r="F1189" s="91">
        <v>1208</v>
      </c>
      <c r="G1189" s="94" t="s">
        <v>34</v>
      </c>
      <c r="H1189" s="94">
        <v>1037</v>
      </c>
      <c r="I1189" s="115">
        <v>35214500045461</v>
      </c>
      <c r="J1189" s="94" t="s">
        <v>35</v>
      </c>
      <c r="K1189" s="91">
        <v>144.32599999999999</v>
      </c>
      <c r="L1189" s="122" t="str">
        <f>VLOOKUP(K1189,Liste!$L$2:$O$34,4,1)</f>
        <v>GSMR_25/26</v>
      </c>
      <c r="M1189" s="133" t="s">
        <v>36</v>
      </c>
      <c r="N1189" s="181" t="s">
        <v>58</v>
      </c>
      <c r="O1189" s="193" t="s">
        <v>2538</v>
      </c>
      <c r="P1189" s="117" t="s">
        <v>2253</v>
      </c>
      <c r="Q1189" s="118" t="s">
        <v>105</v>
      </c>
      <c r="R1189" s="94" t="s">
        <v>1072</v>
      </c>
      <c r="S1189" s="124" t="s">
        <v>1566</v>
      </c>
      <c r="T1189" s="124" t="s">
        <v>69</v>
      </c>
      <c r="U1189" s="124" t="s">
        <v>1595</v>
      </c>
      <c r="V1189" s="124" t="s">
        <v>51</v>
      </c>
      <c r="W1189" s="124" t="s">
        <v>51</v>
      </c>
      <c r="X1189" s="124" t="s">
        <v>52</v>
      </c>
      <c r="Y1189" s="124" t="s">
        <v>2546</v>
      </c>
      <c r="Z1189" s="91"/>
      <c r="AA1189" s="124" t="s">
        <v>1342</v>
      </c>
      <c r="AB1189" s="91"/>
      <c r="AC1189" s="91"/>
      <c r="AD1189" s="91"/>
      <c r="AE1189" s="91"/>
      <c r="AF1189" s="91"/>
      <c r="AG1189" s="91"/>
      <c r="AH1189" s="91"/>
    </row>
    <row r="1190" spans="1:34" ht="120">
      <c r="A1190" s="120">
        <v>1189</v>
      </c>
      <c r="B1190" s="120" t="b">
        <f t="shared" ca="1" si="18"/>
        <v>0</v>
      </c>
      <c r="C1190" s="121">
        <v>45772</v>
      </c>
      <c r="D1190" s="137">
        <v>0.79518518518518522</v>
      </c>
      <c r="E1190" s="94">
        <v>2053</v>
      </c>
      <c r="F1190" s="91">
        <v>1202</v>
      </c>
      <c r="G1190" s="94" t="s">
        <v>34</v>
      </c>
      <c r="H1190" s="94">
        <v>1042</v>
      </c>
      <c r="I1190" s="115">
        <v>35214500045424</v>
      </c>
      <c r="J1190" s="94" t="s">
        <v>35</v>
      </c>
      <c r="K1190" s="152">
        <v>6.13</v>
      </c>
      <c r="L1190" s="122" t="str">
        <f>VLOOKUP(K1190,Liste!$L$2:$O$34,4,1)</f>
        <v>GSMR_02/03</v>
      </c>
      <c r="M1190" s="133" t="s">
        <v>36</v>
      </c>
      <c r="N1190" s="181" t="s">
        <v>58</v>
      </c>
      <c r="O1190" s="117" t="s">
        <v>2547</v>
      </c>
      <c r="P1190" s="117" t="s">
        <v>2253</v>
      </c>
      <c r="Q1190" s="118" t="s">
        <v>531</v>
      </c>
      <c r="R1190" s="184" t="s">
        <v>2548</v>
      </c>
      <c r="S1190" s="124" t="s">
        <v>1856</v>
      </c>
      <c r="T1190" s="124" t="s">
        <v>56</v>
      </c>
      <c r="U1190" s="124" t="s">
        <v>1460</v>
      </c>
      <c r="V1190" s="124" t="s">
        <v>43</v>
      </c>
      <c r="W1190" s="124" t="s">
        <v>51</v>
      </c>
      <c r="X1190" s="124" t="s">
        <v>52</v>
      </c>
      <c r="Y1190" s="124" t="s">
        <v>946</v>
      </c>
      <c r="Z1190" s="91"/>
      <c r="AA1190" s="124" t="s">
        <v>793</v>
      </c>
      <c r="AB1190" s="91"/>
      <c r="AC1190" s="91"/>
      <c r="AD1190" s="91"/>
      <c r="AE1190" s="91"/>
      <c r="AF1190" s="91"/>
      <c r="AG1190" s="91"/>
      <c r="AH1190" s="91"/>
    </row>
    <row r="1191" spans="1:34" ht="120">
      <c r="A1191" s="120">
        <v>1190</v>
      </c>
      <c r="B1191" s="120" t="b">
        <f t="shared" ca="1" si="18"/>
        <v>0</v>
      </c>
      <c r="C1191" s="121">
        <v>45772</v>
      </c>
      <c r="D1191" s="137">
        <v>0.87848379629629625</v>
      </c>
      <c r="E1191" s="94">
        <v>2061</v>
      </c>
      <c r="F1191" s="91">
        <v>1205</v>
      </c>
      <c r="G1191" s="94" t="s">
        <v>34</v>
      </c>
      <c r="H1191" s="94">
        <v>7218</v>
      </c>
      <c r="I1191" s="115">
        <v>35214500045735</v>
      </c>
      <c r="J1191" s="94" t="s">
        <v>35</v>
      </c>
      <c r="K1191" s="152">
        <v>6.13</v>
      </c>
      <c r="L1191" s="122" t="str">
        <f>VLOOKUP(K1191,Liste!$L$2:$O$34,4,1)</f>
        <v>GSMR_02/03</v>
      </c>
      <c r="M1191" s="133" t="s">
        <v>36</v>
      </c>
      <c r="N1191" s="124" t="s">
        <v>37</v>
      </c>
      <c r="O1191" s="117" t="s">
        <v>2549</v>
      </c>
      <c r="P1191" s="117" t="s">
        <v>2253</v>
      </c>
      <c r="Q1191" s="118" t="s">
        <v>531</v>
      </c>
      <c r="R1191" s="184" t="s">
        <v>2548</v>
      </c>
      <c r="S1191" s="124" t="s">
        <v>1467</v>
      </c>
      <c r="T1191" s="124" t="s">
        <v>56</v>
      </c>
      <c r="U1191" s="124" t="s">
        <v>1595</v>
      </c>
      <c r="V1191" s="124" t="s">
        <v>51</v>
      </c>
      <c r="W1191" s="124" t="s">
        <v>51</v>
      </c>
      <c r="X1191" s="124" t="s">
        <v>52</v>
      </c>
      <c r="Y1191" s="124" t="s">
        <v>946</v>
      </c>
      <c r="Z1191" s="91"/>
      <c r="AA1191" s="124" t="s">
        <v>754</v>
      </c>
      <c r="AB1191" s="91"/>
      <c r="AC1191" s="91"/>
      <c r="AD1191" s="91"/>
      <c r="AE1191" s="91"/>
      <c r="AF1191" s="91"/>
      <c r="AG1191" s="91"/>
      <c r="AH1191" s="91"/>
    </row>
    <row r="1192" spans="1:34" ht="120">
      <c r="A1192" s="120">
        <v>1191</v>
      </c>
      <c r="B1192" s="120" t="b">
        <f t="shared" ca="1" si="18"/>
        <v>0</v>
      </c>
      <c r="C1192" s="121">
        <v>45772</v>
      </c>
      <c r="D1192" s="137">
        <v>0.9193634259259259</v>
      </c>
      <c r="E1192" s="94">
        <v>1057</v>
      </c>
      <c r="F1192" s="91">
        <v>1206</v>
      </c>
      <c r="G1192" s="94" t="s">
        <v>71</v>
      </c>
      <c r="H1192" s="94">
        <v>1040</v>
      </c>
      <c r="I1192" s="115">
        <v>35214500045480</v>
      </c>
      <c r="J1192" s="94" t="s">
        <v>72</v>
      </c>
      <c r="K1192" s="152">
        <v>6.13</v>
      </c>
      <c r="L1192" s="122" t="str">
        <f>VLOOKUP(K1192,Liste!$L$2:$O$34,4,1)</f>
        <v>GSMR_02/03</v>
      </c>
      <c r="M1192" s="133" t="s">
        <v>36</v>
      </c>
      <c r="N1192" s="124" t="s">
        <v>37</v>
      </c>
      <c r="O1192" s="117" t="s">
        <v>2550</v>
      </c>
      <c r="P1192" s="117" t="s">
        <v>2253</v>
      </c>
      <c r="Q1192" s="118" t="s">
        <v>531</v>
      </c>
      <c r="R1192" s="184" t="s">
        <v>2548</v>
      </c>
      <c r="S1192" s="124" t="s">
        <v>1467</v>
      </c>
      <c r="T1192" s="124" t="s">
        <v>56</v>
      </c>
      <c r="U1192" s="124" t="s">
        <v>1460</v>
      </c>
      <c r="V1192" s="124" t="s">
        <v>43</v>
      </c>
      <c r="W1192" s="124" t="s">
        <v>51</v>
      </c>
      <c r="X1192" s="124" t="s">
        <v>52</v>
      </c>
      <c r="Y1192" s="124" t="s">
        <v>2551</v>
      </c>
      <c r="Z1192" s="91"/>
      <c r="AA1192" s="124" t="s">
        <v>754</v>
      </c>
      <c r="AB1192" s="91"/>
      <c r="AC1192" s="91"/>
      <c r="AD1192" s="91"/>
      <c r="AE1192" s="91"/>
      <c r="AF1192" s="91"/>
      <c r="AG1192" s="91"/>
      <c r="AH1192" s="91"/>
    </row>
    <row r="1193" spans="1:34" ht="120">
      <c r="A1193" s="120">
        <v>1192</v>
      </c>
      <c r="B1193" s="120" t="b">
        <f t="shared" ca="1" si="18"/>
        <v>0</v>
      </c>
      <c r="C1193" s="121">
        <v>45773</v>
      </c>
      <c r="D1193" s="137">
        <v>0.87863425925925931</v>
      </c>
      <c r="E1193" s="94">
        <v>2061</v>
      </c>
      <c r="F1193" s="91">
        <v>1210</v>
      </c>
      <c r="G1193" s="94" t="s">
        <v>34</v>
      </c>
      <c r="H1193" s="94">
        <v>1051</v>
      </c>
      <c r="I1193" s="115">
        <v>35214500045357</v>
      </c>
      <c r="J1193" s="94" t="s">
        <v>35</v>
      </c>
      <c r="K1193" s="152">
        <v>6.13</v>
      </c>
      <c r="L1193" s="122" t="str">
        <f>VLOOKUP(K1193,Liste!$L$2:$O$34,4,1)</f>
        <v>GSMR_02/03</v>
      </c>
      <c r="M1193" s="133" t="s">
        <v>36</v>
      </c>
      <c r="N1193" s="181" t="s">
        <v>58</v>
      </c>
      <c r="O1193" s="117" t="s">
        <v>2549</v>
      </c>
      <c r="P1193" s="117" t="s">
        <v>2253</v>
      </c>
      <c r="Q1193" s="118" t="s">
        <v>531</v>
      </c>
      <c r="R1193" s="184" t="s">
        <v>2548</v>
      </c>
      <c r="S1193" s="124" t="s">
        <v>1467</v>
      </c>
      <c r="T1193" s="124" t="s">
        <v>56</v>
      </c>
      <c r="U1193" s="124" t="s">
        <v>1526</v>
      </c>
      <c r="V1193" s="124" t="s">
        <v>51</v>
      </c>
      <c r="W1193" s="124" t="s">
        <v>51</v>
      </c>
      <c r="X1193" s="124" t="s">
        <v>52</v>
      </c>
      <c r="Y1193" s="124" t="s">
        <v>946</v>
      </c>
      <c r="Z1193" s="91"/>
      <c r="AA1193" s="124" t="s">
        <v>757</v>
      </c>
      <c r="AB1193" s="91"/>
      <c r="AC1193" s="91"/>
      <c r="AD1193" s="91"/>
      <c r="AE1193" s="91"/>
      <c r="AF1193" s="91"/>
      <c r="AG1193" s="91"/>
      <c r="AH1193" s="91"/>
    </row>
    <row r="1194" spans="1:34" ht="60">
      <c r="A1194" s="120">
        <v>1193</v>
      </c>
      <c r="B1194" s="120" t="b">
        <f t="shared" ca="1" si="18"/>
        <v>0</v>
      </c>
      <c r="C1194" s="121">
        <v>45774</v>
      </c>
      <c r="D1194" s="137">
        <v>0.90219907407407407</v>
      </c>
      <c r="E1194" s="94">
        <v>1057</v>
      </c>
      <c r="F1194" s="91">
        <v>1201</v>
      </c>
      <c r="G1194" s="94" t="s">
        <v>71</v>
      </c>
      <c r="H1194" s="94">
        <v>1028</v>
      </c>
      <c r="I1194" s="115">
        <v>35214500045268</v>
      </c>
      <c r="J1194" s="94" t="s">
        <v>72</v>
      </c>
      <c r="K1194" s="91">
        <v>127.815</v>
      </c>
      <c r="L1194" s="122" t="str">
        <f>VLOOKUP(K1194,Liste!$L$2:$O$34,4,1)</f>
        <v>GSMR_22/23</v>
      </c>
      <c r="M1194" s="133" t="s">
        <v>36</v>
      </c>
      <c r="N1194" s="124" t="s">
        <v>37</v>
      </c>
      <c r="O1194" s="117" t="s">
        <v>2552</v>
      </c>
      <c r="P1194" s="117" t="s">
        <v>2425</v>
      </c>
      <c r="Q1194" s="118" t="s">
        <v>54</v>
      </c>
      <c r="R1194" s="184" t="s">
        <v>2553</v>
      </c>
      <c r="S1194" s="124" t="s">
        <v>2554</v>
      </c>
      <c r="T1194" s="124" t="s">
        <v>93</v>
      </c>
      <c r="U1194" s="124" t="s">
        <v>1782</v>
      </c>
      <c r="V1194" s="124" t="s">
        <v>51</v>
      </c>
      <c r="W1194" s="124" t="s">
        <v>51</v>
      </c>
      <c r="X1194" s="124" t="s">
        <v>52</v>
      </c>
      <c r="Y1194" s="124" t="s">
        <v>946</v>
      </c>
      <c r="Z1194" s="91"/>
      <c r="AA1194" s="124" t="s">
        <v>754</v>
      </c>
      <c r="AB1194" s="91"/>
      <c r="AC1194" s="91"/>
      <c r="AD1194" s="91"/>
      <c r="AE1194" s="91"/>
      <c r="AF1194" s="91"/>
      <c r="AG1194" s="91"/>
      <c r="AH1194" s="91"/>
    </row>
    <row r="1195" spans="1:34" ht="60">
      <c r="A1195" s="120">
        <v>1194</v>
      </c>
      <c r="B1195" s="120" t="b">
        <f t="shared" ca="1" si="18"/>
        <v>0</v>
      </c>
      <c r="C1195" s="121">
        <v>45775</v>
      </c>
      <c r="D1195" s="137">
        <v>0.95179398148148153</v>
      </c>
      <c r="E1195" s="94">
        <v>1061</v>
      </c>
      <c r="F1195" s="91">
        <v>1211</v>
      </c>
      <c r="G1195" s="94" t="s">
        <v>71</v>
      </c>
      <c r="H1195" s="94">
        <v>3063</v>
      </c>
      <c r="I1195" s="115">
        <v>35214500046055</v>
      </c>
      <c r="J1195" s="94" t="s">
        <v>72</v>
      </c>
      <c r="K1195" s="91">
        <v>68.956000000000003</v>
      </c>
      <c r="L1195" s="122" t="str">
        <f>VLOOKUP(K1195,Liste!$L$2:$O$34,4,1)</f>
        <v>GSMR_12/13</v>
      </c>
      <c r="M1195" s="133" t="s">
        <v>36</v>
      </c>
      <c r="N1195" s="124" t="s">
        <v>37</v>
      </c>
      <c r="O1195" s="117" t="s">
        <v>2555</v>
      </c>
      <c r="P1195" s="117" t="s">
        <v>2556</v>
      </c>
      <c r="Q1195" s="118" t="s">
        <v>531</v>
      </c>
      <c r="R1195" s="184" t="s">
        <v>2548</v>
      </c>
      <c r="S1195" s="124" t="s">
        <v>2557</v>
      </c>
      <c r="T1195" s="124" t="s">
        <v>41</v>
      </c>
      <c r="U1195" s="124" t="s">
        <v>1693</v>
      </c>
      <c r="V1195" s="124" t="s">
        <v>51</v>
      </c>
      <c r="W1195" s="124" t="s">
        <v>51</v>
      </c>
      <c r="X1195" s="124" t="s">
        <v>52</v>
      </c>
      <c r="Y1195" s="124" t="s">
        <v>1372</v>
      </c>
      <c r="Z1195" s="91"/>
      <c r="AA1195" s="124" t="s">
        <v>754</v>
      </c>
      <c r="AB1195" s="91"/>
      <c r="AC1195" s="91"/>
      <c r="AD1195" s="91"/>
      <c r="AE1195" s="91"/>
      <c r="AF1195" s="91"/>
      <c r="AG1195" s="91"/>
      <c r="AH1195" s="91"/>
    </row>
    <row r="1196" spans="1:34" ht="120">
      <c r="A1196" s="120">
        <v>1195</v>
      </c>
      <c r="B1196" s="120" t="b">
        <f t="shared" ca="1" si="18"/>
        <v>0</v>
      </c>
      <c r="C1196" s="121">
        <v>45775</v>
      </c>
      <c r="D1196" s="137">
        <v>0.96159722222222221</v>
      </c>
      <c r="E1196" s="94">
        <v>1061</v>
      </c>
      <c r="F1196" s="91">
        <v>1211</v>
      </c>
      <c r="G1196" s="94" t="s">
        <v>71</v>
      </c>
      <c r="H1196" s="94">
        <v>3062</v>
      </c>
      <c r="I1196" s="115">
        <v>35214500017596</v>
      </c>
      <c r="J1196" s="94" t="s">
        <v>72</v>
      </c>
      <c r="K1196" s="152">
        <v>7.3209999999999997</v>
      </c>
      <c r="L1196" s="122" t="str">
        <f>VLOOKUP(K1196,Liste!$L$2:$O$34,4,1)</f>
        <v>GSMR_02/03</v>
      </c>
      <c r="M1196" s="133" t="s">
        <v>36</v>
      </c>
      <c r="N1196" s="124" t="s">
        <v>37</v>
      </c>
      <c r="O1196" s="117" t="s">
        <v>2558</v>
      </c>
      <c r="P1196" s="117" t="s">
        <v>2253</v>
      </c>
      <c r="Q1196" s="118" t="s">
        <v>531</v>
      </c>
      <c r="R1196" s="184" t="s">
        <v>2548</v>
      </c>
      <c r="S1196" s="124" t="s">
        <v>1360</v>
      </c>
      <c r="T1196" s="124" t="s">
        <v>56</v>
      </c>
      <c r="U1196" s="124" t="s">
        <v>1538</v>
      </c>
      <c r="V1196" s="124" t="s">
        <v>51</v>
      </c>
      <c r="W1196" s="124" t="s">
        <v>51</v>
      </c>
      <c r="X1196" s="124" t="s">
        <v>52</v>
      </c>
      <c r="Y1196" s="124" t="s">
        <v>946</v>
      </c>
      <c r="Z1196" s="91"/>
      <c r="AA1196" s="124" t="s">
        <v>754</v>
      </c>
      <c r="AB1196" s="91"/>
      <c r="AC1196" s="91"/>
      <c r="AD1196" s="91"/>
      <c r="AE1196" s="91"/>
      <c r="AF1196" s="91"/>
      <c r="AG1196" s="91"/>
      <c r="AH1196" s="91"/>
    </row>
    <row r="1197" spans="1:34" ht="120">
      <c r="A1197" s="120">
        <v>1196</v>
      </c>
      <c r="B1197" s="120" t="b">
        <f t="shared" ca="1" si="18"/>
        <v>0</v>
      </c>
      <c r="C1197" s="121">
        <v>45776</v>
      </c>
      <c r="D1197" s="185" t="s">
        <v>2559</v>
      </c>
      <c r="E1197" s="94">
        <v>1045</v>
      </c>
      <c r="F1197" s="91">
        <v>1201</v>
      </c>
      <c r="G1197" s="94" t="s">
        <v>71</v>
      </c>
      <c r="H1197" s="94">
        <v>1028</v>
      </c>
      <c r="I1197" s="115">
        <v>35214500045268</v>
      </c>
      <c r="J1197" s="94" t="s">
        <v>72</v>
      </c>
      <c r="K1197" s="152">
        <v>8.3209999999999997</v>
      </c>
      <c r="L1197" s="122" t="str">
        <f>VLOOKUP(K1197,Liste!$L$2:$O$34,4,1)</f>
        <v>GSMR_02/03</v>
      </c>
      <c r="M1197" s="133" t="s">
        <v>36</v>
      </c>
      <c r="N1197" s="124" t="s">
        <v>37</v>
      </c>
      <c r="O1197" s="117" t="s">
        <v>2558</v>
      </c>
      <c r="P1197" s="117" t="s">
        <v>2253</v>
      </c>
      <c r="Q1197" s="118" t="s">
        <v>531</v>
      </c>
      <c r="R1197" s="184" t="s">
        <v>2548</v>
      </c>
      <c r="S1197" s="124" t="s">
        <v>1360</v>
      </c>
      <c r="T1197" s="124" t="s">
        <v>93</v>
      </c>
      <c r="U1197" s="124" t="s">
        <v>1493</v>
      </c>
      <c r="V1197" s="124" t="s">
        <v>51</v>
      </c>
      <c r="W1197" s="124" t="s">
        <v>51</v>
      </c>
      <c r="X1197" s="124" t="s">
        <v>52</v>
      </c>
      <c r="Y1197" s="124" t="s">
        <v>946</v>
      </c>
      <c r="Z1197" s="91"/>
      <c r="AA1197" s="124" t="s">
        <v>810</v>
      </c>
      <c r="AB1197" s="91"/>
      <c r="AC1197" s="91"/>
      <c r="AD1197" s="91"/>
      <c r="AE1197" s="91"/>
      <c r="AF1197" s="91"/>
      <c r="AG1197" s="91"/>
      <c r="AH1197" s="91"/>
    </row>
    <row r="1198" spans="1:34" ht="120">
      <c r="A1198" s="120">
        <v>1197</v>
      </c>
      <c r="B1198" s="120" t="b">
        <f t="shared" ca="1" si="18"/>
        <v>0</v>
      </c>
      <c r="C1198" s="121">
        <v>45776</v>
      </c>
      <c r="D1198" s="185" t="s">
        <v>2560</v>
      </c>
      <c r="E1198" s="94">
        <v>1050</v>
      </c>
      <c r="F1198" s="91">
        <v>1202</v>
      </c>
      <c r="G1198" s="94" t="s">
        <v>71</v>
      </c>
      <c r="H1198" s="94">
        <v>1031</v>
      </c>
      <c r="I1198" s="115">
        <v>35214500045491</v>
      </c>
      <c r="J1198" s="94" t="s">
        <v>72</v>
      </c>
      <c r="K1198" s="152">
        <v>7.3209999999999997</v>
      </c>
      <c r="L1198" s="122" t="str">
        <f>VLOOKUP(K1198,Liste!$L$2:$O$34,4,1)</f>
        <v>GSMR_02/03</v>
      </c>
      <c r="M1198" s="133" t="s">
        <v>36</v>
      </c>
      <c r="N1198" s="124" t="s">
        <v>37</v>
      </c>
      <c r="O1198" s="117" t="s">
        <v>2558</v>
      </c>
      <c r="P1198" s="117" t="s">
        <v>2253</v>
      </c>
      <c r="Q1198" s="118" t="s">
        <v>531</v>
      </c>
      <c r="R1198" s="184" t="s">
        <v>2548</v>
      </c>
      <c r="S1198" s="124" t="s">
        <v>1467</v>
      </c>
      <c r="T1198" s="124" t="s">
        <v>116</v>
      </c>
      <c r="U1198" s="124" t="s">
        <v>1570</v>
      </c>
      <c r="V1198" s="124" t="s">
        <v>43</v>
      </c>
      <c r="W1198" s="124" t="s">
        <v>51</v>
      </c>
      <c r="X1198" s="124" t="s">
        <v>52</v>
      </c>
      <c r="Y1198" s="124" t="s">
        <v>1372</v>
      </c>
      <c r="Z1198" s="91"/>
      <c r="AA1198" s="124" t="s">
        <v>772</v>
      </c>
      <c r="AB1198" s="91"/>
      <c r="AC1198" s="91"/>
      <c r="AD1198" s="91"/>
      <c r="AE1198" s="91"/>
      <c r="AF1198" s="91"/>
      <c r="AG1198" s="91"/>
      <c r="AH1198" s="91"/>
    </row>
    <row r="1199" spans="1:34" ht="120">
      <c r="A1199" s="120">
        <v>1198</v>
      </c>
      <c r="B1199" s="120" t="b">
        <f t="shared" ca="1" si="18"/>
        <v>0</v>
      </c>
      <c r="C1199" s="121">
        <v>45777</v>
      </c>
      <c r="D1199" s="185" t="s">
        <v>2561</v>
      </c>
      <c r="E1199" s="94">
        <v>2037</v>
      </c>
      <c r="F1199" s="91">
        <v>1208</v>
      </c>
      <c r="G1199" s="94" t="s">
        <v>34</v>
      </c>
      <c r="H1199" s="94">
        <v>1037</v>
      </c>
      <c r="I1199" s="115">
        <v>35214500045488</v>
      </c>
      <c r="J1199" s="94" t="s">
        <v>35</v>
      </c>
      <c r="K1199" s="152">
        <v>6.13</v>
      </c>
      <c r="L1199" s="122" t="str">
        <f>VLOOKUP(K1199,Liste!$L$2:$O$34,4,1)</f>
        <v>GSMR_02/03</v>
      </c>
      <c r="M1199" s="133" t="s">
        <v>36</v>
      </c>
      <c r="N1199" s="124" t="s">
        <v>37</v>
      </c>
      <c r="O1199" s="117" t="s">
        <v>2558</v>
      </c>
      <c r="P1199" s="117" t="s">
        <v>2253</v>
      </c>
      <c r="Q1199" s="118" t="s">
        <v>531</v>
      </c>
      <c r="R1199" s="184" t="s">
        <v>2548</v>
      </c>
      <c r="S1199" s="124" t="s">
        <v>2562</v>
      </c>
      <c r="T1199" s="124" t="s">
        <v>56</v>
      </c>
      <c r="U1199" s="124" t="s">
        <v>1541</v>
      </c>
      <c r="V1199" s="124" t="s">
        <v>51</v>
      </c>
      <c r="W1199" s="124" t="s">
        <v>51</v>
      </c>
      <c r="X1199" s="124" t="s">
        <v>52</v>
      </c>
      <c r="Y1199" s="124" t="s">
        <v>946</v>
      </c>
      <c r="Z1199" s="91"/>
      <c r="AA1199" s="124" t="s">
        <v>810</v>
      </c>
      <c r="AB1199" s="91"/>
      <c r="AC1199" s="91"/>
      <c r="AD1199" s="91"/>
      <c r="AE1199" s="91"/>
      <c r="AF1199" s="91"/>
      <c r="AG1199" s="91"/>
      <c r="AH1199" s="91"/>
    </row>
    <row r="1200" spans="1:34" ht="120">
      <c r="A1200" s="120">
        <v>1199</v>
      </c>
      <c r="B1200" s="120" t="b">
        <f t="shared" ca="1" si="18"/>
        <v>0</v>
      </c>
      <c r="C1200" s="121">
        <v>45778</v>
      </c>
      <c r="D1200" s="185" t="s">
        <v>2563</v>
      </c>
      <c r="E1200" s="94">
        <v>1045</v>
      </c>
      <c r="F1200" s="91">
        <v>1203</v>
      </c>
      <c r="G1200" s="94" t="s">
        <v>71</v>
      </c>
      <c r="H1200" s="94">
        <v>1027</v>
      </c>
      <c r="I1200" s="115">
        <v>35214500045083</v>
      </c>
      <c r="J1200" s="94" t="s">
        <v>72</v>
      </c>
      <c r="K1200" s="152">
        <v>7.3209999999999997</v>
      </c>
      <c r="L1200" s="122" t="str">
        <f>VLOOKUP(K1200,Liste!$L$2:$O$34,4,1)</f>
        <v>GSMR_02/03</v>
      </c>
      <c r="M1200" s="133" t="s">
        <v>36</v>
      </c>
      <c r="N1200" s="124" t="s">
        <v>37</v>
      </c>
      <c r="O1200" s="117" t="s">
        <v>2564</v>
      </c>
      <c r="P1200" s="117" t="s">
        <v>2253</v>
      </c>
      <c r="Q1200" s="118" t="s">
        <v>531</v>
      </c>
      <c r="R1200" s="184" t="s">
        <v>2548</v>
      </c>
      <c r="S1200" s="124" t="s">
        <v>2211</v>
      </c>
      <c r="T1200" s="124" t="s">
        <v>56</v>
      </c>
      <c r="U1200" s="124" t="s">
        <v>1897</v>
      </c>
      <c r="V1200" s="124" t="s">
        <v>51</v>
      </c>
      <c r="W1200" s="124" t="s">
        <v>51</v>
      </c>
      <c r="X1200" s="124" t="s">
        <v>52</v>
      </c>
      <c r="Y1200" s="124" t="s">
        <v>946</v>
      </c>
      <c r="Z1200" s="91"/>
      <c r="AA1200" s="124" t="s">
        <v>778</v>
      </c>
      <c r="AB1200" s="91"/>
      <c r="AC1200" s="91"/>
      <c r="AD1200" s="91"/>
      <c r="AE1200" s="91"/>
      <c r="AF1200" s="91"/>
      <c r="AG1200" s="91"/>
      <c r="AH1200" s="91"/>
    </row>
    <row r="1201" spans="1:34" ht="120">
      <c r="A1201" s="120">
        <v>1200</v>
      </c>
      <c r="B1201" s="120" t="b">
        <f t="shared" ca="1" si="18"/>
        <v>0</v>
      </c>
      <c r="C1201" s="121">
        <v>45778</v>
      </c>
      <c r="D1201" s="185" t="s">
        <v>2565</v>
      </c>
      <c r="E1201" s="94">
        <v>2061</v>
      </c>
      <c r="F1201" s="91">
        <v>1205</v>
      </c>
      <c r="G1201" s="94" t="s">
        <v>34</v>
      </c>
      <c r="H1201" s="94">
        <v>7217</v>
      </c>
      <c r="I1201" s="115">
        <v>35214500044557</v>
      </c>
      <c r="J1201" s="94" t="s">
        <v>72</v>
      </c>
      <c r="K1201" s="152">
        <v>6.13</v>
      </c>
      <c r="L1201" s="122" t="str">
        <f>VLOOKUP(K1201,Liste!$L$2:$O$34,4,1)</f>
        <v>GSMR_02/03</v>
      </c>
      <c r="M1201" s="133" t="s">
        <v>36</v>
      </c>
      <c r="N1201" s="124" t="s">
        <v>37</v>
      </c>
      <c r="O1201" s="117" t="s">
        <v>2564</v>
      </c>
      <c r="P1201" s="117" t="s">
        <v>2253</v>
      </c>
      <c r="Q1201" s="118" t="s">
        <v>531</v>
      </c>
      <c r="R1201" s="184" t="s">
        <v>2548</v>
      </c>
      <c r="S1201" s="124" t="s">
        <v>2566</v>
      </c>
      <c r="T1201" s="124" t="s">
        <v>209</v>
      </c>
      <c r="U1201" s="124" t="s">
        <v>1468</v>
      </c>
      <c r="V1201" s="124" t="s">
        <v>43</v>
      </c>
      <c r="W1201" s="124" t="s">
        <v>51</v>
      </c>
      <c r="X1201" s="124" t="s">
        <v>52</v>
      </c>
      <c r="Y1201" s="124" t="s">
        <v>1372</v>
      </c>
      <c r="Z1201" s="91"/>
      <c r="AA1201" s="124" t="s">
        <v>772</v>
      </c>
      <c r="AB1201" s="91"/>
      <c r="AC1201" s="91"/>
      <c r="AD1201" s="91"/>
      <c r="AE1201" s="91"/>
      <c r="AF1201" s="91"/>
      <c r="AG1201" s="91"/>
      <c r="AH1201" s="91"/>
    </row>
    <row r="1202" spans="1:34" ht="120">
      <c r="A1202" s="120">
        <v>1201</v>
      </c>
      <c r="B1202" s="120" t="b">
        <f t="shared" ca="1" si="18"/>
        <v>0</v>
      </c>
      <c r="C1202" s="121">
        <v>45779</v>
      </c>
      <c r="D1202" s="137">
        <v>0.54523148148148148</v>
      </c>
      <c r="E1202" s="94">
        <v>1021</v>
      </c>
      <c r="F1202" s="91">
        <v>1203</v>
      </c>
      <c r="G1202" s="94" t="s">
        <v>71</v>
      </c>
      <c r="H1202" s="94">
        <v>1027</v>
      </c>
      <c r="I1202" s="115">
        <v>35214500045083</v>
      </c>
      <c r="J1202" s="94" t="s">
        <v>72</v>
      </c>
      <c r="K1202" s="152">
        <v>7.3209999999999997</v>
      </c>
      <c r="L1202" s="122" t="str">
        <f>VLOOKUP(K1202,Liste!$L$2:$O$34,4,1)</f>
        <v>GSMR_02/03</v>
      </c>
      <c r="M1202" s="133" t="s">
        <v>36</v>
      </c>
      <c r="N1202" s="181" t="s">
        <v>58</v>
      </c>
      <c r="O1202" s="117" t="s">
        <v>2567</v>
      </c>
      <c r="P1202" s="117" t="s">
        <v>2253</v>
      </c>
      <c r="Q1202" s="118" t="s">
        <v>531</v>
      </c>
      <c r="R1202" s="184" t="s">
        <v>2548</v>
      </c>
      <c r="S1202" s="124" t="s">
        <v>2568</v>
      </c>
      <c r="T1202" s="124" t="s">
        <v>56</v>
      </c>
      <c r="U1202" s="124" t="s">
        <v>1463</v>
      </c>
      <c r="V1202" s="124" t="s">
        <v>51</v>
      </c>
      <c r="W1202" s="124" t="s">
        <v>51</v>
      </c>
      <c r="X1202" s="124" t="s">
        <v>52</v>
      </c>
      <c r="Y1202" s="124" t="s">
        <v>2569</v>
      </c>
      <c r="Z1202" s="91"/>
      <c r="AA1202" s="124" t="s">
        <v>754</v>
      </c>
      <c r="AB1202" s="91"/>
      <c r="AC1202" s="91"/>
      <c r="AD1202" s="91"/>
      <c r="AE1202" s="91"/>
      <c r="AF1202" s="91"/>
      <c r="AG1202" s="91"/>
      <c r="AH1202" s="91"/>
    </row>
    <row r="1203" spans="1:34" ht="180">
      <c r="A1203" s="120">
        <v>1202</v>
      </c>
      <c r="B1203" s="120" t="b">
        <f t="shared" ca="1" si="18"/>
        <v>0</v>
      </c>
      <c r="C1203" s="121">
        <v>45779</v>
      </c>
      <c r="D1203" s="137">
        <v>0.90531249999999996</v>
      </c>
      <c r="E1203" s="94">
        <v>1057</v>
      </c>
      <c r="F1203" s="91">
        <v>1201</v>
      </c>
      <c r="G1203" s="94" t="s">
        <v>34</v>
      </c>
      <c r="H1203" s="94">
        <v>1029</v>
      </c>
      <c r="I1203" s="115">
        <v>35214500045268</v>
      </c>
      <c r="J1203" s="94" t="s">
        <v>35</v>
      </c>
      <c r="K1203" s="91">
        <v>109.495</v>
      </c>
      <c r="L1203" s="122" t="str">
        <f>VLOOKUP(K1203,Liste!$L$2:$O$34,4,1)</f>
        <v>GSMR_19/20</v>
      </c>
      <c r="M1203" s="133" t="s">
        <v>36</v>
      </c>
      <c r="N1203" s="181" t="s">
        <v>58</v>
      </c>
      <c r="O1203" s="117"/>
      <c r="P1203" s="117" t="s">
        <v>2542</v>
      </c>
      <c r="Q1203" s="118" t="s">
        <v>54</v>
      </c>
      <c r="R1203" s="184" t="s">
        <v>2548</v>
      </c>
      <c r="S1203" s="124" t="s">
        <v>2570</v>
      </c>
      <c r="T1203" s="124" t="s">
        <v>69</v>
      </c>
      <c r="U1203" s="124" t="s">
        <v>1897</v>
      </c>
      <c r="V1203" s="124" t="s">
        <v>51</v>
      </c>
      <c r="W1203" s="124" t="s">
        <v>51</v>
      </c>
      <c r="X1203" s="124" t="s">
        <v>52</v>
      </c>
      <c r="Y1203" s="124" t="s">
        <v>2569</v>
      </c>
      <c r="Z1203" s="91"/>
      <c r="AA1203" s="124" t="s">
        <v>1342</v>
      </c>
      <c r="AB1203" s="91"/>
      <c r="AC1203" s="91"/>
      <c r="AD1203" s="91"/>
      <c r="AE1203" s="91"/>
      <c r="AF1203" s="91"/>
      <c r="AG1203" s="91"/>
      <c r="AH1203" s="91"/>
    </row>
    <row r="1204" spans="1:34" ht="120">
      <c r="A1204" s="120">
        <v>1203</v>
      </c>
      <c r="B1204" s="120" t="b">
        <f t="shared" ca="1" si="18"/>
        <v>0</v>
      </c>
      <c r="C1204" s="121">
        <v>45781</v>
      </c>
      <c r="D1204" s="137">
        <v>0.6284143518518519</v>
      </c>
      <c r="E1204" s="94">
        <v>2037</v>
      </c>
      <c r="F1204" s="91">
        <v>1205</v>
      </c>
      <c r="G1204" s="94" t="s">
        <v>34</v>
      </c>
      <c r="H1204" s="94">
        <v>7218</v>
      </c>
      <c r="I1204" s="115">
        <v>35214500045735</v>
      </c>
      <c r="J1204" s="94" t="s">
        <v>35</v>
      </c>
      <c r="K1204" s="152">
        <v>6.13</v>
      </c>
      <c r="L1204" s="122" t="str">
        <f>VLOOKUP(K1204,Liste!$L$2:$O$34,4,1)</f>
        <v>GSMR_02/03</v>
      </c>
      <c r="M1204" s="133" t="s">
        <v>36</v>
      </c>
      <c r="N1204" s="124" t="s">
        <v>37</v>
      </c>
      <c r="O1204" s="117" t="s">
        <v>2571</v>
      </c>
      <c r="P1204" s="117" t="s">
        <v>2253</v>
      </c>
      <c r="Q1204" s="118" t="s">
        <v>531</v>
      </c>
      <c r="R1204" s="184" t="s">
        <v>2548</v>
      </c>
      <c r="S1204" s="124" t="s">
        <v>1809</v>
      </c>
      <c r="T1204" s="124" t="s">
        <v>56</v>
      </c>
      <c r="U1204" s="124" t="s">
        <v>1498</v>
      </c>
      <c r="V1204" s="124" t="s">
        <v>51</v>
      </c>
      <c r="W1204" s="124" t="s">
        <v>51</v>
      </c>
      <c r="X1204" s="124" t="s">
        <v>52</v>
      </c>
      <c r="Y1204" s="124" t="s">
        <v>2569</v>
      </c>
      <c r="Z1204" s="91"/>
      <c r="AA1204" s="124" t="s">
        <v>754</v>
      </c>
      <c r="AB1204" s="91"/>
      <c r="AC1204" s="91"/>
      <c r="AD1204" s="91"/>
      <c r="AE1204" s="91"/>
      <c r="AF1204" s="91"/>
      <c r="AG1204" s="91"/>
      <c r="AH1204" s="91"/>
    </row>
    <row r="1205" spans="1:34" ht="120">
      <c r="A1205" s="120">
        <v>1204</v>
      </c>
      <c r="B1205" s="120" t="b">
        <f t="shared" ca="1" si="18"/>
        <v>0</v>
      </c>
      <c r="C1205" s="121">
        <v>45781</v>
      </c>
      <c r="D1205" s="137">
        <v>0.92145833333333338</v>
      </c>
      <c r="E1205" s="94">
        <v>1058</v>
      </c>
      <c r="F1205" s="91">
        <v>1204</v>
      </c>
      <c r="G1205" s="94" t="s">
        <v>71</v>
      </c>
      <c r="H1205" s="94">
        <v>1035</v>
      </c>
      <c r="I1205" s="115">
        <v>35214500046011</v>
      </c>
      <c r="J1205" s="94" t="s">
        <v>72</v>
      </c>
      <c r="K1205" s="152">
        <v>7.3209999999999997</v>
      </c>
      <c r="L1205" s="122" t="str">
        <f>VLOOKUP(K1205,Liste!$L$2:$O$34,4,1)</f>
        <v>GSMR_02/03</v>
      </c>
      <c r="M1205" s="133" t="s">
        <v>36</v>
      </c>
      <c r="N1205" s="124" t="s">
        <v>37</v>
      </c>
      <c r="O1205" s="117" t="s">
        <v>2572</v>
      </c>
      <c r="P1205" s="117" t="s">
        <v>2253</v>
      </c>
      <c r="Q1205" s="118" t="s">
        <v>531</v>
      </c>
      <c r="R1205" s="184" t="s">
        <v>2548</v>
      </c>
      <c r="S1205" s="124" t="s">
        <v>2568</v>
      </c>
      <c r="T1205" s="124" t="s">
        <v>56</v>
      </c>
      <c r="U1205" s="124" t="s">
        <v>1541</v>
      </c>
      <c r="V1205" s="124" t="s">
        <v>51</v>
      </c>
      <c r="W1205" s="124" t="s">
        <v>51</v>
      </c>
      <c r="X1205" s="124" t="s">
        <v>52</v>
      </c>
      <c r="Y1205" s="124" t="s">
        <v>2569</v>
      </c>
      <c r="Z1205" s="91"/>
      <c r="AA1205" s="124" t="s">
        <v>793</v>
      </c>
      <c r="AB1205" s="91"/>
      <c r="AC1205" s="91"/>
      <c r="AD1205" s="91"/>
      <c r="AE1205" s="91"/>
      <c r="AF1205" s="91"/>
      <c r="AG1205" s="91"/>
      <c r="AH1205" s="91"/>
    </row>
    <row r="1206" spans="1:34" ht="120">
      <c r="A1206" s="120">
        <v>1205</v>
      </c>
      <c r="B1206" s="120" t="b">
        <f t="shared" ca="1" si="18"/>
        <v>0</v>
      </c>
      <c r="C1206" s="121">
        <v>45782</v>
      </c>
      <c r="D1206" s="137">
        <v>0.71171296296296294</v>
      </c>
      <c r="E1206" s="94">
        <v>2045</v>
      </c>
      <c r="F1206" s="91">
        <v>1202</v>
      </c>
      <c r="G1206" s="94" t="s">
        <v>34</v>
      </c>
      <c r="H1206" s="94">
        <v>1043</v>
      </c>
      <c r="I1206" s="115">
        <v>35214500045200</v>
      </c>
      <c r="J1206" s="94" t="s">
        <v>35</v>
      </c>
      <c r="K1206" s="152">
        <v>6.13</v>
      </c>
      <c r="L1206" s="122" t="str">
        <f>VLOOKUP(K1206,Liste!$L$2:$O$34,4,1)</f>
        <v>GSMR_02/03</v>
      </c>
      <c r="M1206" s="133" t="s">
        <v>36</v>
      </c>
      <c r="N1206" s="124" t="s">
        <v>37</v>
      </c>
      <c r="O1206" s="117" t="s">
        <v>2572</v>
      </c>
      <c r="P1206" s="117" t="s">
        <v>2253</v>
      </c>
      <c r="Q1206" s="118" t="s">
        <v>531</v>
      </c>
      <c r="R1206" s="184" t="s">
        <v>2548</v>
      </c>
      <c r="S1206" s="124" t="s">
        <v>2573</v>
      </c>
      <c r="T1206" s="124" t="s">
        <v>56</v>
      </c>
      <c r="U1206" s="124" t="s">
        <v>1541</v>
      </c>
      <c r="V1206" s="124" t="s">
        <v>51</v>
      </c>
      <c r="W1206" s="124" t="s">
        <v>51</v>
      </c>
      <c r="X1206" s="124" t="s">
        <v>52</v>
      </c>
      <c r="Y1206" s="124" t="s">
        <v>2569</v>
      </c>
      <c r="Z1206" s="91"/>
      <c r="AA1206" s="124" t="s">
        <v>778</v>
      </c>
      <c r="AB1206" s="91"/>
      <c r="AC1206" s="91"/>
      <c r="AD1206" s="91"/>
      <c r="AE1206" s="91"/>
      <c r="AF1206" s="91"/>
      <c r="AG1206" s="91"/>
      <c r="AH1206" s="91"/>
    </row>
    <row r="1207" spans="1:34" ht="120">
      <c r="A1207" s="120">
        <v>1206</v>
      </c>
      <c r="B1207" s="120" t="b">
        <f t="shared" ca="1" si="18"/>
        <v>0</v>
      </c>
      <c r="C1207" s="121">
        <v>45782</v>
      </c>
      <c r="D1207" s="137">
        <v>0.75327546296296299</v>
      </c>
      <c r="E1207" s="94">
        <v>1041</v>
      </c>
      <c r="F1207" s="91">
        <v>1203</v>
      </c>
      <c r="G1207" s="94" t="s">
        <v>71</v>
      </c>
      <c r="H1207" s="94">
        <v>1026</v>
      </c>
      <c r="I1207" s="115">
        <v>35214500045329</v>
      </c>
      <c r="J1207" s="94" t="s">
        <v>72</v>
      </c>
      <c r="K1207" s="152">
        <v>7.3209999999999997</v>
      </c>
      <c r="L1207" s="122" t="str">
        <f>VLOOKUP(K1207,Liste!$L$2:$O$34,4,1)</f>
        <v>GSMR_02/03</v>
      </c>
      <c r="M1207" s="133" t="s">
        <v>36</v>
      </c>
      <c r="N1207" s="124" t="s">
        <v>37</v>
      </c>
      <c r="O1207" s="117" t="s">
        <v>2572</v>
      </c>
      <c r="P1207" s="117" t="s">
        <v>2253</v>
      </c>
      <c r="Q1207" s="118" t="s">
        <v>531</v>
      </c>
      <c r="R1207" s="184" t="s">
        <v>2548</v>
      </c>
      <c r="S1207" s="124" t="s">
        <v>2573</v>
      </c>
      <c r="T1207" s="124" t="s">
        <v>56</v>
      </c>
      <c r="U1207" s="124" t="s">
        <v>1446</v>
      </c>
      <c r="V1207" s="124" t="s">
        <v>51</v>
      </c>
      <c r="W1207" s="124" t="s">
        <v>51</v>
      </c>
      <c r="X1207" s="124" t="s">
        <v>52</v>
      </c>
      <c r="Y1207" s="124" t="s">
        <v>2569</v>
      </c>
      <c r="Z1207" s="91"/>
      <c r="AA1207" s="124" t="s">
        <v>778</v>
      </c>
      <c r="AB1207" s="91"/>
      <c r="AC1207" s="91"/>
      <c r="AD1207" s="91"/>
      <c r="AE1207" s="91"/>
      <c r="AF1207" s="91"/>
      <c r="AG1207" s="91"/>
      <c r="AH1207" s="91"/>
    </row>
    <row r="1208" spans="1:34" ht="120">
      <c r="A1208" s="120">
        <v>1207</v>
      </c>
      <c r="B1208" s="120" t="b">
        <f t="shared" ca="1" si="18"/>
        <v>0</v>
      </c>
      <c r="C1208" s="121">
        <v>45782</v>
      </c>
      <c r="D1208" s="137">
        <v>0.79534722222222221</v>
      </c>
      <c r="E1208" s="94">
        <v>1041</v>
      </c>
      <c r="F1208" s="91">
        <v>1203</v>
      </c>
      <c r="G1208" s="94" t="s">
        <v>34</v>
      </c>
      <c r="H1208" s="94">
        <v>1024</v>
      </c>
      <c r="I1208" s="115">
        <v>35214500045122</v>
      </c>
      <c r="J1208" s="94" t="s">
        <v>35</v>
      </c>
      <c r="K1208" s="152">
        <v>6.13</v>
      </c>
      <c r="L1208" s="122" t="str">
        <f>VLOOKUP(K1208,Liste!$L$2:$O$34,4,1)</f>
        <v>GSMR_02/03</v>
      </c>
      <c r="M1208" s="133" t="s">
        <v>36</v>
      </c>
      <c r="N1208" s="124" t="s">
        <v>37</v>
      </c>
      <c r="O1208" s="117" t="s">
        <v>2574</v>
      </c>
      <c r="P1208" s="117" t="s">
        <v>2253</v>
      </c>
      <c r="Q1208" s="118" t="s">
        <v>531</v>
      </c>
      <c r="R1208" s="184" t="s">
        <v>2548</v>
      </c>
      <c r="S1208" s="124" t="s">
        <v>2575</v>
      </c>
      <c r="T1208" s="124" t="s">
        <v>56</v>
      </c>
      <c r="U1208" s="124" t="s">
        <v>1622</v>
      </c>
      <c r="V1208" s="124" t="s">
        <v>51</v>
      </c>
      <c r="W1208" s="124" t="s">
        <v>51</v>
      </c>
      <c r="X1208" s="124" t="s">
        <v>52</v>
      </c>
      <c r="Y1208" s="124" t="s">
        <v>2569</v>
      </c>
      <c r="Z1208" s="91"/>
      <c r="AA1208" s="124" t="s">
        <v>778</v>
      </c>
      <c r="AB1208" s="91"/>
      <c r="AC1208" s="91"/>
      <c r="AD1208" s="91"/>
      <c r="AE1208" s="91"/>
      <c r="AF1208" s="91"/>
      <c r="AG1208" s="91"/>
      <c r="AH1208" s="91"/>
    </row>
    <row r="1209" spans="1:34" ht="60">
      <c r="A1209" s="120">
        <v>1208</v>
      </c>
      <c r="B1209" s="120" t="b">
        <f t="shared" ca="1" si="18"/>
        <v>0</v>
      </c>
      <c r="C1209" s="121">
        <v>45783</v>
      </c>
      <c r="D1209" s="137">
        <v>0.42831018518518521</v>
      </c>
      <c r="E1209" s="94">
        <v>2017</v>
      </c>
      <c r="F1209" s="91">
        <v>1203</v>
      </c>
      <c r="G1209" s="94" t="s">
        <v>34</v>
      </c>
      <c r="H1209" s="94">
        <v>1024</v>
      </c>
      <c r="I1209" s="115">
        <v>35214500045122</v>
      </c>
      <c r="J1209" s="94" t="s">
        <v>35</v>
      </c>
      <c r="K1209" s="91">
        <v>48.426000000000002</v>
      </c>
      <c r="L1209" s="122" t="str">
        <f>VLOOKUP(K1209,Liste!$L$2:$O$34,4,1)</f>
        <v>GSMR_08/09</v>
      </c>
      <c r="M1209" s="133" t="s">
        <v>36</v>
      </c>
      <c r="N1209" s="124" t="s">
        <v>37</v>
      </c>
      <c r="O1209" s="117" t="s">
        <v>2576</v>
      </c>
      <c r="P1209" s="117" t="s">
        <v>2425</v>
      </c>
      <c r="Q1209" s="118" t="s">
        <v>54</v>
      </c>
      <c r="R1209" s="184" t="s">
        <v>2548</v>
      </c>
      <c r="S1209" s="124" t="s">
        <v>2577</v>
      </c>
      <c r="T1209" s="124" t="s">
        <v>41</v>
      </c>
      <c r="U1209" s="124" t="s">
        <v>1903</v>
      </c>
      <c r="V1209" s="124" t="s">
        <v>51</v>
      </c>
      <c r="W1209" s="124" t="s">
        <v>51</v>
      </c>
      <c r="X1209" s="124" t="s">
        <v>52</v>
      </c>
      <c r="Y1209" s="124" t="s">
        <v>1372</v>
      </c>
      <c r="Z1209" s="91"/>
      <c r="AA1209" s="124" t="s">
        <v>754</v>
      </c>
      <c r="AB1209" s="91"/>
      <c r="AC1209" s="91"/>
      <c r="AD1209" s="91"/>
      <c r="AE1209" s="91"/>
      <c r="AF1209" s="91"/>
      <c r="AG1209" s="91"/>
      <c r="AH1209" s="91"/>
    </row>
    <row r="1210" spans="1:34" ht="120">
      <c r="A1210" s="120">
        <v>1209</v>
      </c>
      <c r="B1210" s="120" t="b">
        <f t="shared" ca="1" si="18"/>
        <v>0</v>
      </c>
      <c r="C1210" s="121">
        <v>45784</v>
      </c>
      <c r="D1210" s="137">
        <v>0.75317129629629631</v>
      </c>
      <c r="E1210" s="94">
        <v>1042</v>
      </c>
      <c r="F1210" s="91">
        <v>1203</v>
      </c>
      <c r="G1210" s="94" t="s">
        <v>71</v>
      </c>
      <c r="H1210" s="94">
        <v>1027</v>
      </c>
      <c r="I1210" s="115">
        <v>35214500045329</v>
      </c>
      <c r="J1210" s="94" t="s">
        <v>72</v>
      </c>
      <c r="K1210" s="152">
        <v>7.3209999999999997</v>
      </c>
      <c r="L1210" s="122" t="str">
        <f>VLOOKUP(K1210,Liste!$L$2:$O$34,4,1)</f>
        <v>GSMR_02/03</v>
      </c>
      <c r="M1210" s="133" t="s">
        <v>36</v>
      </c>
      <c r="N1210" s="124" t="s">
        <v>37</v>
      </c>
      <c r="O1210" s="117" t="s">
        <v>2578</v>
      </c>
      <c r="P1210" s="117" t="s">
        <v>2253</v>
      </c>
      <c r="Q1210" s="118" t="s">
        <v>531</v>
      </c>
      <c r="R1210" s="184" t="s">
        <v>2548</v>
      </c>
      <c r="S1210" s="124" t="s">
        <v>2573</v>
      </c>
      <c r="T1210" s="124" t="s">
        <v>56</v>
      </c>
      <c r="U1210" s="124" t="s">
        <v>1541</v>
      </c>
      <c r="V1210" s="124" t="s">
        <v>43</v>
      </c>
      <c r="W1210" s="124" t="s">
        <v>51</v>
      </c>
      <c r="X1210" s="124" t="s">
        <v>52</v>
      </c>
      <c r="Y1210" s="124" t="s">
        <v>1372</v>
      </c>
      <c r="Z1210" s="91"/>
      <c r="AA1210" s="124" t="s">
        <v>772</v>
      </c>
      <c r="AB1210" s="91"/>
      <c r="AC1210" s="91"/>
      <c r="AD1210" s="91"/>
      <c r="AE1210" s="91"/>
      <c r="AF1210" s="91"/>
      <c r="AG1210" s="91"/>
      <c r="AH1210" s="91"/>
    </row>
    <row r="1211" spans="1:34" ht="120">
      <c r="A1211" s="120">
        <v>1210</v>
      </c>
      <c r="B1211" s="120" t="b">
        <f t="shared" ca="1" si="18"/>
        <v>0</v>
      </c>
      <c r="C1211" s="121">
        <v>45784</v>
      </c>
      <c r="D1211" s="137">
        <v>0.79435185185185186</v>
      </c>
      <c r="E1211" s="94">
        <v>1046</v>
      </c>
      <c r="F1211" s="91">
        <v>1204</v>
      </c>
      <c r="G1211" s="94" t="s">
        <v>71</v>
      </c>
      <c r="H1211" s="94">
        <v>1034</v>
      </c>
      <c r="I1211" s="115">
        <v>35214500043605</v>
      </c>
      <c r="J1211" s="94" t="s">
        <v>72</v>
      </c>
      <c r="K1211" s="152">
        <v>7.3209999999999997</v>
      </c>
      <c r="L1211" s="122" t="str">
        <f>VLOOKUP(K1211,Liste!$L$2:$O$34,4,1)</f>
        <v>GSMR_02/03</v>
      </c>
      <c r="M1211" s="133" t="s">
        <v>36</v>
      </c>
      <c r="N1211" s="124" t="s">
        <v>37</v>
      </c>
      <c r="O1211" s="117" t="s">
        <v>2579</v>
      </c>
      <c r="P1211" s="117" t="s">
        <v>2253</v>
      </c>
      <c r="Q1211" s="118" t="s">
        <v>531</v>
      </c>
      <c r="R1211" s="184" t="s">
        <v>2548</v>
      </c>
      <c r="S1211" s="124" t="s">
        <v>2580</v>
      </c>
      <c r="T1211" s="124" t="s">
        <v>41</v>
      </c>
      <c r="U1211" s="124" t="s">
        <v>1718</v>
      </c>
      <c r="V1211" s="124" t="s">
        <v>43</v>
      </c>
      <c r="W1211" s="124" t="s">
        <v>51</v>
      </c>
      <c r="X1211" s="124" t="s">
        <v>52</v>
      </c>
      <c r="Y1211" s="124" t="s">
        <v>2569</v>
      </c>
      <c r="Z1211" s="91"/>
      <c r="AA1211" s="124" t="s">
        <v>772</v>
      </c>
      <c r="AB1211" s="91"/>
      <c r="AC1211" s="91"/>
      <c r="AD1211" s="91"/>
      <c r="AE1211" s="91"/>
      <c r="AF1211" s="91"/>
      <c r="AG1211" s="91"/>
      <c r="AH1211" s="91"/>
    </row>
    <row r="1212" spans="1:34" ht="120">
      <c r="A1212" s="120">
        <v>1211</v>
      </c>
      <c r="B1212" s="120" t="b">
        <f t="shared" ca="1" si="18"/>
        <v>0</v>
      </c>
      <c r="C1212" s="121">
        <v>45784</v>
      </c>
      <c r="D1212" s="137">
        <v>0.96085648148148151</v>
      </c>
      <c r="E1212" s="94">
        <v>1062</v>
      </c>
      <c r="F1212" s="91">
        <v>1206</v>
      </c>
      <c r="G1212" s="94" t="s">
        <v>71</v>
      </c>
      <c r="H1212" s="94">
        <v>1040</v>
      </c>
      <c r="I1212" s="115">
        <v>35214500045480</v>
      </c>
      <c r="J1212" s="94" t="s">
        <v>72</v>
      </c>
      <c r="K1212" s="152">
        <v>7.3209999999999997</v>
      </c>
      <c r="L1212" s="122" t="str">
        <f>VLOOKUP(K1212,Liste!$L$2:$O$34,4,1)</f>
        <v>GSMR_02/03</v>
      </c>
      <c r="M1212" s="133" t="s">
        <v>36</v>
      </c>
      <c r="N1212" s="124" t="s">
        <v>58</v>
      </c>
      <c r="O1212" s="117" t="s">
        <v>2581</v>
      </c>
      <c r="P1212" s="117" t="s">
        <v>2253</v>
      </c>
      <c r="Q1212" s="118" t="s">
        <v>531</v>
      </c>
      <c r="R1212" s="184" t="s">
        <v>2548</v>
      </c>
      <c r="S1212" s="124" t="s">
        <v>2575</v>
      </c>
      <c r="T1212" s="124" t="s">
        <v>56</v>
      </c>
      <c r="U1212" s="124" t="s">
        <v>1622</v>
      </c>
      <c r="V1212" s="124" t="s">
        <v>43</v>
      </c>
      <c r="W1212" s="124" t="s">
        <v>51</v>
      </c>
      <c r="X1212" s="124" t="s">
        <v>52</v>
      </c>
      <c r="Y1212" s="124" t="s">
        <v>2569</v>
      </c>
      <c r="Z1212" s="91"/>
      <c r="AA1212" s="124" t="s">
        <v>793</v>
      </c>
      <c r="AB1212" s="91"/>
      <c r="AC1212" s="91"/>
      <c r="AD1212" s="91"/>
      <c r="AE1212" s="91"/>
      <c r="AF1212" s="91"/>
      <c r="AG1212" s="91"/>
      <c r="AH1212" s="91"/>
    </row>
    <row r="1213" spans="1:34" ht="120">
      <c r="A1213" s="120">
        <v>1212</v>
      </c>
      <c r="B1213" s="120" t="b">
        <f t="shared" ca="1" si="18"/>
        <v>0</v>
      </c>
      <c r="C1213" s="121">
        <v>45785</v>
      </c>
      <c r="D1213" s="137">
        <v>0.58729166666666666</v>
      </c>
      <c r="E1213" s="94">
        <v>2033</v>
      </c>
      <c r="F1213" s="91">
        <v>1202</v>
      </c>
      <c r="G1213" s="94" t="s">
        <v>34</v>
      </c>
      <c r="H1213" s="94">
        <v>1043</v>
      </c>
      <c r="I1213" s="115">
        <v>35214500045200</v>
      </c>
      <c r="J1213" s="94" t="s">
        <v>35</v>
      </c>
      <c r="K1213" s="152">
        <v>6.13</v>
      </c>
      <c r="L1213" s="122" t="str">
        <f>VLOOKUP(K1213,Liste!$L$2:$O$34,4,1)</f>
        <v>GSMR_02/03</v>
      </c>
      <c r="M1213" s="133" t="s">
        <v>36</v>
      </c>
      <c r="N1213" s="124" t="s">
        <v>58</v>
      </c>
      <c r="O1213" s="117" t="s">
        <v>2578</v>
      </c>
      <c r="P1213" s="117" t="s">
        <v>2253</v>
      </c>
      <c r="Q1213" s="118" t="s">
        <v>531</v>
      </c>
      <c r="R1213" s="184" t="s">
        <v>2548</v>
      </c>
      <c r="S1213" s="124" t="s">
        <v>2573</v>
      </c>
      <c r="T1213" s="124" t="s">
        <v>209</v>
      </c>
      <c r="U1213" s="124" t="s">
        <v>1463</v>
      </c>
      <c r="V1213" s="124" t="s">
        <v>51</v>
      </c>
      <c r="W1213" s="124" t="s">
        <v>51</v>
      </c>
      <c r="X1213" s="124" t="s">
        <v>52</v>
      </c>
      <c r="Y1213" s="124" t="s">
        <v>2569</v>
      </c>
      <c r="Z1213" s="91"/>
      <c r="AA1213" s="124" t="s">
        <v>1342</v>
      </c>
      <c r="AB1213" s="91"/>
      <c r="AC1213" s="91"/>
      <c r="AD1213" s="91"/>
      <c r="AE1213" s="91"/>
      <c r="AF1213" s="91"/>
      <c r="AG1213" s="91"/>
      <c r="AH1213" s="91"/>
    </row>
    <row r="1214" spans="1:34" ht="60">
      <c r="A1214" s="120">
        <v>1213</v>
      </c>
      <c r="B1214" s="120" t="b">
        <f t="shared" ca="1" si="18"/>
        <v>0</v>
      </c>
      <c r="C1214" s="121">
        <v>45787</v>
      </c>
      <c r="D1214" s="137">
        <v>0.41619212962962965</v>
      </c>
      <c r="E1214" s="94">
        <v>1009</v>
      </c>
      <c r="F1214" s="91">
        <v>1208</v>
      </c>
      <c r="G1214" s="94" t="s">
        <v>71</v>
      </c>
      <c r="H1214" s="94">
        <v>1045</v>
      </c>
      <c r="I1214" s="115">
        <v>35214500045098</v>
      </c>
      <c r="J1214" s="94" t="s">
        <v>72</v>
      </c>
      <c r="K1214" s="91">
        <v>26.739000000000001</v>
      </c>
      <c r="L1214" s="122" t="str">
        <f>VLOOKUP(K1214,Liste!$L$2:$O$34,4,1)</f>
        <v>GSMR_05/06</v>
      </c>
      <c r="M1214" s="133" t="s">
        <v>36</v>
      </c>
      <c r="N1214" s="124" t="s">
        <v>37</v>
      </c>
      <c r="O1214" s="117" t="s">
        <v>2582</v>
      </c>
      <c r="P1214" s="117" t="s">
        <v>2425</v>
      </c>
      <c r="Q1214" s="118" t="s">
        <v>47</v>
      </c>
      <c r="R1214" s="184" t="s">
        <v>2583</v>
      </c>
      <c r="S1214" s="124" t="s">
        <v>2584</v>
      </c>
      <c r="T1214" s="124" t="s">
        <v>41</v>
      </c>
      <c r="U1214" s="124" t="s">
        <v>2585</v>
      </c>
      <c r="V1214" s="124" t="s">
        <v>43</v>
      </c>
      <c r="W1214" s="124" t="s">
        <v>51</v>
      </c>
      <c r="X1214" s="124" t="s">
        <v>52</v>
      </c>
      <c r="Y1214" s="124" t="s">
        <v>2569</v>
      </c>
      <c r="Z1214" s="91"/>
      <c r="AA1214" s="124" t="s">
        <v>754</v>
      </c>
      <c r="AB1214" s="91"/>
      <c r="AC1214" s="91"/>
      <c r="AD1214" s="91"/>
      <c r="AE1214" s="91"/>
      <c r="AF1214" s="91"/>
      <c r="AG1214" s="91"/>
      <c r="AH1214" s="91"/>
    </row>
    <row r="1215" spans="1:34" ht="120">
      <c r="A1215" s="120">
        <v>1214</v>
      </c>
      <c r="B1215" s="120" t="b">
        <f t="shared" ca="1" si="18"/>
        <v>0</v>
      </c>
      <c r="C1215" s="121">
        <v>45788</v>
      </c>
      <c r="D1215" s="137">
        <v>0.46248842592592593</v>
      </c>
      <c r="E1215" s="94">
        <v>1013</v>
      </c>
      <c r="F1215" s="91">
        <v>1203</v>
      </c>
      <c r="G1215" s="94" t="s">
        <v>71</v>
      </c>
      <c r="H1215" s="94">
        <v>1027</v>
      </c>
      <c r="I1215" s="115">
        <v>35214500045329</v>
      </c>
      <c r="J1215" s="94" t="s">
        <v>72</v>
      </c>
      <c r="K1215" s="152">
        <v>7.3209999999999997</v>
      </c>
      <c r="L1215" s="122" t="str">
        <f>VLOOKUP(K1215,Liste!$L$2:$O$34,4,1)</f>
        <v>GSMR_02/03</v>
      </c>
      <c r="M1215" s="133" t="s">
        <v>36</v>
      </c>
      <c r="N1215" s="124" t="s">
        <v>58</v>
      </c>
      <c r="O1215" s="117" t="s">
        <v>2578</v>
      </c>
      <c r="P1215" s="117" t="s">
        <v>2253</v>
      </c>
      <c r="Q1215" s="118" t="s">
        <v>531</v>
      </c>
      <c r="R1215" s="184" t="s">
        <v>2548</v>
      </c>
      <c r="S1215" s="124" t="s">
        <v>2573</v>
      </c>
      <c r="T1215" s="124" t="s">
        <v>209</v>
      </c>
      <c r="U1215" s="124" t="s">
        <v>1903</v>
      </c>
      <c r="V1215" s="124" t="s">
        <v>51</v>
      </c>
      <c r="W1215" s="124" t="s">
        <v>51</v>
      </c>
      <c r="X1215" s="124" t="s">
        <v>52</v>
      </c>
      <c r="Y1215" s="124" t="s">
        <v>2569</v>
      </c>
      <c r="Z1215" s="91"/>
      <c r="AA1215" s="124" t="s">
        <v>757</v>
      </c>
      <c r="AB1215" s="91"/>
      <c r="AC1215" s="91"/>
      <c r="AD1215" s="91"/>
      <c r="AE1215" s="91"/>
      <c r="AF1215" s="91"/>
      <c r="AG1215" s="91"/>
      <c r="AH1215" s="91"/>
    </row>
    <row r="1216" spans="1:34" ht="120">
      <c r="A1216" s="120">
        <v>1215</v>
      </c>
      <c r="B1216" s="120" t="b">
        <f t="shared" ca="1" si="18"/>
        <v>0</v>
      </c>
      <c r="C1216" s="121">
        <v>45792</v>
      </c>
      <c r="D1216" s="137">
        <v>0.4621527777777778</v>
      </c>
      <c r="E1216" s="94">
        <v>2021</v>
      </c>
      <c r="F1216" s="91">
        <v>1209</v>
      </c>
      <c r="G1216" s="94" t="s">
        <v>34</v>
      </c>
      <c r="H1216" s="94">
        <v>7208</v>
      </c>
      <c r="I1216" s="115">
        <v>35214500004427</v>
      </c>
      <c r="J1216" s="94" t="s">
        <v>35</v>
      </c>
      <c r="K1216" s="152">
        <v>6.17</v>
      </c>
      <c r="L1216" s="122" t="str">
        <f>VLOOKUP(K1216,Liste!$L$2:$O$34,4,1)</f>
        <v>GSMR_02/03</v>
      </c>
      <c r="M1216" s="91" t="s">
        <v>36</v>
      </c>
      <c r="N1216" s="124" t="s">
        <v>58</v>
      </c>
      <c r="O1216" s="117" t="s">
        <v>2586</v>
      </c>
      <c r="P1216" s="117" t="s">
        <v>2253</v>
      </c>
      <c r="Q1216" s="118" t="s">
        <v>531</v>
      </c>
      <c r="R1216" s="184" t="s">
        <v>2548</v>
      </c>
      <c r="S1216" s="124" t="s">
        <v>2587</v>
      </c>
      <c r="T1216" s="124" t="s">
        <v>56</v>
      </c>
      <c r="U1216" s="124" t="s">
        <v>1449</v>
      </c>
      <c r="V1216" s="124" t="s">
        <v>43</v>
      </c>
      <c r="W1216" s="124" t="s">
        <v>51</v>
      </c>
      <c r="X1216" s="124" t="s">
        <v>52</v>
      </c>
      <c r="Y1216" s="124" t="s">
        <v>2569</v>
      </c>
      <c r="Z1216" s="91"/>
      <c r="AA1216" s="124" t="s">
        <v>745</v>
      </c>
      <c r="AB1216" s="91"/>
      <c r="AC1216" s="91"/>
      <c r="AD1216" s="91"/>
      <c r="AE1216" s="91"/>
      <c r="AF1216" s="91"/>
      <c r="AG1216" s="91"/>
      <c r="AH1216" s="91"/>
    </row>
    <row r="1217" spans="1:34" ht="120">
      <c r="A1217" s="120">
        <v>1216</v>
      </c>
      <c r="B1217" s="120" t="b">
        <f t="shared" ca="1" si="18"/>
        <v>0</v>
      </c>
      <c r="C1217" s="121">
        <v>45792</v>
      </c>
      <c r="D1217" s="137">
        <v>0.7537152777777778</v>
      </c>
      <c r="E1217" s="94">
        <v>2049</v>
      </c>
      <c r="F1217" s="91">
        <v>1205</v>
      </c>
      <c r="G1217" s="94" t="s">
        <v>34</v>
      </c>
      <c r="H1217" s="94">
        <v>7218</v>
      </c>
      <c r="I1217" s="115">
        <v>35214500045735</v>
      </c>
      <c r="J1217" s="94" t="s">
        <v>35</v>
      </c>
      <c r="K1217" s="152">
        <v>6.13</v>
      </c>
      <c r="L1217" s="122" t="str">
        <f>VLOOKUP(K1217,Liste!$L$2:$O$34,4,1)</f>
        <v>GSMR_02/03</v>
      </c>
      <c r="M1217" s="91" t="s">
        <v>36</v>
      </c>
      <c r="N1217" s="124" t="s">
        <v>58</v>
      </c>
      <c r="O1217" s="117" t="s">
        <v>2588</v>
      </c>
      <c r="P1217" s="117" t="s">
        <v>2253</v>
      </c>
      <c r="Q1217" s="118" t="s">
        <v>531</v>
      </c>
      <c r="R1217" s="184" t="s">
        <v>2548</v>
      </c>
      <c r="S1217" s="124" t="s">
        <v>2589</v>
      </c>
      <c r="T1217" s="124" t="s">
        <v>56</v>
      </c>
      <c r="U1217" s="124" t="s">
        <v>1463</v>
      </c>
      <c r="V1217" s="124" t="s">
        <v>43</v>
      </c>
      <c r="W1217" s="124" t="s">
        <v>51</v>
      </c>
      <c r="X1217" s="124" t="s">
        <v>52</v>
      </c>
      <c r="Y1217" s="124" t="s">
        <v>2569</v>
      </c>
      <c r="Z1217" s="91"/>
      <c r="AA1217" s="124" t="s">
        <v>1342</v>
      </c>
      <c r="AB1217" s="91"/>
      <c r="AC1217" s="91"/>
      <c r="AD1217" s="91"/>
      <c r="AE1217" s="91"/>
      <c r="AF1217" s="91"/>
      <c r="AG1217" s="91"/>
      <c r="AH1217" s="91"/>
    </row>
    <row r="1218" spans="1:34" ht="120">
      <c r="A1218" s="120">
        <v>1217</v>
      </c>
      <c r="B1218" s="120" t="b">
        <f t="shared" ref="B1218:B1281" ca="1" si="19">AND(C1218&gt;=TODAY()-7, C1218&lt;=TODAY()-1)</f>
        <v>0</v>
      </c>
      <c r="C1218" s="121">
        <v>45792</v>
      </c>
      <c r="D1218" s="137">
        <v>0.87824074074074077</v>
      </c>
      <c r="E1218" s="94">
        <v>1053</v>
      </c>
      <c r="F1218" s="91">
        <v>1201</v>
      </c>
      <c r="G1218" s="94" t="s">
        <v>71</v>
      </c>
      <c r="H1218" s="94">
        <v>1028</v>
      </c>
      <c r="I1218" s="115">
        <v>35214500045268</v>
      </c>
      <c r="J1218" s="94" t="s">
        <v>72</v>
      </c>
      <c r="K1218" s="152">
        <v>7.3209999999999997</v>
      </c>
      <c r="L1218" s="122" t="str">
        <f>VLOOKUP(K1218,Liste!$L$2:$O$34,4,1)</f>
        <v>GSMR_02/03</v>
      </c>
      <c r="M1218" s="91" t="s">
        <v>36</v>
      </c>
      <c r="N1218" s="124" t="s">
        <v>37</v>
      </c>
      <c r="O1218" s="117" t="s">
        <v>2590</v>
      </c>
      <c r="P1218" s="117" t="s">
        <v>2253</v>
      </c>
      <c r="Q1218" s="118" t="s">
        <v>531</v>
      </c>
      <c r="R1218" s="184" t="s">
        <v>2548</v>
      </c>
      <c r="S1218" s="124" t="s">
        <v>2591</v>
      </c>
      <c r="T1218" s="124" t="s">
        <v>93</v>
      </c>
      <c r="U1218" s="124" t="s">
        <v>1460</v>
      </c>
      <c r="V1218" s="124" t="s">
        <v>51</v>
      </c>
      <c r="W1218" s="124" t="s">
        <v>51</v>
      </c>
      <c r="X1218" s="124" t="s">
        <v>52</v>
      </c>
      <c r="Y1218" s="124" t="s">
        <v>2569</v>
      </c>
      <c r="Z1218" s="91"/>
      <c r="AA1218" s="124" t="s">
        <v>754</v>
      </c>
      <c r="AB1218" s="91"/>
      <c r="AC1218" s="91"/>
      <c r="AD1218" s="91"/>
      <c r="AE1218" s="91"/>
      <c r="AF1218" s="91"/>
      <c r="AG1218" s="91"/>
      <c r="AH1218" s="91"/>
    </row>
    <row r="1219" spans="1:34" ht="75">
      <c r="A1219" s="120">
        <v>1218</v>
      </c>
      <c r="B1219" s="120" t="b">
        <f t="shared" ca="1" si="19"/>
        <v>0</v>
      </c>
      <c r="C1219" s="121">
        <v>45793</v>
      </c>
      <c r="D1219" s="137">
        <v>0.89443287037037034</v>
      </c>
      <c r="E1219" s="94">
        <v>2061</v>
      </c>
      <c r="F1219" s="91">
        <v>1207</v>
      </c>
      <c r="G1219" s="94" t="s">
        <v>34</v>
      </c>
      <c r="H1219" s="94">
        <v>1083</v>
      </c>
      <c r="I1219" s="115">
        <v>35229605039441</v>
      </c>
      <c r="J1219" s="94" t="s">
        <v>35</v>
      </c>
      <c r="K1219" s="91">
        <v>108.206</v>
      </c>
      <c r="L1219" s="122" t="str">
        <f>VLOOKUP(K1219,Liste!$L$2:$O$34,4,1)</f>
        <v>GSMR_19/20</v>
      </c>
      <c r="M1219" s="91" t="s">
        <v>36</v>
      </c>
      <c r="N1219" s="124" t="s">
        <v>37</v>
      </c>
      <c r="O1219" s="117" t="s">
        <v>2592</v>
      </c>
      <c r="P1219" s="117" t="s">
        <v>2593</v>
      </c>
      <c r="Q1219" s="118" t="s">
        <v>47</v>
      </c>
      <c r="R1219" s="184" t="s">
        <v>2594</v>
      </c>
      <c r="S1219" s="124" t="s">
        <v>2595</v>
      </c>
      <c r="T1219" s="124" t="s">
        <v>93</v>
      </c>
      <c r="U1219" s="124" t="s">
        <v>2101</v>
      </c>
      <c r="V1219" s="124" t="s">
        <v>51</v>
      </c>
      <c r="W1219" s="124" t="s">
        <v>51</v>
      </c>
      <c r="X1219" s="124" t="s">
        <v>400</v>
      </c>
      <c r="Y1219" s="124" t="s">
        <v>2569</v>
      </c>
      <c r="Z1219" s="91"/>
      <c r="AA1219" s="124" t="s">
        <v>754</v>
      </c>
      <c r="AB1219" s="91"/>
      <c r="AC1219" s="91"/>
      <c r="AD1219" s="91"/>
      <c r="AE1219" s="91"/>
      <c r="AF1219" s="91"/>
      <c r="AG1219" s="91"/>
      <c r="AH1219" s="91"/>
    </row>
    <row r="1220" spans="1:34" ht="120">
      <c r="A1220" s="120">
        <v>1219</v>
      </c>
      <c r="B1220" s="120" t="b">
        <f t="shared" ca="1" si="19"/>
        <v>0</v>
      </c>
      <c r="C1220" s="121">
        <v>45793</v>
      </c>
      <c r="D1220" s="137">
        <v>0.54546296296296293</v>
      </c>
      <c r="E1220" s="94">
        <v>1022</v>
      </c>
      <c r="F1220" s="91">
        <v>1204</v>
      </c>
      <c r="G1220" s="94" t="s">
        <v>71</v>
      </c>
      <c r="H1220" s="94">
        <v>1034</v>
      </c>
      <c r="I1220" s="115">
        <v>35214500043605</v>
      </c>
      <c r="J1220" s="94" t="s">
        <v>72</v>
      </c>
      <c r="K1220" s="152">
        <v>7.3209999999999997</v>
      </c>
      <c r="L1220" s="122" t="str">
        <f>VLOOKUP(K1220,Liste!$L$2:$O$34,4,1)</f>
        <v>GSMR_02/03</v>
      </c>
      <c r="M1220" s="91" t="s">
        <v>36</v>
      </c>
      <c r="N1220" s="124" t="s">
        <v>37</v>
      </c>
      <c r="O1220" s="117" t="s">
        <v>2596</v>
      </c>
      <c r="P1220" s="117" t="s">
        <v>2253</v>
      </c>
      <c r="Q1220" s="118" t="s">
        <v>531</v>
      </c>
      <c r="R1220" s="184" t="s">
        <v>2548</v>
      </c>
      <c r="S1220" s="124" t="s">
        <v>2597</v>
      </c>
      <c r="T1220" s="124" t="s">
        <v>56</v>
      </c>
      <c r="U1220" s="124" t="s">
        <v>1903</v>
      </c>
      <c r="V1220" s="124" t="s">
        <v>51</v>
      </c>
      <c r="W1220" s="124" t="s">
        <v>51</v>
      </c>
      <c r="X1220" s="124" t="s">
        <v>52</v>
      </c>
      <c r="Y1220" s="124" t="s">
        <v>2569</v>
      </c>
      <c r="Z1220" s="91"/>
      <c r="AA1220" s="124" t="s">
        <v>757</v>
      </c>
      <c r="AB1220" s="91"/>
      <c r="AC1220" s="91"/>
      <c r="AD1220" s="91"/>
      <c r="AE1220" s="91"/>
      <c r="AF1220" s="91"/>
      <c r="AG1220" s="91"/>
      <c r="AH1220" s="91"/>
    </row>
    <row r="1221" spans="1:34" ht="120">
      <c r="A1221" s="120">
        <v>1220</v>
      </c>
      <c r="B1221" s="120" t="b">
        <f t="shared" ca="1" si="19"/>
        <v>0</v>
      </c>
      <c r="C1221" s="121">
        <v>45794</v>
      </c>
      <c r="D1221" s="137">
        <v>0.50357638888888889</v>
      </c>
      <c r="E1221" s="94">
        <v>2025</v>
      </c>
      <c r="F1221" s="91">
        <v>1205</v>
      </c>
      <c r="G1221" s="94" t="s">
        <v>34</v>
      </c>
      <c r="H1221" s="94">
        <v>7218</v>
      </c>
      <c r="I1221" s="115">
        <v>35214500045735</v>
      </c>
      <c r="J1221" s="94" t="s">
        <v>35</v>
      </c>
      <c r="K1221" s="152">
        <v>6.13</v>
      </c>
      <c r="L1221" s="122" t="str">
        <f>VLOOKUP(K1221,Liste!$L$2:$O$34,4,1)</f>
        <v>GSMR_02/03</v>
      </c>
      <c r="M1221" s="91" t="s">
        <v>36</v>
      </c>
      <c r="N1221" s="124" t="s">
        <v>58</v>
      </c>
      <c r="O1221" s="117" t="s">
        <v>2598</v>
      </c>
      <c r="P1221" s="117" t="s">
        <v>2253</v>
      </c>
      <c r="Q1221" s="118" t="s">
        <v>531</v>
      </c>
      <c r="R1221" s="184" t="s">
        <v>2548</v>
      </c>
      <c r="S1221" s="124" t="s">
        <v>2597</v>
      </c>
      <c r="T1221" s="124" t="s">
        <v>56</v>
      </c>
      <c r="U1221" s="124" t="s">
        <v>1632</v>
      </c>
      <c r="V1221" s="124" t="s">
        <v>43</v>
      </c>
      <c r="W1221" s="124" t="s">
        <v>51</v>
      </c>
      <c r="X1221" s="124" t="s">
        <v>52</v>
      </c>
      <c r="Y1221" s="124" t="s">
        <v>2569</v>
      </c>
      <c r="Z1221" s="91"/>
      <c r="AA1221" s="124" t="s">
        <v>1342</v>
      </c>
      <c r="AB1221" s="91"/>
      <c r="AC1221" s="91"/>
      <c r="AD1221" s="91"/>
      <c r="AE1221" s="91"/>
      <c r="AF1221" s="91"/>
      <c r="AG1221" s="91"/>
      <c r="AH1221" s="91"/>
    </row>
    <row r="1222" spans="1:34" ht="120">
      <c r="A1222" s="120">
        <v>1221</v>
      </c>
      <c r="B1222" s="120" t="b">
        <f t="shared" ca="1" si="19"/>
        <v>0</v>
      </c>
      <c r="C1222" s="121">
        <v>45795</v>
      </c>
      <c r="D1222" s="137">
        <v>0.62851851851851848</v>
      </c>
      <c r="E1222" s="94">
        <v>2037</v>
      </c>
      <c r="F1222" s="91">
        <v>1201</v>
      </c>
      <c r="G1222" s="94" t="s">
        <v>34</v>
      </c>
      <c r="H1222" s="94">
        <v>1057</v>
      </c>
      <c r="I1222" s="115">
        <v>35214500045217</v>
      </c>
      <c r="J1222" s="94" t="s">
        <v>35</v>
      </c>
      <c r="K1222" s="152">
        <v>6.13</v>
      </c>
      <c r="L1222" s="122" t="str">
        <f>VLOOKUP(K1222,Liste!$L$2:$O$34,4,1)</f>
        <v>GSMR_02/03</v>
      </c>
      <c r="M1222" s="91" t="s">
        <v>36</v>
      </c>
      <c r="N1222" s="124" t="s">
        <v>58</v>
      </c>
      <c r="O1222" s="117" t="s">
        <v>2599</v>
      </c>
      <c r="P1222" s="117" t="s">
        <v>2253</v>
      </c>
      <c r="Q1222" s="118" t="s">
        <v>531</v>
      </c>
      <c r="R1222" s="184" t="s">
        <v>2548</v>
      </c>
      <c r="S1222" s="124" t="s">
        <v>2600</v>
      </c>
      <c r="T1222" s="124" t="s">
        <v>56</v>
      </c>
      <c r="U1222" s="124" t="s">
        <v>1493</v>
      </c>
      <c r="V1222" s="124" t="s">
        <v>51</v>
      </c>
      <c r="W1222" s="124" t="s">
        <v>51</v>
      </c>
      <c r="X1222" s="124" t="s">
        <v>52</v>
      </c>
      <c r="Y1222" s="124" t="s">
        <v>2569</v>
      </c>
      <c r="Z1222" s="91"/>
      <c r="AA1222" s="124" t="s">
        <v>810</v>
      </c>
      <c r="AB1222" s="91"/>
      <c r="AC1222" s="91"/>
      <c r="AD1222" s="91"/>
      <c r="AE1222" s="91"/>
      <c r="AF1222" s="91"/>
      <c r="AG1222" s="91"/>
      <c r="AH1222" s="91"/>
    </row>
    <row r="1223" spans="1:34" ht="45">
      <c r="A1223" s="120">
        <v>1222</v>
      </c>
      <c r="B1223" s="120" t="b">
        <f t="shared" ca="1" si="19"/>
        <v>0</v>
      </c>
      <c r="C1223" s="121">
        <v>45795</v>
      </c>
      <c r="D1223" s="137">
        <v>0.85006944444444443</v>
      </c>
      <c r="E1223" s="94">
        <v>1053</v>
      </c>
      <c r="F1223" s="91">
        <v>1204</v>
      </c>
      <c r="G1223" s="94" t="s">
        <v>71</v>
      </c>
      <c r="H1223" s="94">
        <v>1035</v>
      </c>
      <c r="I1223" s="115">
        <v>35214500043605</v>
      </c>
      <c r="J1223" s="94" t="s">
        <v>35</v>
      </c>
      <c r="K1223" s="91">
        <v>198.98400000000001</v>
      </c>
      <c r="L1223" s="122" t="str">
        <f>VLOOKUP(K1223,Liste!$L$2:$O$34,4,1)</f>
        <v>GSMR_33/RAC</v>
      </c>
      <c r="M1223" s="91" t="s">
        <v>36</v>
      </c>
      <c r="N1223" s="124" t="s">
        <v>58</v>
      </c>
      <c r="O1223" s="117" t="s">
        <v>2601</v>
      </c>
      <c r="P1223" s="117" t="s">
        <v>2425</v>
      </c>
      <c r="Q1223" s="118" t="s">
        <v>2602</v>
      </c>
      <c r="R1223" s="184" t="s">
        <v>1479</v>
      </c>
      <c r="S1223" s="124" t="s">
        <v>2603</v>
      </c>
      <c r="T1223" s="124" t="s">
        <v>69</v>
      </c>
      <c r="U1223" s="124" t="s">
        <v>2604</v>
      </c>
      <c r="V1223" s="124" t="s">
        <v>43</v>
      </c>
      <c r="W1223" s="124" t="s">
        <v>43</v>
      </c>
      <c r="X1223" s="124" t="s">
        <v>52</v>
      </c>
      <c r="Y1223" s="124" t="s">
        <v>2605</v>
      </c>
      <c r="Z1223" s="91"/>
      <c r="AA1223" s="124" t="s">
        <v>810</v>
      </c>
      <c r="AB1223" s="91"/>
      <c r="AC1223" s="91"/>
      <c r="AD1223" s="91"/>
      <c r="AE1223" s="91"/>
      <c r="AF1223" s="91"/>
      <c r="AG1223" s="91"/>
      <c r="AH1223" s="91"/>
    </row>
    <row r="1224" spans="1:34" ht="120">
      <c r="A1224" s="120">
        <v>1223</v>
      </c>
      <c r="B1224" s="120" t="b">
        <f t="shared" ca="1" si="19"/>
        <v>0</v>
      </c>
      <c r="C1224" s="121">
        <v>45795</v>
      </c>
      <c r="D1224" s="137">
        <v>0.8843981481481481</v>
      </c>
      <c r="E1224" s="94">
        <v>1054</v>
      </c>
      <c r="F1224" s="91">
        <v>1204</v>
      </c>
      <c r="G1224" s="94" t="s">
        <v>71</v>
      </c>
      <c r="H1224" s="94">
        <v>1035</v>
      </c>
      <c r="I1224" s="115">
        <v>35214500043605</v>
      </c>
      <c r="J1224" s="94" t="s">
        <v>35</v>
      </c>
      <c r="K1224" s="152">
        <v>7.3209999999999997</v>
      </c>
      <c r="L1224" s="122" t="str">
        <f>VLOOKUP(K1224,Liste!$L$2:$O$34,4,1)</f>
        <v>GSMR_02/03</v>
      </c>
      <c r="M1224" s="91" t="s">
        <v>36</v>
      </c>
      <c r="N1224" s="124" t="s">
        <v>58</v>
      </c>
      <c r="O1224" s="117" t="s">
        <v>2606</v>
      </c>
      <c r="P1224" s="117" t="s">
        <v>2253</v>
      </c>
      <c r="Q1224" s="118" t="s">
        <v>531</v>
      </c>
      <c r="R1224" s="184" t="s">
        <v>2548</v>
      </c>
      <c r="S1224" s="124" t="s">
        <v>2591</v>
      </c>
      <c r="T1224" s="124" t="s">
        <v>116</v>
      </c>
      <c r="U1224" s="124" t="s">
        <v>1449</v>
      </c>
      <c r="V1224" s="124" t="s">
        <v>51</v>
      </c>
      <c r="W1224" s="124" t="s">
        <v>51</v>
      </c>
      <c r="X1224" s="124" t="s">
        <v>52</v>
      </c>
      <c r="Y1224" s="124" t="s">
        <v>2569</v>
      </c>
      <c r="Z1224" s="91"/>
      <c r="AA1224" s="124" t="s">
        <v>757</v>
      </c>
      <c r="AB1224" s="91"/>
      <c r="AC1224" s="91"/>
      <c r="AD1224" s="91"/>
      <c r="AE1224" s="91"/>
      <c r="AF1224" s="91"/>
      <c r="AG1224" s="91"/>
      <c r="AH1224" s="91"/>
    </row>
    <row r="1225" spans="1:34" ht="165">
      <c r="A1225" s="120">
        <v>1224</v>
      </c>
      <c r="B1225" s="120" t="b">
        <f t="shared" ca="1" si="19"/>
        <v>0</v>
      </c>
      <c r="C1225" s="121">
        <v>45796</v>
      </c>
      <c r="D1225" s="137">
        <v>0.64232638888888893</v>
      </c>
      <c r="E1225" s="94">
        <v>2033</v>
      </c>
      <c r="F1225" s="91">
        <v>1201</v>
      </c>
      <c r="G1225" s="94" t="s">
        <v>34</v>
      </c>
      <c r="H1225" s="94">
        <v>1057</v>
      </c>
      <c r="I1225" s="115">
        <v>35214500045187</v>
      </c>
      <c r="J1225" s="94" t="s">
        <v>35</v>
      </c>
      <c r="K1225" s="91">
        <v>108.206</v>
      </c>
      <c r="L1225" s="122" t="str">
        <f>VLOOKUP(K1225,Liste!$L$2:$O$34,4,1)</f>
        <v>GSMR_19/20</v>
      </c>
      <c r="M1225" s="91" t="s">
        <v>36</v>
      </c>
      <c r="N1225" s="124" t="s">
        <v>37</v>
      </c>
      <c r="O1225" s="117" t="s">
        <v>2592</v>
      </c>
      <c r="P1225" s="117" t="s">
        <v>2607</v>
      </c>
      <c r="Q1225" s="118" t="s">
        <v>47</v>
      </c>
      <c r="R1225" s="184" t="s">
        <v>2594</v>
      </c>
      <c r="S1225" s="124" t="s">
        <v>2595</v>
      </c>
      <c r="T1225" s="124" t="s">
        <v>78</v>
      </c>
      <c r="U1225" s="124" t="s">
        <v>1574</v>
      </c>
      <c r="V1225" s="124" t="s">
        <v>43</v>
      </c>
      <c r="W1225" s="124" t="s">
        <v>51</v>
      </c>
      <c r="X1225" s="124" t="s">
        <v>52</v>
      </c>
      <c r="Y1225" s="124" t="s">
        <v>2569</v>
      </c>
      <c r="Z1225" s="91"/>
      <c r="AA1225" s="124" t="s">
        <v>778</v>
      </c>
      <c r="AB1225" s="91"/>
      <c r="AC1225" s="91"/>
      <c r="AD1225" s="91"/>
      <c r="AE1225" s="91"/>
      <c r="AF1225" s="91"/>
      <c r="AG1225" s="91"/>
      <c r="AH1225" s="91"/>
    </row>
    <row r="1226" spans="1:34" ht="120">
      <c r="A1226" s="120">
        <v>1225</v>
      </c>
      <c r="B1226" s="120" t="b">
        <f t="shared" ca="1" si="19"/>
        <v>0</v>
      </c>
      <c r="C1226" s="121">
        <v>45797</v>
      </c>
      <c r="D1226" s="137">
        <v>0.71217592592592593</v>
      </c>
      <c r="E1226" s="94">
        <v>2045</v>
      </c>
      <c r="F1226" s="91">
        <v>1205</v>
      </c>
      <c r="G1226" s="94" t="s">
        <v>34</v>
      </c>
      <c r="H1226" s="94">
        <v>7218</v>
      </c>
      <c r="I1226" s="115">
        <v>35214500045735</v>
      </c>
      <c r="J1226" s="94" t="s">
        <v>35</v>
      </c>
      <c r="K1226" s="152">
        <v>6.13</v>
      </c>
      <c r="L1226" s="122" t="str">
        <f>VLOOKUP(K1226,Liste!$L$2:$O$34,4,1)</f>
        <v>GSMR_02/03</v>
      </c>
      <c r="M1226" s="91" t="s">
        <v>36</v>
      </c>
      <c r="N1226" s="124" t="s">
        <v>58</v>
      </c>
      <c r="O1226" s="117" t="s">
        <v>2608</v>
      </c>
      <c r="P1226" s="117" t="s">
        <v>2253</v>
      </c>
      <c r="Q1226" s="118" t="s">
        <v>531</v>
      </c>
      <c r="R1226" s="184" t="s">
        <v>2548</v>
      </c>
      <c r="S1226" s="124" t="s">
        <v>2609</v>
      </c>
      <c r="T1226" s="124" t="s">
        <v>56</v>
      </c>
      <c r="U1226" s="124" t="s">
        <v>1595</v>
      </c>
      <c r="V1226" s="124" t="s">
        <v>43</v>
      </c>
      <c r="W1226" s="124" t="s">
        <v>51</v>
      </c>
      <c r="X1226" s="124" t="s">
        <v>52</v>
      </c>
      <c r="Y1226" s="124" t="s">
        <v>2569</v>
      </c>
      <c r="Z1226" s="91"/>
      <c r="AA1226" s="124" t="s">
        <v>810</v>
      </c>
      <c r="AB1226" s="91"/>
      <c r="AC1226" s="91"/>
      <c r="AD1226" s="91"/>
      <c r="AE1226" s="91"/>
      <c r="AF1226" s="91"/>
      <c r="AG1226" s="91"/>
      <c r="AH1226" s="91"/>
    </row>
    <row r="1227" spans="1:34" ht="120">
      <c r="A1227" s="120">
        <v>1226</v>
      </c>
      <c r="B1227" s="120" t="b">
        <f t="shared" ca="1" si="19"/>
        <v>0</v>
      </c>
      <c r="C1227" s="121">
        <v>45800</v>
      </c>
      <c r="D1227" s="137">
        <v>0.96305555555555555</v>
      </c>
      <c r="E1227" s="94">
        <v>1061</v>
      </c>
      <c r="F1227" s="91">
        <v>1203</v>
      </c>
      <c r="G1227" s="94" t="s">
        <v>71</v>
      </c>
      <c r="H1227" s="94">
        <v>1027</v>
      </c>
      <c r="I1227" s="115">
        <v>35214500045329</v>
      </c>
      <c r="J1227" s="94" t="s">
        <v>72</v>
      </c>
      <c r="K1227" s="152">
        <v>7.3209999999999997</v>
      </c>
      <c r="L1227" s="122" t="str">
        <f>VLOOKUP(K1227,Liste!$L$2:$O$34,4,1)</f>
        <v>GSMR_02/03</v>
      </c>
      <c r="M1227" s="91" t="s">
        <v>36</v>
      </c>
      <c r="N1227" s="124" t="s">
        <v>58</v>
      </c>
      <c r="O1227" s="117" t="s">
        <v>2610</v>
      </c>
      <c r="P1227" s="117" t="s">
        <v>2253</v>
      </c>
      <c r="Q1227" s="118" t="s">
        <v>531</v>
      </c>
      <c r="R1227" s="184" t="s">
        <v>2548</v>
      </c>
      <c r="S1227" s="124" t="s">
        <v>2568</v>
      </c>
      <c r="T1227" s="124" t="s">
        <v>56</v>
      </c>
      <c r="U1227" s="124" t="s">
        <v>1465</v>
      </c>
      <c r="V1227" s="124" t="s">
        <v>43</v>
      </c>
      <c r="W1227" s="124" t="s">
        <v>51</v>
      </c>
      <c r="X1227" s="124" t="s">
        <v>52</v>
      </c>
      <c r="Y1227" s="124" t="s">
        <v>2569</v>
      </c>
      <c r="Z1227" s="91"/>
      <c r="AA1227" s="124" t="s">
        <v>1342</v>
      </c>
      <c r="AB1227" s="91"/>
      <c r="AC1227" s="91"/>
      <c r="AD1227" s="91"/>
      <c r="AE1227" s="91"/>
      <c r="AF1227" s="91"/>
      <c r="AG1227" s="91"/>
      <c r="AH1227" s="91"/>
    </row>
    <row r="1228" spans="1:34" ht="75">
      <c r="A1228" s="120">
        <v>1227</v>
      </c>
      <c r="B1228" s="120" t="b">
        <f t="shared" ca="1" si="19"/>
        <v>0</v>
      </c>
      <c r="C1228" s="121">
        <v>45801</v>
      </c>
      <c r="D1228" s="137">
        <v>0.76930555555555558</v>
      </c>
      <c r="E1228" s="94">
        <v>2049</v>
      </c>
      <c r="F1228" s="91">
        <v>1208</v>
      </c>
      <c r="G1228" s="94" t="s">
        <v>34</v>
      </c>
      <c r="H1228" s="94">
        <v>1036</v>
      </c>
      <c r="I1228" s="115">
        <v>35214500045461</v>
      </c>
      <c r="J1228" s="94" t="s">
        <v>35</v>
      </c>
      <c r="K1228" s="91">
        <v>109.495</v>
      </c>
      <c r="L1228" s="122" t="str">
        <f>VLOOKUP(K1228,Liste!$L$2:$O$34,4,1)</f>
        <v>GSMR_19/20</v>
      </c>
      <c r="M1228" s="91" t="s">
        <v>36</v>
      </c>
      <c r="N1228" s="124" t="s">
        <v>37</v>
      </c>
      <c r="O1228" s="117" t="s">
        <v>2611</v>
      </c>
      <c r="P1228" s="117" t="s">
        <v>2593</v>
      </c>
      <c r="Q1228" s="118" t="s">
        <v>2602</v>
      </c>
      <c r="R1228" s="184" t="s">
        <v>2583</v>
      </c>
      <c r="S1228" s="124" t="s">
        <v>2595</v>
      </c>
      <c r="T1228" s="124" t="s">
        <v>56</v>
      </c>
      <c r="U1228" s="124" t="s">
        <v>1446</v>
      </c>
      <c r="V1228" s="124" t="s">
        <v>43</v>
      </c>
      <c r="W1228" s="124" t="s">
        <v>51</v>
      </c>
      <c r="X1228" s="124" t="s">
        <v>52</v>
      </c>
      <c r="Y1228" s="124" t="s">
        <v>2569</v>
      </c>
      <c r="Z1228" s="91"/>
      <c r="AA1228" s="124" t="s">
        <v>778</v>
      </c>
      <c r="AB1228" s="91"/>
      <c r="AC1228" s="91"/>
      <c r="AD1228" s="91"/>
      <c r="AE1228" s="91"/>
      <c r="AF1228" s="91"/>
      <c r="AG1228" s="91"/>
      <c r="AH1228" s="91"/>
    </row>
    <row r="1229" spans="1:34" ht="60">
      <c r="A1229" s="120">
        <v>1228</v>
      </c>
      <c r="B1229" s="120" t="b">
        <f t="shared" ca="1" si="19"/>
        <v>0</v>
      </c>
      <c r="C1229" s="121">
        <v>45802</v>
      </c>
      <c r="D1229" s="137">
        <v>0.77327546296296301</v>
      </c>
      <c r="E1229" s="94">
        <v>1045</v>
      </c>
      <c r="F1229" s="91">
        <v>1205</v>
      </c>
      <c r="G1229" s="94" t="s">
        <v>71</v>
      </c>
      <c r="H1229" s="94">
        <v>1060</v>
      </c>
      <c r="I1229" s="115">
        <v>35214500053339</v>
      </c>
      <c r="J1229" s="94" t="s">
        <v>72</v>
      </c>
      <c r="K1229" s="91">
        <v>152.488</v>
      </c>
      <c r="L1229" s="122" t="str">
        <f>VLOOKUP(K1229,Liste!$L$2:$O$34,4,1)</f>
        <v>GSMR_26/27</v>
      </c>
      <c r="M1229" s="91" t="s">
        <v>36</v>
      </c>
      <c r="N1229" s="124" t="s">
        <v>37</v>
      </c>
      <c r="O1229" s="117" t="s">
        <v>2612</v>
      </c>
      <c r="P1229" s="117" t="s">
        <v>2425</v>
      </c>
      <c r="Q1229" s="118" t="s">
        <v>47</v>
      </c>
      <c r="R1229" s="184" t="s">
        <v>2613</v>
      </c>
      <c r="S1229" s="124" t="s">
        <v>2614</v>
      </c>
      <c r="T1229" s="124" t="s">
        <v>101</v>
      </c>
      <c r="U1229" s="124" t="s">
        <v>1446</v>
      </c>
      <c r="V1229" s="124" t="s">
        <v>51</v>
      </c>
      <c r="W1229" s="124" t="s">
        <v>51</v>
      </c>
      <c r="X1229" s="124" t="s">
        <v>52</v>
      </c>
      <c r="Y1229" s="124" t="s">
        <v>2569</v>
      </c>
      <c r="Z1229" s="91"/>
      <c r="AA1229" s="124" t="s">
        <v>778</v>
      </c>
      <c r="AB1229" s="91"/>
      <c r="AC1229" s="91"/>
      <c r="AD1229" s="91"/>
      <c r="AE1229" s="91"/>
      <c r="AF1229" s="91"/>
      <c r="AG1229" s="91"/>
      <c r="AH1229" s="91"/>
    </row>
    <row r="1230" spans="1:34" ht="60">
      <c r="A1230" s="120">
        <v>1229</v>
      </c>
      <c r="B1230" s="120" t="b">
        <f t="shared" ca="1" si="19"/>
        <v>0</v>
      </c>
      <c r="C1230" s="121">
        <v>45802</v>
      </c>
      <c r="D1230" s="137">
        <v>0.8210763888888889</v>
      </c>
      <c r="E1230" s="94">
        <v>1049</v>
      </c>
      <c r="F1230" s="91">
        <v>1201</v>
      </c>
      <c r="G1230" s="94" t="s">
        <v>71</v>
      </c>
      <c r="H1230" s="94">
        <v>1028</v>
      </c>
      <c r="I1230" s="115">
        <v>35214500045268</v>
      </c>
      <c r="J1230" s="94" t="s">
        <v>72</v>
      </c>
      <c r="K1230" s="91">
        <v>127.815</v>
      </c>
      <c r="L1230" s="122" t="str">
        <f>VLOOKUP(K1230,Liste!$L$2:$O$34,4,1)</f>
        <v>GSMR_22/23</v>
      </c>
      <c r="M1230" s="91" t="s">
        <v>36</v>
      </c>
      <c r="N1230" s="124" t="s">
        <v>37</v>
      </c>
      <c r="O1230" s="117" t="s">
        <v>2615</v>
      </c>
      <c r="P1230" s="117" t="s">
        <v>2425</v>
      </c>
      <c r="Q1230" s="118" t="s">
        <v>47</v>
      </c>
      <c r="R1230" s="184" t="s">
        <v>2583</v>
      </c>
      <c r="S1230" s="124" t="s">
        <v>2616</v>
      </c>
      <c r="T1230" s="124" t="s">
        <v>56</v>
      </c>
      <c r="U1230" s="124" t="s">
        <v>1666</v>
      </c>
      <c r="V1230" s="124" t="s">
        <v>51</v>
      </c>
      <c r="W1230" s="124" t="s">
        <v>51</v>
      </c>
      <c r="X1230" s="124" t="s">
        <v>52</v>
      </c>
      <c r="Y1230" s="124" t="s">
        <v>2569</v>
      </c>
      <c r="Z1230" s="91"/>
      <c r="AA1230" s="124" t="s">
        <v>778</v>
      </c>
      <c r="AB1230" s="91"/>
      <c r="AC1230" s="91"/>
      <c r="AD1230" s="91"/>
      <c r="AE1230" s="91"/>
      <c r="AF1230" s="91"/>
      <c r="AG1230" s="91"/>
      <c r="AH1230" s="91"/>
    </row>
    <row r="1231" spans="1:34" ht="60">
      <c r="A1231" s="120">
        <v>1230</v>
      </c>
      <c r="B1231" s="120" t="b">
        <f t="shared" ca="1" si="19"/>
        <v>0</v>
      </c>
      <c r="C1231" s="121">
        <v>45802</v>
      </c>
      <c r="D1231" s="137">
        <v>0.85393518518518519</v>
      </c>
      <c r="E1231" s="94">
        <v>1053</v>
      </c>
      <c r="F1231" s="91">
        <v>1207</v>
      </c>
      <c r="G1231" s="94" t="s">
        <v>71</v>
      </c>
      <c r="H1231" s="94">
        <v>1046</v>
      </c>
      <c r="I1231" s="115">
        <v>35214500038730</v>
      </c>
      <c r="J1231" s="94" t="s">
        <v>72</v>
      </c>
      <c r="K1231" s="91">
        <v>177.85</v>
      </c>
      <c r="L1231" s="122" t="str">
        <f>VLOOKUP(K1231,Liste!$L$2:$O$34,4,1)</f>
        <v>GSMR_30/31</v>
      </c>
      <c r="M1231" s="91" t="s">
        <v>36</v>
      </c>
      <c r="N1231" s="124" t="s">
        <v>37</v>
      </c>
      <c r="O1231" s="117" t="s">
        <v>2617</v>
      </c>
      <c r="P1231" s="117" t="s">
        <v>2425</v>
      </c>
      <c r="Q1231" s="118" t="s">
        <v>2602</v>
      </c>
      <c r="R1231" s="184" t="s">
        <v>2613</v>
      </c>
      <c r="S1231" s="124" t="s">
        <v>2618</v>
      </c>
      <c r="T1231" s="124" t="s">
        <v>69</v>
      </c>
      <c r="U1231" s="124" t="s">
        <v>1484</v>
      </c>
      <c r="V1231" s="124" t="s">
        <v>51</v>
      </c>
      <c r="W1231" s="124" t="s">
        <v>51</v>
      </c>
      <c r="X1231" s="124" t="s">
        <v>52</v>
      </c>
      <c r="Y1231" s="124" t="s">
        <v>2569</v>
      </c>
      <c r="Z1231" s="91"/>
      <c r="AA1231" s="124" t="s">
        <v>778</v>
      </c>
      <c r="AB1231" s="91"/>
      <c r="AC1231" s="91"/>
      <c r="AD1231" s="91"/>
      <c r="AE1231" s="91"/>
      <c r="AF1231" s="91"/>
      <c r="AG1231" s="91"/>
      <c r="AH1231" s="91"/>
    </row>
    <row r="1232" spans="1:34" ht="75">
      <c r="A1232" s="120">
        <v>1231</v>
      </c>
      <c r="B1232" s="120" t="b">
        <f t="shared" ca="1" si="19"/>
        <v>0</v>
      </c>
      <c r="C1232" s="121">
        <v>45803</v>
      </c>
      <c r="D1232" s="137">
        <v>0.35245370370370371</v>
      </c>
      <c r="E1232" s="94">
        <v>2009</v>
      </c>
      <c r="F1232" s="91">
        <v>1206</v>
      </c>
      <c r="G1232" s="94" t="s">
        <v>34</v>
      </c>
      <c r="H1232" s="94">
        <v>1054</v>
      </c>
      <c r="I1232" s="115">
        <v>35214500022752</v>
      </c>
      <c r="J1232" s="94" t="s">
        <v>35</v>
      </c>
      <c r="K1232" s="91">
        <v>108.206</v>
      </c>
      <c r="L1232" s="122" t="str">
        <f>VLOOKUP(K1232,Liste!$L$2:$O$34,4,1)</f>
        <v>GSMR_19/20</v>
      </c>
      <c r="M1232" s="91" t="s">
        <v>36</v>
      </c>
      <c r="N1232" s="124" t="s">
        <v>37</v>
      </c>
      <c r="O1232" s="117" t="s">
        <v>2619</v>
      </c>
      <c r="P1232" s="117" t="s">
        <v>2593</v>
      </c>
      <c r="Q1232" s="118" t="s">
        <v>47</v>
      </c>
      <c r="R1232" s="184" t="s">
        <v>2583</v>
      </c>
      <c r="S1232" s="124" t="s">
        <v>2620</v>
      </c>
      <c r="T1232" s="124" t="s">
        <v>56</v>
      </c>
      <c r="U1232" s="124" t="s">
        <v>1745</v>
      </c>
      <c r="V1232" s="124" t="s">
        <v>51</v>
      </c>
      <c r="W1232" s="124" t="s">
        <v>51</v>
      </c>
      <c r="X1232" s="124" t="s">
        <v>52</v>
      </c>
      <c r="Y1232" s="124" t="s">
        <v>2621</v>
      </c>
      <c r="Z1232" s="91"/>
      <c r="AA1232" s="124" t="s">
        <v>754</v>
      </c>
      <c r="AB1232" s="91"/>
      <c r="AC1232" s="91"/>
      <c r="AD1232" s="91"/>
      <c r="AE1232" s="91"/>
      <c r="AF1232" s="91"/>
      <c r="AG1232" s="91"/>
      <c r="AH1232" s="91"/>
    </row>
    <row r="1233" spans="1:35" ht="60">
      <c r="A1233" s="120">
        <v>1232</v>
      </c>
      <c r="B1233" s="120" t="b">
        <f t="shared" ca="1" si="19"/>
        <v>0</v>
      </c>
      <c r="C1233" s="121">
        <v>45803</v>
      </c>
      <c r="D1233" s="137">
        <v>0.74444444444444446</v>
      </c>
      <c r="E1233" s="94">
        <v>1041</v>
      </c>
      <c r="F1233" s="91">
        <v>1208</v>
      </c>
      <c r="G1233" s="94" t="s">
        <v>71</v>
      </c>
      <c r="H1233" s="94">
        <v>1045</v>
      </c>
      <c r="I1233" s="115">
        <v>35214500045098</v>
      </c>
      <c r="J1233" s="94" t="s">
        <v>72</v>
      </c>
      <c r="K1233" s="91">
        <v>72.397999999999996</v>
      </c>
      <c r="L1233" s="122" t="str">
        <f>VLOOKUP(K1233,Liste!$L$2:$O$34,4,1)</f>
        <v>GSMR_13/14</v>
      </c>
      <c r="M1233" s="91" t="s">
        <v>36</v>
      </c>
      <c r="N1233" s="124" t="s">
        <v>37</v>
      </c>
      <c r="O1233" s="117" t="s">
        <v>2622</v>
      </c>
      <c r="P1233" s="117" t="s">
        <v>2556</v>
      </c>
      <c r="Q1233" s="118" t="s">
        <v>39</v>
      </c>
      <c r="R1233" s="184" t="s">
        <v>2548</v>
      </c>
      <c r="S1233" s="124" t="s">
        <v>2623</v>
      </c>
      <c r="T1233" s="124" t="s">
        <v>69</v>
      </c>
      <c r="U1233" s="124" t="s">
        <v>1465</v>
      </c>
      <c r="V1233" s="124" t="s">
        <v>43</v>
      </c>
      <c r="W1233" s="124" t="s">
        <v>51</v>
      </c>
      <c r="X1233" s="124" t="s">
        <v>52</v>
      </c>
      <c r="Y1233" s="124" t="s">
        <v>2569</v>
      </c>
      <c r="Z1233" s="91"/>
      <c r="AA1233" s="124" t="s">
        <v>778</v>
      </c>
      <c r="AB1233" s="91"/>
      <c r="AC1233" s="91"/>
      <c r="AD1233" s="91"/>
      <c r="AE1233" s="91"/>
      <c r="AF1233" s="91"/>
      <c r="AG1233" s="91"/>
      <c r="AH1233" s="91"/>
    </row>
    <row r="1234" spans="1:35" ht="120">
      <c r="A1234" s="120">
        <v>1233</v>
      </c>
      <c r="B1234" s="120" t="b">
        <f t="shared" ca="1" si="19"/>
        <v>0</v>
      </c>
      <c r="C1234" s="121">
        <v>45804</v>
      </c>
      <c r="D1234" s="137">
        <v>0.672337962962963</v>
      </c>
      <c r="E1234" s="94">
        <v>1033</v>
      </c>
      <c r="F1234" s="91">
        <v>1203</v>
      </c>
      <c r="G1234" s="94" t="s">
        <v>71</v>
      </c>
      <c r="H1234" s="94">
        <v>1027</v>
      </c>
      <c r="I1234" s="115">
        <v>35214500045329</v>
      </c>
      <c r="J1234" s="94" t="s">
        <v>72</v>
      </c>
      <c r="K1234" s="152">
        <v>7.3209999999999997</v>
      </c>
      <c r="L1234" s="122" t="str">
        <f>VLOOKUP(K1234,Liste!$L$2:$O$34,4,1)</f>
        <v>GSMR_02/03</v>
      </c>
      <c r="M1234" s="91" t="s">
        <v>36</v>
      </c>
      <c r="N1234" s="124" t="s">
        <v>37</v>
      </c>
      <c r="O1234" s="117" t="s">
        <v>2624</v>
      </c>
      <c r="P1234" s="117" t="s">
        <v>2253</v>
      </c>
      <c r="Q1234" s="118" t="s">
        <v>531</v>
      </c>
      <c r="R1234" s="184" t="s">
        <v>2548</v>
      </c>
      <c r="S1234" s="124" t="s">
        <v>2568</v>
      </c>
      <c r="T1234" s="124" t="s">
        <v>56</v>
      </c>
      <c r="U1234" s="124" t="s">
        <v>1465</v>
      </c>
      <c r="V1234" s="124" t="s">
        <v>43</v>
      </c>
      <c r="W1234" s="124" t="s">
        <v>51</v>
      </c>
      <c r="X1234" s="124" t="s">
        <v>52</v>
      </c>
      <c r="Y1234" s="124" t="s">
        <v>2569</v>
      </c>
      <c r="Z1234" s="91"/>
      <c r="AA1234" s="124" t="s">
        <v>772</v>
      </c>
      <c r="AB1234" s="91"/>
      <c r="AC1234" s="91"/>
      <c r="AD1234" s="91"/>
      <c r="AE1234" s="91"/>
      <c r="AF1234" s="91"/>
      <c r="AG1234" s="91"/>
      <c r="AH1234" s="91"/>
    </row>
    <row r="1235" spans="1:35" ht="120">
      <c r="A1235" s="120">
        <v>1234</v>
      </c>
      <c r="B1235" s="120" t="b">
        <f t="shared" ca="1" si="19"/>
        <v>0</v>
      </c>
      <c r="C1235" s="121">
        <v>45805</v>
      </c>
      <c r="D1235" s="137">
        <v>0.16998842592592592</v>
      </c>
      <c r="E1235" s="94">
        <v>2081</v>
      </c>
      <c r="F1235" s="91">
        <v>1204</v>
      </c>
      <c r="G1235" s="94" t="s">
        <v>34</v>
      </c>
      <c r="H1235" s="94">
        <v>1053</v>
      </c>
      <c r="I1235" s="115">
        <v>35214500045329</v>
      </c>
      <c r="J1235" s="94" t="s">
        <v>35</v>
      </c>
      <c r="K1235" s="152">
        <v>6.13</v>
      </c>
      <c r="L1235" s="122" t="str">
        <f>VLOOKUP(K1235,Liste!$L$2:$O$34,4,1)</f>
        <v>GSMR_02/03</v>
      </c>
      <c r="M1235" s="91" t="s">
        <v>36</v>
      </c>
      <c r="N1235" s="124" t="s">
        <v>58</v>
      </c>
      <c r="O1235" s="117" t="s">
        <v>2625</v>
      </c>
      <c r="P1235" s="117" t="s">
        <v>2253</v>
      </c>
      <c r="Q1235" s="118" t="s">
        <v>531</v>
      </c>
      <c r="R1235" s="184" t="s">
        <v>2548</v>
      </c>
      <c r="S1235" s="124" t="s">
        <v>2626</v>
      </c>
      <c r="T1235" s="124" t="s">
        <v>56</v>
      </c>
      <c r="U1235" s="124" t="s">
        <v>1570</v>
      </c>
      <c r="V1235" s="124" t="s">
        <v>51</v>
      </c>
      <c r="W1235" s="124" t="s">
        <v>51</v>
      </c>
      <c r="X1235" s="124" t="s">
        <v>52</v>
      </c>
      <c r="Y1235" s="124" t="s">
        <v>2569</v>
      </c>
      <c r="Z1235" s="91"/>
      <c r="AA1235" s="124" t="s">
        <v>793</v>
      </c>
      <c r="AB1235" s="91"/>
      <c r="AC1235" s="91"/>
      <c r="AD1235" s="91"/>
      <c r="AE1235" s="91"/>
      <c r="AF1235" s="91"/>
      <c r="AG1235" s="91"/>
      <c r="AH1235" s="91"/>
    </row>
    <row r="1236" spans="1:35" ht="120">
      <c r="A1236" s="120">
        <v>1235</v>
      </c>
      <c r="B1236" s="120" t="b">
        <f t="shared" ca="1" si="19"/>
        <v>0</v>
      </c>
      <c r="C1236" s="121">
        <v>45805</v>
      </c>
      <c r="D1236" s="137">
        <v>0.38187500000000002</v>
      </c>
      <c r="E1236" s="94">
        <v>1005</v>
      </c>
      <c r="F1236" s="91">
        <v>1210</v>
      </c>
      <c r="G1236" s="94" t="s">
        <v>71</v>
      </c>
      <c r="H1236" s="94">
        <v>1020</v>
      </c>
      <c r="I1236" s="115">
        <v>35214500045494</v>
      </c>
      <c r="J1236" s="94" t="s">
        <v>72</v>
      </c>
      <c r="K1236" s="152">
        <v>7.13</v>
      </c>
      <c r="L1236" s="122" t="str">
        <f>VLOOKUP(K1236,Liste!$L$2:$O$34,4,1)</f>
        <v>GSMR_02/03</v>
      </c>
      <c r="M1236" s="91" t="s">
        <v>36</v>
      </c>
      <c r="N1236" s="124" t="s">
        <v>37</v>
      </c>
      <c r="O1236" s="117" t="s">
        <v>2627</v>
      </c>
      <c r="P1236" s="117" t="s">
        <v>2253</v>
      </c>
      <c r="Q1236" s="118" t="s">
        <v>531</v>
      </c>
      <c r="R1236" s="184" t="s">
        <v>2548</v>
      </c>
      <c r="S1236" s="124" t="s">
        <v>1344</v>
      </c>
      <c r="T1236" s="124" t="s">
        <v>56</v>
      </c>
      <c r="U1236" s="124" t="s">
        <v>1493</v>
      </c>
      <c r="V1236" s="124" t="s">
        <v>51</v>
      </c>
      <c r="W1236" s="124" t="s">
        <v>51</v>
      </c>
      <c r="X1236" s="124" t="s">
        <v>52</v>
      </c>
      <c r="Y1236" s="124" t="s">
        <v>2569</v>
      </c>
      <c r="Z1236" s="91"/>
      <c r="AA1236" s="124" t="s">
        <v>754</v>
      </c>
      <c r="AB1236" s="91"/>
      <c r="AC1236" s="91"/>
      <c r="AD1236" s="91"/>
      <c r="AE1236" s="91"/>
      <c r="AF1236" s="91"/>
      <c r="AG1236" s="91"/>
      <c r="AH1236" s="91"/>
    </row>
    <row r="1237" spans="1:35" ht="60">
      <c r="A1237" s="120">
        <v>1236</v>
      </c>
      <c r="B1237" s="120" t="b">
        <f t="shared" ca="1" si="19"/>
        <v>0</v>
      </c>
      <c r="C1237" s="121">
        <v>45806</v>
      </c>
      <c r="D1237" s="137"/>
      <c r="E1237" s="94">
        <v>1001</v>
      </c>
      <c r="F1237" s="91">
        <v>1201</v>
      </c>
      <c r="G1237" s="94" t="s">
        <v>71</v>
      </c>
      <c r="H1237" s="94">
        <v>1028</v>
      </c>
      <c r="I1237" s="115">
        <v>35214500045268</v>
      </c>
      <c r="J1237" s="94" t="s">
        <v>72</v>
      </c>
      <c r="K1237" s="91">
        <v>127.815</v>
      </c>
      <c r="L1237" s="122" t="str">
        <f>VLOOKUP(K1237,Liste!$L$2:$O$34,4,1)</f>
        <v>GSMR_22/23</v>
      </c>
      <c r="M1237" s="91" t="s">
        <v>36</v>
      </c>
      <c r="N1237" s="124" t="s">
        <v>37</v>
      </c>
      <c r="O1237" s="117" t="s">
        <v>2628</v>
      </c>
      <c r="P1237" s="117" t="s">
        <v>2556</v>
      </c>
      <c r="Q1237" s="118" t="s">
        <v>47</v>
      </c>
      <c r="R1237" s="184" t="s">
        <v>2583</v>
      </c>
      <c r="S1237" s="124" t="s">
        <v>2629</v>
      </c>
      <c r="T1237" s="124" t="s">
        <v>93</v>
      </c>
      <c r="U1237" s="124" t="s">
        <v>1897</v>
      </c>
      <c r="V1237" s="124" t="s">
        <v>51</v>
      </c>
      <c r="W1237" s="124" t="s">
        <v>51</v>
      </c>
      <c r="X1237" s="124" t="s">
        <v>52</v>
      </c>
      <c r="Y1237" s="124" t="s">
        <v>2569</v>
      </c>
      <c r="Z1237" s="91"/>
      <c r="AA1237" s="124" t="s">
        <v>754</v>
      </c>
      <c r="AB1237" s="91"/>
      <c r="AC1237" s="91"/>
      <c r="AD1237" s="91"/>
      <c r="AE1237" s="91"/>
      <c r="AF1237" s="91"/>
      <c r="AG1237" s="91"/>
      <c r="AH1237" s="91"/>
    </row>
    <row r="1238" spans="1:35" ht="120">
      <c r="A1238" s="120">
        <v>1237</v>
      </c>
      <c r="B1238" s="120" t="b">
        <f t="shared" ca="1" si="19"/>
        <v>0</v>
      </c>
      <c r="C1238" s="121">
        <v>45806</v>
      </c>
      <c r="D1238" s="137">
        <v>0.64240740740740743</v>
      </c>
      <c r="E1238" s="94">
        <v>1033</v>
      </c>
      <c r="F1238" s="91">
        <v>1209</v>
      </c>
      <c r="G1238" s="94" t="s">
        <v>71</v>
      </c>
      <c r="H1238" s="94">
        <v>1032</v>
      </c>
      <c r="I1238" s="115">
        <v>35214500040638</v>
      </c>
      <c r="J1238" s="94" t="s">
        <v>72</v>
      </c>
      <c r="K1238" s="91">
        <v>198.98400000000001</v>
      </c>
      <c r="L1238" s="122" t="str">
        <f>VLOOKUP(K1238,Liste!$L$2:$O$34,4,1)</f>
        <v>GSMR_33/RAC</v>
      </c>
      <c r="M1238" s="91" t="s">
        <v>36</v>
      </c>
      <c r="N1238" s="124" t="s">
        <v>58</v>
      </c>
      <c r="O1238" s="117" t="s">
        <v>2630</v>
      </c>
      <c r="P1238" s="117" t="s">
        <v>2556</v>
      </c>
      <c r="Q1238" s="151" t="s">
        <v>2631</v>
      </c>
      <c r="R1238" s="184" t="s">
        <v>2632</v>
      </c>
      <c r="S1238" s="124" t="s">
        <v>2603</v>
      </c>
      <c r="T1238" s="124" t="s">
        <v>116</v>
      </c>
      <c r="U1238" s="124" t="s">
        <v>2604</v>
      </c>
      <c r="V1238" s="124" t="s">
        <v>51</v>
      </c>
      <c r="W1238" s="124" t="s">
        <v>51</v>
      </c>
      <c r="X1238" s="124" t="s">
        <v>52</v>
      </c>
      <c r="Y1238" s="124" t="s">
        <v>2569</v>
      </c>
      <c r="Z1238" s="91"/>
      <c r="AA1238" s="124" t="s">
        <v>1342</v>
      </c>
      <c r="AB1238" s="91"/>
      <c r="AC1238" s="91"/>
      <c r="AD1238" s="91"/>
      <c r="AE1238" s="91"/>
      <c r="AF1238" s="91"/>
      <c r="AG1238" s="91"/>
      <c r="AH1238" s="91"/>
    </row>
    <row r="1239" spans="1:35" ht="120">
      <c r="A1239" s="120">
        <v>1238</v>
      </c>
      <c r="B1239" s="120" t="b">
        <f t="shared" ca="1" si="19"/>
        <v>0</v>
      </c>
      <c r="C1239" s="121">
        <v>45806</v>
      </c>
      <c r="D1239" s="137">
        <v>0.96572916666666664</v>
      </c>
      <c r="E1239" s="94">
        <v>1061</v>
      </c>
      <c r="F1239" s="91">
        <v>1204</v>
      </c>
      <c r="G1239" s="94" t="s">
        <v>71</v>
      </c>
      <c r="H1239" s="94">
        <v>1034</v>
      </c>
      <c r="I1239" s="115">
        <v>35214500043605</v>
      </c>
      <c r="J1239" s="94" t="s">
        <v>72</v>
      </c>
      <c r="K1239" s="152">
        <v>7.3209999999999997</v>
      </c>
      <c r="L1239" s="122" t="str">
        <f>VLOOKUP(K1239,Liste!$L$2:$O$34,4,1)</f>
        <v>GSMR_02/03</v>
      </c>
      <c r="M1239" s="91" t="s">
        <v>36</v>
      </c>
      <c r="N1239" s="124" t="s">
        <v>37</v>
      </c>
      <c r="O1239" s="117" t="s">
        <v>2633</v>
      </c>
      <c r="P1239" s="117" t="s">
        <v>2253</v>
      </c>
      <c r="Q1239" s="118" t="s">
        <v>531</v>
      </c>
      <c r="R1239" s="184" t="s">
        <v>2548</v>
      </c>
      <c r="S1239" s="124" t="s">
        <v>2634</v>
      </c>
      <c r="T1239" s="124" t="s">
        <v>56</v>
      </c>
      <c r="U1239" s="124" t="s">
        <v>1541</v>
      </c>
      <c r="V1239" s="124" t="s">
        <v>43</v>
      </c>
      <c r="W1239" s="124" t="s">
        <v>51</v>
      </c>
      <c r="X1239" s="124" t="s">
        <v>52</v>
      </c>
      <c r="Y1239" s="124" t="s">
        <v>2569</v>
      </c>
      <c r="Z1239" s="91"/>
      <c r="AA1239" s="124" t="s">
        <v>778</v>
      </c>
      <c r="AB1239" s="91"/>
      <c r="AC1239" s="91"/>
      <c r="AD1239" s="91"/>
      <c r="AE1239" s="91"/>
      <c r="AF1239" s="91"/>
      <c r="AG1239" s="91"/>
      <c r="AH1239" s="91"/>
    </row>
    <row r="1240" spans="1:35" s="97" customFormat="1" ht="120">
      <c r="A1240" s="120">
        <v>1239</v>
      </c>
      <c r="B1240" s="120" t="b">
        <f t="shared" ca="1" si="19"/>
        <v>0</v>
      </c>
      <c r="C1240" s="121">
        <v>45812</v>
      </c>
      <c r="D1240" s="144">
        <v>0.37822916666666667</v>
      </c>
      <c r="E1240" s="94">
        <v>1006</v>
      </c>
      <c r="F1240" s="94">
        <v>1208</v>
      </c>
      <c r="G1240" s="94" t="s">
        <v>71</v>
      </c>
      <c r="H1240" s="94">
        <v>1045</v>
      </c>
      <c r="I1240" s="115">
        <v>35214500045098</v>
      </c>
      <c r="J1240" s="94" t="s">
        <v>72</v>
      </c>
      <c r="K1240" s="152">
        <v>6.13</v>
      </c>
      <c r="L1240" s="122" t="str">
        <f>VLOOKUP(K1240,Liste!$L$2:$O$34,4,1)</f>
        <v>GSMR_02/03</v>
      </c>
      <c r="M1240" s="94" t="s">
        <v>36</v>
      </c>
      <c r="N1240" s="124" t="s">
        <v>37</v>
      </c>
      <c r="O1240" s="117" t="s">
        <v>2635</v>
      </c>
      <c r="P1240" s="117" t="s">
        <v>2253</v>
      </c>
      <c r="Q1240" s="151" t="s">
        <v>531</v>
      </c>
      <c r="R1240" s="184" t="s">
        <v>2548</v>
      </c>
      <c r="S1240" s="124" t="s">
        <v>2634</v>
      </c>
      <c r="T1240" s="124" t="s">
        <v>56</v>
      </c>
      <c r="U1240" s="124" t="s">
        <v>1460</v>
      </c>
      <c r="V1240" s="124" t="s">
        <v>51</v>
      </c>
      <c r="W1240" s="124" t="s">
        <v>51</v>
      </c>
      <c r="X1240" s="124" t="s">
        <v>52</v>
      </c>
      <c r="Y1240" s="124" t="s">
        <v>2636</v>
      </c>
      <c r="Z1240" s="94"/>
      <c r="AA1240" s="124" t="s">
        <v>793</v>
      </c>
      <c r="AB1240" s="94"/>
      <c r="AC1240" s="94"/>
      <c r="AD1240" s="94"/>
      <c r="AE1240" s="94"/>
      <c r="AF1240" s="94"/>
      <c r="AG1240" s="94"/>
      <c r="AH1240" s="94"/>
    </row>
    <row r="1241" spans="1:35" s="150" customFormat="1" ht="120">
      <c r="A1241" s="120">
        <v>1240</v>
      </c>
      <c r="B1241" s="120" t="b">
        <f t="shared" ca="1" si="19"/>
        <v>0</v>
      </c>
      <c r="C1241" s="121">
        <v>45814</v>
      </c>
      <c r="D1241" s="137">
        <v>0.42019675925925926</v>
      </c>
      <c r="E1241" s="94">
        <v>2017</v>
      </c>
      <c r="F1241" s="94">
        <v>1209</v>
      </c>
      <c r="G1241" s="94" t="s">
        <v>34</v>
      </c>
      <c r="H1241" s="94">
        <v>1058</v>
      </c>
      <c r="I1241" s="115">
        <v>35214500004427</v>
      </c>
      <c r="J1241" s="94" t="s">
        <v>72</v>
      </c>
      <c r="K1241" s="152">
        <v>6.13</v>
      </c>
      <c r="L1241" s="122" t="str">
        <f>VLOOKUP(K1241,Liste!$L$2:$O$34,4,1)</f>
        <v>GSMR_02/03</v>
      </c>
      <c r="M1241" s="94" t="s">
        <v>36</v>
      </c>
      <c r="N1241" s="124" t="s">
        <v>37</v>
      </c>
      <c r="O1241" s="117" t="s">
        <v>2637</v>
      </c>
      <c r="P1241" s="117" t="s">
        <v>2253</v>
      </c>
      <c r="Q1241" s="151" t="s">
        <v>531</v>
      </c>
      <c r="R1241" s="184" t="s">
        <v>2548</v>
      </c>
      <c r="S1241" s="124" t="s">
        <v>2638</v>
      </c>
      <c r="T1241" s="124" t="s">
        <v>56</v>
      </c>
      <c r="U1241" s="124" t="s">
        <v>1680</v>
      </c>
      <c r="V1241" s="124" t="s">
        <v>51</v>
      </c>
      <c r="W1241" s="124" t="s">
        <v>51</v>
      </c>
      <c r="X1241" s="124" t="s">
        <v>52</v>
      </c>
      <c r="Y1241" s="124" t="s">
        <v>2636</v>
      </c>
      <c r="Z1241" s="94"/>
      <c r="AA1241" s="124" t="s">
        <v>772</v>
      </c>
      <c r="AB1241" s="94"/>
      <c r="AC1241" s="94"/>
      <c r="AD1241" s="94"/>
      <c r="AE1241" s="94"/>
      <c r="AF1241" s="94"/>
      <c r="AG1241" s="94"/>
      <c r="AH1241" s="94"/>
      <c r="AI1241" s="175"/>
    </row>
    <row r="1242" spans="1:35" s="149" customFormat="1" ht="60">
      <c r="A1242" s="120">
        <v>1241</v>
      </c>
      <c r="B1242" s="120" t="b">
        <f t="shared" ca="1" si="19"/>
        <v>0</v>
      </c>
      <c r="C1242" s="121">
        <v>45814</v>
      </c>
      <c r="D1242" s="137">
        <v>0.85549768518518521</v>
      </c>
      <c r="E1242" s="94">
        <v>1053</v>
      </c>
      <c r="F1242" s="94">
        <v>1205</v>
      </c>
      <c r="G1242" s="94" t="s">
        <v>71</v>
      </c>
      <c r="H1242" s="94">
        <v>1060</v>
      </c>
      <c r="I1242" s="115">
        <v>35214500005339</v>
      </c>
      <c r="J1242" s="94" t="s">
        <v>72</v>
      </c>
      <c r="K1242" s="91">
        <v>165.298</v>
      </c>
      <c r="L1242" s="122" t="str">
        <f>VLOOKUP(K1242,Liste!$L$2:$O$34,4,1)</f>
        <v>GSMR_28/29</v>
      </c>
      <c r="M1242" s="94" t="s">
        <v>36</v>
      </c>
      <c r="N1242" s="124" t="s">
        <v>37</v>
      </c>
      <c r="O1242" s="117" t="s">
        <v>2639</v>
      </c>
      <c r="P1242" s="117" t="s">
        <v>2556</v>
      </c>
      <c r="Q1242" s="118" t="s">
        <v>47</v>
      </c>
      <c r="R1242" s="184" t="s">
        <v>2583</v>
      </c>
      <c r="S1242" s="124" t="s">
        <v>2640</v>
      </c>
      <c r="T1242" s="124" t="s">
        <v>56</v>
      </c>
      <c r="U1242" s="124" t="s">
        <v>1471</v>
      </c>
      <c r="V1242" s="124" t="s">
        <v>51</v>
      </c>
      <c r="W1242" s="124" t="s">
        <v>51</v>
      </c>
      <c r="X1242" s="124" t="s">
        <v>52</v>
      </c>
      <c r="Y1242" s="124" t="s">
        <v>2636</v>
      </c>
      <c r="Z1242" s="94"/>
      <c r="AA1242" s="124" t="s">
        <v>754</v>
      </c>
      <c r="AB1242" s="94"/>
      <c r="AC1242" s="94"/>
      <c r="AD1242" s="94"/>
      <c r="AE1242" s="94"/>
      <c r="AF1242" s="94"/>
      <c r="AG1242" s="94"/>
      <c r="AH1242" s="94"/>
      <c r="AI1242" s="176"/>
    </row>
    <row r="1243" spans="1:35" ht="75">
      <c r="A1243" s="120">
        <v>1242</v>
      </c>
      <c r="B1243" s="120" t="b">
        <f t="shared" ca="1" si="19"/>
        <v>0</v>
      </c>
      <c r="C1243" s="121">
        <v>45816</v>
      </c>
      <c r="D1243" s="137">
        <v>0.77048611111111109</v>
      </c>
      <c r="E1243" s="94">
        <v>2049</v>
      </c>
      <c r="F1243" s="94">
        <v>1206</v>
      </c>
      <c r="G1243" s="94" t="s">
        <v>34</v>
      </c>
      <c r="H1243" s="94">
        <v>1054</v>
      </c>
      <c r="I1243" s="115">
        <v>35214500022752</v>
      </c>
      <c r="J1243" s="94" t="s">
        <v>35</v>
      </c>
      <c r="K1243" s="91">
        <v>109.495</v>
      </c>
      <c r="L1243" s="122" t="str">
        <f>VLOOKUP(K1243,Liste!$L$2:$O$34,4,1)</f>
        <v>GSMR_19/20</v>
      </c>
      <c r="M1243" s="94" t="s">
        <v>36</v>
      </c>
      <c r="N1243" s="124" t="s">
        <v>37</v>
      </c>
      <c r="O1243" s="117" t="s">
        <v>2641</v>
      </c>
      <c r="P1243" s="117" t="s">
        <v>2593</v>
      </c>
      <c r="Q1243" s="118" t="s">
        <v>47</v>
      </c>
      <c r="R1243" s="184" t="s">
        <v>2583</v>
      </c>
      <c r="S1243" s="124" t="s">
        <v>2642</v>
      </c>
      <c r="T1243" s="124" t="s">
        <v>56</v>
      </c>
      <c r="U1243" s="124" t="s">
        <v>1595</v>
      </c>
      <c r="V1243" s="124" t="s">
        <v>43</v>
      </c>
      <c r="W1243" s="124" t="s">
        <v>51</v>
      </c>
      <c r="X1243" s="124" t="s">
        <v>52</v>
      </c>
      <c r="Y1243" s="124" t="s">
        <v>2569</v>
      </c>
      <c r="Z1243" s="94"/>
      <c r="AA1243" s="124" t="s">
        <v>778</v>
      </c>
      <c r="AB1243" s="94"/>
      <c r="AC1243" s="94"/>
      <c r="AD1243" s="94"/>
      <c r="AE1243" s="94"/>
      <c r="AF1243" s="94"/>
      <c r="AG1243" s="94"/>
      <c r="AH1243" s="94"/>
    </row>
    <row r="1244" spans="1:35" s="97" customFormat="1" ht="120">
      <c r="A1244" s="120">
        <v>1243</v>
      </c>
      <c r="B1244" s="120" t="b">
        <f t="shared" ca="1" si="19"/>
        <v>0</v>
      </c>
      <c r="C1244" s="121">
        <v>45817</v>
      </c>
      <c r="D1244" s="137">
        <v>0.75351851851851848</v>
      </c>
      <c r="E1244" s="94">
        <v>2049</v>
      </c>
      <c r="F1244" s="94">
        <v>1206</v>
      </c>
      <c r="G1244" s="94" t="s">
        <v>34</v>
      </c>
      <c r="H1244" s="94">
        <v>1054</v>
      </c>
      <c r="I1244" s="115">
        <v>35214500022752</v>
      </c>
      <c r="J1244" s="94" t="s">
        <v>35</v>
      </c>
      <c r="K1244" s="152">
        <v>6.13</v>
      </c>
      <c r="L1244" s="122" t="str">
        <f>VLOOKUP(K1244,Liste!$L$2:$O$34,4,1)</f>
        <v>GSMR_02/03</v>
      </c>
      <c r="M1244" s="94" t="s">
        <v>36</v>
      </c>
      <c r="N1244" s="124" t="s">
        <v>37</v>
      </c>
      <c r="O1244" s="117" t="s">
        <v>2643</v>
      </c>
      <c r="P1244" s="117" t="s">
        <v>2253</v>
      </c>
      <c r="Q1244" s="151" t="s">
        <v>531</v>
      </c>
      <c r="R1244" s="184" t="s">
        <v>2548</v>
      </c>
      <c r="S1244" s="124" t="s">
        <v>2644</v>
      </c>
      <c r="T1244" s="124" t="s">
        <v>56</v>
      </c>
      <c r="U1244" s="124" t="s">
        <v>1493</v>
      </c>
      <c r="V1244" s="124" t="s">
        <v>51</v>
      </c>
      <c r="W1244" s="124" t="s">
        <v>51</v>
      </c>
      <c r="X1244" s="124" t="s">
        <v>52</v>
      </c>
      <c r="Y1244" s="124" t="s">
        <v>2569</v>
      </c>
      <c r="Z1244" s="94"/>
      <c r="AA1244" s="124" t="s">
        <v>778</v>
      </c>
      <c r="AB1244" s="94"/>
      <c r="AC1244" s="94"/>
      <c r="AD1244" s="94"/>
      <c r="AE1244" s="94"/>
      <c r="AF1244" s="94"/>
      <c r="AG1244" s="94"/>
      <c r="AH1244" s="94"/>
    </row>
    <row r="1245" spans="1:35" s="97" customFormat="1" ht="120">
      <c r="A1245" s="120">
        <v>1244</v>
      </c>
      <c r="B1245" s="120" t="b">
        <f t="shared" ca="1" si="19"/>
        <v>0</v>
      </c>
      <c r="C1245" s="121">
        <v>45818</v>
      </c>
      <c r="D1245" s="137">
        <v>0.8367013888888889</v>
      </c>
      <c r="E1245" s="94">
        <v>2057</v>
      </c>
      <c r="F1245" s="94">
        <v>1206</v>
      </c>
      <c r="G1245" s="94" t="s">
        <v>34</v>
      </c>
      <c r="H1245" s="94">
        <v>1055</v>
      </c>
      <c r="I1245" s="115">
        <v>35214500036582</v>
      </c>
      <c r="J1245" s="94" t="s">
        <v>35</v>
      </c>
      <c r="K1245" s="152">
        <v>6.13</v>
      </c>
      <c r="L1245" s="122" t="str">
        <f>VLOOKUP(K1245,Liste!$L$2:$O$34,4,1)</f>
        <v>GSMR_02/03</v>
      </c>
      <c r="M1245" s="94" t="s">
        <v>36</v>
      </c>
      <c r="N1245" s="124" t="s">
        <v>37</v>
      </c>
      <c r="O1245" s="117" t="s">
        <v>2645</v>
      </c>
      <c r="P1245" s="117" t="s">
        <v>2253</v>
      </c>
      <c r="Q1245" s="151" t="s">
        <v>531</v>
      </c>
      <c r="R1245" s="184" t="s">
        <v>2548</v>
      </c>
      <c r="S1245" s="124" t="s">
        <v>1843</v>
      </c>
      <c r="T1245" s="124" t="s">
        <v>93</v>
      </c>
      <c r="U1245" s="124" t="s">
        <v>1541</v>
      </c>
      <c r="V1245" s="124" t="s">
        <v>51</v>
      </c>
      <c r="W1245" s="124" t="s">
        <v>51</v>
      </c>
      <c r="X1245" s="124" t="s">
        <v>52</v>
      </c>
      <c r="Y1245" s="124" t="s">
        <v>2569</v>
      </c>
      <c r="Z1245" s="94"/>
      <c r="AA1245" s="124" t="s">
        <v>778</v>
      </c>
      <c r="AB1245" s="94"/>
      <c r="AC1245" s="94"/>
      <c r="AD1245" s="94"/>
      <c r="AE1245" s="94"/>
      <c r="AF1245" s="94"/>
      <c r="AG1245" s="94"/>
      <c r="AH1245" s="94"/>
    </row>
    <row r="1246" spans="1:35" s="97" customFormat="1" ht="60">
      <c r="A1246" s="120">
        <v>1245</v>
      </c>
      <c r="B1246" s="120" t="b">
        <f t="shared" ca="1" si="19"/>
        <v>0</v>
      </c>
      <c r="C1246" s="121">
        <v>45819</v>
      </c>
      <c r="D1246" s="137">
        <v>0.26475694444444442</v>
      </c>
      <c r="E1246" s="94">
        <v>2001</v>
      </c>
      <c r="F1246" s="94">
        <v>1209</v>
      </c>
      <c r="G1246" s="94" t="s">
        <v>34</v>
      </c>
      <c r="H1246" s="94">
        <v>1058</v>
      </c>
      <c r="I1246" s="115">
        <v>35214500004427</v>
      </c>
      <c r="J1246" s="94" t="s">
        <v>35</v>
      </c>
      <c r="K1246" s="91">
        <v>73.585999999999999</v>
      </c>
      <c r="L1246" s="122" t="str">
        <f>VLOOKUP(K1246,Liste!$L$2:$O$34,4,1)</f>
        <v>GSMR_13/14</v>
      </c>
      <c r="M1246" s="94" t="s">
        <v>36</v>
      </c>
      <c r="N1246" s="124" t="s">
        <v>37</v>
      </c>
      <c r="O1246" s="117" t="s">
        <v>2646</v>
      </c>
      <c r="P1246" s="117" t="s">
        <v>2556</v>
      </c>
      <c r="Q1246" s="118" t="s">
        <v>47</v>
      </c>
      <c r="R1246" s="184" t="s">
        <v>2583</v>
      </c>
      <c r="S1246" s="124" t="s">
        <v>2647</v>
      </c>
      <c r="T1246" s="124" t="s">
        <v>116</v>
      </c>
      <c r="U1246" s="124" t="s">
        <v>1538</v>
      </c>
      <c r="V1246" s="124" t="s">
        <v>51</v>
      </c>
      <c r="W1246" s="124" t="s">
        <v>51</v>
      </c>
      <c r="X1246" s="124" t="s">
        <v>52</v>
      </c>
      <c r="Y1246" s="124" t="s">
        <v>2569</v>
      </c>
      <c r="Z1246" s="94"/>
      <c r="AA1246" s="124" t="s">
        <v>772</v>
      </c>
      <c r="AB1246" s="94"/>
      <c r="AC1246" s="94"/>
      <c r="AD1246" s="94"/>
      <c r="AE1246" s="94"/>
      <c r="AF1246" s="94"/>
      <c r="AG1246" s="94"/>
      <c r="AH1246" s="94"/>
    </row>
    <row r="1247" spans="1:35" ht="120">
      <c r="A1247" s="120">
        <v>1246</v>
      </c>
      <c r="B1247" s="120" t="b">
        <f t="shared" ca="1" si="19"/>
        <v>0</v>
      </c>
      <c r="C1247" s="121">
        <v>45821</v>
      </c>
      <c r="D1247" s="137">
        <v>0.58701388888888884</v>
      </c>
      <c r="E1247" s="94">
        <v>1025</v>
      </c>
      <c r="F1247" s="94">
        <v>1211</v>
      </c>
      <c r="G1247" s="94" t="s">
        <v>71</v>
      </c>
      <c r="H1247" s="94">
        <v>3062</v>
      </c>
      <c r="I1247" s="115">
        <v>35214500017596</v>
      </c>
      <c r="J1247" s="94" t="s">
        <v>72</v>
      </c>
      <c r="K1247" s="152">
        <v>7.3209999999999997</v>
      </c>
      <c r="L1247" s="122" t="str">
        <f>VLOOKUP(K1247,Liste!$L$2:$O$34,4,1)</f>
        <v>GSMR_02/03</v>
      </c>
      <c r="M1247" s="94" t="s">
        <v>36</v>
      </c>
      <c r="N1247" s="124" t="s">
        <v>58</v>
      </c>
      <c r="O1247" s="117" t="s">
        <v>2648</v>
      </c>
      <c r="P1247" s="117" t="s">
        <v>2253</v>
      </c>
      <c r="Q1247" s="118" t="s">
        <v>531</v>
      </c>
      <c r="R1247" s="184" t="s">
        <v>2548</v>
      </c>
      <c r="S1247" s="124" t="s">
        <v>1452</v>
      </c>
      <c r="T1247" s="124" t="s">
        <v>56</v>
      </c>
      <c r="U1247" s="124" t="s">
        <v>1498</v>
      </c>
      <c r="V1247" s="124" t="s">
        <v>51</v>
      </c>
      <c r="W1247" s="124" t="s">
        <v>51</v>
      </c>
      <c r="X1247" s="124" t="s">
        <v>52</v>
      </c>
      <c r="Y1247" s="124" t="s">
        <v>2569</v>
      </c>
      <c r="Z1247" s="94"/>
      <c r="AA1247" s="124" t="s">
        <v>959</v>
      </c>
      <c r="AB1247" s="94"/>
      <c r="AC1247" s="94"/>
      <c r="AD1247" s="94"/>
      <c r="AE1247" s="94"/>
      <c r="AF1247" s="94"/>
      <c r="AG1247" s="94"/>
      <c r="AH1247" s="94"/>
    </row>
    <row r="1248" spans="1:35" ht="60">
      <c r="A1248" s="120">
        <v>1247</v>
      </c>
      <c r="B1248" s="120" t="b">
        <f t="shared" ca="1" si="19"/>
        <v>0</v>
      </c>
      <c r="C1248" s="121">
        <v>45821</v>
      </c>
      <c r="D1248" s="137">
        <v>0.8911458333333333</v>
      </c>
      <c r="E1248" s="94">
        <v>1057</v>
      </c>
      <c r="F1248" s="94">
        <v>1210</v>
      </c>
      <c r="G1248" s="94" t="s">
        <v>71</v>
      </c>
      <c r="H1248" s="94">
        <v>1020</v>
      </c>
      <c r="I1248" s="115">
        <v>35214500045494</v>
      </c>
      <c r="J1248" s="94" t="s">
        <v>72</v>
      </c>
      <c r="K1248" s="94" t="s">
        <v>2649</v>
      </c>
      <c r="L1248" s="122" t="s">
        <v>2650</v>
      </c>
      <c r="M1248" s="94" t="s">
        <v>36</v>
      </c>
      <c r="N1248" s="124" t="s">
        <v>58</v>
      </c>
      <c r="O1248" s="117" t="s">
        <v>2651</v>
      </c>
      <c r="P1248" s="117" t="s">
        <v>2556</v>
      </c>
      <c r="Q1248" s="151" t="s">
        <v>47</v>
      </c>
      <c r="R1248" s="184" t="s">
        <v>2583</v>
      </c>
      <c r="S1248" s="124" t="s">
        <v>1965</v>
      </c>
      <c r="T1248" s="124" t="s">
        <v>56</v>
      </c>
      <c r="U1248" s="124" t="s">
        <v>1549</v>
      </c>
      <c r="V1248" s="124" t="s">
        <v>51</v>
      </c>
      <c r="W1248" s="124" t="s">
        <v>51</v>
      </c>
      <c r="X1248" s="124" t="s">
        <v>52</v>
      </c>
      <c r="Y1248" s="124" t="s">
        <v>2569</v>
      </c>
      <c r="Z1248" s="94"/>
      <c r="AA1248" s="124" t="s">
        <v>1183</v>
      </c>
      <c r="AB1248" s="94"/>
      <c r="AC1248" s="94"/>
      <c r="AD1248" s="94"/>
      <c r="AE1248" s="94"/>
      <c r="AF1248" s="94"/>
      <c r="AG1248" s="94"/>
      <c r="AH1248" s="94"/>
    </row>
    <row r="1249" spans="1:34" ht="60">
      <c r="A1249" s="120">
        <v>1248</v>
      </c>
      <c r="B1249" s="120" t="b">
        <f t="shared" ca="1" si="19"/>
        <v>0</v>
      </c>
      <c r="C1249" s="121">
        <v>45822</v>
      </c>
      <c r="D1249" s="137">
        <v>0.25818287037037035</v>
      </c>
      <c r="E1249" s="94">
        <v>13042</v>
      </c>
      <c r="F1249" s="94">
        <v>1209</v>
      </c>
      <c r="G1249" s="94" t="s">
        <v>34</v>
      </c>
      <c r="H1249" s="94">
        <v>1036</v>
      </c>
      <c r="I1249" s="115">
        <v>35214500045461</v>
      </c>
      <c r="J1249" s="94" t="s">
        <v>35</v>
      </c>
      <c r="K1249" s="91">
        <v>186.315</v>
      </c>
      <c r="L1249" s="122" t="str">
        <f>VLOOKUP(K1249,Liste!$L$2:$O$34,4,1)</f>
        <v>GSMR_32/33</v>
      </c>
      <c r="M1249" s="94" t="s">
        <v>36</v>
      </c>
      <c r="N1249" s="124" t="s">
        <v>37</v>
      </c>
      <c r="O1249" s="117" t="s">
        <v>2652</v>
      </c>
      <c r="P1249" s="117" t="s">
        <v>2556</v>
      </c>
      <c r="Q1249" s="118" t="s">
        <v>47</v>
      </c>
      <c r="R1249" s="184" t="s">
        <v>2583</v>
      </c>
      <c r="S1249" s="124" t="s">
        <v>2653</v>
      </c>
      <c r="T1249" s="124" t="s">
        <v>69</v>
      </c>
      <c r="U1249" s="124" t="s">
        <v>1493</v>
      </c>
      <c r="V1249" s="124" t="s">
        <v>51</v>
      </c>
      <c r="W1249" s="124" t="s">
        <v>51</v>
      </c>
      <c r="X1249" s="124" t="s">
        <v>52</v>
      </c>
      <c r="Y1249" s="124" t="s">
        <v>2569</v>
      </c>
      <c r="Z1249" s="94"/>
      <c r="AA1249" s="124" t="s">
        <v>1118</v>
      </c>
      <c r="AB1249" s="94"/>
      <c r="AC1249" s="94"/>
      <c r="AD1249" s="94"/>
      <c r="AE1249" s="94"/>
      <c r="AF1249" s="94"/>
      <c r="AG1249" s="94"/>
      <c r="AH1249" s="94"/>
    </row>
    <row r="1250" spans="1:34" ht="120">
      <c r="A1250" s="120">
        <v>1249</v>
      </c>
      <c r="B1250" s="120" t="b">
        <f t="shared" ca="1" si="19"/>
        <v>0</v>
      </c>
      <c r="C1250" s="121">
        <v>45823</v>
      </c>
      <c r="D1250" s="137">
        <v>0.8790162037037037</v>
      </c>
      <c r="E1250" s="94">
        <v>1053</v>
      </c>
      <c r="F1250" s="94">
        <v>1211</v>
      </c>
      <c r="G1250" s="94" t="s">
        <v>71</v>
      </c>
      <c r="H1250" s="94">
        <v>3062</v>
      </c>
      <c r="I1250" s="115">
        <v>35214500017596</v>
      </c>
      <c r="J1250" s="94" t="s">
        <v>72</v>
      </c>
      <c r="K1250" s="152">
        <v>7.3209999999999997</v>
      </c>
      <c r="L1250" s="122" t="str">
        <f>VLOOKUP(K1250,Liste!$L$2:$O$34,4,1)</f>
        <v>GSMR_02/03</v>
      </c>
      <c r="M1250" s="94" t="s">
        <v>36</v>
      </c>
      <c r="N1250" s="124" t="s">
        <v>37</v>
      </c>
      <c r="O1250" s="117" t="s">
        <v>2654</v>
      </c>
      <c r="P1250" s="117" t="s">
        <v>2253</v>
      </c>
      <c r="Q1250" s="151" t="s">
        <v>531</v>
      </c>
      <c r="R1250" s="184" t="s">
        <v>2548</v>
      </c>
      <c r="S1250" s="124" t="s">
        <v>1617</v>
      </c>
      <c r="T1250" s="124" t="s">
        <v>101</v>
      </c>
      <c r="U1250" s="124" t="s">
        <v>1595</v>
      </c>
      <c r="V1250" s="124" t="s">
        <v>43</v>
      </c>
      <c r="W1250" s="124" t="s">
        <v>51</v>
      </c>
      <c r="X1250" s="124" t="s">
        <v>52</v>
      </c>
      <c r="Y1250" s="124" t="s">
        <v>2569</v>
      </c>
      <c r="Z1250" s="94"/>
      <c r="AA1250" s="124" t="s">
        <v>1118</v>
      </c>
      <c r="AB1250" s="94"/>
      <c r="AC1250" s="94"/>
      <c r="AD1250" s="94"/>
      <c r="AE1250" s="94"/>
      <c r="AF1250" s="94"/>
      <c r="AG1250" s="94"/>
      <c r="AH1250" s="94"/>
    </row>
    <row r="1251" spans="1:34" ht="60">
      <c r="A1251" s="120">
        <v>1250</v>
      </c>
      <c r="B1251" s="120" t="b">
        <f t="shared" ca="1" si="19"/>
        <v>0</v>
      </c>
      <c r="C1251" s="121">
        <v>45826</v>
      </c>
      <c r="D1251" s="137">
        <v>0.19145833333333334</v>
      </c>
      <c r="E1251" s="94">
        <v>2081</v>
      </c>
      <c r="F1251" s="94">
        <v>1208</v>
      </c>
      <c r="G1251" s="94" t="s">
        <v>34</v>
      </c>
      <c r="H1251" s="94">
        <v>1037</v>
      </c>
      <c r="I1251" s="115">
        <v>35214500045488</v>
      </c>
      <c r="J1251" s="94" t="s">
        <v>35</v>
      </c>
      <c r="K1251" s="91">
        <v>81.777000000000001</v>
      </c>
      <c r="L1251" s="122" t="str">
        <f>VLOOKUP(K1251,Liste!$L$2:$O$34,4,1)</f>
        <v>GSMR_15/16</v>
      </c>
      <c r="M1251" s="94" t="s">
        <v>36</v>
      </c>
      <c r="N1251" s="124" t="s">
        <v>37</v>
      </c>
      <c r="O1251" s="117" t="s">
        <v>2655</v>
      </c>
      <c r="P1251" s="117" t="s">
        <v>2556</v>
      </c>
      <c r="Q1251" s="118" t="s">
        <v>47</v>
      </c>
      <c r="R1251" s="184" t="s">
        <v>2583</v>
      </c>
      <c r="S1251" s="124" t="s">
        <v>2656</v>
      </c>
      <c r="T1251" s="124" t="s">
        <v>209</v>
      </c>
      <c r="U1251" s="124" t="s">
        <v>1463</v>
      </c>
      <c r="V1251" s="124" t="s">
        <v>51</v>
      </c>
      <c r="W1251" s="124" t="s">
        <v>51</v>
      </c>
      <c r="X1251" s="124" t="s">
        <v>52</v>
      </c>
      <c r="Y1251" s="124" t="s">
        <v>2569</v>
      </c>
      <c r="Z1251" s="94"/>
      <c r="AA1251" s="124" t="s">
        <v>1118</v>
      </c>
      <c r="AB1251" s="94"/>
      <c r="AC1251" s="94"/>
      <c r="AD1251" s="94"/>
      <c r="AE1251" s="94"/>
      <c r="AF1251" s="94"/>
      <c r="AG1251" s="94"/>
      <c r="AH1251" s="94"/>
    </row>
    <row r="1252" spans="1:34" ht="120">
      <c r="A1252" s="120">
        <v>1251</v>
      </c>
      <c r="B1252" s="120" t="b">
        <f t="shared" ca="1" si="19"/>
        <v>0</v>
      </c>
      <c r="C1252" s="121">
        <v>45826</v>
      </c>
      <c r="D1252" s="137">
        <v>0.50351851851851848</v>
      </c>
      <c r="E1252" s="94">
        <v>1018</v>
      </c>
      <c r="F1252" s="94">
        <v>1203</v>
      </c>
      <c r="G1252" s="94" t="s">
        <v>71</v>
      </c>
      <c r="H1252" s="94">
        <v>1027</v>
      </c>
      <c r="I1252" s="115">
        <v>35214500045083</v>
      </c>
      <c r="J1252" s="94" t="s">
        <v>72</v>
      </c>
      <c r="K1252" s="152">
        <v>7.3209999999999997</v>
      </c>
      <c r="L1252" s="122" t="str">
        <f>VLOOKUP(K1252,Liste!$L$2:$O$34,4,1)</f>
        <v>GSMR_02/03</v>
      </c>
      <c r="M1252" s="94" t="s">
        <v>36</v>
      </c>
      <c r="N1252" s="124" t="s">
        <v>37</v>
      </c>
      <c r="O1252" s="117" t="s">
        <v>2657</v>
      </c>
      <c r="P1252" s="117" t="s">
        <v>2253</v>
      </c>
      <c r="Q1252" s="151" t="s">
        <v>531</v>
      </c>
      <c r="R1252" s="184" t="s">
        <v>2548</v>
      </c>
      <c r="S1252" s="124" t="s">
        <v>2658</v>
      </c>
      <c r="T1252" s="124" t="s">
        <v>56</v>
      </c>
      <c r="U1252" s="124" t="s">
        <v>1465</v>
      </c>
      <c r="V1252" s="124" t="s">
        <v>51</v>
      </c>
      <c r="W1252" s="124" t="s">
        <v>51</v>
      </c>
      <c r="X1252" s="124" t="s">
        <v>52</v>
      </c>
      <c r="Y1252" s="124" t="s">
        <v>2569</v>
      </c>
      <c r="Z1252" s="94"/>
      <c r="AA1252" s="124" t="s">
        <v>802</v>
      </c>
      <c r="AB1252" s="94"/>
      <c r="AC1252" s="94"/>
      <c r="AD1252" s="94"/>
      <c r="AE1252" s="94"/>
      <c r="AF1252" s="94"/>
      <c r="AG1252" s="94"/>
      <c r="AH1252" s="94"/>
    </row>
    <row r="1253" spans="1:34" ht="120">
      <c r="A1253" s="120">
        <v>1252</v>
      </c>
      <c r="B1253" s="120" t="b">
        <f t="shared" ca="1" si="19"/>
        <v>0</v>
      </c>
      <c r="C1253" s="121">
        <v>45826</v>
      </c>
      <c r="D1253" s="137">
        <v>0.87877314814814811</v>
      </c>
      <c r="E1253" s="94">
        <v>2061</v>
      </c>
      <c r="F1253" s="94">
        <v>1204</v>
      </c>
      <c r="G1253" s="94" t="s">
        <v>34</v>
      </c>
      <c r="H1253" s="94">
        <v>1053</v>
      </c>
      <c r="I1253" s="115">
        <v>35214500044497</v>
      </c>
      <c r="J1253" s="94" t="s">
        <v>35</v>
      </c>
      <c r="K1253" s="152">
        <v>6.13</v>
      </c>
      <c r="L1253" s="122" t="str">
        <f>VLOOKUP(K1253,Liste!$L$2:$O$34,4,1)</f>
        <v>GSMR_02/03</v>
      </c>
      <c r="M1253" s="94" t="s">
        <v>36</v>
      </c>
      <c r="N1253" s="124" t="s">
        <v>58</v>
      </c>
      <c r="O1253" s="117" t="s">
        <v>2659</v>
      </c>
      <c r="P1253" s="117" t="s">
        <v>2253</v>
      </c>
      <c r="Q1253" s="151" t="s">
        <v>531</v>
      </c>
      <c r="R1253" s="184" t="s">
        <v>2548</v>
      </c>
      <c r="S1253" s="124" t="s">
        <v>2658</v>
      </c>
      <c r="T1253" s="124" t="s">
        <v>56</v>
      </c>
      <c r="U1253" s="124" t="s">
        <v>1541</v>
      </c>
      <c r="V1253" s="124" t="s">
        <v>51</v>
      </c>
      <c r="W1253" s="124" t="s">
        <v>51</v>
      </c>
      <c r="X1253" s="124" t="s">
        <v>52</v>
      </c>
      <c r="Y1253" s="124" t="s">
        <v>2569</v>
      </c>
      <c r="Z1253" s="91"/>
      <c r="AA1253" s="124" t="s">
        <v>810</v>
      </c>
      <c r="AB1253" s="94"/>
      <c r="AC1253" s="94"/>
      <c r="AD1253" s="94"/>
      <c r="AE1253" s="94"/>
      <c r="AF1253" s="94"/>
      <c r="AG1253" s="94"/>
      <c r="AH1253" s="94"/>
    </row>
    <row r="1254" spans="1:34" ht="105">
      <c r="A1254" s="120">
        <v>1253</v>
      </c>
      <c r="B1254" s="120" t="b">
        <f t="shared" ca="1" si="19"/>
        <v>0</v>
      </c>
      <c r="C1254" s="121">
        <v>45826</v>
      </c>
      <c r="D1254" s="137">
        <v>0.87885416666666671</v>
      </c>
      <c r="E1254" s="94">
        <v>1053</v>
      </c>
      <c r="F1254" s="94">
        <v>1203</v>
      </c>
      <c r="G1254" s="94" t="s">
        <v>71</v>
      </c>
      <c r="H1254" s="94">
        <v>1026</v>
      </c>
      <c r="I1254" s="115">
        <v>35214500045329</v>
      </c>
      <c r="J1254" s="94" t="s">
        <v>72</v>
      </c>
      <c r="K1254" s="152">
        <v>7.3209999999999997</v>
      </c>
      <c r="L1254" s="122" t="str">
        <f>VLOOKUP(K1254,Liste!$L$2:$O$34,4,1)</f>
        <v>GSMR_02/03</v>
      </c>
      <c r="M1254" s="94" t="s">
        <v>36</v>
      </c>
      <c r="N1254" s="124" t="s">
        <v>37</v>
      </c>
      <c r="O1254" s="117" t="s">
        <v>2660</v>
      </c>
      <c r="P1254" s="117" t="s">
        <v>2470</v>
      </c>
      <c r="Q1254" s="151" t="s">
        <v>531</v>
      </c>
      <c r="R1254" s="184" t="s">
        <v>2548</v>
      </c>
      <c r="S1254" s="124" t="s">
        <v>1843</v>
      </c>
      <c r="T1254" s="124" t="s">
        <v>56</v>
      </c>
      <c r="U1254" s="124" t="s">
        <v>1546</v>
      </c>
      <c r="V1254" s="124" t="s">
        <v>51</v>
      </c>
      <c r="W1254" s="124" t="s">
        <v>51</v>
      </c>
      <c r="X1254" s="124" t="s">
        <v>52</v>
      </c>
      <c r="Y1254" s="124" t="s">
        <v>2569</v>
      </c>
      <c r="Z1254" s="94"/>
      <c r="AA1254" s="124" t="s">
        <v>778</v>
      </c>
      <c r="AB1254" s="94"/>
      <c r="AC1254" s="94"/>
      <c r="AD1254" s="94"/>
      <c r="AE1254" s="94"/>
      <c r="AF1254" s="94"/>
      <c r="AG1254" s="94"/>
      <c r="AH1254" s="94"/>
    </row>
    <row r="1255" spans="1:34" ht="60">
      <c r="A1255" s="120">
        <v>1254</v>
      </c>
      <c r="B1255" s="120" t="b">
        <f t="shared" ca="1" si="19"/>
        <v>0</v>
      </c>
      <c r="C1255" s="121">
        <v>45828</v>
      </c>
      <c r="D1255" s="137">
        <v>0.51687499999999997</v>
      </c>
      <c r="E1255" s="94">
        <v>1021</v>
      </c>
      <c r="F1255" s="94">
        <v>1203</v>
      </c>
      <c r="G1255" s="94" t="s">
        <v>71</v>
      </c>
      <c r="H1255" s="94">
        <v>1027</v>
      </c>
      <c r="I1255" s="115">
        <v>35214500045083</v>
      </c>
      <c r="J1255" s="94" t="s">
        <v>72</v>
      </c>
      <c r="K1255" s="91">
        <v>198.98400000000001</v>
      </c>
      <c r="L1255" s="122" t="str">
        <f>VLOOKUP(K1255,Liste!$L$2:$O$34,4,1)</f>
        <v>GSMR_33/RAC</v>
      </c>
      <c r="M1255" s="94" t="s">
        <v>36</v>
      </c>
      <c r="N1255" s="124" t="s">
        <v>58</v>
      </c>
      <c r="O1255" s="117" t="s">
        <v>2661</v>
      </c>
      <c r="P1255" s="117" t="s">
        <v>2556</v>
      </c>
      <c r="Q1255" s="151" t="s">
        <v>2631</v>
      </c>
      <c r="R1255" s="184" t="s">
        <v>2662</v>
      </c>
      <c r="S1255" s="124" t="s">
        <v>2663</v>
      </c>
      <c r="T1255" s="124" t="s">
        <v>1440</v>
      </c>
      <c r="U1255" s="124" t="s">
        <v>1441</v>
      </c>
      <c r="V1255" s="124" t="s">
        <v>43</v>
      </c>
      <c r="W1255" s="124" t="s">
        <v>43</v>
      </c>
      <c r="X1255" s="124" t="s">
        <v>52</v>
      </c>
      <c r="Y1255" s="124" t="s">
        <v>2569</v>
      </c>
      <c r="Z1255" s="94"/>
      <c r="AA1255" s="124" t="s">
        <v>802</v>
      </c>
      <c r="AB1255" s="94"/>
      <c r="AC1255" s="94"/>
      <c r="AD1255" s="94"/>
      <c r="AE1255" s="94"/>
      <c r="AF1255" s="94"/>
      <c r="AG1255" s="94"/>
      <c r="AH1255" s="94"/>
    </row>
    <row r="1256" spans="1:34" ht="105">
      <c r="A1256" s="120">
        <v>1255</v>
      </c>
      <c r="B1256" s="120" t="b">
        <f t="shared" ca="1" si="19"/>
        <v>0</v>
      </c>
      <c r="C1256" s="121">
        <v>45829</v>
      </c>
      <c r="D1256" s="137">
        <v>0.42050925925925925</v>
      </c>
      <c r="E1256" s="94">
        <v>2017</v>
      </c>
      <c r="F1256" s="94">
        <v>1210</v>
      </c>
      <c r="G1256" s="94" t="s">
        <v>34</v>
      </c>
      <c r="H1256" s="94">
        <v>1050</v>
      </c>
      <c r="I1256" s="115">
        <v>35214500045357</v>
      </c>
      <c r="J1256" s="94" t="s">
        <v>35</v>
      </c>
      <c r="K1256" s="152">
        <v>6.13</v>
      </c>
      <c r="L1256" s="122" t="str">
        <f>VLOOKUP(K1256,Liste!$L$2:$O$34,4,1)</f>
        <v>GSMR_02/03</v>
      </c>
      <c r="M1256" s="94" t="s">
        <v>36</v>
      </c>
      <c r="N1256" s="124" t="s">
        <v>37</v>
      </c>
      <c r="O1256" s="117" t="s">
        <v>2664</v>
      </c>
      <c r="P1256" s="117" t="s">
        <v>2665</v>
      </c>
      <c r="Q1256" s="151" t="s">
        <v>531</v>
      </c>
      <c r="R1256" s="184" t="s">
        <v>2548</v>
      </c>
      <c r="S1256" s="124" t="s">
        <v>2666</v>
      </c>
      <c r="T1256" s="124" t="s">
        <v>56</v>
      </c>
      <c r="U1256" s="124" t="s">
        <v>2667</v>
      </c>
      <c r="V1256" s="124" t="s">
        <v>43</v>
      </c>
      <c r="W1256" s="124" t="s">
        <v>51</v>
      </c>
      <c r="X1256" s="124" t="s">
        <v>52</v>
      </c>
      <c r="Y1256" s="124" t="s">
        <v>2569</v>
      </c>
      <c r="Z1256" s="94"/>
      <c r="AA1256" s="124" t="s">
        <v>802</v>
      </c>
      <c r="AB1256" s="94"/>
      <c r="AC1256" s="94"/>
      <c r="AD1256" s="94"/>
      <c r="AE1256" s="94"/>
      <c r="AF1256" s="94"/>
      <c r="AG1256" s="94"/>
      <c r="AH1256" s="94"/>
    </row>
    <row r="1257" spans="1:34" ht="105">
      <c r="A1257" s="120">
        <v>1256</v>
      </c>
      <c r="B1257" s="120" t="b">
        <f t="shared" ca="1" si="19"/>
        <v>0</v>
      </c>
      <c r="C1257" s="121">
        <v>45829</v>
      </c>
      <c r="D1257" s="137">
        <v>0.71165509259259263</v>
      </c>
      <c r="E1257" s="94">
        <v>1038</v>
      </c>
      <c r="F1257" s="94">
        <v>1208</v>
      </c>
      <c r="G1257" s="94" t="s">
        <v>71</v>
      </c>
      <c r="H1257" s="94">
        <v>1037</v>
      </c>
      <c r="I1257" s="115">
        <v>35214500045131</v>
      </c>
      <c r="J1257" s="94" t="s">
        <v>72</v>
      </c>
      <c r="K1257" s="152">
        <v>7.3209999999999997</v>
      </c>
      <c r="L1257" s="122" t="str">
        <f>VLOOKUP(K1257,Liste!$L$2:$O$34,4,1)</f>
        <v>GSMR_02/03</v>
      </c>
      <c r="M1257" s="94" t="s">
        <v>36</v>
      </c>
      <c r="N1257" s="124" t="s">
        <v>37</v>
      </c>
      <c r="O1257" s="117" t="s">
        <v>2668</v>
      </c>
      <c r="P1257" s="117" t="s">
        <v>2665</v>
      </c>
      <c r="Q1257" s="151" t="s">
        <v>531</v>
      </c>
      <c r="R1257" s="184" t="s">
        <v>2548</v>
      </c>
      <c r="S1257" s="124" t="s">
        <v>2658</v>
      </c>
      <c r="T1257" s="124" t="s">
        <v>56</v>
      </c>
      <c r="U1257" s="124" t="s">
        <v>2669</v>
      </c>
      <c r="V1257" s="124" t="s">
        <v>51</v>
      </c>
      <c r="W1257" s="124" t="s">
        <v>51</v>
      </c>
      <c r="X1257" s="124" t="s">
        <v>52</v>
      </c>
      <c r="Y1257" s="124" t="s">
        <v>2569</v>
      </c>
      <c r="Z1257" s="94"/>
      <c r="AA1257" s="124" t="s">
        <v>793</v>
      </c>
      <c r="AB1257" s="94"/>
      <c r="AC1257" s="94"/>
      <c r="AD1257" s="94"/>
      <c r="AE1257" s="94"/>
      <c r="AF1257" s="94"/>
      <c r="AG1257" s="94"/>
      <c r="AH1257" s="94"/>
    </row>
    <row r="1258" spans="1:34" ht="105">
      <c r="A1258" s="120">
        <v>1257</v>
      </c>
      <c r="B1258" s="120" t="b">
        <f t="shared" ca="1" si="19"/>
        <v>0</v>
      </c>
      <c r="C1258" s="121">
        <v>45830</v>
      </c>
      <c r="D1258" s="137">
        <v>0.62875000000000003</v>
      </c>
      <c r="E1258" s="94">
        <v>2037</v>
      </c>
      <c r="F1258" s="94">
        <v>1205</v>
      </c>
      <c r="G1258" s="94" t="s">
        <v>34</v>
      </c>
      <c r="H1258" s="94">
        <v>7218</v>
      </c>
      <c r="I1258" s="115">
        <v>35214500045735</v>
      </c>
      <c r="J1258" s="94" t="s">
        <v>35</v>
      </c>
      <c r="K1258" s="152">
        <v>7.3209999999999997</v>
      </c>
      <c r="L1258" s="122" t="str">
        <f>VLOOKUP(K1258,Liste!$L$2:$O$34,4,1)</f>
        <v>GSMR_02/03</v>
      </c>
      <c r="M1258" s="94" t="s">
        <v>36</v>
      </c>
      <c r="N1258" s="124" t="s">
        <v>58</v>
      </c>
      <c r="O1258" s="117" t="s">
        <v>2670</v>
      </c>
      <c r="P1258" s="117" t="s">
        <v>2665</v>
      </c>
      <c r="Q1258" s="151" t="s">
        <v>531</v>
      </c>
      <c r="R1258" s="184" t="s">
        <v>2548</v>
      </c>
      <c r="S1258" s="124" t="s">
        <v>1268</v>
      </c>
      <c r="T1258" s="124" t="s">
        <v>116</v>
      </c>
      <c r="U1258" s="124" t="s">
        <v>2671</v>
      </c>
      <c r="V1258" s="124" t="s">
        <v>51</v>
      </c>
      <c r="W1258" s="124" t="s">
        <v>51</v>
      </c>
      <c r="X1258" s="124" t="s">
        <v>52</v>
      </c>
      <c r="Y1258" s="124" t="s">
        <v>2569</v>
      </c>
      <c r="Z1258" s="94"/>
      <c r="AA1258" s="124" t="s">
        <v>1183</v>
      </c>
      <c r="AB1258" s="94"/>
      <c r="AC1258" s="94"/>
      <c r="AD1258" s="94"/>
      <c r="AE1258" s="94"/>
      <c r="AF1258" s="94"/>
      <c r="AG1258" s="94"/>
      <c r="AH1258" s="94"/>
    </row>
    <row r="1259" spans="1:34" ht="105">
      <c r="A1259" s="120">
        <v>1258</v>
      </c>
      <c r="B1259" s="120" t="b">
        <f t="shared" ca="1" si="19"/>
        <v>0</v>
      </c>
      <c r="C1259" s="121">
        <v>45831</v>
      </c>
      <c r="D1259" s="137">
        <v>0.38104166666666667</v>
      </c>
      <c r="E1259" s="94">
        <v>1005</v>
      </c>
      <c r="F1259" s="94">
        <v>1208</v>
      </c>
      <c r="G1259" s="94" t="s">
        <v>71</v>
      </c>
      <c r="H1259" s="94">
        <v>1044</v>
      </c>
      <c r="I1259" s="115">
        <v>35214500045131</v>
      </c>
      <c r="J1259" s="94" t="s">
        <v>72</v>
      </c>
      <c r="K1259" s="152">
        <v>7.3209999999999997</v>
      </c>
      <c r="L1259" s="122" t="str">
        <f>VLOOKUP(K1259,Liste!$L$2:$O$34,4,1)</f>
        <v>GSMR_02/03</v>
      </c>
      <c r="M1259" s="94" t="s">
        <v>36</v>
      </c>
      <c r="N1259" s="124" t="s">
        <v>37</v>
      </c>
      <c r="O1259" s="117" t="s">
        <v>2672</v>
      </c>
      <c r="P1259" s="117" t="s">
        <v>2665</v>
      </c>
      <c r="Q1259" s="151" t="s">
        <v>531</v>
      </c>
      <c r="R1259" s="184" t="s">
        <v>2548</v>
      </c>
      <c r="S1259" s="124" t="s">
        <v>2191</v>
      </c>
      <c r="T1259" s="124" t="s">
        <v>56</v>
      </c>
      <c r="U1259" s="124" t="s">
        <v>2673</v>
      </c>
      <c r="V1259" s="124" t="s">
        <v>51</v>
      </c>
      <c r="W1259" s="124" t="s">
        <v>51</v>
      </c>
      <c r="X1259" s="124" t="s">
        <v>52</v>
      </c>
      <c r="Y1259" s="124" t="s">
        <v>2569</v>
      </c>
      <c r="Z1259" s="94"/>
      <c r="AA1259" s="124" t="s">
        <v>1118</v>
      </c>
      <c r="AB1259" s="94"/>
      <c r="AC1259" s="94"/>
      <c r="AD1259" s="94"/>
      <c r="AE1259" s="94"/>
      <c r="AF1259" s="94"/>
      <c r="AG1259" s="94"/>
      <c r="AH1259" s="94"/>
    </row>
    <row r="1260" spans="1:34" ht="60">
      <c r="A1260" s="120">
        <v>1259</v>
      </c>
      <c r="B1260" s="120" t="b">
        <f t="shared" ca="1" si="19"/>
        <v>0</v>
      </c>
      <c r="C1260" s="121">
        <v>45832</v>
      </c>
      <c r="D1260" s="137">
        <v>0.81783564814814813</v>
      </c>
      <c r="E1260" s="94">
        <v>1049</v>
      </c>
      <c r="F1260" s="94">
        <v>1201</v>
      </c>
      <c r="G1260" s="94" t="s">
        <v>71</v>
      </c>
      <c r="H1260" s="94">
        <v>1029</v>
      </c>
      <c r="I1260" s="115">
        <v>35214500045449</v>
      </c>
      <c r="J1260" s="94" t="s">
        <v>72</v>
      </c>
      <c r="K1260" s="91">
        <v>174.07400000000001</v>
      </c>
      <c r="L1260" s="122" t="str">
        <f>VLOOKUP(K1260,Liste!$L$2:$O$34,4,1)</f>
        <v>GSMR_29/30</v>
      </c>
      <c r="M1260" s="94" t="s">
        <v>36</v>
      </c>
      <c r="N1260" s="124" t="s">
        <v>37</v>
      </c>
      <c r="O1260" s="117" t="s">
        <v>2674</v>
      </c>
      <c r="P1260" s="117" t="s">
        <v>2556</v>
      </c>
      <c r="Q1260" s="118" t="s">
        <v>47</v>
      </c>
      <c r="R1260" s="184" t="s">
        <v>2583</v>
      </c>
      <c r="S1260" s="124" t="s">
        <v>2675</v>
      </c>
      <c r="T1260" s="124" t="s">
        <v>69</v>
      </c>
      <c r="U1260" s="124" t="s">
        <v>1538</v>
      </c>
      <c r="V1260" s="124" t="s">
        <v>43</v>
      </c>
      <c r="W1260" s="124" t="s">
        <v>51</v>
      </c>
      <c r="X1260" s="124" t="s">
        <v>52</v>
      </c>
      <c r="Y1260" s="124" t="s">
        <v>2569</v>
      </c>
      <c r="Z1260" s="94"/>
      <c r="AA1260" s="124" t="s">
        <v>793</v>
      </c>
      <c r="AB1260" s="94"/>
      <c r="AC1260" s="94"/>
      <c r="AD1260" s="94"/>
      <c r="AE1260" s="94"/>
      <c r="AF1260" s="94"/>
      <c r="AG1260" s="94"/>
      <c r="AH1260" s="94"/>
    </row>
    <row r="1261" spans="1:34" ht="105">
      <c r="A1261" s="120">
        <v>1260</v>
      </c>
      <c r="B1261" s="120" t="b">
        <f t="shared" ca="1" si="19"/>
        <v>0</v>
      </c>
      <c r="C1261" s="121">
        <v>45833</v>
      </c>
      <c r="D1261" s="137">
        <v>0.42048611111111112</v>
      </c>
      <c r="E1261" s="94">
        <v>2017</v>
      </c>
      <c r="F1261" s="94">
        <v>1205</v>
      </c>
      <c r="G1261" s="94" t="s">
        <v>34</v>
      </c>
      <c r="H1261" s="94">
        <v>7218</v>
      </c>
      <c r="I1261" s="115">
        <v>35214500045735</v>
      </c>
      <c r="J1261" s="94" t="s">
        <v>35</v>
      </c>
      <c r="K1261" s="152">
        <v>6.13</v>
      </c>
      <c r="L1261" s="122" t="str">
        <f>VLOOKUP(K1261,Liste!$L$2:$O$34,4,1)</f>
        <v>GSMR_02/03</v>
      </c>
      <c r="M1261" s="94" t="s">
        <v>36</v>
      </c>
      <c r="N1261" s="124" t="s">
        <v>37</v>
      </c>
      <c r="O1261" s="117" t="s">
        <v>2676</v>
      </c>
      <c r="P1261" s="117" t="s">
        <v>2665</v>
      </c>
      <c r="Q1261" s="151" t="s">
        <v>531</v>
      </c>
      <c r="R1261" s="184" t="s">
        <v>2548</v>
      </c>
      <c r="S1261" s="124" t="s">
        <v>1843</v>
      </c>
      <c r="T1261" s="124" t="s">
        <v>93</v>
      </c>
      <c r="U1261" s="124" t="s">
        <v>1481</v>
      </c>
      <c r="V1261" s="124" t="s">
        <v>51</v>
      </c>
      <c r="W1261" s="124" t="s">
        <v>51</v>
      </c>
      <c r="X1261" s="124" t="s">
        <v>52</v>
      </c>
      <c r="Y1261" s="124" t="s">
        <v>2569</v>
      </c>
      <c r="Z1261" s="94"/>
      <c r="AA1261" s="124" t="s">
        <v>802</v>
      </c>
      <c r="AB1261" s="94"/>
      <c r="AC1261" s="94"/>
      <c r="AD1261" s="94"/>
      <c r="AE1261" s="94"/>
      <c r="AF1261" s="94"/>
      <c r="AG1261" s="94"/>
      <c r="AH1261" s="94"/>
    </row>
    <row r="1262" spans="1:34" ht="60">
      <c r="A1262" s="120">
        <v>1261</v>
      </c>
      <c r="B1262" s="120" t="b">
        <f t="shared" ca="1" si="19"/>
        <v>0</v>
      </c>
      <c r="C1262" s="121">
        <v>45834</v>
      </c>
      <c r="D1262" s="137">
        <v>0.5849537037037037</v>
      </c>
      <c r="E1262" s="94">
        <v>1025</v>
      </c>
      <c r="F1262" s="94">
        <v>1201</v>
      </c>
      <c r="G1262" s="94" t="s">
        <v>71</v>
      </c>
      <c r="H1262" s="94">
        <v>1029</v>
      </c>
      <c r="I1262" s="115">
        <v>35214500045449</v>
      </c>
      <c r="J1262" s="94" t="s">
        <v>72</v>
      </c>
      <c r="K1262" s="91">
        <v>25.85</v>
      </c>
      <c r="L1262" s="122" t="str">
        <f>VLOOKUP(K1262,Liste!$L$2:$O$34,4,1)</f>
        <v>GSMR_05/06</v>
      </c>
      <c r="M1262" s="94" t="s">
        <v>36</v>
      </c>
      <c r="N1262" s="124" t="s">
        <v>37</v>
      </c>
      <c r="O1262" s="117" t="s">
        <v>2677</v>
      </c>
      <c r="P1262" s="117" t="s">
        <v>2556</v>
      </c>
      <c r="Q1262" s="118" t="s">
        <v>47</v>
      </c>
      <c r="R1262" s="184" t="s">
        <v>2583</v>
      </c>
      <c r="S1262" s="124" t="s">
        <v>2678</v>
      </c>
      <c r="T1262" s="124" t="s">
        <v>56</v>
      </c>
      <c r="U1262" s="124" t="s">
        <v>2679</v>
      </c>
      <c r="V1262" s="124" t="s">
        <v>51</v>
      </c>
      <c r="W1262" s="124" t="s">
        <v>51</v>
      </c>
      <c r="X1262" s="124" t="s">
        <v>52</v>
      </c>
      <c r="Y1262" s="124" t="s">
        <v>2569</v>
      </c>
      <c r="Z1262" s="94"/>
      <c r="AA1262" s="124" t="s">
        <v>802</v>
      </c>
      <c r="AB1262" s="94"/>
      <c r="AC1262" s="94"/>
      <c r="AD1262" s="94"/>
      <c r="AE1262" s="94"/>
      <c r="AF1262" s="94"/>
      <c r="AG1262" s="94"/>
      <c r="AH1262" s="94"/>
    </row>
    <row r="1263" spans="1:34" ht="45">
      <c r="A1263" s="120">
        <v>1262</v>
      </c>
      <c r="B1263" s="120" t="b">
        <f t="shared" ca="1" si="19"/>
        <v>0</v>
      </c>
      <c r="C1263" s="121">
        <v>45834</v>
      </c>
      <c r="D1263" s="137">
        <v>0.77457175925925925</v>
      </c>
      <c r="E1263" s="94">
        <v>2049</v>
      </c>
      <c r="F1263" s="94">
        <v>1203</v>
      </c>
      <c r="G1263" s="94" t="s">
        <v>34</v>
      </c>
      <c r="H1263" s="94">
        <v>1025</v>
      </c>
      <c r="I1263" s="115">
        <v>35214500045073</v>
      </c>
      <c r="J1263" s="94" t="s">
        <v>35</v>
      </c>
      <c r="K1263" s="91">
        <v>144.32599999999999</v>
      </c>
      <c r="L1263" s="122" t="str">
        <f>VLOOKUP(K1263,Liste!$L$2:$O$34,4,1)</f>
        <v>GSMR_25/26</v>
      </c>
      <c r="M1263" s="94" t="s">
        <v>36</v>
      </c>
      <c r="N1263" s="124" t="s">
        <v>58</v>
      </c>
      <c r="O1263" s="117" t="s">
        <v>2680</v>
      </c>
      <c r="P1263" s="117" t="s">
        <v>2556</v>
      </c>
      <c r="Q1263" s="151" t="s">
        <v>105</v>
      </c>
      <c r="R1263" s="184" t="s">
        <v>1072</v>
      </c>
      <c r="S1263" s="124" t="s">
        <v>1875</v>
      </c>
      <c r="T1263" s="124" t="s">
        <v>69</v>
      </c>
      <c r="U1263" s="124" t="s">
        <v>1693</v>
      </c>
      <c r="V1263" s="124" t="s">
        <v>51</v>
      </c>
      <c r="W1263" s="124" t="s">
        <v>51</v>
      </c>
      <c r="X1263" s="124" t="s">
        <v>52</v>
      </c>
      <c r="Y1263" s="124" t="s">
        <v>2681</v>
      </c>
      <c r="Z1263" s="94"/>
      <c r="AA1263" s="124" t="s">
        <v>1118</v>
      </c>
      <c r="AB1263" s="94"/>
      <c r="AC1263" s="94"/>
      <c r="AD1263" s="94"/>
      <c r="AE1263" s="94"/>
      <c r="AF1263" s="94"/>
      <c r="AG1263" s="94"/>
      <c r="AH1263" s="94"/>
    </row>
    <row r="1264" spans="1:34" ht="60">
      <c r="A1264" s="120">
        <v>1263</v>
      </c>
      <c r="B1264" s="120" t="b">
        <f t="shared" ca="1" si="19"/>
        <v>0</v>
      </c>
      <c r="C1264" s="121">
        <v>45834</v>
      </c>
      <c r="D1264" s="137">
        <v>0.75541666666666663</v>
      </c>
      <c r="E1264" s="94">
        <v>1045</v>
      </c>
      <c r="F1264" s="94">
        <v>1204</v>
      </c>
      <c r="G1264" s="94" t="s">
        <v>71</v>
      </c>
      <c r="H1264" s="94">
        <v>1035</v>
      </c>
      <c r="I1264" s="115">
        <v>35214500045449</v>
      </c>
      <c r="J1264" s="94" t="s">
        <v>72</v>
      </c>
      <c r="K1264" s="91">
        <v>26.739000000000001</v>
      </c>
      <c r="L1264" s="122" t="str">
        <f>VLOOKUP(K1264,Liste!$L$2:$O$34,4,1)</f>
        <v>GSMR_05/06</v>
      </c>
      <c r="M1264" s="94" t="s">
        <v>36</v>
      </c>
      <c r="N1264" s="124" t="s">
        <v>58</v>
      </c>
      <c r="O1264" s="117" t="s">
        <v>2682</v>
      </c>
      <c r="P1264" s="117" t="s">
        <v>2556</v>
      </c>
      <c r="Q1264" s="118" t="s">
        <v>47</v>
      </c>
      <c r="R1264" s="184" t="s">
        <v>2583</v>
      </c>
      <c r="S1264" s="124" t="s">
        <v>2683</v>
      </c>
      <c r="T1264" s="124" t="s">
        <v>56</v>
      </c>
      <c r="U1264" s="124" t="s">
        <v>2684</v>
      </c>
      <c r="V1264" s="124" t="s">
        <v>43</v>
      </c>
      <c r="W1264" s="124" t="s">
        <v>51</v>
      </c>
      <c r="X1264" s="124" t="s">
        <v>52</v>
      </c>
      <c r="Y1264" s="124" t="s">
        <v>946</v>
      </c>
      <c r="Z1264" s="94"/>
      <c r="AA1264" s="124" t="s">
        <v>1118</v>
      </c>
      <c r="AB1264" s="94"/>
      <c r="AC1264" s="94"/>
      <c r="AD1264" s="94"/>
      <c r="AE1264" s="94"/>
      <c r="AF1264" s="94"/>
      <c r="AG1264" s="94"/>
      <c r="AH1264" s="94"/>
    </row>
    <row r="1265" spans="1:34" ht="105">
      <c r="A1265" s="120">
        <v>1264</v>
      </c>
      <c r="B1265" s="120" t="b">
        <f t="shared" ca="1" si="19"/>
        <v>0</v>
      </c>
      <c r="C1265" s="121">
        <v>45835</v>
      </c>
      <c r="D1265" s="137">
        <v>0.50354166666666667</v>
      </c>
      <c r="E1265" s="94">
        <v>2025</v>
      </c>
      <c r="F1265" s="94">
        <v>1203</v>
      </c>
      <c r="G1265" s="94" t="s">
        <v>34</v>
      </c>
      <c r="H1265" s="94">
        <v>1025</v>
      </c>
      <c r="I1265" s="115">
        <v>35214500045073</v>
      </c>
      <c r="J1265" s="94" t="s">
        <v>35</v>
      </c>
      <c r="K1265" s="152">
        <v>6.13</v>
      </c>
      <c r="L1265" s="122" t="str">
        <f>VLOOKUP(K1265,Liste!$L$2:$O$34,4,1)</f>
        <v>GSMR_02/03</v>
      </c>
      <c r="M1265" s="94" t="s">
        <v>36</v>
      </c>
      <c r="N1265" s="124" t="s">
        <v>58</v>
      </c>
      <c r="O1265" s="117" t="s">
        <v>2685</v>
      </c>
      <c r="P1265" s="117" t="s">
        <v>2665</v>
      </c>
      <c r="Q1265" s="151" t="s">
        <v>531</v>
      </c>
      <c r="R1265" s="184" t="s">
        <v>2548</v>
      </c>
      <c r="S1265" s="124" t="s">
        <v>2686</v>
      </c>
      <c r="T1265" s="124" t="s">
        <v>56</v>
      </c>
      <c r="U1265" s="124" t="s">
        <v>1463</v>
      </c>
      <c r="V1265" s="124" t="s">
        <v>51</v>
      </c>
      <c r="W1265" s="124" t="s">
        <v>51</v>
      </c>
      <c r="X1265" s="124" t="s">
        <v>52</v>
      </c>
      <c r="Y1265" s="124" t="s">
        <v>946</v>
      </c>
      <c r="Z1265" s="94"/>
      <c r="AA1265" s="124" t="s">
        <v>1183</v>
      </c>
      <c r="AB1265" s="94"/>
      <c r="AC1265" s="94"/>
      <c r="AD1265" s="94"/>
      <c r="AE1265" s="94"/>
      <c r="AF1265" s="94"/>
      <c r="AG1265" s="94"/>
      <c r="AH1265" s="94"/>
    </row>
    <row r="1266" spans="1:34" ht="60">
      <c r="A1266" s="120">
        <v>1265</v>
      </c>
      <c r="B1266" s="120" t="b">
        <f t="shared" ca="1" si="19"/>
        <v>0</v>
      </c>
      <c r="C1266" s="121">
        <v>45837</v>
      </c>
      <c r="D1266" s="137">
        <v>0.77043981481481483</v>
      </c>
      <c r="E1266" s="94">
        <v>2049</v>
      </c>
      <c r="F1266" s="94">
        <v>1205</v>
      </c>
      <c r="G1266" s="94" t="s">
        <v>34</v>
      </c>
      <c r="H1266" s="94">
        <v>7217</v>
      </c>
      <c r="I1266" s="115">
        <v>35214500044557</v>
      </c>
      <c r="J1266" s="94" t="s">
        <v>35</v>
      </c>
      <c r="K1266" s="91">
        <v>109.495</v>
      </c>
      <c r="L1266" s="122" t="str">
        <f>VLOOKUP(K1266,Liste!$L$2:$O$34,4,1)</f>
        <v>GSMR_19/20</v>
      </c>
      <c r="M1266" s="94" t="s">
        <v>36</v>
      </c>
      <c r="N1266" s="124" t="s">
        <v>37</v>
      </c>
      <c r="O1266" s="117" t="s">
        <v>2687</v>
      </c>
      <c r="P1266" s="117" t="s">
        <v>2556</v>
      </c>
      <c r="Q1266" s="118" t="s">
        <v>47</v>
      </c>
      <c r="R1266" s="184" t="s">
        <v>2583</v>
      </c>
      <c r="S1266" s="124" t="s">
        <v>2688</v>
      </c>
      <c r="T1266" s="124" t="s">
        <v>56</v>
      </c>
      <c r="U1266" s="124" t="s">
        <v>1493</v>
      </c>
      <c r="V1266" s="124" t="s">
        <v>43</v>
      </c>
      <c r="W1266" s="124" t="s">
        <v>51</v>
      </c>
      <c r="X1266" s="124" t="s">
        <v>52</v>
      </c>
      <c r="Y1266" s="124" t="s">
        <v>946</v>
      </c>
      <c r="Z1266" s="94"/>
      <c r="AA1266" s="124" t="s">
        <v>959</v>
      </c>
      <c r="AB1266" s="94"/>
      <c r="AC1266" s="94"/>
      <c r="AD1266" s="94"/>
      <c r="AE1266" s="94"/>
      <c r="AF1266" s="94"/>
      <c r="AG1266" s="94"/>
      <c r="AH1266" s="94"/>
    </row>
    <row r="1267" spans="1:34" ht="60">
      <c r="A1267" s="120">
        <v>1266</v>
      </c>
      <c r="B1267" s="120" t="b">
        <f t="shared" ca="1" si="19"/>
        <v>0</v>
      </c>
      <c r="C1267" s="121">
        <v>45837</v>
      </c>
      <c r="D1267" s="137">
        <v>0.80038194444444444</v>
      </c>
      <c r="E1267" s="94">
        <v>1045</v>
      </c>
      <c r="F1267" s="94">
        <v>1201</v>
      </c>
      <c r="G1267" s="94" t="s">
        <v>71</v>
      </c>
      <c r="H1267" s="94">
        <v>1028</v>
      </c>
      <c r="I1267" s="115">
        <v>35214500045268</v>
      </c>
      <c r="J1267" s="94" t="s">
        <v>72</v>
      </c>
      <c r="K1267" s="91">
        <v>127.815</v>
      </c>
      <c r="L1267" s="122" t="str">
        <f>VLOOKUP(K1267,Liste!$L$2:$O$34,4,1)</f>
        <v>GSMR_22/23</v>
      </c>
      <c r="M1267" s="94" t="s">
        <v>36</v>
      </c>
      <c r="N1267" s="124" t="s">
        <v>37</v>
      </c>
      <c r="O1267" s="117" t="s">
        <v>2689</v>
      </c>
      <c r="P1267" s="117" t="s">
        <v>2556</v>
      </c>
      <c r="Q1267" s="118" t="s">
        <v>47</v>
      </c>
      <c r="R1267" s="184" t="s">
        <v>2583</v>
      </c>
      <c r="S1267" s="124" t="s">
        <v>2690</v>
      </c>
      <c r="T1267" s="124" t="s">
        <v>209</v>
      </c>
      <c r="U1267" s="124" t="s">
        <v>1554</v>
      </c>
      <c r="V1267" s="124" t="s">
        <v>51</v>
      </c>
      <c r="W1267" s="124" t="s">
        <v>51</v>
      </c>
      <c r="X1267" s="124" t="s">
        <v>400</v>
      </c>
      <c r="Y1267" s="124" t="s">
        <v>2681</v>
      </c>
      <c r="Z1267" s="94"/>
      <c r="AA1267" s="124" t="s">
        <v>959</v>
      </c>
      <c r="AB1267" s="94"/>
      <c r="AC1267" s="94"/>
      <c r="AD1267" s="94"/>
      <c r="AE1267" s="94"/>
      <c r="AF1267" s="94"/>
      <c r="AG1267" s="94"/>
      <c r="AH1267" s="94"/>
    </row>
    <row r="1268" spans="1:34" ht="60">
      <c r="A1268" s="120">
        <v>1267</v>
      </c>
      <c r="B1268" s="120" t="b">
        <f t="shared" ca="1" si="19"/>
        <v>0</v>
      </c>
      <c r="C1268" s="121">
        <v>45838</v>
      </c>
      <c r="D1268" s="137">
        <v>0.65020833333333339</v>
      </c>
      <c r="E1268" s="94">
        <v>1033</v>
      </c>
      <c r="F1268" s="94">
        <v>1209</v>
      </c>
      <c r="G1268" s="94" t="s">
        <v>71</v>
      </c>
      <c r="H1268" s="94">
        <v>1033</v>
      </c>
      <c r="I1268" s="115">
        <v>35214500040707</v>
      </c>
      <c r="J1268" s="94" t="s">
        <v>72</v>
      </c>
      <c r="K1268" s="91">
        <v>177.85</v>
      </c>
      <c r="L1268" s="122" t="str">
        <f>VLOOKUP(K1268,Liste!$L$2:$O$34,4,1)</f>
        <v>GSMR_30/31</v>
      </c>
      <c r="M1268" s="94" t="s">
        <v>36</v>
      </c>
      <c r="N1268" s="124" t="s">
        <v>37</v>
      </c>
      <c r="O1268" s="117" t="s">
        <v>2691</v>
      </c>
      <c r="P1268" s="117" t="s">
        <v>2556</v>
      </c>
      <c r="Q1268" s="118" t="s">
        <v>47</v>
      </c>
      <c r="R1268" s="184" t="s">
        <v>2583</v>
      </c>
      <c r="S1268" s="124" t="s">
        <v>2692</v>
      </c>
      <c r="T1268" s="124" t="s">
        <v>69</v>
      </c>
      <c r="U1268" s="124" t="s">
        <v>1484</v>
      </c>
      <c r="V1268" s="124" t="s">
        <v>51</v>
      </c>
      <c r="W1268" s="124" t="s">
        <v>51</v>
      </c>
      <c r="X1268" s="124" t="s">
        <v>52</v>
      </c>
      <c r="Y1268" s="124" t="s">
        <v>946</v>
      </c>
      <c r="Z1268" s="94"/>
      <c r="AA1268" s="124" t="s">
        <v>802</v>
      </c>
      <c r="AB1268" s="94"/>
      <c r="AC1268" s="94"/>
      <c r="AD1268" s="94"/>
      <c r="AE1268" s="94"/>
      <c r="AF1268" s="94"/>
      <c r="AG1268" s="94"/>
      <c r="AH1268" s="94"/>
    </row>
    <row r="1269" spans="1:34" ht="105">
      <c r="A1269" s="120">
        <v>1268</v>
      </c>
      <c r="B1269" s="120" t="b">
        <f t="shared" ca="1" si="19"/>
        <v>0</v>
      </c>
      <c r="C1269" s="121">
        <v>45838</v>
      </c>
      <c r="D1269" s="137">
        <v>0.71098379629629627</v>
      </c>
      <c r="E1269" s="94">
        <v>1037</v>
      </c>
      <c r="F1269" s="94">
        <v>1203</v>
      </c>
      <c r="G1269" s="94" t="s">
        <v>71</v>
      </c>
      <c r="H1269" s="94">
        <v>1027</v>
      </c>
      <c r="I1269" s="115">
        <v>35214500045083</v>
      </c>
      <c r="J1269" s="94" t="s">
        <v>72</v>
      </c>
      <c r="K1269" s="152">
        <v>7.3209999999999997</v>
      </c>
      <c r="L1269" s="122" t="str">
        <f>VLOOKUP(K1269,Liste!$L$2:$O$34,4,1)</f>
        <v>GSMR_02/03</v>
      </c>
      <c r="M1269" s="94" t="s">
        <v>36</v>
      </c>
      <c r="N1269" s="124" t="s">
        <v>37</v>
      </c>
      <c r="O1269" s="117" t="s">
        <v>2693</v>
      </c>
      <c r="P1269" s="117" t="s">
        <v>2665</v>
      </c>
      <c r="Q1269" s="151" t="s">
        <v>531</v>
      </c>
      <c r="R1269" s="184" t="s">
        <v>2548</v>
      </c>
      <c r="S1269" s="124" t="s">
        <v>2694</v>
      </c>
      <c r="T1269" s="124" t="s">
        <v>209</v>
      </c>
      <c r="U1269" s="124" t="s">
        <v>1554</v>
      </c>
      <c r="V1269" s="124" t="s">
        <v>51</v>
      </c>
      <c r="W1269" s="124" t="s">
        <v>51</v>
      </c>
      <c r="X1269" s="124" t="s">
        <v>52</v>
      </c>
      <c r="Y1269" s="124" t="s">
        <v>946</v>
      </c>
      <c r="Z1269" s="94"/>
      <c r="AA1269" s="124" t="s">
        <v>959</v>
      </c>
      <c r="AB1269" s="94"/>
      <c r="AC1269" s="94"/>
      <c r="AD1269" s="94"/>
      <c r="AE1269" s="94"/>
      <c r="AF1269" s="94"/>
      <c r="AG1269" s="94"/>
      <c r="AH1269" s="94"/>
    </row>
    <row r="1270" spans="1:34" ht="60">
      <c r="A1270" s="120">
        <v>1269</v>
      </c>
      <c r="B1270" s="120" t="b">
        <f t="shared" ca="1" si="19"/>
        <v>0</v>
      </c>
      <c r="C1270" s="121">
        <v>45838</v>
      </c>
      <c r="D1270" s="137">
        <v>0.90888888888888886</v>
      </c>
      <c r="E1270" s="94">
        <v>1058</v>
      </c>
      <c r="F1270" s="94">
        <v>1209</v>
      </c>
      <c r="G1270" s="94" t="s">
        <v>71</v>
      </c>
      <c r="H1270" s="94">
        <v>1033</v>
      </c>
      <c r="I1270" s="115">
        <v>35214500040707</v>
      </c>
      <c r="J1270" s="94" t="s">
        <v>72</v>
      </c>
      <c r="K1270" s="91">
        <v>166.529</v>
      </c>
      <c r="L1270" s="122" t="str">
        <f>VLOOKUP(K1270,Liste!$L$2:$O$34,4,1)</f>
        <v>GSMR_28/29</v>
      </c>
      <c r="M1270" s="94" t="s">
        <v>36</v>
      </c>
      <c r="N1270" s="124" t="s">
        <v>37</v>
      </c>
      <c r="O1270" s="117" t="s">
        <v>2695</v>
      </c>
      <c r="P1270" s="117" t="s">
        <v>2556</v>
      </c>
      <c r="Q1270" s="118" t="s">
        <v>47</v>
      </c>
      <c r="R1270" s="184" t="s">
        <v>2583</v>
      </c>
      <c r="S1270" s="124" t="s">
        <v>2696</v>
      </c>
      <c r="T1270" s="124" t="s">
        <v>69</v>
      </c>
      <c r="U1270" s="124" t="s">
        <v>1484</v>
      </c>
      <c r="V1270" s="124" t="s">
        <v>51</v>
      </c>
      <c r="W1270" s="124" t="s">
        <v>51</v>
      </c>
      <c r="X1270" s="124" t="s">
        <v>52</v>
      </c>
      <c r="Y1270" s="124" t="s">
        <v>2107</v>
      </c>
      <c r="Z1270" s="94"/>
      <c r="AA1270" s="124" t="s">
        <v>772</v>
      </c>
      <c r="AB1270" s="94"/>
      <c r="AC1270" s="94"/>
      <c r="AD1270" s="94"/>
      <c r="AE1270" s="94"/>
      <c r="AF1270" s="94"/>
      <c r="AG1270" s="94"/>
      <c r="AH1270" s="94"/>
    </row>
    <row r="1271" spans="1:34" ht="105">
      <c r="A1271" s="120">
        <v>1270</v>
      </c>
      <c r="B1271" s="120" t="b">
        <f t="shared" ca="1" si="19"/>
        <v>0</v>
      </c>
      <c r="C1271" s="121">
        <v>45839</v>
      </c>
      <c r="D1271" s="137">
        <v>0.1725925925925926</v>
      </c>
      <c r="E1271" s="94">
        <v>2081</v>
      </c>
      <c r="F1271" s="94">
        <v>1204</v>
      </c>
      <c r="G1271" s="94" t="s">
        <v>34</v>
      </c>
      <c r="H1271" s="94">
        <v>1058</v>
      </c>
      <c r="I1271" s="115">
        <v>35214500044477</v>
      </c>
      <c r="J1271" s="94" t="s">
        <v>35</v>
      </c>
      <c r="K1271" s="152">
        <v>6.13</v>
      </c>
      <c r="L1271" s="122" t="str">
        <f>VLOOKUP(K1271,Liste!$L$2:$O$34,4,1)</f>
        <v>GSMR_02/03</v>
      </c>
      <c r="M1271" s="94" t="s">
        <v>36</v>
      </c>
      <c r="N1271" s="124" t="s">
        <v>37</v>
      </c>
      <c r="O1271" s="117" t="s">
        <v>2697</v>
      </c>
      <c r="P1271" s="117" t="s">
        <v>2665</v>
      </c>
      <c r="Q1271" s="151" t="s">
        <v>531</v>
      </c>
      <c r="R1271" s="184" t="s">
        <v>2548</v>
      </c>
      <c r="S1271" s="124" t="s">
        <v>2698</v>
      </c>
      <c r="T1271" s="124" t="s">
        <v>69</v>
      </c>
      <c r="U1271" s="124" t="s">
        <v>1526</v>
      </c>
      <c r="V1271" s="124" t="s">
        <v>51</v>
      </c>
      <c r="W1271" s="124" t="s">
        <v>51</v>
      </c>
      <c r="X1271" s="124" t="s">
        <v>52</v>
      </c>
      <c r="Y1271" s="124" t="s">
        <v>946</v>
      </c>
      <c r="Z1271" s="94"/>
      <c r="AA1271" s="124" t="s">
        <v>772</v>
      </c>
      <c r="AB1271" s="94"/>
      <c r="AC1271" s="94"/>
      <c r="AD1271" s="94"/>
      <c r="AE1271" s="94"/>
      <c r="AF1271" s="94"/>
      <c r="AG1271" s="94"/>
      <c r="AH1271" s="94"/>
    </row>
    <row r="1272" spans="1:34" ht="45">
      <c r="A1272" s="120">
        <v>1271</v>
      </c>
      <c r="B1272" s="120" t="b">
        <f t="shared" ca="1" si="19"/>
        <v>0</v>
      </c>
      <c r="C1272" s="121">
        <v>45839</v>
      </c>
      <c r="D1272" s="137">
        <v>0.39449074074074075</v>
      </c>
      <c r="E1272" s="94">
        <v>2013</v>
      </c>
      <c r="F1272" s="94">
        <v>1211</v>
      </c>
      <c r="G1272" s="94" t="s">
        <v>34</v>
      </c>
      <c r="H1272" s="94">
        <v>7195</v>
      </c>
      <c r="I1272" s="115">
        <v>35214500045671</v>
      </c>
      <c r="J1272" s="94" t="s">
        <v>35</v>
      </c>
      <c r="K1272" s="91">
        <v>108.206</v>
      </c>
      <c r="L1272" s="122" t="str">
        <f>VLOOKUP(K1272,Liste!$L$2:$O$34,4,1)</f>
        <v>GSMR_19/20</v>
      </c>
      <c r="M1272" s="94" t="s">
        <v>36</v>
      </c>
      <c r="N1272" s="124" t="s">
        <v>37</v>
      </c>
      <c r="O1272" s="117" t="s">
        <v>2699</v>
      </c>
      <c r="P1272" s="117" t="s">
        <v>2556</v>
      </c>
      <c r="Q1272" s="151" t="s">
        <v>47</v>
      </c>
      <c r="R1272" s="184" t="s">
        <v>2583</v>
      </c>
      <c r="S1272" s="124" t="s">
        <v>1294</v>
      </c>
      <c r="T1272" s="124" t="s">
        <v>1440</v>
      </c>
      <c r="U1272" s="124" t="s">
        <v>1441</v>
      </c>
      <c r="V1272" s="124" t="s">
        <v>43</v>
      </c>
      <c r="W1272" s="124" t="s">
        <v>51</v>
      </c>
      <c r="X1272" s="124" t="s">
        <v>52</v>
      </c>
      <c r="Y1272" s="124" t="s">
        <v>946</v>
      </c>
      <c r="Z1272" s="94"/>
      <c r="AA1272" s="124" t="s">
        <v>802</v>
      </c>
      <c r="AB1272" s="94"/>
      <c r="AC1272" s="94"/>
      <c r="AD1272" s="94"/>
      <c r="AE1272" s="94"/>
      <c r="AF1272" s="94"/>
      <c r="AG1272" s="94"/>
      <c r="AH1272" s="94"/>
    </row>
    <row r="1273" spans="1:34" ht="60">
      <c r="A1273" s="120">
        <v>1272</v>
      </c>
      <c r="B1273" s="120" t="b">
        <f t="shared" ca="1" si="19"/>
        <v>0</v>
      </c>
      <c r="C1273" s="121">
        <v>45839</v>
      </c>
      <c r="D1273" s="137">
        <v>0.43672453703703706</v>
      </c>
      <c r="E1273" s="94">
        <v>2017</v>
      </c>
      <c r="F1273" s="94">
        <v>1210</v>
      </c>
      <c r="G1273" s="94" t="s">
        <v>34</v>
      </c>
      <c r="H1273" s="94">
        <v>1050</v>
      </c>
      <c r="I1273" s="115">
        <v>35214500045357</v>
      </c>
      <c r="J1273" s="94" t="s">
        <v>35</v>
      </c>
      <c r="K1273" s="91">
        <v>108.206</v>
      </c>
      <c r="L1273" s="122" t="str">
        <f>VLOOKUP(K1273,Liste!$L$2:$O$34,4,1)</f>
        <v>GSMR_19/20</v>
      </c>
      <c r="M1273" s="94" t="s">
        <v>36</v>
      </c>
      <c r="N1273" s="124" t="s">
        <v>37</v>
      </c>
      <c r="O1273" s="117" t="s">
        <v>2700</v>
      </c>
      <c r="P1273" s="117" t="s">
        <v>2556</v>
      </c>
      <c r="Q1273" s="151" t="s">
        <v>47</v>
      </c>
      <c r="R1273" s="184" t="s">
        <v>2583</v>
      </c>
      <c r="S1273" s="124" t="s">
        <v>2701</v>
      </c>
      <c r="T1273" s="124" t="s">
        <v>56</v>
      </c>
      <c r="U1273" s="124" t="s">
        <v>1680</v>
      </c>
      <c r="V1273" s="124" t="s">
        <v>51</v>
      </c>
      <c r="W1273" s="124" t="s">
        <v>51</v>
      </c>
      <c r="X1273" s="124" t="s">
        <v>52</v>
      </c>
      <c r="Y1273" s="124" t="s">
        <v>2107</v>
      </c>
      <c r="Z1273" s="94"/>
      <c r="AA1273" s="124" t="s">
        <v>802</v>
      </c>
      <c r="AB1273" s="94"/>
      <c r="AC1273" s="94"/>
      <c r="AD1273" s="94"/>
      <c r="AE1273" s="94"/>
      <c r="AF1273" s="94"/>
      <c r="AG1273" s="94"/>
      <c r="AH1273" s="94"/>
    </row>
    <row r="1274" spans="1:34" ht="60">
      <c r="A1274" s="120">
        <v>1273</v>
      </c>
      <c r="B1274" s="120" t="b">
        <f t="shared" ca="1" si="19"/>
        <v>0</v>
      </c>
      <c r="C1274" s="121">
        <v>45839</v>
      </c>
      <c r="D1274" s="137">
        <v>0.69947916666666665</v>
      </c>
      <c r="E1274" s="94">
        <v>1037</v>
      </c>
      <c r="F1274" s="94">
        <v>1201</v>
      </c>
      <c r="G1274" s="94" t="s">
        <v>71</v>
      </c>
      <c r="H1274" s="94">
        <v>1028</v>
      </c>
      <c r="I1274" s="115">
        <v>35214500045268</v>
      </c>
      <c r="J1274" s="94" t="s">
        <v>72</v>
      </c>
      <c r="K1274" s="91">
        <v>94.953999999999994</v>
      </c>
      <c r="L1274" s="122" t="str">
        <f>VLOOKUP(K1274,Liste!$L$2:$O$34,4,1)</f>
        <v>GSMR_17/18</v>
      </c>
      <c r="M1274" s="94" t="s">
        <v>36</v>
      </c>
      <c r="N1274" s="124" t="s">
        <v>37</v>
      </c>
      <c r="O1274" s="117" t="s">
        <v>2702</v>
      </c>
      <c r="P1274" s="117" t="s">
        <v>2556</v>
      </c>
      <c r="Q1274" s="151" t="s">
        <v>47</v>
      </c>
      <c r="R1274" s="184" t="s">
        <v>2583</v>
      </c>
      <c r="S1274" s="124" t="s">
        <v>2703</v>
      </c>
      <c r="T1274" s="124" t="s">
        <v>56</v>
      </c>
      <c r="U1274" s="124" t="s">
        <v>1554</v>
      </c>
      <c r="V1274" s="124" t="s">
        <v>43</v>
      </c>
      <c r="W1274" s="124" t="s">
        <v>51</v>
      </c>
      <c r="X1274" s="124" t="s">
        <v>52</v>
      </c>
      <c r="Y1274" s="124" t="s">
        <v>946</v>
      </c>
      <c r="Z1274" s="94"/>
      <c r="AA1274" s="124" t="s">
        <v>1295</v>
      </c>
      <c r="AB1274" s="94"/>
      <c r="AC1274" s="94"/>
      <c r="AD1274" s="94"/>
      <c r="AE1274" s="94"/>
      <c r="AF1274" s="94"/>
      <c r="AG1274" s="94"/>
      <c r="AH1274" s="94"/>
    </row>
    <row r="1275" spans="1:34" ht="60">
      <c r="A1275" s="120">
        <v>1274</v>
      </c>
      <c r="B1275" s="120" t="b">
        <f t="shared" ca="1" si="19"/>
        <v>0</v>
      </c>
      <c r="C1275" s="121">
        <v>45839</v>
      </c>
      <c r="D1275" s="137">
        <v>0.85269675925925925</v>
      </c>
      <c r="E1275" s="94">
        <v>2057</v>
      </c>
      <c r="F1275" s="94">
        <v>1208</v>
      </c>
      <c r="G1275" s="94" t="s">
        <v>34</v>
      </c>
      <c r="H1275" s="94">
        <v>1036</v>
      </c>
      <c r="I1275" s="115">
        <v>35214500045061</v>
      </c>
      <c r="J1275" s="94" t="s">
        <v>35</v>
      </c>
      <c r="K1275" s="91">
        <v>108.206</v>
      </c>
      <c r="L1275" s="122" t="str">
        <f>VLOOKUP(K1275,Liste!$L$2:$O$34,4,1)</f>
        <v>GSMR_19/20</v>
      </c>
      <c r="M1275" s="94" t="s">
        <v>36</v>
      </c>
      <c r="N1275" s="124" t="s">
        <v>37</v>
      </c>
      <c r="O1275" s="117" t="s">
        <v>2704</v>
      </c>
      <c r="P1275" s="117" t="s">
        <v>2556</v>
      </c>
      <c r="Q1275" s="151" t="s">
        <v>47</v>
      </c>
      <c r="R1275" s="184" t="s">
        <v>2583</v>
      </c>
      <c r="S1275" s="124" t="s">
        <v>2701</v>
      </c>
      <c r="T1275" s="124" t="s">
        <v>69</v>
      </c>
      <c r="U1275" s="124" t="s">
        <v>1520</v>
      </c>
      <c r="V1275" s="124" t="s">
        <v>51</v>
      </c>
      <c r="W1275" s="124" t="s">
        <v>51</v>
      </c>
      <c r="X1275" s="124" t="s">
        <v>52</v>
      </c>
      <c r="Y1275" s="124" t="s">
        <v>946</v>
      </c>
      <c r="Z1275" s="94"/>
      <c r="AA1275" s="124" t="s">
        <v>772</v>
      </c>
      <c r="AB1275" s="94"/>
      <c r="AC1275" s="94"/>
      <c r="AD1275" s="94"/>
      <c r="AE1275" s="94"/>
      <c r="AF1275" s="94"/>
      <c r="AG1275" s="94"/>
      <c r="AH1275" s="94"/>
    </row>
    <row r="1276" spans="1:34" ht="60">
      <c r="A1276" s="120">
        <v>1275</v>
      </c>
      <c r="B1276" s="120" t="b">
        <f t="shared" ca="1" si="19"/>
        <v>0</v>
      </c>
      <c r="C1276" s="121">
        <v>45839</v>
      </c>
      <c r="D1276" s="137">
        <v>0.90456018518518522</v>
      </c>
      <c r="E1276" s="94">
        <v>1057</v>
      </c>
      <c r="F1276" s="94">
        <v>1203</v>
      </c>
      <c r="G1276" s="94" t="s">
        <v>71</v>
      </c>
      <c r="H1276" s="94">
        <v>1027</v>
      </c>
      <c r="I1276" s="115">
        <v>35214500045083</v>
      </c>
      <c r="J1276" s="94" t="s">
        <v>72</v>
      </c>
      <c r="K1276" s="91">
        <v>134.30000000000001</v>
      </c>
      <c r="L1276" s="122" t="str">
        <f>VLOOKUP(K1276,Liste!$L$2:$O$34,4,1)</f>
        <v>GSMR_23/24</v>
      </c>
      <c r="M1276" s="94" t="s">
        <v>36</v>
      </c>
      <c r="N1276" s="124" t="s">
        <v>37</v>
      </c>
      <c r="O1276" s="117" t="s">
        <v>2705</v>
      </c>
      <c r="P1276" s="117" t="s">
        <v>2556</v>
      </c>
      <c r="Q1276" s="151" t="s">
        <v>47</v>
      </c>
      <c r="R1276" s="184" t="s">
        <v>2583</v>
      </c>
      <c r="S1276" s="124" t="s">
        <v>2706</v>
      </c>
      <c r="T1276" s="124" t="s">
        <v>78</v>
      </c>
      <c r="U1276" s="124" t="s">
        <v>1718</v>
      </c>
      <c r="V1276" s="124" t="s">
        <v>51</v>
      </c>
      <c r="W1276" s="124" t="s">
        <v>51</v>
      </c>
      <c r="X1276" s="124" t="s">
        <v>52</v>
      </c>
      <c r="Y1276" s="124" t="s">
        <v>2107</v>
      </c>
      <c r="Z1276" s="94"/>
      <c r="AA1276" s="124" t="s">
        <v>772</v>
      </c>
      <c r="AB1276" s="94"/>
      <c r="AC1276" s="94"/>
      <c r="AD1276" s="94"/>
      <c r="AE1276" s="94"/>
      <c r="AF1276" s="94"/>
      <c r="AG1276" s="94"/>
      <c r="AH1276" s="94"/>
    </row>
    <row r="1277" spans="1:34" ht="60">
      <c r="A1277" s="120">
        <v>1276</v>
      </c>
      <c r="B1277" s="120" t="b">
        <f t="shared" ca="1" si="19"/>
        <v>0</v>
      </c>
      <c r="C1277" s="121">
        <v>45839</v>
      </c>
      <c r="D1277" s="137">
        <v>0.90547453703703706</v>
      </c>
      <c r="E1277" s="94">
        <v>1057</v>
      </c>
      <c r="F1277" s="94">
        <v>1203</v>
      </c>
      <c r="G1277" s="94" t="s">
        <v>71</v>
      </c>
      <c r="H1277" s="94">
        <v>1027</v>
      </c>
      <c r="I1277" s="115">
        <v>35214500045083</v>
      </c>
      <c r="J1277" s="94" t="s">
        <v>72</v>
      </c>
      <c r="K1277" s="91">
        <v>129.18</v>
      </c>
      <c r="L1277" s="122" t="str">
        <f>VLOOKUP(K1277,Liste!$L$2:$O$34,4,1)</f>
        <v>GSMR_23/24</v>
      </c>
      <c r="M1277" s="94" t="s">
        <v>36</v>
      </c>
      <c r="N1277" s="124" t="s">
        <v>58</v>
      </c>
      <c r="O1277" s="117" t="s">
        <v>2707</v>
      </c>
      <c r="P1277" s="117" t="s">
        <v>2556</v>
      </c>
      <c r="Q1277" s="151" t="s">
        <v>47</v>
      </c>
      <c r="R1277" s="184" t="s">
        <v>2583</v>
      </c>
      <c r="S1277" s="124"/>
      <c r="T1277" s="124" t="s">
        <v>78</v>
      </c>
      <c r="U1277" s="124" t="s">
        <v>2604</v>
      </c>
      <c r="V1277" s="124" t="s">
        <v>43</v>
      </c>
      <c r="W1277" s="124" t="s">
        <v>51</v>
      </c>
      <c r="X1277" s="124" t="s">
        <v>52</v>
      </c>
      <c r="Y1277" s="124" t="s">
        <v>2107</v>
      </c>
      <c r="Z1277" s="94"/>
      <c r="AA1277" s="124" t="s">
        <v>1342</v>
      </c>
      <c r="AB1277" s="94"/>
      <c r="AC1277" s="94"/>
      <c r="AD1277" s="94"/>
      <c r="AE1277" s="94"/>
      <c r="AF1277" s="94"/>
      <c r="AG1277" s="94"/>
      <c r="AH1277" s="94"/>
    </row>
    <row r="1278" spans="1:34" ht="60">
      <c r="A1278" s="120">
        <v>1277</v>
      </c>
      <c r="B1278" s="120" t="b">
        <f t="shared" ca="1" si="19"/>
        <v>0</v>
      </c>
      <c r="C1278" s="121">
        <v>45840</v>
      </c>
      <c r="D1278" s="137">
        <v>0.79252314814814817</v>
      </c>
      <c r="E1278" s="94">
        <v>1046</v>
      </c>
      <c r="F1278" s="91">
        <v>1205</v>
      </c>
      <c r="G1278" s="94" t="s">
        <v>71</v>
      </c>
      <c r="H1278" s="94">
        <v>1060</v>
      </c>
      <c r="I1278" s="115"/>
      <c r="J1278" s="139" t="s">
        <v>72</v>
      </c>
      <c r="K1278" s="91">
        <v>25.85</v>
      </c>
      <c r="L1278" s="122" t="str">
        <f>VLOOKUP(K1278,Liste!$L$2:$O$34,4,1)</f>
        <v>GSMR_05/06</v>
      </c>
      <c r="M1278" s="94" t="s">
        <v>36</v>
      </c>
      <c r="N1278" s="124" t="s">
        <v>37</v>
      </c>
      <c r="O1278" s="117" t="s">
        <v>2708</v>
      </c>
      <c r="P1278" s="117" t="s">
        <v>2556</v>
      </c>
      <c r="Q1278" s="151" t="s">
        <v>47</v>
      </c>
      <c r="R1278" s="184" t="s">
        <v>2583</v>
      </c>
      <c r="S1278" s="124" t="s">
        <v>2709</v>
      </c>
      <c r="T1278" s="124" t="s">
        <v>116</v>
      </c>
      <c r="U1278" s="124" t="s">
        <v>1693</v>
      </c>
      <c r="V1278" s="124" t="s">
        <v>51</v>
      </c>
      <c r="W1278" s="124" t="s">
        <v>51</v>
      </c>
      <c r="X1278" s="124" t="s">
        <v>52</v>
      </c>
      <c r="Y1278" s="124" t="s">
        <v>946</v>
      </c>
      <c r="Z1278" s="91"/>
      <c r="AA1278" s="124" t="s">
        <v>1118</v>
      </c>
      <c r="AB1278" s="91"/>
      <c r="AC1278" s="91"/>
      <c r="AD1278" s="91"/>
      <c r="AE1278" s="91"/>
      <c r="AF1278" s="91"/>
      <c r="AG1278" s="91"/>
      <c r="AH1278" s="91"/>
    </row>
    <row r="1279" spans="1:34" ht="105">
      <c r="A1279" s="120">
        <v>1278</v>
      </c>
      <c r="B1279" s="120" t="b">
        <f t="shared" ca="1" si="19"/>
        <v>0</v>
      </c>
      <c r="C1279" s="121">
        <v>45841</v>
      </c>
      <c r="D1279" s="137">
        <v>0.29541666666666666</v>
      </c>
      <c r="E1279" s="94">
        <v>2005</v>
      </c>
      <c r="F1279" s="91">
        <v>1208</v>
      </c>
      <c r="G1279" s="94" t="s">
        <v>34</v>
      </c>
      <c r="H1279" s="94">
        <v>1037</v>
      </c>
      <c r="I1279" s="115"/>
      <c r="J1279" s="94" t="s">
        <v>35</v>
      </c>
      <c r="K1279" s="152">
        <v>6.13</v>
      </c>
      <c r="L1279" s="122" t="str">
        <f>VLOOKUP(K1279,Liste!$L$2:$O$34,4,1)</f>
        <v>GSMR_02/03</v>
      </c>
      <c r="M1279" s="94" t="s">
        <v>36</v>
      </c>
      <c r="N1279" s="124" t="s">
        <v>58</v>
      </c>
      <c r="O1279" s="117" t="s">
        <v>2710</v>
      </c>
      <c r="P1279" s="117" t="s">
        <v>2665</v>
      </c>
      <c r="Q1279" s="151" t="s">
        <v>531</v>
      </c>
      <c r="R1279" s="184" t="s">
        <v>2548</v>
      </c>
      <c r="S1279" s="124" t="s">
        <v>2711</v>
      </c>
      <c r="T1279" s="124" t="s">
        <v>69</v>
      </c>
      <c r="U1279" s="124" t="s">
        <v>1688</v>
      </c>
      <c r="V1279" s="124" t="s">
        <v>43</v>
      </c>
      <c r="W1279" s="124" t="s">
        <v>51</v>
      </c>
      <c r="X1279" s="124" t="s">
        <v>52</v>
      </c>
      <c r="Y1279" s="124" t="s">
        <v>946</v>
      </c>
      <c r="Z1279" s="91"/>
      <c r="AA1279" s="124" t="s">
        <v>802</v>
      </c>
      <c r="AB1279" s="91"/>
      <c r="AC1279" s="91"/>
      <c r="AD1279" s="91"/>
      <c r="AE1279" s="91"/>
      <c r="AF1279" s="91"/>
      <c r="AG1279" s="91"/>
      <c r="AH1279" s="91"/>
    </row>
    <row r="1280" spans="1:34" ht="105">
      <c r="A1280" s="120">
        <v>1279</v>
      </c>
      <c r="B1280" s="120" t="b">
        <f t="shared" ca="1" si="19"/>
        <v>0</v>
      </c>
      <c r="C1280" s="121">
        <v>45842</v>
      </c>
      <c r="D1280" s="137">
        <v>0.92153935185185187</v>
      </c>
      <c r="E1280" s="94">
        <v>1057</v>
      </c>
      <c r="F1280" s="91">
        <v>1204</v>
      </c>
      <c r="G1280" s="94" t="s">
        <v>71</v>
      </c>
      <c r="H1280" s="94">
        <v>1035</v>
      </c>
      <c r="I1280" s="115"/>
      <c r="J1280" s="139" t="s">
        <v>72</v>
      </c>
      <c r="K1280" s="152">
        <v>7.3209999999999997</v>
      </c>
      <c r="L1280" s="122" t="str">
        <f>VLOOKUP(K1280,Liste!$L$2:$O$34,4,1)</f>
        <v>GSMR_02/03</v>
      </c>
      <c r="M1280" s="94" t="s">
        <v>36</v>
      </c>
      <c r="N1280" s="124" t="s">
        <v>37</v>
      </c>
      <c r="O1280" s="117" t="s">
        <v>2712</v>
      </c>
      <c r="P1280" s="117" t="s">
        <v>2665</v>
      </c>
      <c r="Q1280" s="151" t="s">
        <v>531</v>
      </c>
      <c r="R1280" s="184" t="s">
        <v>2548</v>
      </c>
      <c r="S1280" s="124" t="s">
        <v>2713</v>
      </c>
      <c r="T1280" s="124" t="s">
        <v>56</v>
      </c>
      <c r="U1280" s="124" t="s">
        <v>1718</v>
      </c>
      <c r="V1280" s="124" t="s">
        <v>43</v>
      </c>
      <c r="W1280" s="124" t="s">
        <v>51</v>
      </c>
      <c r="X1280" s="124" t="s">
        <v>52</v>
      </c>
      <c r="Y1280" s="124" t="s">
        <v>946</v>
      </c>
      <c r="Z1280" s="91"/>
      <c r="AA1280" s="124" t="s">
        <v>793</v>
      </c>
      <c r="AB1280" s="91"/>
      <c r="AC1280" s="91"/>
      <c r="AD1280" s="91"/>
      <c r="AE1280" s="91"/>
      <c r="AF1280" s="91"/>
      <c r="AG1280" s="91"/>
      <c r="AH1280" s="91"/>
    </row>
    <row r="1281" spans="1:34" ht="105">
      <c r="A1281" s="120">
        <v>1280</v>
      </c>
      <c r="B1281" s="120" t="b">
        <f t="shared" ca="1" si="19"/>
        <v>0</v>
      </c>
      <c r="C1281" s="121">
        <v>45843</v>
      </c>
      <c r="D1281" s="137">
        <v>0.7540972222222222</v>
      </c>
      <c r="E1281" s="94">
        <v>1041</v>
      </c>
      <c r="F1281" s="91">
        <v>1203</v>
      </c>
      <c r="G1281" s="94" t="s">
        <v>71</v>
      </c>
      <c r="H1281" s="94">
        <v>1027</v>
      </c>
      <c r="I1281" s="115"/>
      <c r="J1281" s="139" t="s">
        <v>72</v>
      </c>
      <c r="K1281" s="152">
        <v>7.3209999999999997</v>
      </c>
      <c r="L1281" s="122" t="str">
        <f>VLOOKUP(K1281,Liste!$L$2:$O$34,4,1)</f>
        <v>GSMR_02/03</v>
      </c>
      <c r="M1281" s="94" t="s">
        <v>36</v>
      </c>
      <c r="N1281" s="124" t="s">
        <v>58</v>
      </c>
      <c r="O1281" s="117" t="s">
        <v>2714</v>
      </c>
      <c r="P1281" s="117" t="s">
        <v>2665</v>
      </c>
      <c r="Q1281" s="151" t="s">
        <v>531</v>
      </c>
      <c r="R1281" s="184" t="s">
        <v>2548</v>
      </c>
      <c r="S1281" s="124" t="s">
        <v>2713</v>
      </c>
      <c r="T1281" s="124" t="s">
        <v>56</v>
      </c>
      <c r="U1281" s="124" t="s">
        <v>1618</v>
      </c>
      <c r="V1281" s="124" t="s">
        <v>51</v>
      </c>
      <c r="W1281" s="124" t="s">
        <v>51</v>
      </c>
      <c r="X1281" s="124" t="s">
        <v>52</v>
      </c>
      <c r="Y1281" s="124" t="s">
        <v>946</v>
      </c>
      <c r="Z1281" s="91"/>
      <c r="AA1281" s="124" t="s">
        <v>757</v>
      </c>
      <c r="AB1281" s="91"/>
      <c r="AC1281" s="91"/>
      <c r="AD1281" s="91"/>
      <c r="AE1281" s="91"/>
      <c r="AF1281" s="91"/>
      <c r="AG1281" s="91"/>
      <c r="AH1281" s="91"/>
    </row>
    <row r="1282" spans="1:34" ht="105">
      <c r="A1282" s="120">
        <v>1281</v>
      </c>
      <c r="B1282" s="120" t="b">
        <f t="shared" ref="B1282:B1345" ca="1" si="20">AND(C1282&gt;=TODAY()-7, C1282&lt;=TODAY()-1)</f>
        <v>0</v>
      </c>
      <c r="C1282" s="121">
        <v>45843</v>
      </c>
      <c r="D1282" s="137">
        <v>0.83660879629629625</v>
      </c>
      <c r="E1282" s="94">
        <v>2057</v>
      </c>
      <c r="F1282" s="91">
        <v>1202</v>
      </c>
      <c r="G1282" s="94" t="s">
        <v>34</v>
      </c>
      <c r="H1282" s="94">
        <v>1043</v>
      </c>
      <c r="I1282" s="115"/>
      <c r="J1282" s="139" t="s">
        <v>35</v>
      </c>
      <c r="K1282" s="152">
        <v>6.13</v>
      </c>
      <c r="L1282" s="122" t="str">
        <f>VLOOKUP(K1282,Liste!$L$2:$O$34,4,1)</f>
        <v>GSMR_02/03</v>
      </c>
      <c r="M1282" s="94" t="s">
        <v>36</v>
      </c>
      <c r="N1282" s="124" t="s">
        <v>37</v>
      </c>
      <c r="O1282" s="117" t="s">
        <v>2715</v>
      </c>
      <c r="P1282" s="117" t="s">
        <v>2665</v>
      </c>
      <c r="Q1282" s="151" t="s">
        <v>531</v>
      </c>
      <c r="R1282" s="184" t="s">
        <v>2548</v>
      </c>
      <c r="S1282" s="124" t="s">
        <v>2716</v>
      </c>
      <c r="T1282" s="124" t="s">
        <v>56</v>
      </c>
      <c r="U1282" s="124" t="s">
        <v>1546</v>
      </c>
      <c r="V1282" s="124" t="s">
        <v>43</v>
      </c>
      <c r="W1282" s="124" t="s">
        <v>43</v>
      </c>
      <c r="X1282" s="124" t="s">
        <v>52</v>
      </c>
      <c r="Y1282" s="124" t="s">
        <v>946</v>
      </c>
      <c r="Z1282" s="91"/>
      <c r="AA1282" s="124" t="s">
        <v>778</v>
      </c>
      <c r="AB1282" s="91"/>
      <c r="AC1282" s="91"/>
      <c r="AD1282" s="91"/>
      <c r="AE1282" s="91"/>
      <c r="AF1282" s="91"/>
      <c r="AG1282" s="91"/>
      <c r="AH1282" s="91"/>
    </row>
    <row r="1283" spans="1:34" ht="105">
      <c r="A1283" s="120">
        <v>1282</v>
      </c>
      <c r="B1283" s="120" t="b">
        <f t="shared" ca="1" si="20"/>
        <v>0</v>
      </c>
      <c r="C1283" s="121">
        <v>45844</v>
      </c>
      <c r="D1283" s="137">
        <v>0.58939814814814817</v>
      </c>
      <c r="E1283" s="94">
        <v>1025</v>
      </c>
      <c r="F1283" s="91">
        <v>1206</v>
      </c>
      <c r="G1283" s="94" t="s">
        <v>71</v>
      </c>
      <c r="H1283" s="94">
        <v>1040</v>
      </c>
      <c r="I1283" s="115"/>
      <c r="J1283" s="139" t="s">
        <v>72</v>
      </c>
      <c r="K1283" s="152">
        <v>7.3209999999999997</v>
      </c>
      <c r="L1283" s="122" t="str">
        <f>VLOOKUP(K1283,Liste!$L$2:$O$34,4,1)</f>
        <v>GSMR_02/03</v>
      </c>
      <c r="M1283" s="94" t="s">
        <v>36</v>
      </c>
      <c r="N1283" s="124" t="s">
        <v>37</v>
      </c>
      <c r="O1283" s="117" t="s">
        <v>2717</v>
      </c>
      <c r="P1283" s="117" t="s">
        <v>2665</v>
      </c>
      <c r="Q1283" s="151" t="s">
        <v>531</v>
      </c>
      <c r="R1283" s="184" t="s">
        <v>2548</v>
      </c>
      <c r="S1283" s="124" t="s">
        <v>2713</v>
      </c>
      <c r="T1283" s="124" t="s">
        <v>56</v>
      </c>
      <c r="U1283" s="124" t="s">
        <v>1463</v>
      </c>
      <c r="V1283" s="124" t="s">
        <v>43</v>
      </c>
      <c r="W1283" s="124" t="s">
        <v>43</v>
      </c>
      <c r="X1283" s="124" t="s">
        <v>52</v>
      </c>
      <c r="Y1283" s="124" t="s">
        <v>2107</v>
      </c>
      <c r="Z1283" s="91"/>
      <c r="AA1283" s="124" t="s">
        <v>772</v>
      </c>
      <c r="AB1283" s="91"/>
      <c r="AC1283" s="91"/>
      <c r="AD1283" s="91"/>
      <c r="AE1283" s="91"/>
      <c r="AF1283" s="91"/>
      <c r="AG1283" s="91"/>
      <c r="AH1283" s="91"/>
    </row>
    <row r="1284" spans="1:34" ht="45">
      <c r="A1284" s="120">
        <v>1283</v>
      </c>
      <c r="B1284" s="120" t="b">
        <f t="shared" ca="1" si="20"/>
        <v>0</v>
      </c>
      <c r="C1284" s="121">
        <v>45844</v>
      </c>
      <c r="D1284" s="137">
        <v>0.8162962962962963</v>
      </c>
      <c r="E1284" s="94">
        <v>2053</v>
      </c>
      <c r="F1284" s="91">
        <v>1201</v>
      </c>
      <c r="G1284" s="94" t="s">
        <v>34</v>
      </c>
      <c r="H1284" s="94">
        <v>1057</v>
      </c>
      <c r="I1284" s="115">
        <v>35214500045187</v>
      </c>
      <c r="J1284" s="139" t="s">
        <v>35</v>
      </c>
      <c r="K1284" s="91">
        <v>144.32599999999999</v>
      </c>
      <c r="L1284" s="122" t="str">
        <f>VLOOKUP(K1284,Liste!$L$2:$O$34,4,1)</f>
        <v>GSMR_25/26</v>
      </c>
      <c r="M1284" s="94" t="s">
        <v>36</v>
      </c>
      <c r="N1284" s="124" t="s">
        <v>37</v>
      </c>
      <c r="O1284" s="117" t="s">
        <v>2718</v>
      </c>
      <c r="P1284" s="117" t="s">
        <v>2556</v>
      </c>
      <c r="Q1284" s="151" t="s">
        <v>105</v>
      </c>
      <c r="R1284" s="184" t="s">
        <v>1072</v>
      </c>
      <c r="S1284" s="124" t="s">
        <v>2719</v>
      </c>
      <c r="T1284" s="124" t="s">
        <v>69</v>
      </c>
      <c r="U1284" s="124" t="s">
        <v>1693</v>
      </c>
      <c r="V1284" s="124" t="s">
        <v>51</v>
      </c>
      <c r="W1284" s="124" t="s">
        <v>51</v>
      </c>
      <c r="X1284" s="124" t="s">
        <v>52</v>
      </c>
      <c r="Y1284" s="124" t="s">
        <v>2107</v>
      </c>
      <c r="Z1284" s="91"/>
      <c r="AA1284" s="124" t="s">
        <v>772</v>
      </c>
      <c r="AB1284" s="91"/>
      <c r="AC1284" s="91"/>
      <c r="AD1284" s="91"/>
      <c r="AE1284" s="91"/>
      <c r="AF1284" s="91"/>
      <c r="AG1284" s="91"/>
      <c r="AH1284" s="91"/>
    </row>
    <row r="1285" spans="1:34" ht="60">
      <c r="A1285" s="120">
        <v>1284</v>
      </c>
      <c r="B1285" s="120" t="b">
        <f t="shared" ca="1" si="20"/>
        <v>0</v>
      </c>
      <c r="C1285" s="121">
        <v>45845</v>
      </c>
      <c r="D1285" s="137">
        <v>0.7728356481481482</v>
      </c>
      <c r="E1285" s="94">
        <v>1045</v>
      </c>
      <c r="F1285" s="91">
        <v>1205</v>
      </c>
      <c r="G1285" s="94" t="s">
        <v>71</v>
      </c>
      <c r="H1285" s="94">
        <v>1061</v>
      </c>
      <c r="I1285" s="115">
        <v>35214500045735</v>
      </c>
      <c r="J1285" s="139" t="s">
        <v>72</v>
      </c>
      <c r="K1285" s="91">
        <v>185.47</v>
      </c>
      <c r="L1285" s="122" t="str">
        <f>VLOOKUP(K1285,Liste!$L$2:$O$34,4,1)</f>
        <v>GSMR_32/33</v>
      </c>
      <c r="M1285" s="94" t="s">
        <v>36</v>
      </c>
      <c r="N1285" s="124" t="s">
        <v>37</v>
      </c>
      <c r="O1285" s="117" t="s">
        <v>2720</v>
      </c>
      <c r="P1285" s="117" t="s">
        <v>2556</v>
      </c>
      <c r="Q1285" s="151" t="s">
        <v>47</v>
      </c>
      <c r="R1285" s="184" t="s">
        <v>2583</v>
      </c>
      <c r="S1285" s="124" t="s">
        <v>2721</v>
      </c>
      <c r="T1285" s="124" t="s">
        <v>78</v>
      </c>
      <c r="U1285" s="124" t="s">
        <v>1897</v>
      </c>
      <c r="V1285" s="124" t="s">
        <v>51</v>
      </c>
      <c r="W1285" s="124" t="s">
        <v>51</v>
      </c>
      <c r="X1285" s="124" t="s">
        <v>52</v>
      </c>
      <c r="Y1285" s="124" t="s">
        <v>622</v>
      </c>
      <c r="Z1285" s="91"/>
      <c r="AA1285" s="124" t="s">
        <v>772</v>
      </c>
      <c r="AB1285" s="91"/>
      <c r="AC1285" s="91"/>
      <c r="AD1285" s="91"/>
      <c r="AE1285" s="91"/>
      <c r="AF1285" s="91"/>
      <c r="AG1285" s="91"/>
      <c r="AH1285" s="91"/>
    </row>
    <row r="1286" spans="1:34" ht="105">
      <c r="A1286" s="120">
        <v>1285</v>
      </c>
      <c r="B1286" s="120" t="b">
        <f t="shared" ca="1" si="20"/>
        <v>0</v>
      </c>
      <c r="C1286" s="121">
        <v>45846</v>
      </c>
      <c r="D1286" s="137">
        <v>0.67398148148148151</v>
      </c>
      <c r="E1286" s="94">
        <v>1025</v>
      </c>
      <c r="F1286" s="91">
        <v>1201</v>
      </c>
      <c r="G1286" s="94" t="s">
        <v>71</v>
      </c>
      <c r="H1286" s="94">
        <v>1028</v>
      </c>
      <c r="I1286" s="115"/>
      <c r="J1286" s="139" t="s">
        <v>72</v>
      </c>
      <c r="K1286" s="152">
        <v>7.3209999999999997</v>
      </c>
      <c r="L1286" s="122" t="str">
        <f>VLOOKUP(K1286,Liste!$L$2:$O$34,4,1)</f>
        <v>GSMR_02/03</v>
      </c>
      <c r="M1286" s="94" t="s">
        <v>36</v>
      </c>
      <c r="N1286" s="124" t="s">
        <v>37</v>
      </c>
      <c r="O1286" s="117" t="s">
        <v>2717</v>
      </c>
      <c r="P1286" s="117" t="s">
        <v>2665</v>
      </c>
      <c r="Q1286" s="151" t="s">
        <v>531</v>
      </c>
      <c r="R1286" s="184" t="s">
        <v>2548</v>
      </c>
      <c r="S1286" s="124" t="s">
        <v>1811</v>
      </c>
      <c r="T1286" s="124" t="s">
        <v>93</v>
      </c>
      <c r="U1286" s="124" t="s">
        <v>1463</v>
      </c>
      <c r="V1286" s="124" t="s">
        <v>43</v>
      </c>
      <c r="W1286" s="124" t="s">
        <v>51</v>
      </c>
      <c r="X1286" s="124" t="s">
        <v>52</v>
      </c>
      <c r="Y1286" s="124" t="s">
        <v>2107</v>
      </c>
      <c r="Z1286" s="91"/>
      <c r="AA1286" s="124" t="s">
        <v>772</v>
      </c>
      <c r="AB1286" s="91"/>
      <c r="AC1286" s="91"/>
      <c r="AD1286" s="91"/>
      <c r="AE1286" s="91"/>
      <c r="AF1286" s="91"/>
      <c r="AG1286" s="91"/>
      <c r="AH1286" s="91"/>
    </row>
    <row r="1287" spans="1:34" ht="60">
      <c r="A1287" s="120">
        <v>1286</v>
      </c>
      <c r="B1287" s="120" t="b">
        <f t="shared" ca="1" si="20"/>
        <v>0</v>
      </c>
      <c r="C1287" s="121">
        <v>45848</v>
      </c>
      <c r="D1287" s="137">
        <v>0.69869212962962968</v>
      </c>
      <c r="E1287" s="94">
        <v>1037</v>
      </c>
      <c r="F1287" s="91">
        <v>1208</v>
      </c>
      <c r="G1287" s="94" t="s">
        <v>71</v>
      </c>
      <c r="H1287" s="94">
        <v>1045</v>
      </c>
      <c r="I1287" s="115"/>
      <c r="J1287" s="139" t="s">
        <v>72</v>
      </c>
      <c r="K1287" s="91">
        <v>109.495</v>
      </c>
      <c r="L1287" s="122" t="str">
        <f>VLOOKUP(K1287,Liste!$L$2:$O$34,4,1)</f>
        <v>GSMR_19/20</v>
      </c>
      <c r="M1287" s="94" t="s">
        <v>36</v>
      </c>
      <c r="N1287" s="124" t="s">
        <v>37</v>
      </c>
      <c r="O1287" s="117" t="s">
        <v>2722</v>
      </c>
      <c r="P1287" s="117" t="s">
        <v>2556</v>
      </c>
      <c r="Q1287" s="151" t="s">
        <v>47</v>
      </c>
      <c r="R1287" s="184" t="s">
        <v>2723</v>
      </c>
      <c r="S1287" s="124" t="s">
        <v>2724</v>
      </c>
      <c r="T1287" s="124" t="s">
        <v>41</v>
      </c>
      <c r="U1287" s="124" t="s">
        <v>2101</v>
      </c>
      <c r="V1287" s="124" t="s">
        <v>43</v>
      </c>
      <c r="W1287" s="124" t="s">
        <v>51</v>
      </c>
      <c r="X1287" s="124" t="s">
        <v>52</v>
      </c>
      <c r="Y1287" s="124" t="s">
        <v>622</v>
      </c>
      <c r="Z1287" s="91"/>
      <c r="AA1287" s="124" t="s">
        <v>802</v>
      </c>
      <c r="AB1287" s="91"/>
      <c r="AC1287" s="91"/>
      <c r="AD1287" s="91"/>
      <c r="AE1287" s="91"/>
      <c r="AF1287" s="91"/>
      <c r="AG1287" s="91"/>
      <c r="AH1287" s="91"/>
    </row>
    <row r="1288" spans="1:34" ht="105">
      <c r="A1288" s="120">
        <v>1287</v>
      </c>
      <c r="B1288" s="120" t="b">
        <f t="shared" ca="1" si="20"/>
        <v>0</v>
      </c>
      <c r="C1288" s="121">
        <v>45848</v>
      </c>
      <c r="D1288" s="137" t="s">
        <v>2725</v>
      </c>
      <c r="E1288" s="94">
        <v>1037</v>
      </c>
      <c r="F1288" s="91">
        <v>1208</v>
      </c>
      <c r="G1288" s="94" t="s">
        <v>71</v>
      </c>
      <c r="H1288" s="94">
        <v>1044</v>
      </c>
      <c r="I1288" s="115"/>
      <c r="J1288" s="139" t="s">
        <v>72</v>
      </c>
      <c r="K1288" s="152">
        <v>8.9700000000000006</v>
      </c>
      <c r="L1288" s="122" t="str">
        <f>VLOOKUP(K1288,Liste!$L$2:$O$34,4,1)</f>
        <v>GSMR_02/03</v>
      </c>
      <c r="M1288" s="94" t="s">
        <v>36</v>
      </c>
      <c r="N1288" s="124" t="s">
        <v>37</v>
      </c>
      <c r="O1288" s="117" t="s">
        <v>2726</v>
      </c>
      <c r="P1288" s="117" t="s">
        <v>2665</v>
      </c>
      <c r="Q1288" s="151" t="s">
        <v>531</v>
      </c>
      <c r="R1288" s="184" t="s">
        <v>2548</v>
      </c>
      <c r="S1288" s="124" t="s">
        <v>2727</v>
      </c>
      <c r="T1288" s="124" t="s">
        <v>56</v>
      </c>
      <c r="U1288" s="124" t="s">
        <v>1595</v>
      </c>
      <c r="V1288" s="124" t="s">
        <v>51</v>
      </c>
      <c r="W1288" s="124" t="s">
        <v>43</v>
      </c>
      <c r="X1288" s="124" t="s">
        <v>52</v>
      </c>
      <c r="Y1288" s="124" t="s">
        <v>622</v>
      </c>
      <c r="Z1288" s="91"/>
      <c r="AA1288" s="124" t="s">
        <v>802</v>
      </c>
      <c r="AB1288" s="91"/>
      <c r="AC1288" s="91"/>
      <c r="AD1288" s="91"/>
      <c r="AE1288" s="91"/>
      <c r="AF1288" s="91"/>
      <c r="AG1288" s="91"/>
      <c r="AH1288" s="91"/>
    </row>
    <row r="1289" spans="1:34" ht="105">
      <c r="A1289" s="120">
        <v>1288</v>
      </c>
      <c r="B1289" s="120" t="b">
        <f t="shared" ca="1" si="20"/>
        <v>0</v>
      </c>
      <c r="C1289" s="121">
        <v>45850</v>
      </c>
      <c r="D1289" s="137">
        <v>0.71194444444444449</v>
      </c>
      <c r="E1289" s="94">
        <v>1037</v>
      </c>
      <c r="F1289" s="91">
        <v>1205</v>
      </c>
      <c r="G1289" s="94" t="s">
        <v>71</v>
      </c>
      <c r="H1289" s="94">
        <v>1060</v>
      </c>
      <c r="I1289" s="115">
        <v>35214500005339</v>
      </c>
      <c r="J1289" s="139" t="s">
        <v>72</v>
      </c>
      <c r="K1289" s="161">
        <v>7.3209999999999997</v>
      </c>
      <c r="L1289" s="122" t="str">
        <f>VLOOKUP(K1289,Liste!$L$2:$O$34,4,1)</f>
        <v>GSMR_02/03</v>
      </c>
      <c r="M1289" s="94" t="s">
        <v>36</v>
      </c>
      <c r="N1289" s="124" t="s">
        <v>58</v>
      </c>
      <c r="O1289" s="117" t="s">
        <v>2728</v>
      </c>
      <c r="P1289" s="117" t="s">
        <v>2665</v>
      </c>
      <c r="Q1289" s="151" t="s">
        <v>531</v>
      </c>
      <c r="R1289" s="184" t="s">
        <v>2548</v>
      </c>
      <c r="S1289" s="124" t="s">
        <v>2729</v>
      </c>
      <c r="T1289" s="124" t="s">
        <v>56</v>
      </c>
      <c r="U1289" s="124" t="s">
        <v>1520</v>
      </c>
      <c r="V1289" s="124" t="s">
        <v>51</v>
      </c>
      <c r="W1289" s="124" t="s">
        <v>51</v>
      </c>
      <c r="X1289" s="124" t="s">
        <v>52</v>
      </c>
      <c r="Y1289" s="124" t="s">
        <v>946</v>
      </c>
      <c r="Z1289" s="91"/>
      <c r="AA1289" s="124" t="s">
        <v>1183</v>
      </c>
      <c r="AB1289" s="91"/>
      <c r="AC1289" s="91"/>
      <c r="AD1289" s="91"/>
      <c r="AE1289" s="91"/>
      <c r="AF1289" s="91"/>
      <c r="AG1289" s="91"/>
      <c r="AH1289" s="91"/>
    </row>
    <row r="1290" spans="1:34" ht="60">
      <c r="A1290" s="120">
        <v>1289</v>
      </c>
      <c r="B1290" s="120" t="b">
        <f t="shared" ca="1" si="20"/>
        <v>0</v>
      </c>
      <c r="C1290" s="121">
        <v>45851</v>
      </c>
      <c r="D1290" s="137">
        <v>0.29554398148148148</v>
      </c>
      <c r="E1290" s="94">
        <v>10075</v>
      </c>
      <c r="F1290" s="91">
        <v>1203</v>
      </c>
      <c r="G1290" s="94" t="s">
        <v>71</v>
      </c>
      <c r="H1290" s="94">
        <v>1026</v>
      </c>
      <c r="I1290" s="115"/>
      <c r="J1290" s="139" t="s">
        <v>72</v>
      </c>
      <c r="K1290" s="91">
        <v>152.488</v>
      </c>
      <c r="L1290" s="122" t="str">
        <f>VLOOKUP(K1290,Liste!$L$2:$O$34,4,1)</f>
        <v>GSMR_26/27</v>
      </c>
      <c r="M1290" s="122" t="s">
        <v>36</v>
      </c>
      <c r="N1290" s="124" t="s">
        <v>37</v>
      </c>
      <c r="O1290" s="117" t="s">
        <v>2730</v>
      </c>
      <c r="P1290" s="117" t="s">
        <v>2556</v>
      </c>
      <c r="Q1290" s="151" t="s">
        <v>47</v>
      </c>
      <c r="R1290" s="184" t="s">
        <v>2583</v>
      </c>
      <c r="S1290" s="124" t="s">
        <v>2731</v>
      </c>
      <c r="T1290" s="124" t="s">
        <v>56</v>
      </c>
      <c r="U1290" s="124" t="s">
        <v>1509</v>
      </c>
      <c r="V1290" s="124" t="s">
        <v>43</v>
      </c>
      <c r="W1290" s="124" t="s">
        <v>51</v>
      </c>
      <c r="X1290" s="124" t="s">
        <v>52</v>
      </c>
      <c r="Y1290" s="124" t="s">
        <v>946</v>
      </c>
      <c r="Z1290" s="91"/>
      <c r="AA1290" s="124" t="s">
        <v>778</v>
      </c>
      <c r="AB1290" s="91"/>
      <c r="AC1290" s="91"/>
      <c r="AD1290" s="91"/>
      <c r="AE1290" s="91"/>
      <c r="AF1290" s="91"/>
      <c r="AG1290" s="91"/>
      <c r="AH1290" s="91"/>
    </row>
    <row r="1291" spans="1:34" ht="105">
      <c r="A1291" s="120">
        <v>1290</v>
      </c>
      <c r="B1291" s="120" t="b">
        <f t="shared" ca="1" si="20"/>
        <v>0</v>
      </c>
      <c r="C1291" s="121">
        <v>45852</v>
      </c>
      <c r="D1291" s="137">
        <v>0.33983796296296298</v>
      </c>
      <c r="E1291" s="94">
        <v>1001</v>
      </c>
      <c r="F1291" s="91">
        <v>1208</v>
      </c>
      <c r="G1291" s="94" t="s">
        <v>71</v>
      </c>
      <c r="H1291" s="94">
        <v>1044</v>
      </c>
      <c r="I1291" s="115">
        <v>35214500045131</v>
      </c>
      <c r="J1291" s="139" t="s">
        <v>72</v>
      </c>
      <c r="K1291" s="161">
        <v>7.3209999999999997</v>
      </c>
      <c r="L1291" s="122" t="str">
        <f>VLOOKUP(K1291,Liste!$L$2:$O$34,4,1)</f>
        <v>GSMR_02/03</v>
      </c>
      <c r="M1291" s="122" t="s">
        <v>36</v>
      </c>
      <c r="N1291" s="124" t="s">
        <v>37</v>
      </c>
      <c r="O1291" s="117" t="s">
        <v>2732</v>
      </c>
      <c r="P1291" s="117" t="s">
        <v>2665</v>
      </c>
      <c r="Q1291" s="151" t="s">
        <v>531</v>
      </c>
      <c r="R1291" s="184" t="s">
        <v>2548</v>
      </c>
      <c r="S1291" s="124" t="s">
        <v>2733</v>
      </c>
      <c r="T1291" s="124" t="s">
        <v>56</v>
      </c>
      <c r="U1291" s="124" t="s">
        <v>1745</v>
      </c>
      <c r="V1291" s="124" t="s">
        <v>51</v>
      </c>
      <c r="W1291" s="124" t="s">
        <v>51</v>
      </c>
      <c r="X1291" s="124" t="s">
        <v>52</v>
      </c>
      <c r="Y1291" s="124" t="s">
        <v>946</v>
      </c>
      <c r="Z1291" s="91"/>
      <c r="AA1291" s="124" t="s">
        <v>754</v>
      </c>
      <c r="AB1291" s="91"/>
      <c r="AC1291" s="91"/>
      <c r="AD1291" s="91"/>
      <c r="AE1291" s="91"/>
      <c r="AF1291" s="91"/>
      <c r="AG1291" s="91"/>
      <c r="AH1291" s="91"/>
    </row>
    <row r="1292" spans="1:34" ht="60">
      <c r="A1292" s="120">
        <v>1291</v>
      </c>
      <c r="B1292" s="120" t="b">
        <f t="shared" ca="1" si="20"/>
        <v>0</v>
      </c>
      <c r="C1292" s="121">
        <v>45852</v>
      </c>
      <c r="D1292" s="137">
        <v>0.79399305555555555</v>
      </c>
      <c r="E1292" s="94">
        <v>1046</v>
      </c>
      <c r="F1292" s="91">
        <v>1210</v>
      </c>
      <c r="G1292" s="94" t="s">
        <v>71</v>
      </c>
      <c r="H1292" s="94">
        <v>1072</v>
      </c>
      <c r="I1292" s="115">
        <v>35214500045424</v>
      </c>
      <c r="J1292" s="139" t="s">
        <v>72</v>
      </c>
      <c r="K1292" s="91">
        <v>25.91</v>
      </c>
      <c r="L1292" s="122" t="str">
        <f>VLOOKUP(K1292,Liste!$L$2:$O$34,4,1)</f>
        <v>GSMR_05/06</v>
      </c>
      <c r="M1292" s="122" t="s">
        <v>36</v>
      </c>
      <c r="N1292" s="124" t="s">
        <v>37</v>
      </c>
      <c r="O1292" s="117" t="s">
        <v>2734</v>
      </c>
      <c r="P1292" s="117" t="s">
        <v>2556</v>
      </c>
      <c r="Q1292" s="151" t="s">
        <v>47</v>
      </c>
      <c r="R1292" s="184" t="s">
        <v>2583</v>
      </c>
      <c r="S1292" s="124" t="s">
        <v>2735</v>
      </c>
      <c r="T1292" s="124" t="s">
        <v>56</v>
      </c>
      <c r="U1292" s="124" t="s">
        <v>1570</v>
      </c>
      <c r="V1292" s="124" t="s">
        <v>51</v>
      </c>
      <c r="W1292" s="124" t="s">
        <v>51</v>
      </c>
      <c r="X1292" s="124" t="s">
        <v>52</v>
      </c>
      <c r="Y1292" s="124" t="s">
        <v>946</v>
      </c>
      <c r="Z1292" s="91"/>
      <c r="AA1292" s="124" t="s">
        <v>793</v>
      </c>
      <c r="AB1292" s="91"/>
      <c r="AC1292" s="91"/>
      <c r="AD1292" s="91"/>
      <c r="AE1292" s="91"/>
      <c r="AF1292" s="91"/>
      <c r="AG1292" s="91"/>
      <c r="AH1292" s="91"/>
    </row>
    <row r="1293" spans="1:34" ht="105">
      <c r="A1293" s="120">
        <v>1292</v>
      </c>
      <c r="B1293" s="120" t="b">
        <f t="shared" ca="1" si="20"/>
        <v>0</v>
      </c>
      <c r="C1293" s="121">
        <v>45852</v>
      </c>
      <c r="D1293" s="137">
        <v>0.79812499999999997</v>
      </c>
      <c r="E1293" s="94">
        <v>1046</v>
      </c>
      <c r="F1293" s="91">
        <v>1210</v>
      </c>
      <c r="G1293" s="94" t="s">
        <v>71</v>
      </c>
      <c r="H1293" s="94">
        <v>1072</v>
      </c>
      <c r="I1293" s="115">
        <v>35214500045494</v>
      </c>
      <c r="J1293" s="139" t="s">
        <v>72</v>
      </c>
      <c r="K1293" s="161">
        <v>7.3209999999999997</v>
      </c>
      <c r="L1293" s="122" t="str">
        <f>VLOOKUP(K1293,Liste!$L$2:$O$34,4,1)</f>
        <v>GSMR_02/03</v>
      </c>
      <c r="M1293" s="122" t="s">
        <v>36</v>
      </c>
      <c r="N1293" s="124" t="s">
        <v>37</v>
      </c>
      <c r="O1293" s="117" t="s">
        <v>2736</v>
      </c>
      <c r="P1293" s="117" t="s">
        <v>2665</v>
      </c>
      <c r="Q1293" s="151" t="s">
        <v>531</v>
      </c>
      <c r="R1293" s="184" t="s">
        <v>2548</v>
      </c>
      <c r="S1293" s="124" t="s">
        <v>2737</v>
      </c>
      <c r="T1293" s="124" t="s">
        <v>56</v>
      </c>
      <c r="U1293" s="124" t="s">
        <v>1526</v>
      </c>
      <c r="V1293" s="124" t="s">
        <v>51</v>
      </c>
      <c r="W1293" s="124" t="s">
        <v>51</v>
      </c>
      <c r="X1293" s="124" t="s">
        <v>52</v>
      </c>
      <c r="Y1293" s="124" t="s">
        <v>946</v>
      </c>
      <c r="Z1293" s="91"/>
      <c r="AA1293" s="124" t="s">
        <v>793</v>
      </c>
      <c r="AB1293" s="91"/>
      <c r="AC1293" s="91"/>
      <c r="AD1293" s="91"/>
      <c r="AE1293" s="91"/>
      <c r="AF1293" s="91"/>
      <c r="AG1293" s="91"/>
      <c r="AH1293" s="91"/>
    </row>
    <row r="1294" spans="1:34" ht="105">
      <c r="A1294" s="120">
        <v>1293</v>
      </c>
      <c r="B1294" s="120" t="b">
        <f t="shared" ca="1" si="20"/>
        <v>0</v>
      </c>
      <c r="C1294" s="121">
        <v>45853</v>
      </c>
      <c r="D1294" s="137">
        <v>0.46303240740740742</v>
      </c>
      <c r="E1294" s="94">
        <v>1013</v>
      </c>
      <c r="F1294" s="91">
        <v>1204</v>
      </c>
      <c r="G1294" s="94" t="s">
        <v>71</v>
      </c>
      <c r="H1294" s="94">
        <v>1035</v>
      </c>
      <c r="I1294" s="115">
        <v>35214500046011</v>
      </c>
      <c r="J1294" s="139" t="s">
        <v>72</v>
      </c>
      <c r="K1294" s="161">
        <v>7.3209999999999997</v>
      </c>
      <c r="L1294" s="122" t="str">
        <f>VLOOKUP(K1294,Liste!$L$2:$O$34,4,1)</f>
        <v>GSMR_02/03</v>
      </c>
      <c r="M1294" s="122" t="s">
        <v>36</v>
      </c>
      <c r="N1294" s="124" t="s">
        <v>37</v>
      </c>
      <c r="O1294" s="117" t="s">
        <v>2738</v>
      </c>
      <c r="P1294" s="117" t="s">
        <v>2665</v>
      </c>
      <c r="Q1294" s="151" t="s">
        <v>531</v>
      </c>
      <c r="R1294" s="184" t="s">
        <v>2548</v>
      </c>
      <c r="S1294" s="124" t="s">
        <v>2739</v>
      </c>
      <c r="T1294" s="124" t="s">
        <v>93</v>
      </c>
      <c r="U1294" s="124" t="s">
        <v>2740</v>
      </c>
      <c r="V1294" s="124" t="s">
        <v>51</v>
      </c>
      <c r="W1294" s="124" t="s">
        <v>51</v>
      </c>
      <c r="X1294" s="124" t="s">
        <v>52</v>
      </c>
      <c r="Y1294" s="124" t="s">
        <v>946</v>
      </c>
      <c r="Z1294" s="91"/>
      <c r="AA1294" s="124" t="s">
        <v>802</v>
      </c>
      <c r="AB1294" s="91"/>
      <c r="AC1294" s="91"/>
      <c r="AD1294" s="91"/>
      <c r="AE1294" s="91"/>
      <c r="AF1294" s="91"/>
      <c r="AG1294" s="91"/>
      <c r="AH1294" s="91"/>
    </row>
    <row r="1295" spans="1:34" ht="60">
      <c r="A1295" s="120">
        <v>1294</v>
      </c>
      <c r="B1295" s="120" t="b">
        <f t="shared" ca="1" si="20"/>
        <v>0</v>
      </c>
      <c r="C1295" s="121">
        <v>45853</v>
      </c>
      <c r="D1295" s="137">
        <v>0.82194444444444448</v>
      </c>
      <c r="E1295" s="94">
        <v>1050</v>
      </c>
      <c r="F1295" s="91">
        <v>1206</v>
      </c>
      <c r="G1295" s="137" t="s">
        <v>71</v>
      </c>
      <c r="H1295" s="94">
        <v>1041</v>
      </c>
      <c r="I1295" s="115"/>
      <c r="J1295" s="139" t="s">
        <v>72</v>
      </c>
      <c r="K1295" s="91">
        <v>127.815</v>
      </c>
      <c r="L1295" s="137" t="str">
        <f>VLOOKUP(K1295,Liste!$L$2:$O$34,4,1)</f>
        <v>GSMR_22/23</v>
      </c>
      <c r="M1295" s="94" t="s">
        <v>36</v>
      </c>
      <c r="N1295" s="124" t="s">
        <v>37</v>
      </c>
      <c r="O1295" s="117" t="s">
        <v>2741</v>
      </c>
      <c r="P1295" s="117" t="s">
        <v>2556</v>
      </c>
      <c r="Q1295" s="151" t="s">
        <v>47</v>
      </c>
      <c r="R1295" s="184" t="s">
        <v>2583</v>
      </c>
      <c r="S1295" s="124" t="s">
        <v>2742</v>
      </c>
      <c r="T1295" s="124" t="s">
        <v>56</v>
      </c>
      <c r="U1295" s="124" t="s">
        <v>2743</v>
      </c>
      <c r="V1295" s="124" t="s">
        <v>51</v>
      </c>
      <c r="W1295" s="124" t="s">
        <v>51</v>
      </c>
      <c r="X1295" s="124" t="s">
        <v>52</v>
      </c>
      <c r="Y1295" s="124" t="s">
        <v>2107</v>
      </c>
      <c r="Z1295" s="91"/>
      <c r="AA1295" s="124" t="s">
        <v>772</v>
      </c>
      <c r="AB1295" s="91"/>
      <c r="AC1295" s="91"/>
      <c r="AD1295" s="91"/>
      <c r="AE1295" s="91"/>
      <c r="AF1295" s="91"/>
      <c r="AG1295" s="91"/>
      <c r="AH1295" s="91"/>
    </row>
    <row r="1296" spans="1:34" ht="105">
      <c r="A1296" s="120">
        <v>1295</v>
      </c>
      <c r="B1296" s="120" t="b">
        <f t="shared" ca="1" si="20"/>
        <v>0</v>
      </c>
      <c r="C1296" s="121">
        <v>45854</v>
      </c>
      <c r="D1296" s="137">
        <v>0.31370370370370371</v>
      </c>
      <c r="E1296" s="94">
        <v>15299</v>
      </c>
      <c r="F1296" s="91">
        <v>1207</v>
      </c>
      <c r="G1296" s="137" t="s">
        <v>71</v>
      </c>
      <c r="H1296" s="94">
        <v>1046</v>
      </c>
      <c r="I1296" s="115">
        <v>35214500038730</v>
      </c>
      <c r="J1296" s="139" t="s">
        <v>72</v>
      </c>
      <c r="K1296" s="161">
        <v>7.3209999999999997</v>
      </c>
      <c r="L1296" s="122" t="str">
        <f>VLOOKUP(K1296,Liste!$L$2:$O$34,4,1)</f>
        <v>GSMR_02/03</v>
      </c>
      <c r="M1296" s="94" t="s">
        <v>36</v>
      </c>
      <c r="N1296" s="124" t="s">
        <v>58</v>
      </c>
      <c r="O1296" s="117" t="s">
        <v>2744</v>
      </c>
      <c r="P1296" s="117" t="s">
        <v>2665</v>
      </c>
      <c r="Q1296" s="151" t="s">
        <v>531</v>
      </c>
      <c r="R1296" s="184" t="s">
        <v>2548</v>
      </c>
      <c r="S1296" s="124" t="s">
        <v>2745</v>
      </c>
      <c r="T1296" s="124" t="s">
        <v>56</v>
      </c>
      <c r="U1296" s="124" t="s">
        <v>2746</v>
      </c>
      <c r="V1296" s="124" t="s">
        <v>51</v>
      </c>
      <c r="W1296" s="124" t="s">
        <v>51</v>
      </c>
      <c r="X1296" s="124" t="s">
        <v>52</v>
      </c>
      <c r="Y1296" s="124" t="s">
        <v>946</v>
      </c>
      <c r="Z1296" s="91"/>
      <c r="AA1296" s="124" t="s">
        <v>757</v>
      </c>
      <c r="AB1296" s="91"/>
      <c r="AC1296" s="91"/>
      <c r="AD1296" s="91"/>
      <c r="AE1296" s="91"/>
      <c r="AF1296" s="91"/>
      <c r="AG1296" s="91"/>
      <c r="AH1296" s="91"/>
    </row>
    <row r="1297" spans="1:34" ht="60">
      <c r="A1297" s="120">
        <v>1296</v>
      </c>
      <c r="B1297" s="120" t="b">
        <f t="shared" ca="1" si="20"/>
        <v>0</v>
      </c>
      <c r="C1297" s="121">
        <v>45854</v>
      </c>
      <c r="D1297" s="137">
        <v>0.81396990740740738</v>
      </c>
      <c r="E1297" s="94">
        <v>2053</v>
      </c>
      <c r="F1297" s="91">
        <v>1208</v>
      </c>
      <c r="G1297" s="137" t="s">
        <v>34</v>
      </c>
      <c r="H1297" s="94">
        <v>1037</v>
      </c>
      <c r="I1297" s="115">
        <v>35214500045461</v>
      </c>
      <c r="J1297" s="139" t="s">
        <v>72</v>
      </c>
      <c r="K1297" s="91">
        <v>126.51</v>
      </c>
      <c r="L1297" s="122" t="str">
        <f>VLOOKUP(K1297,Liste!$L$2:$O$34,4,1)</f>
        <v>GSMR_22/23</v>
      </c>
      <c r="M1297" s="94" t="s">
        <v>36</v>
      </c>
      <c r="N1297" s="124" t="s">
        <v>58</v>
      </c>
      <c r="O1297" s="117" t="s">
        <v>2747</v>
      </c>
      <c r="P1297" s="117" t="s">
        <v>2556</v>
      </c>
      <c r="Q1297" s="151" t="s">
        <v>47</v>
      </c>
      <c r="R1297" s="184" t="s">
        <v>2583</v>
      </c>
      <c r="S1297" s="124" t="s">
        <v>2748</v>
      </c>
      <c r="T1297" s="124" t="s">
        <v>56</v>
      </c>
      <c r="U1297" s="124" t="s">
        <v>2749</v>
      </c>
      <c r="V1297" s="124" t="s">
        <v>51</v>
      </c>
      <c r="W1297" s="124" t="s">
        <v>51</v>
      </c>
      <c r="X1297" s="124" t="s">
        <v>52</v>
      </c>
      <c r="Y1297" s="124" t="s">
        <v>946</v>
      </c>
      <c r="Z1297" s="91"/>
      <c r="AA1297" s="124" t="s">
        <v>810</v>
      </c>
      <c r="AB1297" s="91"/>
      <c r="AC1297" s="91"/>
      <c r="AD1297" s="91"/>
      <c r="AE1297" s="91"/>
      <c r="AF1297" s="91"/>
      <c r="AG1297" s="91"/>
      <c r="AH1297" s="91"/>
    </row>
    <row r="1298" spans="1:34" ht="105">
      <c r="A1298" s="120">
        <v>1297</v>
      </c>
      <c r="B1298" s="120" t="b">
        <f t="shared" ca="1" si="20"/>
        <v>0</v>
      </c>
      <c r="C1298" s="121">
        <v>45855</v>
      </c>
      <c r="D1298" s="137">
        <v>0.4621527777777778</v>
      </c>
      <c r="E1298" s="94">
        <v>2021</v>
      </c>
      <c r="F1298" s="91">
        <v>1210</v>
      </c>
      <c r="G1298" s="137" t="s">
        <v>34</v>
      </c>
      <c r="H1298" s="94">
        <v>1050</v>
      </c>
      <c r="I1298" s="115">
        <v>35214500045357</v>
      </c>
      <c r="J1298" s="115" t="s">
        <v>35</v>
      </c>
      <c r="K1298" s="161">
        <v>6.13</v>
      </c>
      <c r="L1298" s="122" t="str">
        <f>VLOOKUP(K1298,Liste!$L$2:$O$34,4,1)</f>
        <v>GSMR_02/03</v>
      </c>
      <c r="M1298" s="94" t="s">
        <v>36</v>
      </c>
      <c r="N1298" s="124" t="s">
        <v>37</v>
      </c>
      <c r="O1298" s="117" t="s">
        <v>2750</v>
      </c>
      <c r="P1298" s="117" t="s">
        <v>2665</v>
      </c>
      <c r="Q1298" s="151" t="s">
        <v>531</v>
      </c>
      <c r="R1298" s="184" t="s">
        <v>2548</v>
      </c>
      <c r="S1298" s="124" t="s">
        <v>2191</v>
      </c>
      <c r="T1298" s="124" t="s">
        <v>56</v>
      </c>
      <c r="U1298" s="124" t="s">
        <v>2751</v>
      </c>
      <c r="V1298" s="124" t="s">
        <v>51</v>
      </c>
      <c r="W1298" s="124" t="s">
        <v>51</v>
      </c>
      <c r="X1298" s="124" t="s">
        <v>52</v>
      </c>
      <c r="Y1298" s="124" t="s">
        <v>946</v>
      </c>
      <c r="Z1298" s="91"/>
      <c r="AA1298" s="124" t="s">
        <v>802</v>
      </c>
      <c r="AB1298" s="91"/>
      <c r="AC1298" s="91"/>
      <c r="AD1298" s="91"/>
      <c r="AE1298" s="91"/>
      <c r="AF1298" s="91"/>
      <c r="AG1298" s="91"/>
      <c r="AH1298" s="91"/>
    </row>
    <row r="1299" spans="1:34" ht="60">
      <c r="A1299" s="120">
        <v>1298</v>
      </c>
      <c r="B1299" s="120" t="b">
        <f t="shared" ca="1" si="20"/>
        <v>0</v>
      </c>
      <c r="C1299" s="121">
        <v>45856</v>
      </c>
      <c r="D1299" s="137">
        <v>0.27478009259259262</v>
      </c>
      <c r="E1299" s="94">
        <v>15299</v>
      </c>
      <c r="F1299" s="91">
        <v>1207</v>
      </c>
      <c r="G1299" s="137" t="s">
        <v>71</v>
      </c>
      <c r="H1299" s="94">
        <v>1046</v>
      </c>
      <c r="I1299" s="115">
        <v>35214500038730</v>
      </c>
      <c r="J1299" s="139" t="s">
        <v>72</v>
      </c>
      <c r="K1299" s="91">
        <v>152.488</v>
      </c>
      <c r="L1299" s="122" t="str">
        <f>VLOOKUP(K1299,Liste!$L$2:$O$34,4,1)</f>
        <v>GSMR_26/27</v>
      </c>
      <c r="M1299" s="94" t="s">
        <v>36</v>
      </c>
      <c r="N1299" s="124" t="s">
        <v>37</v>
      </c>
      <c r="O1299" s="117" t="s">
        <v>2752</v>
      </c>
      <c r="P1299" s="117" t="s">
        <v>2425</v>
      </c>
      <c r="Q1299" s="151" t="s">
        <v>47</v>
      </c>
      <c r="R1299" s="184" t="s">
        <v>2583</v>
      </c>
      <c r="S1299" s="124" t="s">
        <v>2753</v>
      </c>
      <c r="T1299" s="124" t="s">
        <v>56</v>
      </c>
      <c r="U1299" s="124" t="s">
        <v>2754</v>
      </c>
      <c r="V1299" s="124" t="s">
        <v>43</v>
      </c>
      <c r="W1299" s="124" t="s">
        <v>51</v>
      </c>
      <c r="X1299" s="124" t="s">
        <v>52</v>
      </c>
      <c r="Y1299" s="124" t="s">
        <v>2107</v>
      </c>
      <c r="Z1299" s="91"/>
      <c r="AA1299" s="124" t="s">
        <v>754</v>
      </c>
      <c r="AB1299" s="91"/>
      <c r="AC1299" s="91"/>
      <c r="AD1299" s="91"/>
      <c r="AE1299" s="91"/>
      <c r="AF1299" s="91"/>
      <c r="AG1299" s="91"/>
      <c r="AH1299" s="91"/>
    </row>
    <row r="1300" spans="1:34" ht="60">
      <c r="A1300" s="120">
        <v>1299</v>
      </c>
      <c r="B1300" s="120" t="b">
        <f t="shared" ca="1" si="20"/>
        <v>0</v>
      </c>
      <c r="C1300" s="121">
        <v>45856</v>
      </c>
      <c r="D1300" s="137">
        <v>0.76973379629629635</v>
      </c>
      <c r="E1300" s="94">
        <v>2049</v>
      </c>
      <c r="F1300" s="91">
        <v>1204</v>
      </c>
      <c r="G1300" s="143" t="s">
        <v>34</v>
      </c>
      <c r="H1300" s="94">
        <v>1052</v>
      </c>
      <c r="I1300" s="115">
        <v>35214500043740</v>
      </c>
      <c r="J1300" s="139" t="s">
        <v>35</v>
      </c>
      <c r="K1300" s="94">
        <v>108.206</v>
      </c>
      <c r="L1300" s="122" t="str">
        <f>VLOOKUP(K1300,Liste!$L$2:$O$34,4,1)</f>
        <v>GSMR_19/20</v>
      </c>
      <c r="M1300" s="94" t="s">
        <v>36</v>
      </c>
      <c r="N1300" s="124" t="s">
        <v>37</v>
      </c>
      <c r="O1300" s="117" t="s">
        <v>2755</v>
      </c>
      <c r="P1300" s="117" t="s">
        <v>2425</v>
      </c>
      <c r="Q1300" s="151" t="s">
        <v>47</v>
      </c>
      <c r="R1300" s="184" t="s">
        <v>2583</v>
      </c>
      <c r="S1300" s="124" t="s">
        <v>2756</v>
      </c>
      <c r="T1300" s="124" t="s">
        <v>56</v>
      </c>
      <c r="U1300" s="124" t="s">
        <v>2757</v>
      </c>
      <c r="V1300" s="124" t="s">
        <v>51</v>
      </c>
      <c r="W1300" s="124" t="s">
        <v>51</v>
      </c>
      <c r="X1300" s="124" t="s">
        <v>52</v>
      </c>
      <c r="Y1300" s="124" t="s">
        <v>946</v>
      </c>
      <c r="Z1300" s="91"/>
      <c r="AA1300" s="124" t="s">
        <v>778</v>
      </c>
      <c r="AB1300" s="91"/>
      <c r="AC1300" s="91"/>
      <c r="AD1300" s="91"/>
      <c r="AE1300" s="91"/>
      <c r="AF1300" s="91"/>
      <c r="AG1300" s="91"/>
      <c r="AH1300" s="91"/>
    </row>
    <row r="1301" spans="1:34" ht="105">
      <c r="A1301" s="120">
        <v>1300</v>
      </c>
      <c r="B1301" s="120" t="b">
        <f t="shared" ca="1" si="20"/>
        <v>0</v>
      </c>
      <c r="C1301" s="121">
        <v>45857</v>
      </c>
      <c r="D1301" s="137">
        <v>0.42048611111111112</v>
      </c>
      <c r="E1301" s="94">
        <v>2017</v>
      </c>
      <c r="F1301" s="91">
        <v>1201</v>
      </c>
      <c r="G1301" s="143" t="s">
        <v>34</v>
      </c>
      <c r="H1301" s="94">
        <v>1057</v>
      </c>
      <c r="I1301" s="115">
        <v>35214500045187</v>
      </c>
      <c r="J1301" s="139" t="s">
        <v>35</v>
      </c>
      <c r="K1301" s="161">
        <v>6.13</v>
      </c>
      <c r="L1301" s="122" t="str">
        <f>VLOOKUP(K1301,Liste!$L$2:$O$34,4,1)</f>
        <v>GSMR_02/03</v>
      </c>
      <c r="M1301" s="94" t="s">
        <v>36</v>
      </c>
      <c r="N1301" s="124" t="s">
        <v>37</v>
      </c>
      <c r="O1301" s="117" t="s">
        <v>2758</v>
      </c>
      <c r="P1301" s="117" t="s">
        <v>2665</v>
      </c>
      <c r="Q1301" s="151" t="s">
        <v>531</v>
      </c>
      <c r="R1301" s="184" t="s">
        <v>2548</v>
      </c>
      <c r="S1301" s="124" t="s">
        <v>2518</v>
      </c>
      <c r="T1301" s="124" t="s">
        <v>93</v>
      </c>
      <c r="U1301" s="124" t="s">
        <v>2759</v>
      </c>
      <c r="V1301" s="124" t="s">
        <v>51</v>
      </c>
      <c r="W1301" s="124" t="s">
        <v>51</v>
      </c>
      <c r="X1301" s="124" t="s">
        <v>52</v>
      </c>
      <c r="Y1301" s="124" t="s">
        <v>946</v>
      </c>
      <c r="Z1301" s="91"/>
      <c r="AA1301" s="124" t="s">
        <v>802</v>
      </c>
      <c r="AB1301" s="91"/>
      <c r="AC1301" s="91"/>
      <c r="AD1301" s="91"/>
      <c r="AE1301" s="91"/>
      <c r="AF1301" s="91"/>
      <c r="AG1301" s="91"/>
      <c r="AH1301" s="91"/>
    </row>
    <row r="1302" spans="1:34" ht="45">
      <c r="A1302" s="120">
        <v>1301</v>
      </c>
      <c r="B1302" s="120" t="b">
        <f t="shared" ca="1" si="20"/>
        <v>0</v>
      </c>
      <c r="C1302" s="121">
        <v>45858</v>
      </c>
      <c r="D1302" s="137" t="s">
        <v>2760</v>
      </c>
      <c r="E1302" s="94">
        <v>2010</v>
      </c>
      <c r="F1302" s="91">
        <v>1210</v>
      </c>
      <c r="G1302" s="143" t="s">
        <v>71</v>
      </c>
      <c r="H1302" s="94">
        <v>1052</v>
      </c>
      <c r="I1302" s="115">
        <v>35214500045424</v>
      </c>
      <c r="J1302" s="139" t="s">
        <v>72</v>
      </c>
      <c r="K1302" s="94">
        <v>113.321</v>
      </c>
      <c r="L1302" s="122" t="str">
        <f>VLOOKUP(K1302,Liste!$L$2:$O$34,4,1)</f>
        <v>GSMR_20/21</v>
      </c>
      <c r="M1302" s="94" t="s">
        <v>36</v>
      </c>
      <c r="N1302" s="124" t="s">
        <v>37</v>
      </c>
      <c r="O1302" s="117" t="s">
        <v>2761</v>
      </c>
      <c r="P1302" s="117"/>
      <c r="Q1302" s="151" t="s">
        <v>2631</v>
      </c>
      <c r="R1302" s="184" t="s">
        <v>2762</v>
      </c>
      <c r="S1302" s="124" t="s">
        <v>2763</v>
      </c>
      <c r="T1302" s="124" t="s">
        <v>69</v>
      </c>
      <c r="U1302" s="124" t="s">
        <v>2764</v>
      </c>
      <c r="V1302" s="124" t="s">
        <v>51</v>
      </c>
      <c r="W1302" s="124" t="s">
        <v>51</v>
      </c>
      <c r="X1302" s="124" t="s">
        <v>52</v>
      </c>
      <c r="Y1302" s="124" t="s">
        <v>946</v>
      </c>
      <c r="Z1302" s="91"/>
      <c r="AA1302" s="124" t="s">
        <v>793</v>
      </c>
      <c r="AB1302" s="91"/>
      <c r="AC1302" s="91"/>
      <c r="AD1302" s="91"/>
      <c r="AE1302" s="91"/>
      <c r="AF1302" s="91"/>
      <c r="AG1302" s="91"/>
      <c r="AH1302" s="91"/>
    </row>
    <row r="1303" spans="1:34" ht="105">
      <c r="A1303" s="120">
        <v>1302</v>
      </c>
      <c r="B1303" s="120" t="b">
        <f t="shared" ca="1" si="20"/>
        <v>0</v>
      </c>
      <c r="C1303" s="121">
        <v>45860</v>
      </c>
      <c r="D1303" s="137" t="s">
        <v>2765</v>
      </c>
      <c r="E1303" s="94">
        <v>2001</v>
      </c>
      <c r="F1303" s="91">
        <v>1204</v>
      </c>
      <c r="G1303" s="143" t="s">
        <v>34</v>
      </c>
      <c r="H1303" s="94">
        <v>1053</v>
      </c>
      <c r="I1303" s="115">
        <v>35214500046011</v>
      </c>
      <c r="J1303" s="139" t="s">
        <v>35</v>
      </c>
      <c r="K1303" s="161">
        <v>6.13</v>
      </c>
      <c r="L1303" s="122" t="str">
        <f>VLOOKUP(K1303,Liste!$L$2:$O$34,4,1)</f>
        <v>GSMR_02/03</v>
      </c>
      <c r="M1303" s="94" t="s">
        <v>36</v>
      </c>
      <c r="N1303" s="124" t="s">
        <v>37</v>
      </c>
      <c r="O1303" s="117" t="s">
        <v>2766</v>
      </c>
      <c r="P1303" s="117" t="s">
        <v>2665</v>
      </c>
      <c r="Q1303" s="151" t="s">
        <v>531</v>
      </c>
      <c r="R1303" s="184" t="s">
        <v>2548</v>
      </c>
      <c r="S1303" s="124" t="s">
        <v>2767</v>
      </c>
      <c r="T1303" s="124" t="s">
        <v>69</v>
      </c>
      <c r="U1303" s="124" t="s">
        <v>2768</v>
      </c>
      <c r="V1303" s="124" t="s">
        <v>51</v>
      </c>
      <c r="W1303" s="124" t="s">
        <v>51</v>
      </c>
      <c r="X1303" s="124" t="s">
        <v>52</v>
      </c>
      <c r="Y1303" s="124" t="s">
        <v>2107</v>
      </c>
      <c r="Z1303" s="91"/>
      <c r="AA1303" s="124" t="s">
        <v>772</v>
      </c>
      <c r="AB1303" s="91"/>
      <c r="AC1303" s="91"/>
      <c r="AD1303" s="91"/>
      <c r="AE1303" s="91"/>
      <c r="AF1303" s="91"/>
      <c r="AG1303" s="91"/>
      <c r="AH1303" s="91"/>
    </row>
    <row r="1304" spans="1:34" ht="105">
      <c r="A1304" s="120">
        <v>1303</v>
      </c>
      <c r="B1304" s="120" t="b">
        <f t="shared" ca="1" si="20"/>
        <v>0</v>
      </c>
      <c r="C1304" s="121">
        <v>45860</v>
      </c>
      <c r="D1304" s="137">
        <v>0.71159722222222221</v>
      </c>
      <c r="E1304" s="94">
        <v>1037</v>
      </c>
      <c r="F1304" s="91">
        <v>1204</v>
      </c>
      <c r="G1304" s="143" t="s">
        <v>71</v>
      </c>
      <c r="H1304" s="94">
        <v>1034</v>
      </c>
      <c r="I1304" s="115">
        <v>35214500043605</v>
      </c>
      <c r="J1304" s="139" t="s">
        <v>72</v>
      </c>
      <c r="K1304" s="161">
        <v>7.3209999999999997</v>
      </c>
      <c r="L1304" s="122" t="str">
        <f>VLOOKUP(K1304,Liste!$L$2:$O$34,4,1)</f>
        <v>GSMR_02/03</v>
      </c>
      <c r="M1304" s="94" t="s">
        <v>36</v>
      </c>
      <c r="N1304" s="124" t="s">
        <v>37</v>
      </c>
      <c r="O1304" s="117" t="s">
        <v>2769</v>
      </c>
      <c r="P1304" s="117" t="s">
        <v>2665</v>
      </c>
      <c r="Q1304" s="151" t="s">
        <v>531</v>
      </c>
      <c r="R1304" s="184" t="s">
        <v>2548</v>
      </c>
      <c r="S1304" s="124" t="s">
        <v>2770</v>
      </c>
      <c r="T1304" s="124" t="s">
        <v>56</v>
      </c>
      <c r="U1304" s="124" t="s">
        <v>2771</v>
      </c>
      <c r="V1304" s="124" t="s">
        <v>43</v>
      </c>
      <c r="W1304" s="124" t="s">
        <v>51</v>
      </c>
      <c r="X1304" s="124" t="s">
        <v>52</v>
      </c>
      <c r="Y1304" s="124" t="s">
        <v>946</v>
      </c>
      <c r="Z1304" s="91"/>
      <c r="AA1304" s="124" t="s">
        <v>778</v>
      </c>
      <c r="AB1304" s="91"/>
      <c r="AC1304" s="91"/>
      <c r="AD1304" s="91"/>
      <c r="AE1304" s="91"/>
      <c r="AF1304" s="91"/>
      <c r="AG1304" s="91"/>
      <c r="AH1304" s="91"/>
    </row>
    <row r="1305" spans="1:34" ht="60">
      <c r="A1305" s="120">
        <v>1304</v>
      </c>
      <c r="B1305" s="120" t="b">
        <f t="shared" ca="1" si="20"/>
        <v>0</v>
      </c>
      <c r="C1305" s="121">
        <v>45860</v>
      </c>
      <c r="D1305" s="137">
        <v>0.93130787037037033</v>
      </c>
      <c r="E1305" s="94">
        <v>10081</v>
      </c>
      <c r="F1305" s="91">
        <v>1203</v>
      </c>
      <c r="G1305" s="143" t="s">
        <v>34</v>
      </c>
      <c r="H1305" s="94">
        <v>1024</v>
      </c>
      <c r="I1305" s="115">
        <v>35214500045122</v>
      </c>
      <c r="J1305" s="139" t="s">
        <v>35</v>
      </c>
      <c r="K1305" s="94">
        <v>73.585999999999999</v>
      </c>
      <c r="L1305" s="122" t="str">
        <f>VLOOKUP(K1305,Liste!$L$2:$O$34,4,1)</f>
        <v>GSMR_13/14</v>
      </c>
      <c r="M1305" s="94" t="s">
        <v>36</v>
      </c>
      <c r="N1305" s="124" t="s">
        <v>37</v>
      </c>
      <c r="O1305" s="117" t="s">
        <v>2772</v>
      </c>
      <c r="P1305" s="117" t="s">
        <v>2425</v>
      </c>
      <c r="Q1305" s="151" t="s">
        <v>47</v>
      </c>
      <c r="R1305" s="184" t="s">
        <v>2583</v>
      </c>
      <c r="S1305" s="124" t="s">
        <v>2773</v>
      </c>
      <c r="T1305" s="124" t="s">
        <v>56</v>
      </c>
      <c r="U1305" s="124" t="s">
        <v>2774</v>
      </c>
      <c r="V1305" s="124" t="s">
        <v>51</v>
      </c>
      <c r="W1305" s="124" t="s">
        <v>51</v>
      </c>
      <c r="X1305" s="124" t="s">
        <v>52</v>
      </c>
      <c r="Y1305" s="124" t="s">
        <v>946</v>
      </c>
      <c r="Z1305" s="91"/>
      <c r="AA1305" s="124" t="s">
        <v>772</v>
      </c>
      <c r="AB1305" s="91"/>
      <c r="AC1305" s="91"/>
      <c r="AD1305" s="91"/>
      <c r="AE1305" s="91"/>
      <c r="AF1305" s="91"/>
      <c r="AG1305" s="91"/>
      <c r="AH1305" s="91"/>
    </row>
    <row r="1306" spans="1:34" ht="60">
      <c r="A1306" s="120">
        <v>1305</v>
      </c>
      <c r="B1306" s="120" t="b">
        <f t="shared" ca="1" si="20"/>
        <v>0</v>
      </c>
      <c r="C1306" s="121">
        <v>45860</v>
      </c>
      <c r="D1306" s="137">
        <v>0.93664351851851857</v>
      </c>
      <c r="E1306" s="94">
        <v>10081</v>
      </c>
      <c r="F1306" s="91">
        <v>1203</v>
      </c>
      <c r="G1306" s="143" t="s">
        <v>34</v>
      </c>
      <c r="H1306" s="94">
        <v>1025</v>
      </c>
      <c r="I1306" s="115">
        <v>35214500045073</v>
      </c>
      <c r="J1306" s="139" t="s">
        <v>35</v>
      </c>
      <c r="K1306" s="94">
        <v>108.206</v>
      </c>
      <c r="L1306" s="122" t="str">
        <f>VLOOKUP(K1306,Liste!$L$2:$O$34,4,1)</f>
        <v>GSMR_19/20</v>
      </c>
      <c r="M1306" s="94" t="s">
        <v>36</v>
      </c>
      <c r="N1306" s="124" t="s">
        <v>37</v>
      </c>
      <c r="O1306" s="117" t="s">
        <v>2775</v>
      </c>
      <c r="P1306" s="117" t="s">
        <v>2425</v>
      </c>
      <c r="Q1306" s="151" t="s">
        <v>47</v>
      </c>
      <c r="R1306" s="184" t="s">
        <v>2583</v>
      </c>
      <c r="S1306" s="124" t="s">
        <v>2776</v>
      </c>
      <c r="T1306" s="124" t="s">
        <v>41</v>
      </c>
      <c r="U1306" s="124" t="s">
        <v>2746</v>
      </c>
      <c r="V1306" s="124" t="s">
        <v>51</v>
      </c>
      <c r="W1306" s="124" t="s">
        <v>51</v>
      </c>
      <c r="X1306" s="124" t="s">
        <v>52</v>
      </c>
      <c r="Y1306" s="124" t="s">
        <v>946</v>
      </c>
      <c r="Z1306" s="91"/>
      <c r="AA1306" s="124" t="s">
        <v>772</v>
      </c>
      <c r="AB1306" s="91"/>
      <c r="AC1306" s="91"/>
      <c r="AD1306" s="91"/>
      <c r="AE1306" s="91"/>
      <c r="AF1306" s="91"/>
      <c r="AG1306" s="91"/>
      <c r="AH1306" s="91"/>
    </row>
    <row r="1307" spans="1:34" ht="60">
      <c r="A1307" s="120">
        <v>1306</v>
      </c>
      <c r="B1307" s="120" t="b">
        <f t="shared" ca="1" si="20"/>
        <v>0</v>
      </c>
      <c r="C1307" s="121">
        <v>45861</v>
      </c>
      <c r="D1307" s="137">
        <v>0.21519675925925927</v>
      </c>
      <c r="E1307" s="94">
        <v>15297</v>
      </c>
      <c r="F1307" s="91">
        <v>1206</v>
      </c>
      <c r="G1307" s="143" t="s">
        <v>34</v>
      </c>
      <c r="H1307" s="94">
        <v>1025</v>
      </c>
      <c r="I1307" s="115">
        <v>35214500022752</v>
      </c>
      <c r="J1307" s="139" t="s">
        <v>35</v>
      </c>
      <c r="K1307" s="94">
        <v>90.108000000000004</v>
      </c>
      <c r="L1307" s="122" t="str">
        <f>VLOOKUP(K1307,Liste!$L$2:$O$34,4,1)</f>
        <v>GSMR_16/17</v>
      </c>
      <c r="M1307" s="94" t="s">
        <v>36</v>
      </c>
      <c r="N1307" s="124" t="s">
        <v>37</v>
      </c>
      <c r="O1307" s="117" t="s">
        <v>2777</v>
      </c>
      <c r="P1307" s="117" t="s">
        <v>2425</v>
      </c>
      <c r="Q1307" s="151" t="s">
        <v>47</v>
      </c>
      <c r="R1307" s="184" t="s">
        <v>2583</v>
      </c>
      <c r="S1307" s="124" t="s">
        <v>2778</v>
      </c>
      <c r="T1307" s="124" t="s">
        <v>116</v>
      </c>
      <c r="U1307" s="124" t="s">
        <v>2757</v>
      </c>
      <c r="V1307" s="124" t="s">
        <v>51</v>
      </c>
      <c r="W1307" s="124" t="s">
        <v>51</v>
      </c>
      <c r="X1307" s="124" t="s">
        <v>52</v>
      </c>
      <c r="Y1307" s="124" t="s">
        <v>2107</v>
      </c>
      <c r="Z1307" s="91"/>
      <c r="AA1307" s="124" t="s">
        <v>772</v>
      </c>
      <c r="AB1307" s="91"/>
      <c r="AC1307" s="91"/>
      <c r="AD1307" s="91"/>
      <c r="AE1307" s="91"/>
      <c r="AF1307" s="91"/>
      <c r="AG1307" s="91"/>
      <c r="AH1307" s="91"/>
    </row>
    <row r="1308" spans="1:34" ht="60">
      <c r="A1308" s="120">
        <v>1307</v>
      </c>
      <c r="B1308" s="120" t="b">
        <f t="shared" ca="1" si="20"/>
        <v>0</v>
      </c>
      <c r="C1308" s="121">
        <v>45861</v>
      </c>
      <c r="D1308" s="137">
        <v>0.39457175925925925</v>
      </c>
      <c r="E1308" s="94">
        <v>2013</v>
      </c>
      <c r="F1308" s="91">
        <v>1206</v>
      </c>
      <c r="G1308" s="143" t="s">
        <v>34</v>
      </c>
      <c r="H1308" s="94">
        <v>1055</v>
      </c>
      <c r="I1308" s="115">
        <v>35214500036582</v>
      </c>
      <c r="J1308" s="139" t="s">
        <v>35</v>
      </c>
      <c r="K1308" s="94">
        <v>108.206</v>
      </c>
      <c r="L1308" s="122" t="str">
        <f>VLOOKUP(K1308,Liste!$L$2:$O$34,4,1)</f>
        <v>GSMR_19/20</v>
      </c>
      <c r="M1308" s="94" t="s">
        <v>36</v>
      </c>
      <c r="N1308" s="124" t="s">
        <v>37</v>
      </c>
      <c r="O1308" s="117" t="s">
        <v>2779</v>
      </c>
      <c r="P1308" s="117" t="s">
        <v>2425</v>
      </c>
      <c r="Q1308" s="151" t="s">
        <v>47</v>
      </c>
      <c r="R1308" s="184" t="s">
        <v>2583</v>
      </c>
      <c r="S1308" s="124" t="s">
        <v>2780</v>
      </c>
      <c r="T1308" s="124" t="s">
        <v>2781</v>
      </c>
      <c r="U1308" s="124" t="s">
        <v>2782</v>
      </c>
      <c r="V1308" s="124" t="s">
        <v>51</v>
      </c>
      <c r="W1308" s="124" t="s">
        <v>51</v>
      </c>
      <c r="X1308" s="124" t="s">
        <v>52</v>
      </c>
      <c r="Y1308" s="124" t="s">
        <v>2107</v>
      </c>
      <c r="Z1308" s="91"/>
      <c r="AA1308" s="124" t="s">
        <v>802</v>
      </c>
      <c r="AB1308" s="91"/>
      <c r="AC1308" s="91"/>
      <c r="AD1308" s="91"/>
      <c r="AE1308" s="91"/>
      <c r="AF1308" s="91"/>
      <c r="AG1308" s="91"/>
      <c r="AH1308" s="91"/>
    </row>
    <row r="1309" spans="1:34" ht="45">
      <c r="A1309" s="120">
        <v>1308</v>
      </c>
      <c r="B1309" s="120" t="b">
        <f t="shared" ca="1" si="20"/>
        <v>0</v>
      </c>
      <c r="C1309" s="121">
        <v>45862</v>
      </c>
      <c r="D1309" s="137">
        <v>0.21172453703703703</v>
      </c>
      <c r="E1309" s="94">
        <v>15297</v>
      </c>
      <c r="F1309" s="91">
        <v>1204</v>
      </c>
      <c r="G1309" s="143" t="s">
        <v>34</v>
      </c>
      <c r="H1309" s="94">
        <v>1052</v>
      </c>
      <c r="I1309" s="115">
        <v>35214500043740</v>
      </c>
      <c r="J1309" s="139" t="s">
        <v>35</v>
      </c>
      <c r="K1309" s="94">
        <v>78.155000000000001</v>
      </c>
      <c r="L1309" s="122" t="str">
        <f>VLOOKUP(K1309,Liste!$L$2:$O$34,4,1)</f>
        <v>GSMR_14/15</v>
      </c>
      <c r="M1309" s="94" t="s">
        <v>36</v>
      </c>
      <c r="N1309" s="124" t="s">
        <v>58</v>
      </c>
      <c r="O1309" s="117" t="s">
        <v>2783</v>
      </c>
      <c r="P1309" s="117" t="s">
        <v>2425</v>
      </c>
      <c r="Q1309" s="151" t="s">
        <v>105</v>
      </c>
      <c r="R1309" s="184" t="s">
        <v>1072</v>
      </c>
      <c r="S1309" s="124" t="s">
        <v>2784</v>
      </c>
      <c r="T1309" s="124" t="s">
        <v>69</v>
      </c>
      <c r="U1309" s="124" t="s">
        <v>2768</v>
      </c>
      <c r="V1309" s="124" t="s">
        <v>51</v>
      </c>
      <c r="W1309" s="124" t="s">
        <v>51</v>
      </c>
      <c r="X1309" s="124" t="s">
        <v>52</v>
      </c>
      <c r="Y1309" s="124" t="s">
        <v>2107</v>
      </c>
      <c r="Z1309" s="91"/>
      <c r="AA1309" s="124" t="s">
        <v>1183</v>
      </c>
      <c r="AB1309" s="91"/>
      <c r="AC1309" s="91"/>
      <c r="AD1309" s="91"/>
      <c r="AE1309" s="91"/>
      <c r="AF1309" s="91"/>
      <c r="AG1309" s="91"/>
      <c r="AH1309" s="91"/>
    </row>
    <row r="1310" spans="1:34" ht="60">
      <c r="A1310" s="120">
        <v>1309</v>
      </c>
      <c r="B1310" s="120" t="b">
        <f t="shared" ca="1" si="20"/>
        <v>0</v>
      </c>
      <c r="C1310" s="121">
        <v>45862</v>
      </c>
      <c r="D1310" s="137">
        <v>0.68500000000000005</v>
      </c>
      <c r="E1310" s="94">
        <v>2041</v>
      </c>
      <c r="F1310" s="91">
        <v>1209</v>
      </c>
      <c r="G1310" s="143" t="s">
        <v>34</v>
      </c>
      <c r="H1310" s="94">
        <v>1058</v>
      </c>
      <c r="I1310" s="115">
        <v>35214500044293</v>
      </c>
      <c r="J1310" s="139" t="s">
        <v>35</v>
      </c>
      <c r="K1310" s="94">
        <v>95.013999999999996</v>
      </c>
      <c r="L1310" s="122" t="str">
        <f>VLOOKUP(K1310,Liste!$L$2:$O$34,4,1)</f>
        <v>GSMR_17/18</v>
      </c>
      <c r="M1310" s="94" t="s">
        <v>36</v>
      </c>
      <c r="N1310" s="124" t="s">
        <v>37</v>
      </c>
      <c r="O1310" s="117" t="s">
        <v>2785</v>
      </c>
      <c r="P1310" s="117" t="s">
        <v>2425</v>
      </c>
      <c r="Q1310" s="151" t="s">
        <v>47</v>
      </c>
      <c r="R1310" s="184" t="s">
        <v>2583</v>
      </c>
      <c r="S1310" s="124" t="s">
        <v>2786</v>
      </c>
      <c r="T1310" s="124" t="s">
        <v>209</v>
      </c>
      <c r="U1310" s="124" t="s">
        <v>2749</v>
      </c>
      <c r="V1310" s="124" t="s">
        <v>51</v>
      </c>
      <c r="W1310" s="124" t="s">
        <v>43</v>
      </c>
      <c r="X1310" s="124" t="s">
        <v>52</v>
      </c>
      <c r="Y1310" s="124" t="s">
        <v>946</v>
      </c>
      <c r="Z1310" s="91"/>
      <c r="AA1310" s="124" t="s">
        <v>778</v>
      </c>
      <c r="AB1310" s="91"/>
      <c r="AC1310" s="91"/>
      <c r="AD1310" s="91"/>
      <c r="AE1310" s="91"/>
      <c r="AF1310" s="91"/>
      <c r="AG1310" s="91"/>
      <c r="AH1310" s="91"/>
    </row>
    <row r="1311" spans="1:34" ht="60">
      <c r="A1311" s="120">
        <v>1310</v>
      </c>
      <c r="B1311" s="120" t="b">
        <f t="shared" ca="1" si="20"/>
        <v>0</v>
      </c>
      <c r="C1311" s="121">
        <v>45862</v>
      </c>
      <c r="D1311" s="137">
        <v>0.68500000000000005</v>
      </c>
      <c r="E1311" s="94">
        <v>2041</v>
      </c>
      <c r="F1311" s="91">
        <v>1209</v>
      </c>
      <c r="G1311" s="143" t="s">
        <v>34</v>
      </c>
      <c r="H1311" s="94">
        <v>1058</v>
      </c>
      <c r="I1311" s="115">
        <v>35214500044293</v>
      </c>
      <c r="J1311" s="139" t="s">
        <v>35</v>
      </c>
      <c r="K1311" s="94">
        <v>95.013999999999996</v>
      </c>
      <c r="L1311" s="122" t="str">
        <f>VLOOKUP(K1311,Liste!$L$2:$O$34,4,1)</f>
        <v>GSMR_17/18</v>
      </c>
      <c r="M1311" s="94" t="s">
        <v>36</v>
      </c>
      <c r="N1311" s="124" t="s">
        <v>37</v>
      </c>
      <c r="O1311" s="117" t="s">
        <v>2785</v>
      </c>
      <c r="P1311" s="117" t="s">
        <v>2425</v>
      </c>
      <c r="Q1311" s="151" t="s">
        <v>47</v>
      </c>
      <c r="R1311" s="184" t="s">
        <v>2583</v>
      </c>
      <c r="S1311" s="124" t="s">
        <v>2786</v>
      </c>
      <c r="T1311" s="124" t="s">
        <v>209</v>
      </c>
      <c r="U1311" s="124" t="s">
        <v>2749</v>
      </c>
      <c r="V1311" s="124" t="s">
        <v>51</v>
      </c>
      <c r="W1311" s="124" t="s">
        <v>43</v>
      </c>
      <c r="X1311" s="124" t="s">
        <v>52</v>
      </c>
      <c r="Y1311" s="124" t="s">
        <v>946</v>
      </c>
      <c r="Z1311" s="91"/>
      <c r="AA1311" s="124" t="s">
        <v>778</v>
      </c>
      <c r="AB1311" s="91"/>
      <c r="AC1311" s="91"/>
      <c r="AD1311" s="91"/>
      <c r="AE1311" s="91"/>
      <c r="AF1311" s="91"/>
      <c r="AG1311" s="91"/>
      <c r="AH1311" s="91"/>
    </row>
    <row r="1312" spans="1:34" ht="45">
      <c r="A1312" s="120">
        <v>1311</v>
      </c>
      <c r="B1312" s="120" t="b">
        <f t="shared" ca="1" si="20"/>
        <v>0</v>
      </c>
      <c r="C1312" s="121">
        <v>45863</v>
      </c>
      <c r="D1312" s="137">
        <v>0.44143518518518521</v>
      </c>
      <c r="E1312" s="94">
        <v>2017</v>
      </c>
      <c r="F1312" s="91">
        <v>1206</v>
      </c>
      <c r="G1312" s="143" t="s">
        <v>34</v>
      </c>
      <c r="H1312" s="94">
        <v>1055</v>
      </c>
      <c r="I1312" s="115"/>
      <c r="J1312" s="139" t="s">
        <v>35</v>
      </c>
      <c r="K1312" s="94">
        <v>144.32599999999999</v>
      </c>
      <c r="L1312" s="122" t="str">
        <f>VLOOKUP(K1312,Liste!$L$2:$O$34,4,1)</f>
        <v>GSMR_25/26</v>
      </c>
      <c r="M1312" s="94" t="s">
        <v>36</v>
      </c>
      <c r="N1312" s="124" t="s">
        <v>58</v>
      </c>
      <c r="O1312" s="117" t="s">
        <v>2787</v>
      </c>
      <c r="P1312" s="117"/>
      <c r="Q1312" s="151" t="s">
        <v>105</v>
      </c>
      <c r="R1312" s="184" t="s">
        <v>1072</v>
      </c>
      <c r="S1312" s="124" t="s">
        <v>2788</v>
      </c>
      <c r="T1312" s="124" t="s">
        <v>78</v>
      </c>
      <c r="U1312" s="124" t="s">
        <v>2789</v>
      </c>
      <c r="V1312" s="124" t="s">
        <v>51</v>
      </c>
      <c r="W1312" s="124" t="s">
        <v>51</v>
      </c>
      <c r="X1312" s="124" t="s">
        <v>52</v>
      </c>
      <c r="Y1312" s="124" t="s">
        <v>2107</v>
      </c>
      <c r="Z1312" s="91"/>
      <c r="AA1312" s="124" t="s">
        <v>802</v>
      </c>
      <c r="AB1312" s="91"/>
      <c r="AC1312" s="91"/>
      <c r="AD1312" s="91"/>
      <c r="AE1312" s="91"/>
      <c r="AF1312" s="91"/>
      <c r="AG1312" s="91"/>
      <c r="AH1312" s="91"/>
    </row>
    <row r="1313" spans="1:34" ht="60">
      <c r="A1313" s="120">
        <v>1312</v>
      </c>
      <c r="B1313" s="120" t="b">
        <f t="shared" ca="1" si="20"/>
        <v>0</v>
      </c>
      <c r="C1313" s="121">
        <v>45863</v>
      </c>
      <c r="D1313" s="137">
        <v>0.81174768518518514</v>
      </c>
      <c r="E1313" s="94">
        <v>1049</v>
      </c>
      <c r="F1313" s="91">
        <v>1210</v>
      </c>
      <c r="G1313" s="143" t="s">
        <v>71</v>
      </c>
      <c r="H1313" s="94">
        <v>1020</v>
      </c>
      <c r="I1313" s="94"/>
      <c r="J1313" s="139" t="s">
        <v>72</v>
      </c>
      <c r="K1313" s="94">
        <v>177.85</v>
      </c>
      <c r="L1313" s="122" t="str">
        <f>VLOOKUP(K1313,Liste!$L$2:$O$34,4,1)</f>
        <v>GSMR_30/31</v>
      </c>
      <c r="M1313" s="94" t="s">
        <v>36</v>
      </c>
      <c r="N1313" s="124" t="s">
        <v>37</v>
      </c>
      <c r="O1313" s="117" t="s">
        <v>2790</v>
      </c>
      <c r="P1313" s="117"/>
      <c r="Q1313" s="151" t="s">
        <v>47</v>
      </c>
      <c r="R1313" s="184" t="s">
        <v>2583</v>
      </c>
      <c r="S1313" s="124" t="s">
        <v>2791</v>
      </c>
      <c r="T1313" s="124" t="s">
        <v>93</v>
      </c>
      <c r="U1313" s="124" t="s">
        <v>2792</v>
      </c>
      <c r="V1313" s="124" t="s">
        <v>51</v>
      </c>
      <c r="W1313" s="124" t="s">
        <v>51</v>
      </c>
      <c r="X1313" s="124" t="s">
        <v>52</v>
      </c>
      <c r="Y1313" s="124" t="s">
        <v>946</v>
      </c>
      <c r="Z1313" s="91"/>
      <c r="AA1313" s="124" t="s">
        <v>772</v>
      </c>
      <c r="AB1313" s="91"/>
      <c r="AC1313" s="91"/>
      <c r="AD1313" s="91"/>
      <c r="AE1313" s="91"/>
      <c r="AF1313" s="91"/>
      <c r="AG1313" s="91"/>
      <c r="AH1313" s="91"/>
    </row>
    <row r="1314" spans="1:34" ht="60">
      <c r="A1314" s="120">
        <v>1313</v>
      </c>
      <c r="B1314" s="120" t="b">
        <f t="shared" ca="1" si="20"/>
        <v>0</v>
      </c>
      <c r="C1314" s="121">
        <v>45863</v>
      </c>
      <c r="D1314" s="137">
        <v>0.913599537037037</v>
      </c>
      <c r="E1314" s="94">
        <v>1058</v>
      </c>
      <c r="F1314" s="91">
        <v>1205</v>
      </c>
      <c r="G1314" s="143" t="s">
        <v>71</v>
      </c>
      <c r="H1314" s="94">
        <v>1061</v>
      </c>
      <c r="I1314" s="115"/>
      <c r="J1314" s="139" t="s">
        <v>72</v>
      </c>
      <c r="K1314" s="94">
        <v>94.953999999999994</v>
      </c>
      <c r="L1314" s="122" t="str">
        <f>VLOOKUP(K1314,Liste!$L$2:$O$34,4,1)</f>
        <v>GSMR_17/18</v>
      </c>
      <c r="M1314" s="94" t="s">
        <v>36</v>
      </c>
      <c r="N1314" s="124" t="s">
        <v>37</v>
      </c>
      <c r="O1314" s="117" t="s">
        <v>2785</v>
      </c>
      <c r="P1314" s="117" t="s">
        <v>2793</v>
      </c>
      <c r="Q1314" s="151" t="s">
        <v>47</v>
      </c>
      <c r="R1314" s="184" t="s">
        <v>2583</v>
      </c>
      <c r="S1314" s="124" t="s">
        <v>2794</v>
      </c>
      <c r="T1314" s="124" t="s">
        <v>93</v>
      </c>
      <c r="U1314" s="124" t="s">
        <v>2795</v>
      </c>
      <c r="V1314" s="124" t="s">
        <v>51</v>
      </c>
      <c r="W1314" s="124" t="s">
        <v>51</v>
      </c>
      <c r="X1314" s="124" t="s">
        <v>52</v>
      </c>
      <c r="Y1314" s="124" t="s">
        <v>946</v>
      </c>
      <c r="Z1314" s="91"/>
      <c r="AA1314" s="124" t="s">
        <v>793</v>
      </c>
      <c r="AB1314" s="91"/>
      <c r="AC1314" s="91"/>
      <c r="AD1314" s="91"/>
      <c r="AE1314" s="91"/>
      <c r="AF1314" s="91"/>
      <c r="AG1314" s="91"/>
      <c r="AH1314" s="91"/>
    </row>
    <row r="1315" spans="1:34" ht="60">
      <c r="A1315" s="120">
        <v>1314</v>
      </c>
      <c r="B1315" s="120" t="b">
        <f t="shared" ca="1" si="20"/>
        <v>0</v>
      </c>
      <c r="C1315" s="121">
        <v>45864</v>
      </c>
      <c r="D1315" s="137">
        <v>0.69887731481481485</v>
      </c>
      <c r="E1315" s="94">
        <v>2041</v>
      </c>
      <c r="F1315" s="91">
        <v>1210</v>
      </c>
      <c r="G1315" s="143" t="s">
        <v>71</v>
      </c>
      <c r="H1315" s="94">
        <v>1061</v>
      </c>
      <c r="I1315" s="115"/>
      <c r="J1315" s="139" t="s">
        <v>72</v>
      </c>
      <c r="K1315" s="94">
        <v>94.953999999999994</v>
      </c>
      <c r="L1315" s="122" t="str">
        <f>VLOOKUP(K1315,Liste!$L$2:$O$34,4,1)</f>
        <v>GSMR_17/18</v>
      </c>
      <c r="M1315" s="94" t="s">
        <v>36</v>
      </c>
      <c r="N1315" s="124" t="s">
        <v>37</v>
      </c>
      <c r="O1315" s="117" t="s">
        <v>2796</v>
      </c>
      <c r="P1315" s="117" t="s">
        <v>2793</v>
      </c>
      <c r="Q1315" s="151" t="s">
        <v>47</v>
      </c>
      <c r="R1315" s="184" t="s">
        <v>2583</v>
      </c>
      <c r="S1315" s="124" t="s">
        <v>2794</v>
      </c>
      <c r="T1315" s="124" t="s">
        <v>69</v>
      </c>
      <c r="U1315" s="124" t="s">
        <v>2797</v>
      </c>
      <c r="V1315" s="124" t="s">
        <v>51</v>
      </c>
      <c r="W1315" s="124" t="s">
        <v>51</v>
      </c>
      <c r="X1315" s="124" t="s">
        <v>52</v>
      </c>
      <c r="Y1315" s="124" t="s">
        <v>946</v>
      </c>
      <c r="Z1315" s="91"/>
      <c r="AA1315" s="124" t="s">
        <v>772</v>
      </c>
      <c r="AB1315" s="91"/>
      <c r="AC1315" s="91"/>
      <c r="AD1315" s="91"/>
      <c r="AE1315" s="91"/>
      <c r="AF1315" s="91"/>
      <c r="AG1315" s="91"/>
      <c r="AH1315" s="91"/>
    </row>
    <row r="1316" spans="1:34" ht="60">
      <c r="A1316" s="120">
        <v>1315</v>
      </c>
      <c r="B1316" s="120" t="b">
        <f t="shared" ca="1" si="20"/>
        <v>0</v>
      </c>
      <c r="C1316" s="121">
        <v>45865</v>
      </c>
      <c r="D1316" s="137">
        <v>0.6708101851851852</v>
      </c>
      <c r="E1316" s="94">
        <v>1033</v>
      </c>
      <c r="F1316" s="91">
        <v>1211</v>
      </c>
      <c r="G1316" s="143" t="s">
        <v>71</v>
      </c>
      <c r="H1316" s="94">
        <v>1061</v>
      </c>
      <c r="I1316" s="115"/>
      <c r="J1316" s="139" t="s">
        <v>72</v>
      </c>
      <c r="K1316" s="161">
        <v>7.3209999999999997</v>
      </c>
      <c r="L1316" s="122" t="str">
        <f>VLOOKUP(K1316,Liste!$L$2:$O$34,4,1)</f>
        <v>GSMR_02/03</v>
      </c>
      <c r="M1316" s="94" t="s">
        <v>36</v>
      </c>
      <c r="N1316" s="124" t="s">
        <v>58</v>
      </c>
      <c r="O1316" s="117" t="s">
        <v>2798</v>
      </c>
      <c r="P1316" s="117"/>
      <c r="Q1316" s="151" t="s">
        <v>531</v>
      </c>
      <c r="R1316" s="184" t="s">
        <v>2548</v>
      </c>
      <c r="S1316" s="124" t="s">
        <v>2799</v>
      </c>
      <c r="T1316" s="124" t="s">
        <v>93</v>
      </c>
      <c r="U1316" s="124" t="s">
        <v>2800</v>
      </c>
      <c r="V1316" s="124" t="s">
        <v>43</v>
      </c>
      <c r="W1316" s="124" t="s">
        <v>51</v>
      </c>
      <c r="X1316" s="124" t="s">
        <v>52</v>
      </c>
      <c r="Y1316" s="124" t="s">
        <v>2801</v>
      </c>
      <c r="Z1316" s="91"/>
      <c r="AA1316" s="124" t="s">
        <v>1118</v>
      </c>
      <c r="AB1316" s="91"/>
      <c r="AC1316" s="91"/>
      <c r="AD1316" s="91"/>
      <c r="AE1316" s="91"/>
      <c r="AF1316" s="91"/>
      <c r="AG1316" s="91"/>
      <c r="AH1316" s="91"/>
    </row>
    <row r="1317" spans="1:34" ht="45">
      <c r="A1317" s="120">
        <v>1316</v>
      </c>
      <c r="B1317" s="120" t="b">
        <f t="shared" ca="1" si="20"/>
        <v>0</v>
      </c>
      <c r="C1317" s="121">
        <v>45865</v>
      </c>
      <c r="D1317" s="137">
        <v>0.83731481481481485</v>
      </c>
      <c r="E1317" s="94">
        <v>1049</v>
      </c>
      <c r="F1317" s="91">
        <v>1204</v>
      </c>
      <c r="G1317" s="143" t="s">
        <v>71</v>
      </c>
      <c r="H1317" s="94">
        <v>1061</v>
      </c>
      <c r="I1317" s="115"/>
      <c r="J1317" s="139" t="s">
        <v>72</v>
      </c>
      <c r="K1317" s="161">
        <v>7.3209999999999997</v>
      </c>
      <c r="L1317" s="122" t="str">
        <f>VLOOKUP(K1317,Liste!$L$2:$O$34,4,1)</f>
        <v>GSMR_02/03</v>
      </c>
      <c r="M1317" s="94" t="s">
        <v>36</v>
      </c>
      <c r="N1317" s="124" t="s">
        <v>58</v>
      </c>
      <c r="O1317" s="117" t="s">
        <v>2802</v>
      </c>
      <c r="P1317" s="117"/>
      <c r="Q1317" s="151" t="s">
        <v>531</v>
      </c>
      <c r="R1317" s="184" t="s">
        <v>2548</v>
      </c>
      <c r="S1317" s="124" t="s">
        <v>2803</v>
      </c>
      <c r="T1317" s="124" t="s">
        <v>69</v>
      </c>
      <c r="U1317" s="124" t="s">
        <v>2804</v>
      </c>
      <c r="V1317" s="124" t="s">
        <v>51</v>
      </c>
      <c r="W1317" s="124" t="s">
        <v>51</v>
      </c>
      <c r="X1317" s="124" t="s">
        <v>52</v>
      </c>
      <c r="Y1317" s="124" t="s">
        <v>622</v>
      </c>
      <c r="Z1317" s="91"/>
      <c r="AA1317" s="124" t="s">
        <v>1118</v>
      </c>
      <c r="AB1317" s="91"/>
      <c r="AC1317" s="91"/>
      <c r="AD1317" s="91"/>
      <c r="AE1317" s="91"/>
      <c r="AF1317" s="91"/>
      <c r="AG1317" s="91"/>
      <c r="AH1317" s="91"/>
    </row>
    <row r="1318" spans="1:34" ht="60">
      <c r="A1318" s="120">
        <v>1317</v>
      </c>
      <c r="B1318" s="120" t="b">
        <f t="shared" ca="1" si="20"/>
        <v>0</v>
      </c>
      <c r="C1318" s="121">
        <v>45865</v>
      </c>
      <c r="D1318" s="137">
        <v>0.87834490740740745</v>
      </c>
      <c r="E1318" s="94">
        <v>1054</v>
      </c>
      <c r="F1318" s="91">
        <v>1205</v>
      </c>
      <c r="G1318" s="143" t="s">
        <v>71</v>
      </c>
      <c r="H1318" s="94">
        <v>1053</v>
      </c>
      <c r="I1318" s="115"/>
      <c r="J1318" s="139" t="s">
        <v>72</v>
      </c>
      <c r="K1318" s="161">
        <v>7.3209999999999997</v>
      </c>
      <c r="L1318" s="122" t="str">
        <f>VLOOKUP(K1318,Liste!$L$2:$O$34,4,1)</f>
        <v>GSMR_02/03</v>
      </c>
      <c r="M1318" s="94" t="s">
        <v>36</v>
      </c>
      <c r="N1318" s="124" t="s">
        <v>37</v>
      </c>
      <c r="O1318" s="117" t="s">
        <v>2805</v>
      </c>
      <c r="P1318" s="117"/>
      <c r="Q1318" s="151" t="s">
        <v>531</v>
      </c>
      <c r="R1318" s="184" t="s">
        <v>2548</v>
      </c>
      <c r="S1318" s="124" t="s">
        <v>2767</v>
      </c>
      <c r="T1318" s="124" t="s">
        <v>56</v>
      </c>
      <c r="U1318" s="124" t="s">
        <v>2743</v>
      </c>
      <c r="V1318" s="124" t="s">
        <v>51</v>
      </c>
      <c r="W1318" s="124" t="s">
        <v>51</v>
      </c>
      <c r="X1318" s="124" t="s">
        <v>52</v>
      </c>
      <c r="Y1318" s="124" t="s">
        <v>946</v>
      </c>
      <c r="Z1318" s="91"/>
      <c r="AA1318" s="124" t="s">
        <v>793</v>
      </c>
      <c r="AB1318" s="91"/>
      <c r="AC1318" s="91"/>
      <c r="AD1318" s="91"/>
      <c r="AE1318" s="91"/>
      <c r="AF1318" s="91"/>
      <c r="AG1318" s="91"/>
      <c r="AH1318" s="91"/>
    </row>
    <row r="1319" spans="1:34" ht="60">
      <c r="A1319" s="120">
        <v>1318</v>
      </c>
      <c r="B1319" s="120" t="b">
        <f t="shared" ca="1" si="20"/>
        <v>0</v>
      </c>
      <c r="C1319" s="121">
        <v>45865</v>
      </c>
      <c r="D1319" s="137">
        <v>0.89009259259259255</v>
      </c>
      <c r="E1319" s="94">
        <v>2061</v>
      </c>
      <c r="F1319" s="91">
        <v>1206</v>
      </c>
      <c r="G1319" s="143" t="s">
        <v>34</v>
      </c>
      <c r="H1319" s="94">
        <v>1053</v>
      </c>
      <c r="I1319" s="115"/>
      <c r="J1319" s="139" t="s">
        <v>35</v>
      </c>
      <c r="K1319" s="162">
        <v>73.585999999999999</v>
      </c>
      <c r="L1319" s="122" t="str">
        <f>VLOOKUP(K1319,Liste!$L$2:$O$34,4,1)</f>
        <v>GSMR_13/14</v>
      </c>
      <c r="M1319" s="94" t="s">
        <v>36</v>
      </c>
      <c r="N1319" s="124" t="s">
        <v>37</v>
      </c>
      <c r="O1319" s="117" t="s">
        <v>2806</v>
      </c>
      <c r="P1319" s="117"/>
      <c r="Q1319" s="151" t="s">
        <v>47</v>
      </c>
      <c r="R1319" s="184" t="s">
        <v>2583</v>
      </c>
      <c r="S1319" s="124" t="s">
        <v>2807</v>
      </c>
      <c r="T1319" s="124" t="s">
        <v>56</v>
      </c>
      <c r="U1319" s="124" t="s">
        <v>2751</v>
      </c>
      <c r="V1319" s="124" t="s">
        <v>51</v>
      </c>
      <c r="W1319" s="124" t="s">
        <v>51</v>
      </c>
      <c r="X1319" s="124" t="s">
        <v>52</v>
      </c>
      <c r="Y1319" s="124" t="s">
        <v>946</v>
      </c>
      <c r="Z1319" s="91"/>
      <c r="AA1319" s="124" t="s">
        <v>793</v>
      </c>
      <c r="AB1319" s="91"/>
      <c r="AC1319" s="91"/>
      <c r="AD1319" s="91"/>
      <c r="AE1319" s="91"/>
      <c r="AF1319" s="91"/>
      <c r="AG1319" s="91"/>
      <c r="AH1319" s="91"/>
    </row>
    <row r="1320" spans="1:34" ht="60">
      <c r="A1320" s="120">
        <v>1319</v>
      </c>
      <c r="B1320" s="120" t="b">
        <f t="shared" ca="1" si="20"/>
        <v>0</v>
      </c>
      <c r="C1320" s="121">
        <v>45866</v>
      </c>
      <c r="D1320" s="137">
        <v>0.31127314814814816</v>
      </c>
      <c r="E1320" s="94">
        <v>2005</v>
      </c>
      <c r="F1320" s="91">
        <v>1211</v>
      </c>
      <c r="G1320" s="143" t="s">
        <v>34</v>
      </c>
      <c r="H1320" s="94">
        <v>1054</v>
      </c>
      <c r="I1320" s="115"/>
      <c r="J1320" s="139" t="s">
        <v>35</v>
      </c>
      <c r="K1320" s="162">
        <v>108.206</v>
      </c>
      <c r="L1320" s="122" t="str">
        <f>VLOOKUP(K1320,Liste!$L$2:$O$34,4,1)</f>
        <v>GSMR_19/20</v>
      </c>
      <c r="M1320" s="94" t="s">
        <v>36</v>
      </c>
      <c r="N1320" s="124" t="s">
        <v>37</v>
      </c>
      <c r="O1320" s="117" t="s">
        <v>2808</v>
      </c>
      <c r="P1320" s="117"/>
      <c r="Q1320" s="151" t="s">
        <v>47</v>
      </c>
      <c r="R1320" s="184" t="s">
        <v>2583</v>
      </c>
      <c r="S1320" s="124" t="s">
        <v>2809</v>
      </c>
      <c r="T1320" s="124" t="s">
        <v>56</v>
      </c>
      <c r="U1320" s="124" t="s">
        <v>2749</v>
      </c>
      <c r="V1320" s="124" t="s">
        <v>51</v>
      </c>
      <c r="W1320" s="124" t="s">
        <v>51</v>
      </c>
      <c r="X1320" s="124" t="s">
        <v>52</v>
      </c>
      <c r="Y1320" s="124" t="s">
        <v>946</v>
      </c>
      <c r="Z1320" s="91"/>
      <c r="AA1320" s="124" t="s">
        <v>793</v>
      </c>
      <c r="AB1320" s="91"/>
      <c r="AC1320" s="91"/>
      <c r="AD1320" s="91"/>
      <c r="AE1320" s="91"/>
      <c r="AF1320" s="91"/>
      <c r="AG1320" s="91"/>
      <c r="AH1320" s="91"/>
    </row>
    <row r="1321" spans="1:34" ht="45">
      <c r="A1321" s="120">
        <v>1320</v>
      </c>
      <c r="B1321" s="120" t="b">
        <f t="shared" ca="1" si="20"/>
        <v>0</v>
      </c>
      <c r="C1321" s="121">
        <v>45866</v>
      </c>
      <c r="D1321" s="137" t="s">
        <v>2810</v>
      </c>
      <c r="E1321" s="94">
        <v>2017</v>
      </c>
      <c r="F1321" s="91">
        <v>1210</v>
      </c>
      <c r="G1321" s="143" t="s">
        <v>34</v>
      </c>
      <c r="H1321" s="94"/>
      <c r="I1321" s="115"/>
      <c r="J1321" s="139" t="s">
        <v>35</v>
      </c>
      <c r="K1321" s="162">
        <v>47.127000000000002</v>
      </c>
      <c r="L1321" s="122" t="str">
        <f>VLOOKUP(K1321,Liste!$L$2:$O$34,4,1)</f>
        <v>GSMR_08/09</v>
      </c>
      <c r="M1321" s="94" t="s">
        <v>36</v>
      </c>
      <c r="N1321" s="124" t="s">
        <v>37</v>
      </c>
      <c r="O1321" s="117" t="s">
        <v>2811</v>
      </c>
      <c r="P1321" s="117"/>
      <c r="Q1321" s="151" t="s">
        <v>47</v>
      </c>
      <c r="R1321" s="184" t="s">
        <v>2583</v>
      </c>
      <c r="S1321" s="124" t="s">
        <v>2812</v>
      </c>
      <c r="T1321" s="124" t="s">
        <v>69</v>
      </c>
      <c r="U1321" s="124" t="s">
        <v>2813</v>
      </c>
      <c r="V1321" s="124" t="s">
        <v>43</v>
      </c>
      <c r="W1321" s="124" t="s">
        <v>51</v>
      </c>
      <c r="X1321" s="124" t="s">
        <v>52</v>
      </c>
      <c r="Y1321" s="124" t="s">
        <v>946</v>
      </c>
      <c r="Z1321" s="91"/>
      <c r="AA1321" s="124" t="s">
        <v>802</v>
      </c>
      <c r="AB1321" s="91"/>
      <c r="AC1321" s="91"/>
      <c r="AD1321" s="91"/>
      <c r="AE1321" s="91"/>
      <c r="AF1321" s="91"/>
      <c r="AG1321" s="91"/>
      <c r="AH1321" s="91"/>
    </row>
    <row r="1322" spans="1:34" ht="45">
      <c r="A1322" s="120">
        <v>1321</v>
      </c>
      <c r="B1322" s="120" t="b">
        <f t="shared" ca="1" si="20"/>
        <v>0</v>
      </c>
      <c r="C1322" s="121">
        <v>45866</v>
      </c>
      <c r="D1322" s="137" t="s">
        <v>2814</v>
      </c>
      <c r="E1322" s="94">
        <v>1033</v>
      </c>
      <c r="F1322" s="91">
        <v>1204</v>
      </c>
      <c r="G1322" s="143" t="s">
        <v>71</v>
      </c>
      <c r="H1322" s="94"/>
      <c r="I1322" s="115"/>
      <c r="J1322" s="139" t="s">
        <v>72</v>
      </c>
      <c r="K1322" s="162">
        <v>127.815</v>
      </c>
      <c r="L1322" s="122" t="str">
        <f>VLOOKUP(K1322,Liste!$L$2:$O$34,4,1)</f>
        <v>GSMR_22/23</v>
      </c>
      <c r="M1322" s="94" t="s">
        <v>36</v>
      </c>
      <c r="N1322" s="124" t="s">
        <v>37</v>
      </c>
      <c r="O1322" s="117" t="s">
        <v>2815</v>
      </c>
      <c r="P1322" s="117"/>
      <c r="Q1322" s="151" t="s">
        <v>47</v>
      </c>
      <c r="R1322" s="184" t="s">
        <v>2583</v>
      </c>
      <c r="S1322" s="124" t="s">
        <v>2816</v>
      </c>
      <c r="T1322" s="124" t="s">
        <v>101</v>
      </c>
      <c r="U1322" s="124" t="s">
        <v>2817</v>
      </c>
      <c r="V1322" s="124" t="s">
        <v>43</v>
      </c>
      <c r="W1322" s="124" t="s">
        <v>51</v>
      </c>
      <c r="X1322" s="124" t="s">
        <v>52</v>
      </c>
      <c r="Y1322" s="124" t="s">
        <v>946</v>
      </c>
      <c r="Z1322" s="91"/>
      <c r="AA1322" s="124" t="s">
        <v>802</v>
      </c>
      <c r="AB1322" s="91"/>
      <c r="AC1322" s="91"/>
      <c r="AD1322" s="91"/>
      <c r="AE1322" s="91"/>
      <c r="AF1322" s="91"/>
      <c r="AG1322" s="91"/>
      <c r="AH1322" s="91"/>
    </row>
    <row r="1323" spans="1:34" ht="60">
      <c r="A1323" s="120">
        <v>1322</v>
      </c>
      <c r="B1323" s="120" t="b">
        <f t="shared" ca="1" si="20"/>
        <v>0</v>
      </c>
      <c r="C1323" s="121">
        <v>45867</v>
      </c>
      <c r="D1323" s="137">
        <v>0.37200231481481483</v>
      </c>
      <c r="E1323" s="94">
        <v>1005</v>
      </c>
      <c r="F1323" s="91">
        <v>1208</v>
      </c>
      <c r="G1323" s="143" t="s">
        <v>71</v>
      </c>
      <c r="H1323" s="94"/>
      <c r="I1323" s="115"/>
      <c r="J1323" s="139" t="s">
        <v>72</v>
      </c>
      <c r="K1323" s="162">
        <v>48.426000000000002</v>
      </c>
      <c r="L1323" s="122" t="str">
        <f>VLOOKUP(K1323,Liste!$L$2:$O$34,4,1)</f>
        <v>GSMR_08/09</v>
      </c>
      <c r="M1323" s="94" t="s">
        <v>36</v>
      </c>
      <c r="N1323" s="124" t="s">
        <v>37</v>
      </c>
      <c r="O1323" s="117" t="s">
        <v>2818</v>
      </c>
      <c r="P1323" s="117"/>
      <c r="Q1323" s="151" t="s">
        <v>47</v>
      </c>
      <c r="R1323" s="184" t="s">
        <v>2583</v>
      </c>
      <c r="S1323" s="124" t="s">
        <v>2819</v>
      </c>
      <c r="T1323" s="124" t="s">
        <v>69</v>
      </c>
      <c r="U1323" s="124" t="s">
        <v>2774</v>
      </c>
      <c r="V1323" s="124" t="s">
        <v>43</v>
      </c>
      <c r="W1323" s="124" t="s">
        <v>51</v>
      </c>
      <c r="X1323" s="124" t="s">
        <v>52</v>
      </c>
      <c r="Y1323" s="124" t="s">
        <v>946</v>
      </c>
      <c r="Z1323" s="91"/>
      <c r="AA1323" s="124" t="s">
        <v>802</v>
      </c>
      <c r="AB1323" s="91"/>
      <c r="AC1323" s="91"/>
      <c r="AD1323" s="91"/>
      <c r="AE1323" s="91"/>
      <c r="AF1323" s="91"/>
      <c r="AG1323" s="91"/>
      <c r="AH1323" s="91"/>
    </row>
    <row r="1324" spans="1:34" ht="60">
      <c r="A1324" s="120">
        <v>1323</v>
      </c>
      <c r="B1324" s="120" t="b">
        <f t="shared" ca="1" si="20"/>
        <v>0</v>
      </c>
      <c r="C1324" s="121">
        <v>45868</v>
      </c>
      <c r="D1324" s="137">
        <v>0.84755787037037034</v>
      </c>
      <c r="E1324" s="94">
        <v>2057</v>
      </c>
      <c r="F1324" s="91">
        <v>1207</v>
      </c>
      <c r="G1324" s="143" t="s">
        <v>34</v>
      </c>
      <c r="H1324" s="94"/>
      <c r="I1324" s="115"/>
      <c r="J1324" s="162" t="s">
        <v>35</v>
      </c>
      <c r="K1324" s="162">
        <v>73.585999999999999</v>
      </c>
      <c r="L1324" s="118" t="s">
        <v>2820</v>
      </c>
      <c r="M1324" s="94" t="s">
        <v>36</v>
      </c>
      <c r="N1324" s="124" t="s">
        <v>37</v>
      </c>
      <c r="O1324" s="117" t="s">
        <v>2806</v>
      </c>
      <c r="P1324" s="117"/>
      <c r="Q1324" s="151" t="s">
        <v>47</v>
      </c>
      <c r="R1324" s="184" t="s">
        <v>2583</v>
      </c>
      <c r="S1324" s="124" t="s">
        <v>2821</v>
      </c>
      <c r="T1324" s="124" t="s">
        <v>56</v>
      </c>
      <c r="U1324" s="124" t="s">
        <v>2759</v>
      </c>
      <c r="V1324" s="124" t="s">
        <v>43</v>
      </c>
      <c r="W1324" s="124" t="s">
        <v>51</v>
      </c>
      <c r="X1324" s="124" t="s">
        <v>52</v>
      </c>
      <c r="Y1324" s="124" t="s">
        <v>946</v>
      </c>
      <c r="Z1324" s="91"/>
      <c r="AA1324" s="124" t="s">
        <v>778</v>
      </c>
      <c r="AB1324" s="91"/>
      <c r="AC1324" s="91"/>
      <c r="AD1324" s="91"/>
      <c r="AE1324" s="91"/>
      <c r="AF1324" s="91"/>
      <c r="AG1324" s="91"/>
      <c r="AH1324" s="91"/>
    </row>
    <row r="1325" spans="1:34" ht="60">
      <c r="A1325" s="120">
        <v>1324</v>
      </c>
      <c r="B1325" s="120" t="b">
        <f t="shared" ca="1" si="20"/>
        <v>0</v>
      </c>
      <c r="C1325" s="121">
        <v>45869</v>
      </c>
      <c r="D1325" s="137">
        <v>0.65053240740740736</v>
      </c>
      <c r="E1325" s="94">
        <v>2037</v>
      </c>
      <c r="F1325" s="91">
        <v>1201</v>
      </c>
      <c r="G1325" s="143" t="s">
        <v>34</v>
      </c>
      <c r="H1325" s="94"/>
      <c r="I1325" s="115"/>
      <c r="J1325" s="139" t="s">
        <v>35</v>
      </c>
      <c r="K1325" s="162">
        <v>153.68600000000001</v>
      </c>
      <c r="L1325" s="122" t="str">
        <f>VLOOKUP(K1325,Liste!$L$2:$O$34,4,1)</f>
        <v>GSMR_26/27</v>
      </c>
      <c r="M1325" s="94" t="s">
        <v>36</v>
      </c>
      <c r="N1325" s="124" t="s">
        <v>37</v>
      </c>
      <c r="O1325" s="117" t="s">
        <v>2822</v>
      </c>
      <c r="P1325" s="117"/>
      <c r="Q1325" s="151" t="s">
        <v>47</v>
      </c>
      <c r="R1325" s="184" t="s">
        <v>2583</v>
      </c>
      <c r="S1325" s="124" t="s">
        <v>2823</v>
      </c>
      <c r="T1325" s="124" t="s">
        <v>69</v>
      </c>
      <c r="U1325" s="124" t="s">
        <v>2824</v>
      </c>
      <c r="V1325" s="124" t="s">
        <v>43</v>
      </c>
      <c r="W1325" s="124" t="s">
        <v>51</v>
      </c>
      <c r="X1325" s="124" t="s">
        <v>52</v>
      </c>
      <c r="Y1325" s="124" t="s">
        <v>946</v>
      </c>
      <c r="Z1325" s="91"/>
      <c r="AA1325" s="124" t="s">
        <v>802</v>
      </c>
      <c r="AB1325" s="91"/>
      <c r="AC1325" s="91"/>
      <c r="AD1325" s="91"/>
      <c r="AE1325" s="91"/>
      <c r="AF1325" s="91"/>
      <c r="AG1325" s="91"/>
      <c r="AH1325" s="91"/>
    </row>
    <row r="1326" spans="1:34" ht="60">
      <c r="A1326" s="120">
        <v>1325</v>
      </c>
      <c r="B1326" s="120" t="b">
        <f t="shared" ca="1" si="20"/>
        <v>0</v>
      </c>
      <c r="C1326" s="121">
        <v>45869</v>
      </c>
      <c r="D1326" s="137">
        <v>0.90785879629629629</v>
      </c>
      <c r="E1326" s="94">
        <v>1057</v>
      </c>
      <c r="F1326" s="91">
        <v>1208</v>
      </c>
      <c r="G1326" s="143" t="s">
        <v>71</v>
      </c>
      <c r="H1326" s="94">
        <v>1061</v>
      </c>
      <c r="I1326" s="115"/>
      <c r="J1326" s="139" t="s">
        <v>72</v>
      </c>
      <c r="K1326" s="94">
        <v>94.953999999999994</v>
      </c>
      <c r="L1326" s="122" t="str">
        <f>VLOOKUP(K1326,Liste!$L$2:$O$34,4,1)</f>
        <v>GSMR_17/18</v>
      </c>
      <c r="M1326" s="94" t="s">
        <v>36</v>
      </c>
      <c r="N1326" s="124" t="s">
        <v>37</v>
      </c>
      <c r="O1326" s="117" t="s">
        <v>2825</v>
      </c>
      <c r="P1326" s="117" t="s">
        <v>2793</v>
      </c>
      <c r="Q1326" s="151" t="s">
        <v>47</v>
      </c>
      <c r="R1326" s="184" t="s">
        <v>2583</v>
      </c>
      <c r="S1326" s="124" t="s">
        <v>2794</v>
      </c>
      <c r="T1326" s="124" t="s">
        <v>56</v>
      </c>
      <c r="U1326" s="124" t="s">
        <v>2740</v>
      </c>
      <c r="V1326" s="124" t="s">
        <v>51</v>
      </c>
      <c r="W1326" s="124" t="s">
        <v>51</v>
      </c>
      <c r="X1326" s="124" t="s">
        <v>52</v>
      </c>
      <c r="Y1326" s="124" t="s">
        <v>946</v>
      </c>
      <c r="Z1326" s="91"/>
      <c r="AA1326" s="124" t="s">
        <v>778</v>
      </c>
      <c r="AB1326" s="91"/>
      <c r="AC1326" s="91"/>
      <c r="AD1326" s="91"/>
      <c r="AE1326" s="91"/>
      <c r="AF1326" s="91"/>
      <c r="AG1326" s="91"/>
      <c r="AH1326" s="91"/>
    </row>
    <row r="1327" spans="1:34" ht="60">
      <c r="A1327" s="120">
        <v>1326</v>
      </c>
      <c r="B1327" s="120" t="b">
        <f t="shared" ca="1" si="20"/>
        <v>0</v>
      </c>
      <c r="C1327" s="121">
        <v>45871</v>
      </c>
      <c r="D1327" s="137">
        <v>0.81054398148148143</v>
      </c>
      <c r="E1327" s="94">
        <v>2053</v>
      </c>
      <c r="F1327" s="91">
        <v>1211</v>
      </c>
      <c r="G1327" s="143" t="s">
        <v>34</v>
      </c>
      <c r="H1327" s="94">
        <v>1061</v>
      </c>
      <c r="I1327" s="115"/>
      <c r="J1327" s="139" t="s">
        <v>35</v>
      </c>
      <c r="K1327" s="94">
        <v>108.206</v>
      </c>
      <c r="L1327" s="122" t="str">
        <f>VLOOKUP(K1327,Liste!$L$2:$O$34,4,1)</f>
        <v>GSMR_19/20</v>
      </c>
      <c r="M1327" s="94" t="s">
        <v>36</v>
      </c>
      <c r="N1327" s="124" t="s">
        <v>37</v>
      </c>
      <c r="O1327" s="117" t="s">
        <v>2826</v>
      </c>
      <c r="P1327" s="117" t="s">
        <v>2556</v>
      </c>
      <c r="Q1327" s="151" t="s">
        <v>47</v>
      </c>
      <c r="R1327" s="184" t="s">
        <v>2583</v>
      </c>
      <c r="S1327" s="124" t="s">
        <v>2780</v>
      </c>
      <c r="T1327" s="124" t="s">
        <v>93</v>
      </c>
      <c r="U1327" s="124" t="s">
        <v>2827</v>
      </c>
      <c r="V1327" s="124" t="s">
        <v>51</v>
      </c>
      <c r="W1327" s="124" t="s">
        <v>51</v>
      </c>
      <c r="X1327" s="124" t="s">
        <v>52</v>
      </c>
      <c r="Y1327" s="124" t="s">
        <v>2801</v>
      </c>
      <c r="Z1327" s="91"/>
      <c r="AA1327" s="124" t="s">
        <v>793</v>
      </c>
      <c r="AB1327" s="91"/>
      <c r="AC1327" s="91"/>
      <c r="AD1327" s="91"/>
      <c r="AE1327" s="91"/>
      <c r="AF1327" s="91"/>
      <c r="AG1327" s="91"/>
      <c r="AH1327" s="91"/>
    </row>
    <row r="1328" spans="1:34" ht="105">
      <c r="A1328" s="120">
        <v>1327</v>
      </c>
      <c r="B1328" s="120" t="b">
        <f t="shared" ca="1" si="20"/>
        <v>0</v>
      </c>
      <c r="C1328" s="121">
        <v>45871</v>
      </c>
      <c r="D1328" s="137">
        <v>0.92049768518518515</v>
      </c>
      <c r="E1328" s="94">
        <v>10081</v>
      </c>
      <c r="F1328" s="91">
        <v>1209</v>
      </c>
      <c r="G1328" s="143" t="s">
        <v>34</v>
      </c>
      <c r="H1328" s="94"/>
      <c r="I1328" s="115"/>
      <c r="J1328" s="139" t="s">
        <v>35</v>
      </c>
      <c r="K1328" s="161">
        <v>6.13</v>
      </c>
      <c r="L1328" s="122" t="str">
        <f>VLOOKUP(K1328,Liste!$L$2:$O$34,4,1)</f>
        <v>GSMR_02/03</v>
      </c>
      <c r="M1328" s="94" t="s">
        <v>36</v>
      </c>
      <c r="N1328" s="124" t="s">
        <v>58</v>
      </c>
      <c r="O1328" s="117" t="s">
        <v>2828</v>
      </c>
      <c r="P1328" s="116" t="s">
        <v>2665</v>
      </c>
      <c r="Q1328" s="118" t="s">
        <v>39</v>
      </c>
      <c r="R1328" s="184" t="s">
        <v>2548</v>
      </c>
      <c r="S1328" s="124" t="s">
        <v>2829</v>
      </c>
      <c r="T1328" s="124" t="s">
        <v>56</v>
      </c>
      <c r="U1328" s="124" t="s">
        <v>2830</v>
      </c>
      <c r="V1328" s="124" t="s">
        <v>51</v>
      </c>
      <c r="W1328" s="124" t="s">
        <v>51</v>
      </c>
      <c r="X1328" s="124" t="s">
        <v>52</v>
      </c>
      <c r="Y1328" s="124" t="s">
        <v>946</v>
      </c>
      <c r="Z1328" s="91"/>
      <c r="AA1328" s="124" t="s">
        <v>757</v>
      </c>
      <c r="AB1328" s="91"/>
      <c r="AC1328" s="91"/>
      <c r="AD1328" s="91"/>
      <c r="AE1328" s="91"/>
      <c r="AF1328" s="91"/>
      <c r="AG1328" s="91"/>
      <c r="AH1328" s="91"/>
    </row>
    <row r="1329" spans="1:34" ht="60">
      <c r="A1329" s="120">
        <v>1328</v>
      </c>
      <c r="B1329" s="120" t="b">
        <f t="shared" ca="1" si="20"/>
        <v>0</v>
      </c>
      <c r="C1329" s="121">
        <v>45871</v>
      </c>
      <c r="D1329" s="137">
        <v>0.93906250000000002</v>
      </c>
      <c r="E1329" s="94">
        <v>10081</v>
      </c>
      <c r="F1329" s="91">
        <v>1209</v>
      </c>
      <c r="G1329" s="143" t="s">
        <v>34</v>
      </c>
      <c r="H1329" s="94">
        <v>1063</v>
      </c>
      <c r="I1329" s="115"/>
      <c r="J1329" s="139" t="s">
        <v>35</v>
      </c>
      <c r="K1329" s="94">
        <v>108.206</v>
      </c>
      <c r="L1329" s="122" t="str">
        <f>VLOOKUP(K1329,Liste!$L$2:$O$34,4,1)</f>
        <v>GSMR_19/20</v>
      </c>
      <c r="M1329" s="94" t="s">
        <v>36</v>
      </c>
      <c r="N1329" s="124" t="s">
        <v>37</v>
      </c>
      <c r="O1329" s="117" t="s">
        <v>2826</v>
      </c>
      <c r="P1329" s="117" t="s">
        <v>2556</v>
      </c>
      <c r="Q1329" s="151" t="s">
        <v>47</v>
      </c>
      <c r="R1329" s="184" t="s">
        <v>2583</v>
      </c>
      <c r="S1329" s="124" t="s">
        <v>2780</v>
      </c>
      <c r="T1329" s="124" t="s">
        <v>56</v>
      </c>
      <c r="U1329" s="124" t="s">
        <v>2740</v>
      </c>
      <c r="V1329" s="124" t="s">
        <v>51</v>
      </c>
      <c r="W1329" s="124" t="s">
        <v>51</v>
      </c>
      <c r="X1329" s="124" t="s">
        <v>52</v>
      </c>
      <c r="Y1329" s="124" t="s">
        <v>946</v>
      </c>
      <c r="Z1329" s="91"/>
      <c r="AA1329" s="124" t="s">
        <v>754</v>
      </c>
      <c r="AB1329" s="91"/>
      <c r="AC1329" s="91"/>
      <c r="AD1329" s="91"/>
      <c r="AE1329" s="91"/>
      <c r="AF1329" s="91"/>
      <c r="AG1329" s="91"/>
      <c r="AH1329" s="91"/>
    </row>
    <row r="1330" spans="1:34" ht="105">
      <c r="A1330" s="120">
        <v>1329</v>
      </c>
      <c r="B1330" s="120" t="b">
        <f t="shared" ca="1" si="20"/>
        <v>0</v>
      </c>
      <c r="C1330" s="121">
        <v>45872</v>
      </c>
      <c r="D1330" s="137">
        <v>0.79597222222222219</v>
      </c>
      <c r="E1330" s="94">
        <v>1046</v>
      </c>
      <c r="F1330" s="91">
        <v>1203</v>
      </c>
      <c r="G1330" s="143" t="s">
        <v>71</v>
      </c>
      <c r="H1330" s="94"/>
      <c r="I1330" s="115"/>
      <c r="J1330" s="139" t="s">
        <v>72</v>
      </c>
      <c r="K1330" s="161">
        <v>7.3209999999999997</v>
      </c>
      <c r="L1330" s="122" t="str">
        <f>VLOOKUP(K1330,Liste!$L$2:$O$34,4,1)</f>
        <v>GSMR_02/03</v>
      </c>
      <c r="M1330" s="94" t="s">
        <v>36</v>
      </c>
      <c r="N1330" s="124" t="s">
        <v>37</v>
      </c>
      <c r="O1330" s="117" t="s">
        <v>2831</v>
      </c>
      <c r="P1330" s="116" t="s">
        <v>2665</v>
      </c>
      <c r="Q1330" s="118" t="s">
        <v>39</v>
      </c>
      <c r="R1330" s="184" t="s">
        <v>1032</v>
      </c>
      <c r="S1330" s="124" t="s">
        <v>2832</v>
      </c>
      <c r="T1330" s="124" t="s">
        <v>116</v>
      </c>
      <c r="U1330" s="124" t="s">
        <v>2771</v>
      </c>
      <c r="V1330" s="124" t="s">
        <v>51</v>
      </c>
      <c r="W1330" s="124" t="s">
        <v>51</v>
      </c>
      <c r="X1330" s="124" t="s">
        <v>52</v>
      </c>
      <c r="Y1330" s="124" t="s">
        <v>946</v>
      </c>
      <c r="Z1330" s="91"/>
      <c r="AA1330" s="124" t="s">
        <v>793</v>
      </c>
      <c r="AB1330" s="91"/>
      <c r="AC1330" s="91"/>
      <c r="AD1330" s="91"/>
      <c r="AE1330" s="91"/>
      <c r="AF1330" s="91"/>
      <c r="AG1330" s="91"/>
      <c r="AH1330" s="91"/>
    </row>
    <row r="1331" spans="1:34" ht="105">
      <c r="A1331" s="120">
        <v>1330</v>
      </c>
      <c r="B1331" s="120" t="b">
        <f t="shared" ca="1" si="20"/>
        <v>0</v>
      </c>
      <c r="C1331" s="121">
        <v>45873</v>
      </c>
      <c r="D1331" s="137">
        <v>0.33702546296296299</v>
      </c>
      <c r="E1331" s="94">
        <v>2009</v>
      </c>
      <c r="F1331" s="91">
        <v>1206</v>
      </c>
      <c r="G1331" s="143" t="s">
        <v>34</v>
      </c>
      <c r="H1331" s="94"/>
      <c r="I1331" s="115"/>
      <c r="J1331" s="139" t="s">
        <v>35</v>
      </c>
      <c r="K1331" s="161">
        <v>6.13</v>
      </c>
      <c r="L1331" s="122" t="str">
        <f>VLOOKUP(K1331,Liste!$L$2:$O$34,4,1)</f>
        <v>GSMR_02/03</v>
      </c>
      <c r="M1331" s="94" t="s">
        <v>36</v>
      </c>
      <c r="N1331" s="124" t="s">
        <v>37</v>
      </c>
      <c r="O1331" s="117" t="s">
        <v>2833</v>
      </c>
      <c r="P1331" s="116" t="s">
        <v>2665</v>
      </c>
      <c r="Q1331" s="118" t="s">
        <v>39</v>
      </c>
      <c r="R1331" s="184" t="s">
        <v>1032</v>
      </c>
      <c r="S1331" s="124" t="s">
        <v>2832</v>
      </c>
      <c r="T1331" s="124" t="s">
        <v>78</v>
      </c>
      <c r="U1331" s="124" t="s">
        <v>2797</v>
      </c>
      <c r="V1331" s="124" t="s">
        <v>51</v>
      </c>
      <c r="W1331" s="124" t="s">
        <v>51</v>
      </c>
      <c r="X1331" s="124" t="s">
        <v>52</v>
      </c>
      <c r="Y1331" s="124" t="s">
        <v>946</v>
      </c>
      <c r="Z1331" s="91"/>
      <c r="AA1331" s="124" t="s">
        <v>754</v>
      </c>
      <c r="AB1331" s="91"/>
      <c r="AC1331" s="91"/>
      <c r="AD1331" s="91"/>
      <c r="AE1331" s="91"/>
      <c r="AF1331" s="91"/>
      <c r="AG1331" s="91"/>
      <c r="AH1331" s="91"/>
    </row>
    <row r="1332" spans="1:34" ht="105">
      <c r="A1332" s="120">
        <v>1331</v>
      </c>
      <c r="B1332" s="120" t="b">
        <f t="shared" ca="1" si="20"/>
        <v>0</v>
      </c>
      <c r="C1332" s="121">
        <v>45873</v>
      </c>
      <c r="D1332" s="137">
        <v>0.71184027777777781</v>
      </c>
      <c r="E1332" s="94">
        <v>2045</v>
      </c>
      <c r="F1332" s="91">
        <v>1201</v>
      </c>
      <c r="G1332" s="143" t="s">
        <v>34</v>
      </c>
      <c r="H1332" s="139" t="s">
        <v>72</v>
      </c>
      <c r="I1332" s="162"/>
      <c r="J1332" s="139" t="s">
        <v>35</v>
      </c>
      <c r="K1332" s="161">
        <v>6.13</v>
      </c>
      <c r="L1332" s="122" t="str">
        <f>VLOOKUP(K1332,Liste!$L$2:$O$34,4,1)</f>
        <v>GSMR_02/03</v>
      </c>
      <c r="M1332" s="94" t="s">
        <v>36</v>
      </c>
      <c r="N1332" s="124" t="s">
        <v>37</v>
      </c>
      <c r="O1332" s="117" t="s">
        <v>2834</v>
      </c>
      <c r="P1332" s="116" t="s">
        <v>2665</v>
      </c>
      <c r="Q1332" s="118" t="s">
        <v>39</v>
      </c>
      <c r="R1332" s="184" t="s">
        <v>1032</v>
      </c>
      <c r="S1332" s="124" t="s">
        <v>2835</v>
      </c>
      <c r="T1332" s="124" t="s">
        <v>56</v>
      </c>
      <c r="U1332" s="124" t="s">
        <v>2792</v>
      </c>
      <c r="V1332" s="124" t="s">
        <v>51</v>
      </c>
      <c r="W1332" s="124" t="s">
        <v>51</v>
      </c>
      <c r="X1332" s="124" t="s">
        <v>52</v>
      </c>
      <c r="Y1332" s="124" t="s">
        <v>946</v>
      </c>
      <c r="Z1332" s="91"/>
      <c r="AA1332" s="124" t="s">
        <v>772</v>
      </c>
      <c r="AB1332" s="91"/>
      <c r="AC1332" s="91"/>
      <c r="AD1332" s="91"/>
      <c r="AE1332" s="91"/>
      <c r="AF1332" s="91"/>
      <c r="AG1332" s="91"/>
      <c r="AH1332" s="91"/>
    </row>
    <row r="1333" spans="1:34" ht="60">
      <c r="A1333" s="120">
        <v>1332</v>
      </c>
      <c r="B1333" s="120" t="b">
        <f t="shared" ca="1" si="20"/>
        <v>0</v>
      </c>
      <c r="C1333" s="121">
        <v>45873</v>
      </c>
      <c r="D1333" s="137">
        <v>0.73621527777777773</v>
      </c>
      <c r="E1333" s="94">
        <v>1041</v>
      </c>
      <c r="F1333" s="91">
        <v>1203</v>
      </c>
      <c r="G1333" s="143" t="s">
        <v>71</v>
      </c>
      <c r="H1333" s="139"/>
      <c r="I1333" s="163"/>
      <c r="J1333" s="139" t="s">
        <v>72</v>
      </c>
      <c r="K1333" s="94">
        <v>134.30000000000001</v>
      </c>
      <c r="L1333" s="122" t="str">
        <f>VLOOKUP(K1333,Liste!$L$2:$O$34,4,1)</f>
        <v>GSMR_23/24</v>
      </c>
      <c r="M1333" s="94" t="s">
        <v>36</v>
      </c>
      <c r="N1333" s="124" t="s">
        <v>37</v>
      </c>
      <c r="O1333" s="117" t="s">
        <v>2836</v>
      </c>
      <c r="P1333" s="117" t="s">
        <v>2556</v>
      </c>
      <c r="Q1333" s="151" t="s">
        <v>2837</v>
      </c>
      <c r="R1333" s="184" t="s">
        <v>2838</v>
      </c>
      <c r="S1333" s="124" t="s">
        <v>2839</v>
      </c>
      <c r="T1333" s="124" t="s">
        <v>41</v>
      </c>
      <c r="U1333" s="124" t="s">
        <v>2840</v>
      </c>
      <c r="V1333" s="124" t="s">
        <v>43</v>
      </c>
      <c r="W1333" s="124" t="s">
        <v>51</v>
      </c>
      <c r="X1333" s="124" t="s">
        <v>52</v>
      </c>
      <c r="Y1333" s="124" t="s">
        <v>946</v>
      </c>
      <c r="Z1333" s="91"/>
      <c r="AA1333" s="124" t="s">
        <v>754</v>
      </c>
      <c r="AB1333" s="91"/>
      <c r="AC1333" s="91"/>
      <c r="AD1333" s="91"/>
      <c r="AE1333" s="91"/>
      <c r="AF1333" s="91"/>
      <c r="AG1333" s="91"/>
      <c r="AH1333" s="91"/>
    </row>
    <row r="1334" spans="1:34" ht="105">
      <c r="A1334" s="120">
        <v>1333</v>
      </c>
      <c r="B1334" s="120" t="b">
        <f t="shared" ca="1" si="20"/>
        <v>0</v>
      </c>
      <c r="C1334" s="121">
        <v>45873</v>
      </c>
      <c r="D1334" s="137">
        <v>0.92762731481481486</v>
      </c>
      <c r="E1334" s="94">
        <v>10081</v>
      </c>
      <c r="F1334" s="91">
        <v>1204</v>
      </c>
      <c r="G1334" s="143" t="s">
        <v>34</v>
      </c>
      <c r="H1334" s="139"/>
      <c r="I1334" s="163"/>
      <c r="J1334" s="139" t="s">
        <v>35</v>
      </c>
      <c r="K1334" s="161">
        <v>6.13</v>
      </c>
      <c r="L1334" s="122" t="str">
        <f>VLOOKUP(K1334,Liste!$L$2:$O$34,4,1)</f>
        <v>GSMR_02/03</v>
      </c>
      <c r="M1334" s="94" t="s">
        <v>36</v>
      </c>
      <c r="N1334" s="124" t="s">
        <v>37</v>
      </c>
      <c r="O1334" s="117" t="s">
        <v>2841</v>
      </c>
      <c r="P1334" s="116" t="s">
        <v>2665</v>
      </c>
      <c r="Q1334" s="118" t="s">
        <v>39</v>
      </c>
      <c r="R1334" s="184" t="s">
        <v>1032</v>
      </c>
      <c r="S1334" s="124" t="s">
        <v>2842</v>
      </c>
      <c r="T1334" s="124" t="s">
        <v>116</v>
      </c>
      <c r="U1334" s="124" t="s">
        <v>2843</v>
      </c>
      <c r="V1334" s="124" t="s">
        <v>51</v>
      </c>
      <c r="W1334" s="124" t="s">
        <v>51</v>
      </c>
      <c r="X1334" s="124" t="s">
        <v>52</v>
      </c>
      <c r="Y1334" s="124" t="s">
        <v>946</v>
      </c>
      <c r="Z1334" s="91"/>
      <c r="AA1334" s="124" t="s">
        <v>754</v>
      </c>
      <c r="AB1334" s="91"/>
      <c r="AC1334" s="91"/>
      <c r="AD1334" s="91"/>
      <c r="AE1334" s="91"/>
      <c r="AF1334" s="91"/>
      <c r="AG1334" s="91"/>
      <c r="AH1334" s="91"/>
    </row>
    <row r="1335" spans="1:34" ht="105">
      <c r="A1335" s="120">
        <v>1334</v>
      </c>
      <c r="B1335" s="120" t="b">
        <f t="shared" ca="1" si="20"/>
        <v>0</v>
      </c>
      <c r="C1335" s="121">
        <v>45874</v>
      </c>
      <c r="D1335" s="137">
        <v>0.4616898148148148</v>
      </c>
      <c r="E1335" s="94">
        <v>2021</v>
      </c>
      <c r="F1335" s="91">
        <v>1205</v>
      </c>
      <c r="G1335" s="143" t="s">
        <v>34</v>
      </c>
      <c r="H1335" s="139"/>
      <c r="I1335" s="163"/>
      <c r="J1335" s="139" t="s">
        <v>35</v>
      </c>
      <c r="K1335" s="161">
        <v>6.13</v>
      </c>
      <c r="L1335" s="122" t="str">
        <f>VLOOKUP(K1335,Liste!$L$2:$O$34,4,1)</f>
        <v>GSMR_02/03</v>
      </c>
      <c r="M1335" s="94" t="s">
        <v>36</v>
      </c>
      <c r="N1335" s="124" t="s">
        <v>58</v>
      </c>
      <c r="O1335" s="117" t="s">
        <v>2834</v>
      </c>
      <c r="P1335" s="116" t="s">
        <v>2665</v>
      </c>
      <c r="Q1335" s="118" t="s">
        <v>39</v>
      </c>
      <c r="R1335" s="184" t="s">
        <v>1032</v>
      </c>
      <c r="S1335" s="124" t="s">
        <v>2835</v>
      </c>
      <c r="T1335" s="124" t="s">
        <v>56</v>
      </c>
      <c r="U1335" s="124" t="s">
        <v>2774</v>
      </c>
      <c r="V1335" s="124" t="s">
        <v>51</v>
      </c>
      <c r="W1335" s="124" t="s">
        <v>51</v>
      </c>
      <c r="X1335" s="124" t="s">
        <v>52</v>
      </c>
      <c r="Y1335" s="124" t="s">
        <v>946</v>
      </c>
      <c r="Z1335" s="91"/>
      <c r="AA1335" s="124" t="s">
        <v>802</v>
      </c>
      <c r="AB1335" s="91"/>
      <c r="AC1335" s="91"/>
      <c r="AD1335" s="91"/>
      <c r="AE1335" s="91"/>
      <c r="AF1335" s="91"/>
      <c r="AG1335" s="91"/>
      <c r="AH1335" s="91"/>
    </row>
    <row r="1336" spans="1:34" ht="105">
      <c r="A1336" s="120">
        <v>1335</v>
      </c>
      <c r="B1336" s="120" t="b">
        <f t="shared" ca="1" si="20"/>
        <v>0</v>
      </c>
      <c r="C1336" s="121">
        <v>45874</v>
      </c>
      <c r="D1336" s="137">
        <v>0.71206018518518521</v>
      </c>
      <c r="E1336" s="94">
        <v>1037</v>
      </c>
      <c r="F1336" s="91">
        <v>1211</v>
      </c>
      <c r="G1336" s="143" t="s">
        <v>71</v>
      </c>
      <c r="H1336" s="139" t="s">
        <v>35</v>
      </c>
      <c r="I1336" s="115"/>
      <c r="J1336" s="94" t="s">
        <v>72</v>
      </c>
      <c r="K1336" s="161">
        <v>7.3209999999999997</v>
      </c>
      <c r="L1336" s="122" t="str">
        <f>VLOOKUP(K1336,Liste!$L$2:$O$34,4,1)</f>
        <v>GSMR_02/03</v>
      </c>
      <c r="M1336" s="94" t="s">
        <v>36</v>
      </c>
      <c r="N1336" s="124" t="s">
        <v>37</v>
      </c>
      <c r="O1336" s="117" t="s">
        <v>2844</v>
      </c>
      <c r="P1336" s="116" t="s">
        <v>2665</v>
      </c>
      <c r="Q1336" s="118" t="s">
        <v>39</v>
      </c>
      <c r="R1336" s="184" t="s">
        <v>1032</v>
      </c>
      <c r="S1336" s="124" t="s">
        <v>2845</v>
      </c>
      <c r="T1336" s="124" t="s">
        <v>56</v>
      </c>
      <c r="U1336" s="124" t="s">
        <v>2846</v>
      </c>
      <c r="V1336" s="124" t="s">
        <v>43</v>
      </c>
      <c r="W1336" s="124" t="s">
        <v>51</v>
      </c>
      <c r="X1336" s="124" t="s">
        <v>52</v>
      </c>
      <c r="Y1336" s="124" t="s">
        <v>946</v>
      </c>
      <c r="Z1336" s="91"/>
      <c r="AA1336" s="124" t="s">
        <v>778</v>
      </c>
      <c r="AB1336" s="91"/>
      <c r="AC1336" s="91"/>
      <c r="AD1336" s="91"/>
      <c r="AE1336" s="91"/>
      <c r="AF1336" s="91"/>
      <c r="AG1336" s="91"/>
      <c r="AH1336" s="91"/>
    </row>
    <row r="1337" spans="1:34" ht="60">
      <c r="A1337" s="120">
        <v>1336</v>
      </c>
      <c r="B1337" s="120" t="b">
        <f t="shared" ca="1" si="20"/>
        <v>0</v>
      </c>
      <c r="C1337" s="121">
        <v>45874</v>
      </c>
      <c r="D1337" s="137">
        <v>0.8541319444444444</v>
      </c>
      <c r="E1337" s="94">
        <v>2057</v>
      </c>
      <c r="F1337" s="91">
        <v>1210</v>
      </c>
      <c r="G1337" s="143" t="s">
        <v>34</v>
      </c>
      <c r="H1337" s="139" t="s">
        <v>35</v>
      </c>
      <c r="I1337" s="115"/>
      <c r="J1337" s="94" t="s">
        <v>35</v>
      </c>
      <c r="K1337" s="94">
        <v>108.206</v>
      </c>
      <c r="L1337" s="122" t="str">
        <f>VLOOKUP(K1337,Liste!$L$2:$O$34,4,1)</f>
        <v>GSMR_19/20</v>
      </c>
      <c r="M1337" s="94" t="s">
        <v>36</v>
      </c>
      <c r="N1337" s="124" t="s">
        <v>37</v>
      </c>
      <c r="O1337" s="117" t="s">
        <v>2847</v>
      </c>
      <c r="P1337" s="117" t="s">
        <v>2556</v>
      </c>
      <c r="Q1337" s="118" t="s">
        <v>47</v>
      </c>
      <c r="R1337" s="184" t="s">
        <v>2583</v>
      </c>
      <c r="S1337" s="124" t="s">
        <v>2780</v>
      </c>
      <c r="T1337" s="124" t="s">
        <v>56</v>
      </c>
      <c r="U1337" s="124" t="s">
        <v>2848</v>
      </c>
      <c r="V1337" s="124" t="s">
        <v>51</v>
      </c>
      <c r="W1337" s="124" t="s">
        <v>51</v>
      </c>
      <c r="X1337" s="124" t="s">
        <v>52</v>
      </c>
      <c r="Y1337" s="124" t="s">
        <v>946</v>
      </c>
      <c r="Z1337" s="91"/>
      <c r="AA1337" s="124" t="s">
        <v>754</v>
      </c>
      <c r="AB1337" s="91"/>
      <c r="AC1337" s="91"/>
      <c r="AD1337" s="91"/>
      <c r="AE1337" s="91"/>
      <c r="AF1337" s="91"/>
      <c r="AG1337" s="91"/>
      <c r="AH1337" s="91"/>
    </row>
    <row r="1338" spans="1:34" ht="45">
      <c r="A1338" s="120">
        <v>1337</v>
      </c>
      <c r="B1338" s="120" t="b">
        <f t="shared" ca="1" si="20"/>
        <v>0</v>
      </c>
      <c r="C1338" s="121">
        <v>45875</v>
      </c>
      <c r="D1338" s="137">
        <v>0.52166666666666661</v>
      </c>
      <c r="E1338" s="94">
        <v>2025</v>
      </c>
      <c r="F1338" s="91">
        <v>1209</v>
      </c>
      <c r="G1338" s="143" t="s">
        <v>34</v>
      </c>
      <c r="H1338" s="139" t="s">
        <v>35</v>
      </c>
      <c r="I1338" s="115"/>
      <c r="J1338" s="94" t="s">
        <v>35</v>
      </c>
      <c r="K1338" s="94">
        <v>119.92700000000001</v>
      </c>
      <c r="L1338" s="122" t="str">
        <f>VLOOKUP(K1338,Liste!$L$2:$O$34,4,1)</f>
        <v>GSMR_21/22</v>
      </c>
      <c r="M1338" s="94" t="s">
        <v>36</v>
      </c>
      <c r="N1338" s="124" t="s">
        <v>37</v>
      </c>
      <c r="O1338" s="117" t="s">
        <v>2849</v>
      </c>
      <c r="P1338" s="117" t="s">
        <v>2556</v>
      </c>
      <c r="Q1338" s="118" t="s">
        <v>39</v>
      </c>
      <c r="R1338" s="184" t="s">
        <v>1032</v>
      </c>
      <c r="S1338" s="124" t="s">
        <v>2850</v>
      </c>
      <c r="T1338" s="124" t="s">
        <v>69</v>
      </c>
      <c r="U1338" s="124" t="s">
        <v>2764</v>
      </c>
      <c r="V1338" s="124" t="s">
        <v>51</v>
      </c>
      <c r="W1338" s="124" t="s">
        <v>51</v>
      </c>
      <c r="X1338" s="124" t="s">
        <v>52</v>
      </c>
      <c r="Y1338" s="124" t="s">
        <v>2851</v>
      </c>
      <c r="Z1338" s="91"/>
      <c r="AA1338" s="124" t="s">
        <v>802</v>
      </c>
      <c r="AB1338" s="91"/>
      <c r="AC1338" s="91"/>
      <c r="AD1338" s="91"/>
      <c r="AE1338" s="91"/>
      <c r="AF1338" s="91"/>
      <c r="AG1338" s="91"/>
      <c r="AH1338" s="91"/>
    </row>
    <row r="1339" spans="1:34" ht="45">
      <c r="A1339" s="120">
        <v>1338</v>
      </c>
      <c r="B1339" s="120" t="b">
        <f t="shared" ca="1" si="20"/>
        <v>0</v>
      </c>
      <c r="C1339" s="121">
        <v>45876</v>
      </c>
      <c r="D1339" s="137">
        <v>0.48258101851851853</v>
      </c>
      <c r="E1339" s="94">
        <v>2021</v>
      </c>
      <c r="F1339" s="91">
        <v>1202</v>
      </c>
      <c r="G1339" s="143" t="s">
        <v>34</v>
      </c>
      <c r="H1339" s="139" t="s">
        <v>35</v>
      </c>
      <c r="I1339" s="115"/>
      <c r="J1339" s="94" t="s">
        <v>35</v>
      </c>
      <c r="K1339" s="94">
        <v>137.09200000000001</v>
      </c>
      <c r="L1339" s="122" t="str">
        <f>VLOOKUP(K1339,Liste!$L$2:$O$34,4,1)</f>
        <v>GSMR_24/25</v>
      </c>
      <c r="M1339" s="94" t="s">
        <v>36</v>
      </c>
      <c r="N1339" s="124" t="s">
        <v>58</v>
      </c>
      <c r="O1339" s="117" t="s">
        <v>2852</v>
      </c>
      <c r="P1339" s="117" t="s">
        <v>2556</v>
      </c>
      <c r="Q1339" s="151" t="s">
        <v>2853</v>
      </c>
      <c r="R1339" s="184" t="s">
        <v>2854</v>
      </c>
      <c r="S1339" s="124" t="s">
        <v>2855</v>
      </c>
      <c r="T1339" s="124" t="s">
        <v>41</v>
      </c>
      <c r="U1339" s="124" t="s">
        <v>2856</v>
      </c>
      <c r="V1339" s="124" t="s">
        <v>51</v>
      </c>
      <c r="W1339" s="124" t="s">
        <v>51</v>
      </c>
      <c r="X1339" s="124" t="s">
        <v>52</v>
      </c>
      <c r="Y1339" s="124" t="s">
        <v>2851</v>
      </c>
      <c r="Z1339" s="91"/>
      <c r="AA1339" s="124" t="s">
        <v>802</v>
      </c>
      <c r="AB1339" s="91"/>
      <c r="AC1339" s="91"/>
      <c r="AD1339" s="91"/>
      <c r="AE1339" s="91"/>
      <c r="AF1339" s="91"/>
      <c r="AG1339" s="91"/>
      <c r="AH1339" s="91"/>
    </row>
    <row r="1340" spans="1:34" ht="45">
      <c r="A1340" s="120">
        <v>1339</v>
      </c>
      <c r="B1340" s="120" t="b">
        <f t="shared" ca="1" si="20"/>
        <v>0</v>
      </c>
      <c r="C1340" s="121">
        <v>45877</v>
      </c>
      <c r="D1340" s="137">
        <v>0.35848379629629629</v>
      </c>
      <c r="E1340" s="94">
        <v>2009</v>
      </c>
      <c r="F1340" s="91">
        <v>1202</v>
      </c>
      <c r="G1340" s="143" t="s">
        <v>34</v>
      </c>
      <c r="H1340" s="139" t="s">
        <v>35</v>
      </c>
      <c r="I1340" s="115"/>
      <c r="J1340" s="94" t="s">
        <v>35</v>
      </c>
      <c r="K1340" s="94">
        <v>137.09200000000001</v>
      </c>
      <c r="L1340" s="122" t="str">
        <f>VLOOKUP(K1340,Liste!$L$2:$O$34,4,1)</f>
        <v>GSMR_24/25</v>
      </c>
      <c r="M1340" s="94" t="s">
        <v>36</v>
      </c>
      <c r="N1340" s="124" t="s">
        <v>58</v>
      </c>
      <c r="O1340" s="117" t="s">
        <v>2852</v>
      </c>
      <c r="P1340" s="117"/>
      <c r="Q1340" s="151" t="s">
        <v>2853</v>
      </c>
      <c r="R1340" s="184" t="s">
        <v>2854</v>
      </c>
      <c r="S1340" s="124" t="s">
        <v>2855</v>
      </c>
      <c r="T1340" s="124" t="s">
        <v>41</v>
      </c>
      <c r="U1340" s="124" t="s">
        <v>2857</v>
      </c>
      <c r="V1340" s="124" t="s">
        <v>51</v>
      </c>
      <c r="W1340" s="124" t="s">
        <v>51</v>
      </c>
      <c r="X1340" s="124" t="s">
        <v>52</v>
      </c>
      <c r="Y1340" s="124" t="s">
        <v>2851</v>
      </c>
      <c r="Z1340" s="91"/>
      <c r="AA1340" s="124" t="s">
        <v>802</v>
      </c>
      <c r="AB1340" s="91"/>
      <c r="AC1340" s="91"/>
      <c r="AD1340" s="91"/>
      <c r="AE1340" s="91"/>
      <c r="AF1340" s="91"/>
      <c r="AG1340" s="91"/>
      <c r="AH1340" s="91"/>
    </row>
    <row r="1341" spans="1:34" ht="60">
      <c r="A1341" s="120">
        <v>1340</v>
      </c>
      <c r="B1341" s="120" t="b">
        <f t="shared" ca="1" si="20"/>
        <v>0</v>
      </c>
      <c r="C1341" s="121">
        <v>45877</v>
      </c>
      <c r="D1341" s="137">
        <v>0.71174768518518516</v>
      </c>
      <c r="E1341" s="94">
        <v>2045</v>
      </c>
      <c r="F1341" s="91">
        <v>1209</v>
      </c>
      <c r="G1341" s="143" t="s">
        <v>34</v>
      </c>
      <c r="H1341" s="139" t="s">
        <v>35</v>
      </c>
      <c r="I1341" s="115"/>
      <c r="J1341" s="94" t="s">
        <v>35</v>
      </c>
      <c r="K1341" s="161">
        <v>6.13</v>
      </c>
      <c r="L1341" s="122" t="str">
        <f>VLOOKUP(K1341,Liste!$L$2:$O$34,4,1)</f>
        <v>GSMR_02/03</v>
      </c>
      <c r="M1341" s="179" t="s">
        <v>36</v>
      </c>
      <c r="N1341" s="124" t="s">
        <v>58</v>
      </c>
      <c r="O1341" s="117" t="s">
        <v>2858</v>
      </c>
      <c r="P1341" s="117"/>
      <c r="Q1341" s="118" t="s">
        <v>39</v>
      </c>
      <c r="R1341" s="184" t="s">
        <v>1032</v>
      </c>
      <c r="S1341" s="124" t="s">
        <v>2859</v>
      </c>
      <c r="T1341" s="124" t="s">
        <v>56</v>
      </c>
      <c r="U1341" s="124" t="s">
        <v>2846</v>
      </c>
      <c r="V1341" s="124" t="s">
        <v>51</v>
      </c>
      <c r="W1341" s="124" t="s">
        <v>51</v>
      </c>
      <c r="X1341" s="124" t="s">
        <v>52</v>
      </c>
      <c r="Y1341" s="124" t="s">
        <v>2860</v>
      </c>
      <c r="Z1341" s="91"/>
      <c r="AA1341" s="124" t="s">
        <v>810</v>
      </c>
      <c r="AB1341" s="91"/>
      <c r="AC1341" s="91"/>
      <c r="AD1341" s="91"/>
      <c r="AE1341" s="91"/>
      <c r="AF1341" s="91"/>
      <c r="AG1341" s="91"/>
      <c r="AH1341" s="91"/>
    </row>
    <row r="1342" spans="1:34" ht="60">
      <c r="A1342" s="120">
        <v>1341</v>
      </c>
      <c r="B1342" s="120" t="b">
        <f t="shared" ca="1" si="20"/>
        <v>0</v>
      </c>
      <c r="C1342" s="121">
        <v>45877</v>
      </c>
      <c r="D1342" s="137">
        <v>0.8541319444444444</v>
      </c>
      <c r="E1342" s="94">
        <v>2057</v>
      </c>
      <c r="F1342" s="91">
        <v>1202</v>
      </c>
      <c r="G1342" s="143" t="s">
        <v>34</v>
      </c>
      <c r="H1342" s="94" t="s">
        <v>35</v>
      </c>
      <c r="I1342" s="161">
        <v>6.13</v>
      </c>
      <c r="J1342" s="94" t="s">
        <v>35</v>
      </c>
      <c r="K1342" s="94">
        <v>109.495</v>
      </c>
      <c r="L1342" s="122" t="str">
        <f>VLOOKUP(K1342,Liste!$L$2:$O$34,4,1)</f>
        <v>GSMR_19/20</v>
      </c>
      <c r="M1342" s="94" t="s">
        <v>36</v>
      </c>
      <c r="N1342" s="124" t="s">
        <v>37</v>
      </c>
      <c r="O1342" s="117" t="s">
        <v>2861</v>
      </c>
      <c r="P1342" s="117"/>
      <c r="Q1342" s="118" t="s">
        <v>47</v>
      </c>
      <c r="R1342" s="184" t="s">
        <v>2583</v>
      </c>
      <c r="S1342" s="124" t="s">
        <v>2862</v>
      </c>
      <c r="T1342" s="124" t="s">
        <v>56</v>
      </c>
      <c r="U1342" s="124" t="s">
        <v>2795</v>
      </c>
      <c r="V1342" s="124" t="s">
        <v>51</v>
      </c>
      <c r="W1342" s="124" t="s">
        <v>51</v>
      </c>
      <c r="X1342" s="124" t="s">
        <v>52</v>
      </c>
      <c r="Y1342" s="124" t="s">
        <v>946</v>
      </c>
      <c r="Z1342" s="91"/>
      <c r="AA1342" s="124" t="s">
        <v>772</v>
      </c>
      <c r="AB1342" s="91"/>
      <c r="AC1342" s="91"/>
      <c r="AD1342" s="91"/>
      <c r="AE1342" s="91"/>
      <c r="AF1342" s="91"/>
      <c r="AG1342" s="91"/>
      <c r="AH1342" s="91"/>
    </row>
    <row r="1343" spans="1:34" ht="60">
      <c r="A1343" s="120">
        <v>1342</v>
      </c>
      <c r="B1343" s="120" t="b">
        <f t="shared" ca="1" si="20"/>
        <v>0</v>
      </c>
      <c r="C1343" s="121">
        <v>45877</v>
      </c>
      <c r="D1343" s="137">
        <v>0.85502314814814817</v>
      </c>
      <c r="E1343" s="94">
        <v>1054</v>
      </c>
      <c r="F1343" s="91">
        <v>1207</v>
      </c>
      <c r="G1343" s="143" t="s">
        <v>71</v>
      </c>
      <c r="H1343" s="94" t="s">
        <v>35</v>
      </c>
      <c r="I1343" s="94">
        <v>109.495</v>
      </c>
      <c r="J1343" s="94" t="s">
        <v>72</v>
      </c>
      <c r="K1343" s="94">
        <v>177.85</v>
      </c>
      <c r="L1343" s="122" t="str">
        <f>VLOOKUP(K1343,Liste!$L$2:$O$34,4,1)</f>
        <v>GSMR_30/31</v>
      </c>
      <c r="M1343" s="94" t="s">
        <v>36</v>
      </c>
      <c r="N1343" s="124" t="s">
        <v>37</v>
      </c>
      <c r="O1343" s="117" t="s">
        <v>2863</v>
      </c>
      <c r="P1343" s="117"/>
      <c r="Q1343" s="118" t="s">
        <v>47</v>
      </c>
      <c r="R1343" s="184" t="s">
        <v>2583</v>
      </c>
      <c r="S1343" s="124" t="s">
        <v>2864</v>
      </c>
      <c r="T1343" s="124" t="s">
        <v>116</v>
      </c>
      <c r="U1343" s="124" t="s">
        <v>2865</v>
      </c>
      <c r="V1343" s="124" t="s">
        <v>51</v>
      </c>
      <c r="W1343" s="124" t="s">
        <v>51</v>
      </c>
      <c r="X1343" s="124" t="s">
        <v>52</v>
      </c>
      <c r="Y1343" s="124" t="s">
        <v>946</v>
      </c>
      <c r="Z1343" s="91"/>
      <c r="AA1343" s="124" t="s">
        <v>772</v>
      </c>
      <c r="AB1343" s="91"/>
      <c r="AC1343" s="91"/>
      <c r="AD1343" s="91"/>
      <c r="AE1343" s="91"/>
      <c r="AF1343" s="91"/>
      <c r="AG1343" s="91"/>
      <c r="AH1343" s="91"/>
    </row>
    <row r="1344" spans="1:34" ht="60">
      <c r="A1344" s="120">
        <v>1343</v>
      </c>
      <c r="B1344" s="120" t="b">
        <f t="shared" ca="1" si="20"/>
        <v>0</v>
      </c>
      <c r="C1344" s="121">
        <v>45878</v>
      </c>
      <c r="D1344" s="137">
        <v>0.44371527777777775</v>
      </c>
      <c r="E1344" s="94">
        <v>1013</v>
      </c>
      <c r="F1344" s="91">
        <v>1211</v>
      </c>
      <c r="G1344" s="143" t="s">
        <v>71</v>
      </c>
      <c r="H1344" s="94" t="s">
        <v>35</v>
      </c>
      <c r="I1344" s="94">
        <v>110.495</v>
      </c>
      <c r="J1344" s="94" t="s">
        <v>72</v>
      </c>
      <c r="K1344" s="94">
        <v>177.85</v>
      </c>
      <c r="L1344" s="122" t="str">
        <f>VLOOKUP(K1344,Liste!$L$2:$O$34,4,1)</f>
        <v>GSMR_30/31</v>
      </c>
      <c r="M1344" s="94" t="s">
        <v>36</v>
      </c>
      <c r="N1344" s="124" t="s">
        <v>37</v>
      </c>
      <c r="O1344" s="117" t="s">
        <v>2866</v>
      </c>
      <c r="P1344" s="117"/>
      <c r="Q1344" s="151" t="s">
        <v>2837</v>
      </c>
      <c r="R1344" s="184" t="s">
        <v>2838</v>
      </c>
      <c r="S1344" s="124" t="s">
        <v>2867</v>
      </c>
      <c r="T1344" s="124" t="s">
        <v>101</v>
      </c>
      <c r="U1344" s="124" t="s">
        <v>2789</v>
      </c>
      <c r="V1344" s="124" t="s">
        <v>43</v>
      </c>
      <c r="W1344" s="124" t="s">
        <v>51</v>
      </c>
      <c r="X1344" s="124" t="s">
        <v>52</v>
      </c>
      <c r="Y1344" s="124" t="s">
        <v>946</v>
      </c>
      <c r="Z1344" s="91"/>
      <c r="AA1344" s="124" t="s">
        <v>802</v>
      </c>
      <c r="AB1344" s="91"/>
      <c r="AC1344" s="91"/>
      <c r="AD1344" s="91"/>
      <c r="AE1344" s="91"/>
      <c r="AF1344" s="91"/>
      <c r="AG1344" s="91"/>
      <c r="AH1344" s="91"/>
    </row>
    <row r="1345" spans="1:34" ht="60">
      <c r="A1345" s="120">
        <v>1344</v>
      </c>
      <c r="B1345" s="120" t="b">
        <f t="shared" ca="1" si="20"/>
        <v>0</v>
      </c>
      <c r="C1345" s="121">
        <v>45878</v>
      </c>
      <c r="D1345" s="137">
        <v>0.69094907407407402</v>
      </c>
      <c r="E1345" s="94">
        <v>2041</v>
      </c>
      <c r="F1345" s="91">
        <v>1209</v>
      </c>
      <c r="G1345" s="143" t="s">
        <v>34</v>
      </c>
      <c r="H1345" s="94"/>
      <c r="I1345" s="139"/>
      <c r="J1345" s="94" t="s">
        <v>35</v>
      </c>
      <c r="K1345" s="94">
        <v>145.6</v>
      </c>
      <c r="L1345" s="122" t="str">
        <f>VLOOKUP(K1345,Liste!$L$2:$O$34,4,1)</f>
        <v>GSMR_25/26</v>
      </c>
      <c r="M1345" s="94" t="s">
        <v>36</v>
      </c>
      <c r="N1345" s="124" t="s">
        <v>37</v>
      </c>
      <c r="O1345" s="117" t="s">
        <v>2868</v>
      </c>
      <c r="P1345" s="117"/>
      <c r="Q1345" s="151" t="s">
        <v>47</v>
      </c>
      <c r="R1345" s="184" t="s">
        <v>2869</v>
      </c>
      <c r="S1345" s="124" t="s">
        <v>2870</v>
      </c>
      <c r="T1345" s="124" t="s">
        <v>209</v>
      </c>
      <c r="U1345" s="124" t="s">
        <v>2754</v>
      </c>
      <c r="V1345" s="124" t="s">
        <v>51</v>
      </c>
      <c r="W1345" s="124" t="s">
        <v>51</v>
      </c>
      <c r="X1345" s="124" t="s">
        <v>52</v>
      </c>
      <c r="Y1345" s="124" t="s">
        <v>946</v>
      </c>
      <c r="Z1345" s="91"/>
      <c r="AA1345" s="124" t="s">
        <v>778</v>
      </c>
      <c r="AB1345" s="91"/>
      <c r="AC1345" s="91"/>
      <c r="AD1345" s="91"/>
      <c r="AE1345" s="91"/>
      <c r="AF1345" s="91"/>
      <c r="AG1345" s="91"/>
      <c r="AH1345" s="91"/>
    </row>
    <row r="1346" spans="1:34" ht="60">
      <c r="A1346" s="120">
        <v>1345</v>
      </c>
      <c r="B1346" s="120" t="b">
        <f t="shared" ref="B1346:B1393" ca="1" si="21">AND(C1346&gt;=TODAY()-7, C1346&lt;=TODAY()-1)</f>
        <v>0</v>
      </c>
      <c r="C1346" s="121">
        <v>45878</v>
      </c>
      <c r="D1346" s="137">
        <v>0.72387731481481477</v>
      </c>
      <c r="E1346" s="94">
        <v>2045</v>
      </c>
      <c r="F1346" s="91">
        <v>1206</v>
      </c>
      <c r="G1346" s="143" t="s">
        <v>34</v>
      </c>
      <c r="H1346" s="94"/>
      <c r="I1346" s="115"/>
      <c r="J1346" s="94" t="s">
        <v>35</v>
      </c>
      <c r="K1346" s="94">
        <v>73.585999999999999</v>
      </c>
      <c r="L1346" s="122" t="str">
        <f>VLOOKUP(K1346,Liste!$L$2:$O$34,4,1)</f>
        <v>GSMR_13/14</v>
      </c>
      <c r="M1346" s="94" t="s">
        <v>36</v>
      </c>
      <c r="N1346" s="124" t="s">
        <v>37</v>
      </c>
      <c r="O1346" s="117" t="s">
        <v>2871</v>
      </c>
      <c r="P1346" s="117"/>
      <c r="Q1346" s="151" t="s">
        <v>47</v>
      </c>
      <c r="R1346" s="184" t="s">
        <v>2869</v>
      </c>
      <c r="S1346" s="124" t="s">
        <v>2872</v>
      </c>
      <c r="T1346" s="124" t="s">
        <v>56</v>
      </c>
      <c r="U1346" s="124" t="s">
        <v>2840</v>
      </c>
      <c r="V1346" s="124" t="s">
        <v>51</v>
      </c>
      <c r="W1346" s="124" t="s">
        <v>51</v>
      </c>
      <c r="X1346" s="124" t="s">
        <v>52</v>
      </c>
      <c r="Y1346" s="124" t="s">
        <v>946</v>
      </c>
      <c r="Z1346" s="91"/>
      <c r="AA1346" s="124" t="s">
        <v>778</v>
      </c>
      <c r="AB1346" s="91"/>
      <c r="AC1346" s="91"/>
      <c r="AD1346" s="91"/>
      <c r="AE1346" s="91"/>
      <c r="AF1346" s="91"/>
      <c r="AG1346" s="91"/>
      <c r="AH1346" s="91"/>
    </row>
    <row r="1347" spans="1:34" ht="60">
      <c r="A1347" s="120">
        <v>1346</v>
      </c>
      <c r="B1347" s="120" t="b">
        <f t="shared" ca="1" si="21"/>
        <v>0</v>
      </c>
      <c r="C1347" s="121">
        <v>45879</v>
      </c>
      <c r="D1347" s="137">
        <v>0.65866898148148145</v>
      </c>
      <c r="E1347" s="94">
        <v>1033</v>
      </c>
      <c r="F1347" s="91">
        <v>1203</v>
      </c>
      <c r="G1347" s="143" t="s">
        <v>71</v>
      </c>
      <c r="H1347" s="94"/>
      <c r="I1347" s="115"/>
      <c r="J1347" s="94" t="s">
        <v>72</v>
      </c>
      <c r="K1347" s="94">
        <v>94.953999999999994</v>
      </c>
      <c r="L1347" s="122" t="str">
        <f>VLOOKUP(K1347,Liste!$L$2:$O$34,4,1)</f>
        <v>GSMR_17/18</v>
      </c>
      <c r="M1347" s="94" t="s">
        <v>36</v>
      </c>
      <c r="N1347" s="124" t="s">
        <v>37</v>
      </c>
      <c r="O1347" s="117" t="s">
        <v>2873</v>
      </c>
      <c r="P1347" s="117" t="s">
        <v>2793</v>
      </c>
      <c r="Q1347" s="151" t="s">
        <v>47</v>
      </c>
      <c r="R1347" s="184" t="s">
        <v>2583</v>
      </c>
      <c r="S1347" s="124" t="s">
        <v>1960</v>
      </c>
      <c r="T1347" s="124" t="s">
        <v>93</v>
      </c>
      <c r="U1347" s="124" t="s">
        <v>2843</v>
      </c>
      <c r="V1347" s="124" t="s">
        <v>51</v>
      </c>
      <c r="W1347" s="124" t="s">
        <v>51</v>
      </c>
      <c r="X1347" s="124" t="s">
        <v>52</v>
      </c>
      <c r="Y1347" s="124" t="s">
        <v>946</v>
      </c>
      <c r="Z1347" s="91"/>
      <c r="AA1347" s="124" t="s">
        <v>754</v>
      </c>
      <c r="AB1347" s="91"/>
      <c r="AC1347" s="91"/>
      <c r="AD1347" s="91"/>
      <c r="AE1347" s="91"/>
      <c r="AF1347" s="91"/>
      <c r="AG1347" s="91"/>
      <c r="AH1347" s="91"/>
    </row>
    <row r="1348" spans="1:34" ht="60">
      <c r="A1348" s="120">
        <v>1347</v>
      </c>
      <c r="B1348" s="120" t="b">
        <f t="shared" ca="1" si="21"/>
        <v>0</v>
      </c>
      <c r="C1348" s="121">
        <v>45879</v>
      </c>
      <c r="D1348" s="137">
        <v>0.77043981481481483</v>
      </c>
      <c r="E1348" s="94">
        <v>2049</v>
      </c>
      <c r="F1348" s="91">
        <v>1202</v>
      </c>
      <c r="G1348" s="143" t="s">
        <v>34</v>
      </c>
      <c r="H1348" s="94"/>
      <c r="I1348" s="115"/>
      <c r="J1348" s="94" t="s">
        <v>35</v>
      </c>
      <c r="K1348" s="94">
        <v>108.206</v>
      </c>
      <c r="L1348" s="122" t="str">
        <f>VLOOKUP(K1348,Liste!$L$2:$O$34,4,1)</f>
        <v>GSMR_19/20</v>
      </c>
      <c r="M1348" s="94" t="s">
        <v>36</v>
      </c>
      <c r="N1348" s="124" t="s">
        <v>37</v>
      </c>
      <c r="O1348" s="117" t="s">
        <v>2874</v>
      </c>
      <c r="P1348" s="117"/>
      <c r="Q1348" s="151" t="s">
        <v>47</v>
      </c>
      <c r="R1348" s="184" t="s">
        <v>2583</v>
      </c>
      <c r="S1348" s="124" t="s">
        <v>2875</v>
      </c>
      <c r="T1348" s="124" t="s">
        <v>56</v>
      </c>
      <c r="U1348" s="124" t="s">
        <v>2152</v>
      </c>
      <c r="V1348" s="124" t="s">
        <v>51</v>
      </c>
      <c r="W1348" s="124" t="s">
        <v>51</v>
      </c>
      <c r="X1348" s="124" t="s">
        <v>52</v>
      </c>
      <c r="Y1348" s="124" t="s">
        <v>946</v>
      </c>
      <c r="Z1348" s="91"/>
      <c r="AA1348" s="124" t="s">
        <v>754</v>
      </c>
      <c r="AB1348" s="91"/>
      <c r="AC1348" s="91"/>
      <c r="AD1348" s="91"/>
      <c r="AE1348" s="91"/>
      <c r="AF1348" s="91"/>
      <c r="AG1348" s="91"/>
      <c r="AH1348" s="91"/>
    </row>
    <row r="1349" spans="1:34" ht="60">
      <c r="A1349" s="120">
        <v>1348</v>
      </c>
      <c r="B1349" s="120" t="b">
        <f t="shared" ca="1" si="21"/>
        <v>0</v>
      </c>
      <c r="C1349" s="121">
        <v>45879</v>
      </c>
      <c r="D1349" s="137">
        <v>0.87883101851851853</v>
      </c>
      <c r="E1349" s="94">
        <v>1053</v>
      </c>
      <c r="F1349" s="91">
        <v>1201</v>
      </c>
      <c r="G1349" s="143" t="s">
        <v>34</v>
      </c>
      <c r="H1349" s="94"/>
      <c r="I1349" s="94"/>
      <c r="J1349" s="94" t="s">
        <v>35</v>
      </c>
      <c r="K1349" s="160">
        <v>7.3209999999999997</v>
      </c>
      <c r="L1349" s="122" t="str">
        <f>VLOOKUP(K1349,Liste!$L$2:$O$34,4,1)</f>
        <v>GSMR_02/03</v>
      </c>
      <c r="M1349" s="94" t="s">
        <v>36</v>
      </c>
      <c r="N1349" s="124" t="s">
        <v>37</v>
      </c>
      <c r="O1349" s="117" t="s">
        <v>2876</v>
      </c>
      <c r="P1349" s="117"/>
      <c r="Q1349" s="151" t="s">
        <v>39</v>
      </c>
      <c r="R1349" s="184" t="s">
        <v>1032</v>
      </c>
      <c r="S1349" s="124" t="s">
        <v>1936</v>
      </c>
      <c r="T1349" s="124" t="s">
        <v>41</v>
      </c>
      <c r="U1349" s="124" t="s">
        <v>2846</v>
      </c>
      <c r="V1349" s="124" t="s">
        <v>51</v>
      </c>
      <c r="W1349" s="124" t="s">
        <v>51</v>
      </c>
      <c r="X1349" s="124" t="s">
        <v>52</v>
      </c>
      <c r="Y1349" s="124" t="s">
        <v>2107</v>
      </c>
      <c r="Z1349" s="91"/>
      <c r="AA1349" s="124" t="s">
        <v>772</v>
      </c>
      <c r="AB1349" s="91"/>
      <c r="AC1349" s="91"/>
      <c r="AD1349" s="91"/>
      <c r="AE1349" s="91"/>
      <c r="AF1349" s="91"/>
      <c r="AG1349" s="91"/>
      <c r="AH1349" s="91"/>
    </row>
    <row r="1350" spans="1:34" ht="60">
      <c r="A1350" s="120">
        <v>1349</v>
      </c>
      <c r="B1350" s="120" t="b">
        <f t="shared" ca="1" si="21"/>
        <v>0</v>
      </c>
      <c r="C1350" s="121">
        <v>45880</v>
      </c>
      <c r="D1350" s="137">
        <v>0.27185185185185184</v>
      </c>
      <c r="E1350" s="94">
        <v>2001</v>
      </c>
      <c r="F1350" s="91">
        <v>1203</v>
      </c>
      <c r="G1350" s="143" t="s">
        <v>34</v>
      </c>
      <c r="H1350" s="94"/>
      <c r="I1350" s="164"/>
      <c r="J1350" s="94" t="s">
        <v>35</v>
      </c>
      <c r="K1350" s="94">
        <v>126.51</v>
      </c>
      <c r="L1350" s="122" t="str">
        <f>VLOOKUP(K1350,Liste!$L$2:$O$34,4,1)</f>
        <v>GSMR_22/23</v>
      </c>
      <c r="M1350" s="94" t="s">
        <v>36</v>
      </c>
      <c r="N1350" s="124" t="s">
        <v>58</v>
      </c>
      <c r="O1350" s="117" t="s">
        <v>2877</v>
      </c>
      <c r="P1350" s="117"/>
      <c r="Q1350" s="151" t="s">
        <v>47</v>
      </c>
      <c r="R1350" s="184" t="s">
        <v>2869</v>
      </c>
      <c r="S1350" s="124" t="s">
        <v>2878</v>
      </c>
      <c r="T1350" s="124" t="s">
        <v>56</v>
      </c>
      <c r="U1350" s="124" t="s">
        <v>2740</v>
      </c>
      <c r="V1350" s="124" t="s">
        <v>43</v>
      </c>
      <c r="W1350" s="124" t="s">
        <v>51</v>
      </c>
      <c r="X1350" s="124" t="s">
        <v>52</v>
      </c>
      <c r="Y1350" s="124" t="s">
        <v>2107</v>
      </c>
      <c r="Z1350" s="91"/>
      <c r="AA1350" s="124" t="s">
        <v>1118</v>
      </c>
      <c r="AB1350" s="91"/>
      <c r="AC1350" s="91"/>
      <c r="AD1350" s="91"/>
      <c r="AE1350" s="91"/>
      <c r="AF1350" s="91"/>
      <c r="AG1350" s="91"/>
      <c r="AH1350" s="91"/>
    </row>
    <row r="1351" spans="1:34" ht="60">
      <c r="A1351" s="120">
        <v>1350</v>
      </c>
      <c r="B1351" s="120" t="b">
        <f t="shared" ca="1" si="21"/>
        <v>0</v>
      </c>
      <c r="C1351" s="121">
        <v>45880</v>
      </c>
      <c r="D1351" s="137">
        <v>0.80123842592592598</v>
      </c>
      <c r="E1351" s="94">
        <v>2053</v>
      </c>
      <c r="F1351" s="91">
        <v>1209</v>
      </c>
      <c r="G1351" s="143" t="s">
        <v>34</v>
      </c>
      <c r="H1351" s="94"/>
      <c r="I1351" s="164"/>
      <c r="J1351" s="94" t="s">
        <v>35</v>
      </c>
      <c r="K1351" s="94">
        <v>39.215000000000003</v>
      </c>
      <c r="L1351" s="122" t="str">
        <f>VLOOKUP(K1351,Liste!$L$2:$O$34,4,1)</f>
        <v>GSMR_07/08</v>
      </c>
      <c r="M1351" s="94" t="s">
        <v>36</v>
      </c>
      <c r="N1351" s="124" t="s">
        <v>37</v>
      </c>
      <c r="O1351" s="117" t="s">
        <v>2879</v>
      </c>
      <c r="P1351" s="117"/>
      <c r="Q1351" s="151" t="s">
        <v>47</v>
      </c>
      <c r="R1351" s="184" t="s">
        <v>2869</v>
      </c>
      <c r="S1351" s="124" t="s">
        <v>2880</v>
      </c>
      <c r="T1351" s="124" t="s">
        <v>56</v>
      </c>
      <c r="U1351" s="124" t="s">
        <v>2789</v>
      </c>
      <c r="V1351" s="124" t="s">
        <v>43</v>
      </c>
      <c r="W1351" s="124" t="s">
        <v>51</v>
      </c>
      <c r="X1351" s="124" t="s">
        <v>52</v>
      </c>
      <c r="Y1351" s="124" t="s">
        <v>946</v>
      </c>
      <c r="Z1351" s="91"/>
      <c r="AA1351" s="124" t="s">
        <v>754</v>
      </c>
      <c r="AB1351" s="91"/>
      <c r="AC1351" s="91"/>
      <c r="AD1351" s="91"/>
      <c r="AE1351" s="91"/>
      <c r="AF1351" s="91"/>
      <c r="AG1351" s="91"/>
      <c r="AH1351" s="91"/>
    </row>
    <row r="1352" spans="1:34" ht="60">
      <c r="A1352" s="120">
        <v>1351</v>
      </c>
      <c r="B1352" s="120" t="b">
        <f t="shared" ca="1" si="21"/>
        <v>0</v>
      </c>
      <c r="C1352" s="121">
        <v>45880</v>
      </c>
      <c r="D1352" s="137">
        <v>0.85545138888888894</v>
      </c>
      <c r="E1352" s="94">
        <v>1053</v>
      </c>
      <c r="F1352" s="91">
        <v>1205</v>
      </c>
      <c r="G1352" s="143" t="s">
        <v>71</v>
      </c>
      <c r="H1352" s="94"/>
      <c r="I1352" s="164"/>
      <c r="J1352" s="94" t="s">
        <v>72</v>
      </c>
      <c r="K1352" s="94">
        <v>185.47</v>
      </c>
      <c r="L1352" s="122" t="str">
        <f>VLOOKUP(K1352,Liste!$L$2:$O$34,4,1)</f>
        <v>GSMR_32/33</v>
      </c>
      <c r="M1352" s="94" t="s">
        <v>36</v>
      </c>
      <c r="N1352" s="124" t="s">
        <v>37</v>
      </c>
      <c r="O1352" s="117" t="s">
        <v>2881</v>
      </c>
      <c r="P1352" s="117"/>
      <c r="Q1352" s="151" t="s">
        <v>47</v>
      </c>
      <c r="R1352" s="184" t="s">
        <v>2869</v>
      </c>
      <c r="S1352" s="124" t="s">
        <v>2882</v>
      </c>
      <c r="T1352" s="124" t="s">
        <v>116</v>
      </c>
      <c r="U1352" s="124" t="s">
        <v>2743</v>
      </c>
      <c r="V1352" s="124" t="s">
        <v>43</v>
      </c>
      <c r="W1352" s="124" t="s">
        <v>51</v>
      </c>
      <c r="X1352" s="124" t="s">
        <v>52</v>
      </c>
      <c r="Y1352" s="124" t="s">
        <v>946</v>
      </c>
      <c r="Z1352" s="91"/>
      <c r="AA1352" s="124" t="s">
        <v>772</v>
      </c>
      <c r="AB1352" s="91"/>
      <c r="AC1352" s="91"/>
      <c r="AD1352" s="91"/>
      <c r="AE1352" s="91"/>
      <c r="AF1352" s="91"/>
      <c r="AG1352" s="91"/>
      <c r="AH1352" s="91"/>
    </row>
    <row r="1353" spans="1:34" ht="60">
      <c r="A1353" s="120">
        <v>1352</v>
      </c>
      <c r="B1353" s="120" t="b">
        <f t="shared" ca="1" si="21"/>
        <v>0</v>
      </c>
      <c r="C1353" s="121">
        <v>45881</v>
      </c>
      <c r="D1353" s="137">
        <v>0.21334490740740741</v>
      </c>
      <c r="E1353" s="94">
        <v>1053</v>
      </c>
      <c r="F1353" s="91">
        <v>1204</v>
      </c>
      <c r="G1353" s="143" t="s">
        <v>34</v>
      </c>
      <c r="H1353" s="94"/>
      <c r="I1353" s="164"/>
      <c r="J1353" s="94" t="s">
        <v>35</v>
      </c>
      <c r="K1353" s="94">
        <v>78.155000000000001</v>
      </c>
      <c r="L1353" s="122" t="str">
        <f>VLOOKUP(K1353,Liste!$L$2:$O$34,4,1)</f>
        <v>GSMR_14/15</v>
      </c>
      <c r="M1353" s="94" t="s">
        <v>36</v>
      </c>
      <c r="N1353" s="124" t="s">
        <v>37</v>
      </c>
      <c r="O1353" s="117" t="s">
        <v>2883</v>
      </c>
      <c r="P1353" s="117"/>
      <c r="Q1353" s="151" t="s">
        <v>47</v>
      </c>
      <c r="R1353" s="184" t="s">
        <v>2869</v>
      </c>
      <c r="S1353" s="124" t="s">
        <v>928</v>
      </c>
      <c r="T1353" s="124" t="s">
        <v>116</v>
      </c>
      <c r="U1353" s="124" t="s">
        <v>2884</v>
      </c>
      <c r="V1353" s="124" t="s">
        <v>51</v>
      </c>
      <c r="W1353" s="124" t="s">
        <v>51</v>
      </c>
      <c r="X1353" s="124" t="s">
        <v>52</v>
      </c>
      <c r="Y1353" s="124" t="s">
        <v>2107</v>
      </c>
      <c r="Z1353" s="91"/>
      <c r="AA1353" s="124" t="s">
        <v>772</v>
      </c>
      <c r="AB1353" s="91"/>
      <c r="AC1353" s="91"/>
      <c r="AD1353" s="91"/>
      <c r="AE1353" s="91"/>
      <c r="AF1353" s="91"/>
      <c r="AG1353" s="91"/>
      <c r="AH1353" s="91"/>
    </row>
    <row r="1354" spans="1:34" ht="45">
      <c r="A1354" s="120">
        <v>1353</v>
      </c>
      <c r="B1354" s="120" t="b">
        <f t="shared" ca="1" si="21"/>
        <v>0</v>
      </c>
      <c r="C1354" s="121">
        <v>45881</v>
      </c>
      <c r="D1354" s="137">
        <v>0.70674768518518516</v>
      </c>
      <c r="E1354" s="94">
        <v>1037</v>
      </c>
      <c r="F1354" s="91">
        <v>1206</v>
      </c>
      <c r="G1354" s="143" t="s">
        <v>71</v>
      </c>
      <c r="H1354" s="94"/>
      <c r="I1354" s="164"/>
      <c r="J1354" s="94" t="s">
        <v>72</v>
      </c>
      <c r="K1354" s="94">
        <v>67.828999999999994</v>
      </c>
      <c r="L1354" s="122" t="str">
        <f>VLOOKUP(K1354,Liste!$L$2:$O$34,4,1)</f>
        <v>GSMR_12/13</v>
      </c>
      <c r="M1354" s="94" t="s">
        <v>36</v>
      </c>
      <c r="N1354" s="124" t="s">
        <v>58</v>
      </c>
      <c r="O1354" s="117" t="s">
        <v>2885</v>
      </c>
      <c r="P1354" s="117"/>
      <c r="Q1354" s="151" t="s">
        <v>39</v>
      </c>
      <c r="R1354" s="184" t="s">
        <v>2886</v>
      </c>
      <c r="S1354" s="124" t="s">
        <v>2887</v>
      </c>
      <c r="T1354" s="124" t="s">
        <v>69</v>
      </c>
      <c r="U1354" s="124" t="s">
        <v>2764</v>
      </c>
      <c r="V1354" s="124" t="s">
        <v>51</v>
      </c>
      <c r="W1354" s="124" t="s">
        <v>51</v>
      </c>
      <c r="X1354" s="124" t="s">
        <v>400</v>
      </c>
      <c r="Y1354" s="124" t="s">
        <v>946</v>
      </c>
      <c r="Z1354" s="91"/>
      <c r="AA1354" s="124" t="s">
        <v>959</v>
      </c>
      <c r="AB1354" s="91"/>
      <c r="AC1354" s="91"/>
      <c r="AD1354" s="91"/>
      <c r="AE1354" s="91"/>
      <c r="AF1354" s="91"/>
      <c r="AG1354" s="91"/>
      <c r="AH1354" s="91"/>
    </row>
    <row r="1355" spans="1:34" ht="60">
      <c r="A1355" s="120">
        <v>1354</v>
      </c>
      <c r="B1355" s="120" t="b">
        <f t="shared" ca="1" si="21"/>
        <v>0</v>
      </c>
      <c r="C1355" s="121">
        <v>45881</v>
      </c>
      <c r="D1355" s="137">
        <v>0.97488425925925926</v>
      </c>
      <c r="E1355" s="94">
        <v>1028</v>
      </c>
      <c r="F1355" s="91">
        <v>1201</v>
      </c>
      <c r="G1355" s="143" t="s">
        <v>71</v>
      </c>
      <c r="H1355" s="94"/>
      <c r="I1355" s="164"/>
      <c r="J1355" s="94" t="s">
        <v>72</v>
      </c>
      <c r="K1355" s="94">
        <v>177.85</v>
      </c>
      <c r="L1355" s="122" t="str">
        <f>VLOOKUP(K1355,Liste!$L$2:$O$34,4,1)</f>
        <v>GSMR_30/31</v>
      </c>
      <c r="M1355" s="94" t="s">
        <v>36</v>
      </c>
      <c r="N1355" s="124" t="s">
        <v>37</v>
      </c>
      <c r="O1355" s="117" t="s">
        <v>2888</v>
      </c>
      <c r="P1355" s="117"/>
      <c r="Q1355" s="151" t="s">
        <v>47</v>
      </c>
      <c r="R1355" s="184" t="s">
        <v>2583</v>
      </c>
      <c r="S1355" s="124" t="s">
        <v>2889</v>
      </c>
      <c r="T1355" s="124" t="s">
        <v>93</v>
      </c>
      <c r="U1355" s="124" t="s">
        <v>2830</v>
      </c>
      <c r="V1355" s="124" t="s">
        <v>51</v>
      </c>
      <c r="W1355" s="124" t="s">
        <v>51</v>
      </c>
      <c r="X1355" s="124" t="s">
        <v>52</v>
      </c>
      <c r="Y1355" s="124" t="s">
        <v>946</v>
      </c>
      <c r="Z1355" s="91"/>
      <c r="AA1355" s="124" t="s">
        <v>793</v>
      </c>
      <c r="AB1355" s="91"/>
      <c r="AC1355" s="91"/>
      <c r="AD1355" s="91"/>
      <c r="AE1355" s="91"/>
      <c r="AF1355" s="91"/>
      <c r="AG1355" s="91"/>
      <c r="AH1355" s="91"/>
    </row>
    <row r="1356" spans="1:34" ht="60">
      <c r="A1356" s="120">
        <v>1355</v>
      </c>
      <c r="B1356" s="120" t="b">
        <f t="shared" ca="1" si="21"/>
        <v>0</v>
      </c>
      <c r="C1356" s="121">
        <v>45882</v>
      </c>
      <c r="D1356" s="137">
        <v>0.53472222222222221</v>
      </c>
      <c r="E1356" s="94">
        <v>1021</v>
      </c>
      <c r="F1356" s="91">
        <v>1205</v>
      </c>
      <c r="G1356" s="143" t="s">
        <v>71</v>
      </c>
      <c r="H1356" s="94"/>
      <c r="I1356" s="164"/>
      <c r="J1356" s="94" t="s">
        <v>72</v>
      </c>
      <c r="K1356" s="94">
        <v>94.953999999999994</v>
      </c>
      <c r="L1356" s="122" t="str">
        <f>VLOOKUP(K1356,Liste!$L$2:$O$34,4,1)</f>
        <v>GSMR_17/18</v>
      </c>
      <c r="M1356" s="94" t="s">
        <v>36</v>
      </c>
      <c r="N1356" s="124" t="s">
        <v>37</v>
      </c>
      <c r="O1356" s="117" t="s">
        <v>2890</v>
      </c>
      <c r="P1356" s="117" t="s">
        <v>2793</v>
      </c>
      <c r="Q1356" s="151" t="s">
        <v>47</v>
      </c>
      <c r="R1356" s="184" t="s">
        <v>2583</v>
      </c>
      <c r="S1356" s="124" t="s">
        <v>2891</v>
      </c>
      <c r="T1356" s="124" t="s">
        <v>56</v>
      </c>
      <c r="U1356" s="124" t="s">
        <v>2152</v>
      </c>
      <c r="V1356" s="124" t="s">
        <v>51</v>
      </c>
      <c r="W1356" s="124" t="s">
        <v>51</v>
      </c>
      <c r="X1356" s="124" t="s">
        <v>52</v>
      </c>
      <c r="Y1356" s="124" t="s">
        <v>2107</v>
      </c>
      <c r="Z1356" s="91"/>
      <c r="AA1356" s="124" t="s">
        <v>754</v>
      </c>
      <c r="AB1356" s="91"/>
      <c r="AC1356" s="91"/>
      <c r="AD1356" s="91"/>
      <c r="AE1356" s="91"/>
      <c r="AF1356" s="91"/>
      <c r="AG1356" s="91"/>
      <c r="AH1356" s="91"/>
    </row>
    <row r="1357" spans="1:34" ht="60">
      <c r="A1357" s="120">
        <v>1356</v>
      </c>
      <c r="B1357" s="120" t="b">
        <f t="shared" ca="1" si="21"/>
        <v>0</v>
      </c>
      <c r="C1357" s="121">
        <v>45882</v>
      </c>
      <c r="D1357" s="137">
        <v>0.60380787037037043</v>
      </c>
      <c r="E1357" s="94">
        <v>2033</v>
      </c>
      <c r="F1357" s="91">
        <v>1201</v>
      </c>
      <c r="G1357" s="143" t="s">
        <v>34</v>
      </c>
      <c r="H1357" s="94"/>
      <c r="I1357" s="115"/>
      <c r="J1357" s="94" t="s">
        <v>35</v>
      </c>
      <c r="K1357" s="91">
        <v>108.206</v>
      </c>
      <c r="L1357" s="122" t="str">
        <f>VLOOKUP(K1357,Liste!$L$2:$O$34,4,1)</f>
        <v>GSMR_19/20</v>
      </c>
      <c r="M1357" s="94" t="s">
        <v>36</v>
      </c>
      <c r="N1357" s="124" t="s">
        <v>37</v>
      </c>
      <c r="O1357" s="117" t="s">
        <v>2892</v>
      </c>
      <c r="P1357" s="117"/>
      <c r="Q1357" s="118" t="s">
        <v>47</v>
      </c>
      <c r="R1357" s="184" t="s">
        <v>2583</v>
      </c>
      <c r="S1357" s="124" t="s">
        <v>2862</v>
      </c>
      <c r="T1357" s="124" t="s">
        <v>56</v>
      </c>
      <c r="U1357" s="124" t="s">
        <v>2893</v>
      </c>
      <c r="V1357" s="124" t="s">
        <v>51</v>
      </c>
      <c r="W1357" s="124" t="s">
        <v>51</v>
      </c>
      <c r="X1357" s="124" t="s">
        <v>52</v>
      </c>
      <c r="Y1357" s="124" t="s">
        <v>946</v>
      </c>
      <c r="Z1357" s="91"/>
      <c r="AA1357" s="124" t="s">
        <v>778</v>
      </c>
      <c r="AB1357" s="91"/>
      <c r="AC1357" s="91"/>
      <c r="AD1357" s="91"/>
      <c r="AE1357" s="91"/>
      <c r="AF1357" s="91"/>
      <c r="AG1357" s="91"/>
      <c r="AH1357" s="91"/>
    </row>
    <row r="1358" spans="1:34" ht="45">
      <c r="A1358" s="120">
        <v>1357</v>
      </c>
      <c r="B1358" s="120" t="b">
        <f t="shared" ca="1" si="21"/>
        <v>0</v>
      </c>
      <c r="C1358" s="121">
        <v>45882</v>
      </c>
      <c r="D1358" s="137">
        <v>0.68398148148148152</v>
      </c>
      <c r="E1358" s="94">
        <v>2041</v>
      </c>
      <c r="F1358" s="91">
        <v>1207</v>
      </c>
      <c r="G1358" s="143" t="s">
        <v>34</v>
      </c>
      <c r="H1358" s="94"/>
      <c r="I1358" s="115"/>
      <c r="J1358" s="94" t="s">
        <v>35</v>
      </c>
      <c r="K1358" s="91">
        <v>73.585999999999999</v>
      </c>
      <c r="L1358" s="122" t="str">
        <f>VLOOKUP(K1358,Liste!$L$2:$O$34,4,1)</f>
        <v>GSMR_13/14</v>
      </c>
      <c r="M1358" s="94" t="s">
        <v>36</v>
      </c>
      <c r="N1358" s="124" t="s">
        <v>37</v>
      </c>
      <c r="O1358" s="117" t="s">
        <v>2894</v>
      </c>
      <c r="P1358" s="117"/>
      <c r="Q1358" s="118" t="s">
        <v>47</v>
      </c>
      <c r="R1358" s="184" t="s">
        <v>2869</v>
      </c>
      <c r="S1358" s="124" t="s">
        <v>2080</v>
      </c>
      <c r="T1358" s="124" t="s">
        <v>56</v>
      </c>
      <c r="U1358" s="124" t="s">
        <v>2740</v>
      </c>
      <c r="V1358" s="124" t="s">
        <v>51</v>
      </c>
      <c r="W1358" s="124" t="s">
        <v>43</v>
      </c>
      <c r="X1358" s="124" t="s">
        <v>52</v>
      </c>
      <c r="Y1358" s="124" t="s">
        <v>946</v>
      </c>
      <c r="Z1358" s="91"/>
      <c r="AA1358" s="124" t="s">
        <v>778</v>
      </c>
      <c r="AB1358" s="91"/>
      <c r="AC1358" s="91"/>
      <c r="AD1358" s="91"/>
      <c r="AE1358" s="91"/>
      <c r="AF1358" s="91"/>
      <c r="AG1358" s="91"/>
      <c r="AH1358" s="91"/>
    </row>
    <row r="1359" spans="1:34" ht="60">
      <c r="A1359" s="120">
        <v>1358</v>
      </c>
      <c r="B1359" s="120" t="b">
        <f t="shared" ca="1" si="21"/>
        <v>0</v>
      </c>
      <c r="C1359" s="121">
        <v>45882</v>
      </c>
      <c r="D1359" s="137">
        <v>0.70030092592592597</v>
      </c>
      <c r="E1359" s="94">
        <v>1037</v>
      </c>
      <c r="F1359" s="94">
        <v>1203</v>
      </c>
      <c r="G1359" s="143" t="s">
        <v>71</v>
      </c>
      <c r="H1359" s="94"/>
      <c r="I1359" s="115"/>
      <c r="J1359" s="139" t="s">
        <v>72</v>
      </c>
      <c r="K1359" s="91">
        <v>96.316999999999993</v>
      </c>
      <c r="L1359" s="122" t="str">
        <f>VLOOKUP(K1359,Liste!$L$2:$O$34,4,1)</f>
        <v>GSMR_17/18</v>
      </c>
      <c r="M1359" s="94" t="s">
        <v>36</v>
      </c>
      <c r="N1359" s="124" t="s">
        <v>37</v>
      </c>
      <c r="O1359" s="117" t="s">
        <v>2895</v>
      </c>
      <c r="P1359" s="117" t="s">
        <v>2793</v>
      </c>
      <c r="Q1359" s="118" t="s">
        <v>47</v>
      </c>
      <c r="R1359" s="184" t="s">
        <v>2583</v>
      </c>
      <c r="S1359" s="124" t="s">
        <v>2896</v>
      </c>
      <c r="T1359" s="124" t="s">
        <v>56</v>
      </c>
      <c r="U1359" s="124" t="s">
        <v>2848</v>
      </c>
      <c r="V1359" s="124" t="s">
        <v>43</v>
      </c>
      <c r="W1359" s="124" t="s">
        <v>43</v>
      </c>
      <c r="X1359" s="124" t="s">
        <v>52</v>
      </c>
      <c r="Y1359" s="124" t="s">
        <v>946</v>
      </c>
      <c r="Z1359" s="91"/>
      <c r="AA1359" s="124" t="s">
        <v>778</v>
      </c>
      <c r="AB1359" s="91"/>
      <c r="AC1359" s="91"/>
      <c r="AD1359" s="91"/>
      <c r="AE1359" s="91"/>
      <c r="AF1359" s="91"/>
      <c r="AG1359" s="91"/>
      <c r="AH1359" s="91"/>
    </row>
    <row r="1360" spans="1:34" ht="60">
      <c r="A1360" s="120">
        <v>1359</v>
      </c>
      <c r="B1360" s="120" t="b">
        <f t="shared" ca="1" si="21"/>
        <v>0</v>
      </c>
      <c r="C1360" s="121">
        <v>45882</v>
      </c>
      <c r="D1360" s="137">
        <v>0.78363425925925922</v>
      </c>
      <c r="E1360" s="94">
        <v>1045</v>
      </c>
      <c r="F1360" s="94">
        <v>1205</v>
      </c>
      <c r="G1360" s="143" t="s">
        <v>71</v>
      </c>
      <c r="H1360" s="94"/>
      <c r="I1360" s="115"/>
      <c r="J1360" s="139" t="s">
        <v>72</v>
      </c>
      <c r="K1360" s="91">
        <v>94.953999999999994</v>
      </c>
      <c r="L1360" s="122" t="str">
        <f>VLOOKUP(K1360,Liste!$L$2:$O$34,4,1)</f>
        <v>GSMR_17/18</v>
      </c>
      <c r="M1360" s="94" t="s">
        <v>36</v>
      </c>
      <c r="N1360" s="124" t="s">
        <v>37</v>
      </c>
      <c r="O1360" s="117" t="s">
        <v>2897</v>
      </c>
      <c r="P1360" s="117" t="s">
        <v>2793</v>
      </c>
      <c r="Q1360" s="118" t="s">
        <v>47</v>
      </c>
      <c r="R1360" s="184" t="s">
        <v>2583</v>
      </c>
      <c r="S1360" s="124" t="s">
        <v>1385</v>
      </c>
      <c r="T1360" s="124" t="s">
        <v>56</v>
      </c>
      <c r="U1360" s="124" t="s">
        <v>2857</v>
      </c>
      <c r="V1360" s="124" t="s">
        <v>51</v>
      </c>
      <c r="W1360" s="124" t="s">
        <v>43</v>
      </c>
      <c r="X1360" s="124" t="s">
        <v>52</v>
      </c>
      <c r="Y1360" s="124" t="s">
        <v>946</v>
      </c>
      <c r="Z1360" s="91"/>
      <c r="AA1360" s="124" t="s">
        <v>778</v>
      </c>
      <c r="AB1360" s="91"/>
      <c r="AC1360" s="91"/>
      <c r="AD1360" s="91"/>
      <c r="AE1360" s="91"/>
      <c r="AF1360" s="91"/>
      <c r="AG1360" s="91"/>
      <c r="AH1360" s="91"/>
    </row>
    <row r="1361" spans="1:34" ht="60">
      <c r="A1361" s="120">
        <v>1360</v>
      </c>
      <c r="B1361" s="120" t="b">
        <f t="shared" ca="1" si="21"/>
        <v>0</v>
      </c>
      <c r="C1361" s="121">
        <v>45882</v>
      </c>
      <c r="D1361" s="137">
        <v>0.87649305555555557</v>
      </c>
      <c r="E1361" s="94">
        <v>1053</v>
      </c>
      <c r="F1361" s="94">
        <v>1207</v>
      </c>
      <c r="G1361" s="143" t="s">
        <v>71</v>
      </c>
      <c r="H1361" s="94"/>
      <c r="I1361" s="115"/>
      <c r="J1361" s="139" t="s">
        <v>72</v>
      </c>
      <c r="K1361" s="91">
        <v>25.85</v>
      </c>
      <c r="L1361" s="122" t="str">
        <f>VLOOKUP(K1361,Liste!$L$2:$O$34,4,1)</f>
        <v>GSMR_05/06</v>
      </c>
      <c r="M1361" s="94" t="s">
        <v>36</v>
      </c>
      <c r="N1361" s="124" t="s">
        <v>37</v>
      </c>
      <c r="O1361" s="117" t="s">
        <v>2898</v>
      </c>
      <c r="P1361" s="117"/>
      <c r="Q1361" s="118" t="s">
        <v>47</v>
      </c>
      <c r="R1361" s="184" t="s">
        <v>2869</v>
      </c>
      <c r="S1361" s="124" t="s">
        <v>2899</v>
      </c>
      <c r="T1361" s="124" t="s">
        <v>56</v>
      </c>
      <c r="U1361" s="124" t="s">
        <v>2857</v>
      </c>
      <c r="V1361" s="124" t="s">
        <v>51</v>
      </c>
      <c r="W1361" s="124" t="s">
        <v>51</v>
      </c>
      <c r="X1361" s="124" t="s">
        <v>52</v>
      </c>
      <c r="Y1361" s="124" t="s">
        <v>946</v>
      </c>
      <c r="Z1361" s="91"/>
      <c r="AA1361" s="124" t="s">
        <v>793</v>
      </c>
      <c r="AB1361" s="91"/>
      <c r="AC1361" s="91"/>
      <c r="AD1361" s="91"/>
      <c r="AE1361" s="91"/>
      <c r="AF1361" s="91"/>
      <c r="AG1361" s="91"/>
      <c r="AH1361" s="91"/>
    </row>
    <row r="1362" spans="1:34" ht="60">
      <c r="A1362" s="120">
        <v>1361</v>
      </c>
      <c r="B1362" s="120" t="b">
        <f t="shared" ca="1" si="21"/>
        <v>0</v>
      </c>
      <c r="C1362" s="121">
        <v>45882</v>
      </c>
      <c r="D1362" s="137">
        <v>0.90704861111111112</v>
      </c>
      <c r="E1362" s="94">
        <v>1045</v>
      </c>
      <c r="F1362" s="94">
        <v>1208</v>
      </c>
      <c r="G1362" s="143" t="s">
        <v>71</v>
      </c>
      <c r="H1362" s="94"/>
      <c r="I1362" s="115"/>
      <c r="J1362" s="139" t="s">
        <v>72</v>
      </c>
      <c r="K1362" s="91">
        <v>94.953999999999994</v>
      </c>
      <c r="L1362" s="122" t="str">
        <f>VLOOKUP(K1362,Liste!$L$2:$O$34,4,1)</f>
        <v>GSMR_17/18</v>
      </c>
      <c r="M1362" s="94" t="s">
        <v>36</v>
      </c>
      <c r="N1362" s="124" t="s">
        <v>37</v>
      </c>
      <c r="O1362" s="117" t="s">
        <v>2897</v>
      </c>
      <c r="P1362" s="117" t="s">
        <v>2793</v>
      </c>
      <c r="Q1362" s="118" t="s">
        <v>47</v>
      </c>
      <c r="R1362" s="184" t="s">
        <v>2583</v>
      </c>
      <c r="S1362" s="124" t="s">
        <v>1385</v>
      </c>
      <c r="T1362" s="124" t="s">
        <v>56</v>
      </c>
      <c r="U1362" s="124" t="s">
        <v>2813</v>
      </c>
      <c r="V1362" s="124" t="s">
        <v>51</v>
      </c>
      <c r="W1362" s="124" t="s">
        <v>51</v>
      </c>
      <c r="X1362" s="124" t="s">
        <v>52</v>
      </c>
      <c r="Y1362" s="124" t="s">
        <v>946</v>
      </c>
      <c r="Z1362" s="91"/>
      <c r="AA1362" s="124" t="s">
        <v>793</v>
      </c>
      <c r="AB1362" s="91"/>
      <c r="AC1362" s="91"/>
      <c r="AD1362" s="91"/>
      <c r="AE1362" s="91"/>
      <c r="AF1362" s="91"/>
      <c r="AG1362" s="91"/>
      <c r="AH1362" s="91"/>
    </row>
    <row r="1363" spans="1:34" ht="60">
      <c r="A1363" s="120">
        <v>1362</v>
      </c>
      <c r="B1363" s="120" t="b">
        <f t="shared" ca="1" si="21"/>
        <v>0</v>
      </c>
      <c r="C1363" s="121">
        <v>45883</v>
      </c>
      <c r="D1363" s="137">
        <v>0.81093749999999998</v>
      </c>
      <c r="E1363" s="94">
        <v>2053</v>
      </c>
      <c r="F1363" s="94">
        <v>1205</v>
      </c>
      <c r="G1363" s="143" t="s">
        <v>34</v>
      </c>
      <c r="H1363" s="94"/>
      <c r="I1363" s="115"/>
      <c r="J1363" s="139" t="s">
        <v>35</v>
      </c>
      <c r="K1363" s="91">
        <v>108.206</v>
      </c>
      <c r="L1363" s="122" t="str">
        <f>VLOOKUP(K1363,Liste!$L$2:$O$34,4,1)</f>
        <v>GSMR_19/20</v>
      </c>
      <c r="M1363" s="94" t="s">
        <v>36</v>
      </c>
      <c r="N1363" s="124" t="s">
        <v>37</v>
      </c>
      <c r="O1363" s="117" t="s">
        <v>2900</v>
      </c>
      <c r="P1363" s="117"/>
      <c r="Q1363" s="118" t="s">
        <v>47</v>
      </c>
      <c r="R1363" s="184" t="s">
        <v>2583</v>
      </c>
      <c r="S1363" s="124" t="s">
        <v>2901</v>
      </c>
      <c r="T1363" s="124" t="s">
        <v>56</v>
      </c>
      <c r="U1363" s="124" t="s">
        <v>2902</v>
      </c>
      <c r="V1363" s="124" t="s">
        <v>51</v>
      </c>
      <c r="W1363" s="124" t="s">
        <v>51</v>
      </c>
      <c r="X1363" s="124" t="s">
        <v>52</v>
      </c>
      <c r="Y1363" s="124" t="s">
        <v>2107</v>
      </c>
      <c r="Z1363" s="91"/>
      <c r="AA1363" s="124" t="s">
        <v>778</v>
      </c>
      <c r="AB1363" s="91"/>
      <c r="AC1363" s="91"/>
      <c r="AD1363" s="91"/>
      <c r="AE1363" s="91"/>
      <c r="AF1363" s="91"/>
      <c r="AG1363" s="91"/>
      <c r="AH1363" s="91"/>
    </row>
    <row r="1364" spans="1:34" ht="60">
      <c r="A1364" s="120">
        <v>1363</v>
      </c>
      <c r="B1364" s="120" t="b">
        <f t="shared" ca="1" si="21"/>
        <v>0</v>
      </c>
      <c r="C1364" s="121">
        <v>45883</v>
      </c>
      <c r="D1364" s="137">
        <v>0.85234953703703709</v>
      </c>
      <c r="E1364" s="94">
        <v>2053</v>
      </c>
      <c r="F1364" s="94">
        <v>1202</v>
      </c>
      <c r="G1364" s="143" t="s">
        <v>34</v>
      </c>
      <c r="H1364" s="94"/>
      <c r="I1364" s="115"/>
      <c r="J1364" s="139" t="s">
        <v>35</v>
      </c>
      <c r="K1364" s="91">
        <v>108.206</v>
      </c>
      <c r="L1364" s="122" t="str">
        <f>VLOOKUP(K1364,Liste!$L$2:$O$34,4,1)</f>
        <v>GSMR_19/20</v>
      </c>
      <c r="M1364" s="94" t="s">
        <v>36</v>
      </c>
      <c r="N1364" s="124" t="s">
        <v>37</v>
      </c>
      <c r="O1364" s="117" t="s">
        <v>2900</v>
      </c>
      <c r="P1364" s="117"/>
      <c r="Q1364" s="118" t="s">
        <v>47</v>
      </c>
      <c r="R1364" s="184" t="s">
        <v>2583</v>
      </c>
      <c r="S1364" s="124" t="s">
        <v>2901</v>
      </c>
      <c r="T1364" s="124" t="s">
        <v>56</v>
      </c>
      <c r="U1364" s="124" t="s">
        <v>2857</v>
      </c>
      <c r="V1364" s="124" t="s">
        <v>51</v>
      </c>
      <c r="W1364" s="124" t="s">
        <v>51</v>
      </c>
      <c r="X1364" s="124" t="s">
        <v>52</v>
      </c>
      <c r="Y1364" s="124" t="s">
        <v>2107</v>
      </c>
      <c r="Z1364" s="91"/>
      <c r="AA1364" s="124" t="s">
        <v>793</v>
      </c>
      <c r="AB1364" s="91"/>
      <c r="AC1364" s="91"/>
      <c r="AD1364" s="91"/>
      <c r="AE1364" s="91"/>
      <c r="AF1364" s="91"/>
      <c r="AG1364" s="91"/>
      <c r="AH1364" s="91"/>
    </row>
    <row r="1365" spans="1:34" ht="60">
      <c r="A1365" s="120">
        <v>1364</v>
      </c>
      <c r="B1365" s="120" t="b">
        <f t="shared" ca="1" si="21"/>
        <v>0</v>
      </c>
      <c r="C1365" s="121">
        <v>45883</v>
      </c>
      <c r="D1365" s="137">
        <v>0.93562500000000004</v>
      </c>
      <c r="E1365" s="94">
        <v>2053</v>
      </c>
      <c r="F1365" s="94">
        <v>1208</v>
      </c>
      <c r="G1365" s="143" t="s">
        <v>34</v>
      </c>
      <c r="H1365" s="94"/>
      <c r="I1365" s="115"/>
      <c r="J1365" s="139" t="s">
        <v>35</v>
      </c>
      <c r="K1365" s="91">
        <v>108.206</v>
      </c>
      <c r="L1365" s="122" t="str">
        <f>VLOOKUP(K1365,Liste!$L$2:$O$34,4,1)</f>
        <v>GSMR_19/20</v>
      </c>
      <c r="M1365" s="94" t="s">
        <v>36</v>
      </c>
      <c r="N1365" s="124" t="s">
        <v>37</v>
      </c>
      <c r="O1365" s="117" t="s">
        <v>2900</v>
      </c>
      <c r="P1365" s="117"/>
      <c r="Q1365" s="118" t="s">
        <v>47</v>
      </c>
      <c r="R1365" s="184" t="s">
        <v>2583</v>
      </c>
      <c r="S1365" s="124" t="s">
        <v>2901</v>
      </c>
      <c r="T1365" s="124" t="s">
        <v>56</v>
      </c>
      <c r="U1365" s="124" t="s">
        <v>2824</v>
      </c>
      <c r="V1365" s="124" t="s">
        <v>51</v>
      </c>
      <c r="W1365" s="124" t="s">
        <v>51</v>
      </c>
      <c r="X1365" s="124" t="s">
        <v>52</v>
      </c>
      <c r="Y1365" s="124" t="s">
        <v>2107</v>
      </c>
      <c r="Z1365" s="91"/>
      <c r="AA1365" s="124" t="s">
        <v>793</v>
      </c>
      <c r="AB1365" s="91"/>
      <c r="AC1365" s="91"/>
      <c r="AD1365" s="91"/>
      <c r="AE1365" s="91"/>
      <c r="AF1365" s="91"/>
      <c r="AG1365" s="91"/>
      <c r="AH1365" s="91"/>
    </row>
    <row r="1366" spans="1:34" ht="105">
      <c r="A1366" s="120">
        <v>1365</v>
      </c>
      <c r="B1366" s="120" t="b">
        <f t="shared" ca="1" si="21"/>
        <v>0</v>
      </c>
      <c r="C1366" s="121">
        <v>45883</v>
      </c>
      <c r="D1366" s="137">
        <v>0.97684027777777782</v>
      </c>
      <c r="E1366" s="94">
        <v>10091</v>
      </c>
      <c r="F1366" s="94">
        <v>1205</v>
      </c>
      <c r="G1366" s="143" t="s">
        <v>71</v>
      </c>
      <c r="H1366" s="94"/>
      <c r="I1366" s="115"/>
      <c r="J1366" s="139" t="s">
        <v>72</v>
      </c>
      <c r="K1366" s="91" t="s">
        <v>2903</v>
      </c>
      <c r="L1366" s="122" t="s">
        <v>2650</v>
      </c>
      <c r="M1366" s="94" t="s">
        <v>2904</v>
      </c>
      <c r="N1366" s="124" t="s">
        <v>58</v>
      </c>
      <c r="O1366" s="117" t="s">
        <v>2905</v>
      </c>
      <c r="P1366" s="117"/>
      <c r="Q1366" s="151" t="s">
        <v>47</v>
      </c>
      <c r="R1366" s="184" t="s">
        <v>2869</v>
      </c>
      <c r="S1366" s="124" t="s">
        <v>2906</v>
      </c>
      <c r="T1366" s="124" t="s">
        <v>2907</v>
      </c>
      <c r="U1366" s="124" t="s">
        <v>2908</v>
      </c>
      <c r="V1366" s="124" t="s">
        <v>2909</v>
      </c>
      <c r="W1366" s="124" t="s">
        <v>2909</v>
      </c>
      <c r="X1366" s="124" t="s">
        <v>52</v>
      </c>
      <c r="Y1366" s="124" t="s">
        <v>2909</v>
      </c>
      <c r="Z1366" s="91"/>
      <c r="AA1366" s="124" t="s">
        <v>1183</v>
      </c>
      <c r="AB1366" s="91"/>
      <c r="AC1366" s="91"/>
      <c r="AD1366" s="91"/>
      <c r="AE1366" s="91"/>
      <c r="AF1366" s="91"/>
      <c r="AG1366" s="91"/>
      <c r="AH1366" s="91"/>
    </row>
    <row r="1367" spans="1:34" ht="60">
      <c r="A1367" s="120">
        <v>1366</v>
      </c>
      <c r="B1367" s="120" t="b">
        <f t="shared" ca="1" si="21"/>
        <v>0</v>
      </c>
      <c r="C1367" s="121">
        <v>45884</v>
      </c>
      <c r="D1367" s="137">
        <v>0.70564814814814814</v>
      </c>
      <c r="E1367" s="94">
        <v>1038</v>
      </c>
      <c r="F1367" s="94">
        <v>1207</v>
      </c>
      <c r="G1367" s="143" t="s">
        <v>71</v>
      </c>
      <c r="H1367" s="94"/>
      <c r="I1367" s="115"/>
      <c r="J1367" s="139" t="s">
        <v>72</v>
      </c>
      <c r="K1367" s="162">
        <v>110.783</v>
      </c>
      <c r="L1367" s="122" t="str">
        <f>VLOOKUP(K1367,Liste!$L$2:$O$34,4,1)</f>
        <v>GSMR_19/20</v>
      </c>
      <c r="M1367" s="94" t="s">
        <v>36</v>
      </c>
      <c r="N1367" s="124" t="s">
        <v>37</v>
      </c>
      <c r="O1367" s="117" t="s">
        <v>2910</v>
      </c>
      <c r="P1367" s="117"/>
      <c r="Q1367" s="118" t="s">
        <v>47</v>
      </c>
      <c r="R1367" s="184" t="s">
        <v>2583</v>
      </c>
      <c r="S1367" s="124" t="s">
        <v>2911</v>
      </c>
      <c r="T1367" s="124" t="s">
        <v>93</v>
      </c>
      <c r="U1367" s="124" t="s">
        <v>2865</v>
      </c>
      <c r="V1367" s="124" t="s">
        <v>51</v>
      </c>
      <c r="W1367" s="124" t="s">
        <v>51</v>
      </c>
      <c r="X1367" s="124" t="s">
        <v>52</v>
      </c>
      <c r="Y1367" s="124" t="s">
        <v>2107</v>
      </c>
      <c r="Z1367" s="91"/>
      <c r="AA1367" s="124" t="s">
        <v>772</v>
      </c>
      <c r="AB1367" s="91"/>
      <c r="AC1367" s="91"/>
      <c r="AD1367" s="91"/>
      <c r="AE1367" s="91"/>
      <c r="AF1367" s="91"/>
      <c r="AG1367" s="91"/>
      <c r="AH1367" s="91"/>
    </row>
    <row r="1368" spans="1:34" ht="60">
      <c r="A1368" s="120">
        <v>1367</v>
      </c>
      <c r="B1368" s="120" t="b">
        <f t="shared" ca="1" si="21"/>
        <v>0</v>
      </c>
      <c r="C1368" s="121">
        <v>45884</v>
      </c>
      <c r="D1368" s="137">
        <v>0.81615740740740739</v>
      </c>
      <c r="E1368" s="94">
        <v>2053</v>
      </c>
      <c r="F1368" s="91">
        <v>1206</v>
      </c>
      <c r="G1368" s="143" t="s">
        <v>34</v>
      </c>
      <c r="H1368" s="94"/>
      <c r="I1368" s="164"/>
      <c r="J1368" s="139" t="s">
        <v>35</v>
      </c>
      <c r="K1368" s="162">
        <v>144.32599999999999</v>
      </c>
      <c r="L1368" s="122" t="str">
        <f>VLOOKUP(K1368,Liste!$L$2:$O$34,4,1)</f>
        <v>GSMR_25/26</v>
      </c>
      <c r="M1368" s="94" t="s">
        <v>36</v>
      </c>
      <c r="N1368" s="124" t="s">
        <v>58</v>
      </c>
      <c r="O1368" s="117" t="s">
        <v>2912</v>
      </c>
      <c r="P1368" s="117"/>
      <c r="Q1368" s="151" t="s">
        <v>39</v>
      </c>
      <c r="R1368" s="184" t="s">
        <v>2886</v>
      </c>
      <c r="S1368" s="124" t="s">
        <v>2913</v>
      </c>
      <c r="T1368" s="124" t="s">
        <v>78</v>
      </c>
      <c r="U1368" s="124" t="s">
        <v>2857</v>
      </c>
      <c r="V1368" s="124" t="s">
        <v>51</v>
      </c>
      <c r="W1368" s="124" t="s">
        <v>51</v>
      </c>
      <c r="X1368" s="124" t="s">
        <v>52</v>
      </c>
      <c r="Y1368" s="124" t="s">
        <v>946</v>
      </c>
      <c r="Z1368" s="91"/>
      <c r="AA1368" s="124" t="s">
        <v>1118</v>
      </c>
      <c r="AB1368" s="91"/>
      <c r="AC1368" s="91"/>
      <c r="AD1368" s="91"/>
      <c r="AE1368" s="91"/>
      <c r="AF1368" s="91"/>
      <c r="AG1368" s="91"/>
      <c r="AH1368" s="91"/>
    </row>
    <row r="1369" spans="1:34" ht="60">
      <c r="A1369" s="120">
        <v>1368</v>
      </c>
      <c r="B1369" s="120" t="b">
        <f t="shared" ca="1" si="21"/>
        <v>0</v>
      </c>
      <c r="C1369" s="121">
        <v>45884</v>
      </c>
      <c r="D1369" s="137">
        <v>0.85782407407407413</v>
      </c>
      <c r="E1369" s="94">
        <v>1038</v>
      </c>
      <c r="F1369" s="94">
        <v>1208</v>
      </c>
      <c r="G1369" s="143" t="s">
        <v>34</v>
      </c>
      <c r="H1369" s="94"/>
      <c r="I1369" s="115"/>
      <c r="J1369" s="139" t="s">
        <v>72</v>
      </c>
      <c r="K1369" s="162">
        <v>144.32599999999999</v>
      </c>
      <c r="L1369" s="122" t="str">
        <f>VLOOKUP(K1369,Liste!$L$2:$O$34,4,1)</f>
        <v>GSMR_25/26</v>
      </c>
      <c r="M1369" s="94" t="s">
        <v>36</v>
      </c>
      <c r="N1369" s="124" t="s">
        <v>37</v>
      </c>
      <c r="O1369" s="117" t="s">
        <v>2914</v>
      </c>
      <c r="P1369" s="117"/>
      <c r="Q1369" s="118" t="s">
        <v>105</v>
      </c>
      <c r="R1369" s="184" t="s">
        <v>1072</v>
      </c>
      <c r="S1369" s="124" t="s">
        <v>2913</v>
      </c>
      <c r="T1369" s="124" t="s">
        <v>78</v>
      </c>
      <c r="U1369" s="124" t="s">
        <v>2746</v>
      </c>
      <c r="V1369" s="124" t="s">
        <v>51</v>
      </c>
      <c r="W1369" s="124" t="s">
        <v>51</v>
      </c>
      <c r="X1369" s="124" t="s">
        <v>52</v>
      </c>
      <c r="Y1369" s="124" t="s">
        <v>2107</v>
      </c>
      <c r="Z1369" s="91"/>
      <c r="AA1369" s="124" t="s">
        <v>793</v>
      </c>
      <c r="AB1369" s="91"/>
      <c r="AC1369" s="91"/>
      <c r="AD1369" s="91"/>
      <c r="AE1369" s="91"/>
      <c r="AF1369" s="91"/>
      <c r="AG1369" s="91"/>
      <c r="AH1369" s="91"/>
    </row>
    <row r="1370" spans="1:34" ht="60">
      <c r="A1370" s="120">
        <v>1369</v>
      </c>
      <c r="B1370" s="120" t="b">
        <f t="shared" ca="1" si="21"/>
        <v>0</v>
      </c>
      <c r="C1370" s="121">
        <v>45885</v>
      </c>
      <c r="D1370" s="137">
        <v>0.40666666666666668</v>
      </c>
      <c r="E1370" s="94">
        <v>1009</v>
      </c>
      <c r="F1370" s="94">
        <v>1205</v>
      </c>
      <c r="G1370" s="143" t="s">
        <v>71</v>
      </c>
      <c r="H1370" s="94"/>
      <c r="I1370" s="115"/>
      <c r="J1370" s="139" t="s">
        <v>72</v>
      </c>
      <c r="K1370" s="162">
        <v>94.953999999999994</v>
      </c>
      <c r="L1370" s="122" t="str">
        <f>VLOOKUP(K1370,Liste!$L$2:$O$34,4,1)</f>
        <v>GSMR_17/18</v>
      </c>
      <c r="M1370" s="94" t="s">
        <v>36</v>
      </c>
      <c r="N1370" s="124" t="s">
        <v>37</v>
      </c>
      <c r="O1370" s="117" t="s">
        <v>2915</v>
      </c>
      <c r="P1370" s="117" t="s">
        <v>2793</v>
      </c>
      <c r="Q1370" s="118" t="s">
        <v>54</v>
      </c>
      <c r="R1370" s="184" t="s">
        <v>2916</v>
      </c>
      <c r="S1370" s="124" t="s">
        <v>1385</v>
      </c>
      <c r="T1370" s="124" t="s">
        <v>56</v>
      </c>
      <c r="U1370" s="124" t="s">
        <v>2152</v>
      </c>
      <c r="V1370" s="124" t="s">
        <v>51</v>
      </c>
      <c r="W1370" s="124" t="s">
        <v>51</v>
      </c>
      <c r="X1370" s="124" t="s">
        <v>52</v>
      </c>
      <c r="Y1370" s="124" t="s">
        <v>946</v>
      </c>
      <c r="Z1370" s="91"/>
      <c r="AA1370" s="124" t="s">
        <v>1295</v>
      </c>
      <c r="AB1370" s="91"/>
      <c r="AC1370" s="91"/>
      <c r="AD1370" s="91"/>
      <c r="AE1370" s="91"/>
      <c r="AF1370" s="91"/>
      <c r="AG1370" s="91"/>
      <c r="AH1370" s="91"/>
    </row>
    <row r="1371" spans="1:34" ht="60">
      <c r="A1371" s="120">
        <v>1370</v>
      </c>
      <c r="B1371" s="120" t="b">
        <f t="shared" ca="1" si="21"/>
        <v>0</v>
      </c>
      <c r="C1371" s="121">
        <v>45885</v>
      </c>
      <c r="D1371" s="137">
        <v>0.68752314814814819</v>
      </c>
      <c r="E1371" s="94">
        <v>1038</v>
      </c>
      <c r="F1371" s="94">
        <v>1211</v>
      </c>
      <c r="G1371" s="143" t="s">
        <v>71</v>
      </c>
      <c r="H1371" s="94"/>
      <c r="I1371" s="115"/>
      <c r="J1371" s="139" t="s">
        <v>72</v>
      </c>
      <c r="K1371" s="162">
        <v>177.85</v>
      </c>
      <c r="L1371" s="122" t="str">
        <f>VLOOKUP(K1371,Liste!$L$2:$O$34,4,1)</f>
        <v>GSMR_30/31</v>
      </c>
      <c r="M1371" s="94" t="s">
        <v>36</v>
      </c>
      <c r="N1371" s="124" t="s">
        <v>37</v>
      </c>
      <c r="O1371" s="117" t="s">
        <v>2917</v>
      </c>
      <c r="P1371" s="117"/>
      <c r="Q1371" s="118" t="s">
        <v>47</v>
      </c>
      <c r="R1371" s="184" t="s">
        <v>2869</v>
      </c>
      <c r="S1371" s="124" t="s">
        <v>2918</v>
      </c>
      <c r="T1371" s="124" t="s">
        <v>56</v>
      </c>
      <c r="U1371" s="124" t="s">
        <v>2824</v>
      </c>
      <c r="V1371" s="124" t="s">
        <v>51</v>
      </c>
      <c r="W1371" s="124" t="s">
        <v>51</v>
      </c>
      <c r="X1371" s="124" t="s">
        <v>52</v>
      </c>
      <c r="Y1371" s="124" t="s">
        <v>946</v>
      </c>
      <c r="Z1371" s="91"/>
      <c r="AA1371" s="124" t="s">
        <v>772</v>
      </c>
      <c r="AB1371" s="91"/>
      <c r="AC1371" s="91"/>
      <c r="AD1371" s="91"/>
      <c r="AE1371" s="91"/>
      <c r="AF1371" s="91"/>
      <c r="AG1371" s="91"/>
      <c r="AH1371" s="91"/>
    </row>
    <row r="1372" spans="1:34" ht="60">
      <c r="A1372" s="120">
        <v>1371</v>
      </c>
      <c r="B1372" s="120" t="b">
        <f t="shared" ca="1" si="21"/>
        <v>0</v>
      </c>
      <c r="C1372" s="121">
        <v>45885</v>
      </c>
      <c r="D1372" s="137">
        <v>0.7006944444444444</v>
      </c>
      <c r="E1372" s="94">
        <v>1038</v>
      </c>
      <c r="F1372" s="94">
        <v>1211</v>
      </c>
      <c r="G1372" s="143" t="s">
        <v>71</v>
      </c>
      <c r="H1372" s="94"/>
      <c r="I1372" s="115"/>
      <c r="J1372" s="139" t="s">
        <v>72</v>
      </c>
      <c r="K1372" s="162">
        <v>93.757999999999996</v>
      </c>
      <c r="L1372" s="122" t="str">
        <f>VLOOKUP(K1372,Liste!$L$2:$O$34,4,1)</f>
        <v>GSMR_17/18</v>
      </c>
      <c r="M1372" s="94" t="s">
        <v>36</v>
      </c>
      <c r="N1372" s="124" t="s">
        <v>37</v>
      </c>
      <c r="O1372" s="117" t="s">
        <v>2919</v>
      </c>
      <c r="P1372" s="117" t="s">
        <v>2793</v>
      </c>
      <c r="Q1372" s="118" t="s">
        <v>54</v>
      </c>
      <c r="R1372" s="184" t="s">
        <v>2916</v>
      </c>
      <c r="S1372" s="124" t="s">
        <v>2920</v>
      </c>
      <c r="T1372" s="124" t="s">
        <v>56</v>
      </c>
      <c r="U1372" s="124" t="s">
        <v>2789</v>
      </c>
      <c r="V1372" s="124" t="s">
        <v>51</v>
      </c>
      <c r="W1372" s="124" t="s">
        <v>51</v>
      </c>
      <c r="X1372" s="124" t="s">
        <v>52</v>
      </c>
      <c r="Y1372" s="124" t="s">
        <v>2107</v>
      </c>
      <c r="Z1372" s="91"/>
      <c r="AA1372" s="124" t="s">
        <v>772</v>
      </c>
      <c r="AB1372" s="91"/>
      <c r="AC1372" s="91"/>
      <c r="AD1372" s="91"/>
      <c r="AE1372" s="91"/>
      <c r="AF1372" s="91"/>
      <c r="AG1372" s="91"/>
      <c r="AH1372" s="91"/>
    </row>
    <row r="1373" spans="1:34" ht="60">
      <c r="A1373" s="120">
        <v>1372</v>
      </c>
      <c r="B1373" s="120" t="b">
        <f t="shared" ca="1" si="21"/>
        <v>0</v>
      </c>
      <c r="C1373" s="121">
        <v>45886</v>
      </c>
      <c r="D1373" s="137">
        <v>0.5978472222222222</v>
      </c>
      <c r="E1373" s="94">
        <v>2034</v>
      </c>
      <c r="F1373" s="94">
        <v>1203</v>
      </c>
      <c r="G1373" s="143" t="s">
        <v>34</v>
      </c>
      <c r="H1373" s="94"/>
      <c r="I1373" s="115"/>
      <c r="J1373" s="139" t="s">
        <v>35</v>
      </c>
      <c r="K1373" s="162">
        <v>73.585999999999999</v>
      </c>
      <c r="L1373" s="122" t="str">
        <f>VLOOKUP(K1373,Liste!$L$2:$O$34,4,1)</f>
        <v>GSMR_13/14</v>
      </c>
      <c r="M1373" s="94" t="s">
        <v>36</v>
      </c>
      <c r="N1373" s="124" t="s">
        <v>37</v>
      </c>
      <c r="O1373" s="117" t="s">
        <v>2921</v>
      </c>
      <c r="P1373" s="117"/>
      <c r="Q1373" s="118" t="s">
        <v>47</v>
      </c>
      <c r="R1373" s="184" t="s">
        <v>2869</v>
      </c>
      <c r="S1373" s="124" t="s">
        <v>2922</v>
      </c>
      <c r="T1373" s="124" t="s">
        <v>93</v>
      </c>
      <c r="U1373" s="124" t="s">
        <v>2865</v>
      </c>
      <c r="V1373" s="124" t="s">
        <v>51</v>
      </c>
      <c r="W1373" s="124" t="s">
        <v>51</v>
      </c>
      <c r="X1373" s="124" t="s">
        <v>52</v>
      </c>
      <c r="Y1373" s="124" t="s">
        <v>946</v>
      </c>
      <c r="Z1373" s="91"/>
      <c r="AA1373" s="124" t="s">
        <v>772</v>
      </c>
      <c r="AB1373" s="91"/>
      <c r="AC1373" s="91"/>
      <c r="AD1373" s="91"/>
      <c r="AE1373" s="91"/>
      <c r="AF1373" s="91"/>
      <c r="AG1373" s="91"/>
      <c r="AH1373" s="91"/>
    </row>
    <row r="1374" spans="1:34" ht="60">
      <c r="A1374" s="120">
        <v>1373</v>
      </c>
      <c r="B1374" s="120" t="b">
        <f t="shared" ca="1" si="21"/>
        <v>0</v>
      </c>
      <c r="C1374" s="121">
        <v>45886</v>
      </c>
      <c r="D1374" s="137">
        <v>0.94490740740740742</v>
      </c>
      <c r="E1374" s="94">
        <v>1061</v>
      </c>
      <c r="F1374" s="94">
        <v>1209</v>
      </c>
      <c r="G1374" s="143" t="s">
        <v>71</v>
      </c>
      <c r="H1374" s="94"/>
      <c r="I1374" s="115"/>
      <c r="J1374" s="139" t="s">
        <v>72</v>
      </c>
      <c r="K1374" s="118">
        <v>138.30199999999999</v>
      </c>
      <c r="L1374" s="122" t="str">
        <f>VLOOKUP(K1374,Liste!$L$2:$O$34,4,1)</f>
        <v>GSMR_24/25</v>
      </c>
      <c r="M1374" s="94" t="s">
        <v>36</v>
      </c>
      <c r="N1374" s="124" t="s">
        <v>37</v>
      </c>
      <c r="O1374" s="117" t="s">
        <v>2923</v>
      </c>
      <c r="P1374" s="117"/>
      <c r="Q1374" s="118" t="s">
        <v>47</v>
      </c>
      <c r="R1374" s="184" t="s">
        <v>2583</v>
      </c>
      <c r="S1374" s="124" t="s">
        <v>2924</v>
      </c>
      <c r="T1374" s="124" t="s">
        <v>116</v>
      </c>
      <c r="U1374" s="124" t="s">
        <v>2813</v>
      </c>
      <c r="V1374" s="124" t="s">
        <v>43</v>
      </c>
      <c r="W1374" s="124" t="s">
        <v>43</v>
      </c>
      <c r="X1374" s="124" t="s">
        <v>52</v>
      </c>
      <c r="Y1374" s="124" t="s">
        <v>946</v>
      </c>
      <c r="Z1374" s="91"/>
      <c r="AA1374" s="124" t="s">
        <v>778</v>
      </c>
      <c r="AB1374" s="91"/>
      <c r="AC1374" s="91"/>
      <c r="AD1374" s="91"/>
      <c r="AE1374" s="91"/>
      <c r="AF1374" s="91"/>
      <c r="AG1374" s="91"/>
      <c r="AH1374" s="91"/>
    </row>
    <row r="1375" spans="1:34" ht="60">
      <c r="A1375" s="120">
        <v>1374</v>
      </c>
      <c r="B1375" s="120" t="b">
        <f t="shared" ca="1" si="21"/>
        <v>0</v>
      </c>
      <c r="C1375" s="121">
        <v>45886</v>
      </c>
      <c r="D1375" s="137">
        <v>0.94490740740740742</v>
      </c>
      <c r="E1375" s="94">
        <v>1061</v>
      </c>
      <c r="F1375" s="94">
        <v>1209</v>
      </c>
      <c r="G1375" s="143" t="s">
        <v>71</v>
      </c>
      <c r="H1375" s="94"/>
      <c r="I1375" s="115"/>
      <c r="J1375" s="139" t="s">
        <v>72</v>
      </c>
      <c r="K1375" s="118">
        <v>164.30199999999999</v>
      </c>
      <c r="L1375" s="122" t="str">
        <f>VLOOKUP(K1375,Liste!$L$2:$O$34,4,1)</f>
        <v>GSMR_28/29</v>
      </c>
      <c r="M1375" s="94" t="s">
        <v>36</v>
      </c>
      <c r="N1375" s="124" t="s">
        <v>37</v>
      </c>
      <c r="O1375" s="117" t="s">
        <v>2923</v>
      </c>
      <c r="P1375" s="117"/>
      <c r="Q1375" s="118" t="s">
        <v>47</v>
      </c>
      <c r="R1375" s="184" t="s">
        <v>2583</v>
      </c>
      <c r="S1375" s="124" t="s">
        <v>2924</v>
      </c>
      <c r="T1375" s="124" t="s">
        <v>116</v>
      </c>
      <c r="U1375" s="124" t="s">
        <v>2813</v>
      </c>
      <c r="V1375" s="124" t="s">
        <v>43</v>
      </c>
      <c r="W1375" s="124" t="s">
        <v>43</v>
      </c>
      <c r="X1375" s="124" t="s">
        <v>52</v>
      </c>
      <c r="Y1375" s="124" t="s">
        <v>946</v>
      </c>
      <c r="Z1375" s="91"/>
      <c r="AA1375" s="124" t="s">
        <v>778</v>
      </c>
      <c r="AB1375" s="91"/>
      <c r="AC1375" s="91"/>
      <c r="AD1375" s="91"/>
      <c r="AE1375" s="91"/>
      <c r="AF1375" s="91"/>
      <c r="AG1375" s="91"/>
      <c r="AH1375" s="91"/>
    </row>
    <row r="1376" spans="1:34" ht="60">
      <c r="A1376" s="120">
        <v>1375</v>
      </c>
      <c r="B1376" s="120" t="b">
        <f t="shared" ca="1" si="21"/>
        <v>0</v>
      </c>
      <c r="C1376" s="121">
        <v>45887</v>
      </c>
      <c r="D1376" s="137">
        <v>0.3112037037037037</v>
      </c>
      <c r="E1376" s="94">
        <v>2005</v>
      </c>
      <c r="F1376" s="94">
        <v>1202</v>
      </c>
      <c r="G1376" s="143" t="s">
        <v>34</v>
      </c>
      <c r="H1376" s="94"/>
      <c r="I1376" s="115"/>
      <c r="J1376" s="139" t="s">
        <v>35</v>
      </c>
      <c r="K1376" s="118">
        <v>108.206</v>
      </c>
      <c r="L1376" s="122" t="str">
        <f>VLOOKUP(K1376,Liste!$L$2:$O$34,4,1)</f>
        <v>GSMR_19/20</v>
      </c>
      <c r="M1376" s="94" t="s">
        <v>36</v>
      </c>
      <c r="N1376" s="124" t="s">
        <v>37</v>
      </c>
      <c r="O1376" s="117" t="s">
        <v>2925</v>
      </c>
      <c r="P1376" s="117"/>
      <c r="Q1376" s="118" t="s">
        <v>47</v>
      </c>
      <c r="R1376" s="184" t="s">
        <v>2583</v>
      </c>
      <c r="S1376" s="124" t="s">
        <v>2901</v>
      </c>
      <c r="T1376" s="124" t="s">
        <v>56</v>
      </c>
      <c r="U1376" s="124" t="s">
        <v>2782</v>
      </c>
      <c r="V1376" s="124" t="s">
        <v>51</v>
      </c>
      <c r="W1376" s="124" t="s">
        <v>51</v>
      </c>
      <c r="X1376" s="124" t="s">
        <v>52</v>
      </c>
      <c r="Y1376" s="124" t="s">
        <v>2107</v>
      </c>
      <c r="Z1376" s="91"/>
      <c r="AA1376" s="124" t="s">
        <v>1295</v>
      </c>
      <c r="AB1376" s="91"/>
      <c r="AC1376" s="91"/>
      <c r="AD1376" s="91"/>
      <c r="AE1376" s="91"/>
      <c r="AF1376" s="91"/>
      <c r="AG1376" s="91"/>
      <c r="AH1376" s="91"/>
    </row>
    <row r="1377" spans="1:34" ht="90">
      <c r="A1377" s="120">
        <v>1376</v>
      </c>
      <c r="B1377" s="120" t="b">
        <f t="shared" ca="1" si="21"/>
        <v>0</v>
      </c>
      <c r="C1377" s="121">
        <v>45887</v>
      </c>
      <c r="D1377" s="137">
        <v>0.40091435185185187</v>
      </c>
      <c r="E1377" s="94">
        <v>2009</v>
      </c>
      <c r="F1377" s="91">
        <v>1205</v>
      </c>
      <c r="G1377" s="143" t="s">
        <v>71</v>
      </c>
      <c r="H1377" s="94"/>
      <c r="I1377" s="164"/>
      <c r="J1377" s="139" t="s">
        <v>72</v>
      </c>
      <c r="K1377" s="162">
        <v>164.006</v>
      </c>
      <c r="L1377" s="122" t="str">
        <f>VLOOKUP(K1377,Liste!$L$2:$O$34,4,1)</f>
        <v>GSMR_28/29</v>
      </c>
      <c r="M1377" s="94" t="s">
        <v>36</v>
      </c>
      <c r="N1377" s="124" t="s">
        <v>58</v>
      </c>
      <c r="O1377" s="117" t="s">
        <v>2926</v>
      </c>
      <c r="P1377" s="117"/>
      <c r="Q1377" s="118" t="s">
        <v>105</v>
      </c>
      <c r="R1377" s="184" t="s">
        <v>2927</v>
      </c>
      <c r="S1377" s="124" t="s">
        <v>2928</v>
      </c>
      <c r="T1377" s="124" t="s">
        <v>69</v>
      </c>
      <c r="U1377" s="124" t="s">
        <v>2764</v>
      </c>
      <c r="V1377" s="124" t="s">
        <v>51</v>
      </c>
      <c r="W1377" s="124" t="s">
        <v>51</v>
      </c>
      <c r="X1377" s="124" t="s">
        <v>52</v>
      </c>
      <c r="Y1377" s="124" t="s">
        <v>946</v>
      </c>
      <c r="Z1377" s="91"/>
      <c r="AA1377" s="124" t="s">
        <v>757</v>
      </c>
      <c r="AB1377" s="91"/>
      <c r="AC1377" s="91"/>
      <c r="AD1377" s="91"/>
      <c r="AE1377" s="91"/>
      <c r="AF1377" s="91"/>
      <c r="AG1377" s="91"/>
      <c r="AH1377" s="91"/>
    </row>
    <row r="1378" spans="1:34" ht="60">
      <c r="A1378" s="120">
        <v>1377</v>
      </c>
      <c r="B1378" s="120" t="b">
        <f t="shared" ca="1" si="21"/>
        <v>0</v>
      </c>
      <c r="C1378" s="121">
        <v>45887</v>
      </c>
      <c r="D1378" s="137">
        <v>0.66331018518518514</v>
      </c>
      <c r="E1378" s="94">
        <v>1034</v>
      </c>
      <c r="F1378" s="94">
        <v>1205</v>
      </c>
      <c r="G1378" s="143" t="s">
        <v>71</v>
      </c>
      <c r="H1378" s="94"/>
      <c r="I1378" s="115"/>
      <c r="J1378" s="139" t="s">
        <v>72</v>
      </c>
      <c r="K1378" s="118">
        <v>94.953999999999994</v>
      </c>
      <c r="L1378" s="122" t="str">
        <f>VLOOKUP(K1378,Liste!$L$2:$O$34,4,1)</f>
        <v>GSMR_17/18</v>
      </c>
      <c r="M1378" s="94" t="s">
        <v>36</v>
      </c>
      <c r="N1378" s="124" t="s">
        <v>37</v>
      </c>
      <c r="O1378" s="117" t="s">
        <v>2929</v>
      </c>
      <c r="P1378" s="117" t="s">
        <v>2793</v>
      </c>
      <c r="Q1378" s="118" t="s">
        <v>54</v>
      </c>
      <c r="R1378" s="184" t="s">
        <v>2916</v>
      </c>
      <c r="S1378" s="124" t="s">
        <v>2930</v>
      </c>
      <c r="T1378" s="124" t="s">
        <v>56</v>
      </c>
      <c r="U1378" s="124" t="s">
        <v>2797</v>
      </c>
      <c r="V1378" s="124" t="s">
        <v>51</v>
      </c>
      <c r="W1378" s="124" t="s">
        <v>51</v>
      </c>
      <c r="X1378" s="124" t="s">
        <v>52</v>
      </c>
      <c r="Y1378" s="124" t="s">
        <v>946</v>
      </c>
      <c r="Z1378" s="91"/>
      <c r="AA1378" s="124" t="s">
        <v>772</v>
      </c>
      <c r="AB1378" s="91"/>
      <c r="AC1378" s="91"/>
      <c r="AD1378" s="91"/>
      <c r="AE1378" s="91"/>
      <c r="AF1378" s="91"/>
      <c r="AG1378" s="91"/>
      <c r="AH1378" s="91"/>
    </row>
    <row r="1379" spans="1:34" ht="60">
      <c r="A1379" s="120">
        <v>1378</v>
      </c>
      <c r="B1379" s="120" t="b">
        <f t="shared" ca="1" si="21"/>
        <v>0</v>
      </c>
      <c r="C1379" s="121">
        <v>45889</v>
      </c>
      <c r="D1379" s="137">
        <v>0.60315972222222225</v>
      </c>
      <c r="E1379" s="94">
        <v>2033</v>
      </c>
      <c r="F1379" s="94">
        <v>1206</v>
      </c>
      <c r="G1379" s="143" t="s">
        <v>34</v>
      </c>
      <c r="H1379" s="94"/>
      <c r="I1379" s="115"/>
      <c r="J1379" s="139" t="s">
        <v>35</v>
      </c>
      <c r="K1379" s="118">
        <v>101.587</v>
      </c>
      <c r="L1379" s="122" t="str">
        <f>VLOOKUP(K1379,Liste!$L$2:$O$34,4,1)</f>
        <v>GSMR_18/19</v>
      </c>
      <c r="M1379" s="94" t="s">
        <v>36</v>
      </c>
      <c r="N1379" s="124" t="s">
        <v>37</v>
      </c>
      <c r="O1379" s="117" t="s">
        <v>2931</v>
      </c>
      <c r="P1379" s="117"/>
      <c r="Q1379" s="94" t="s">
        <v>54</v>
      </c>
      <c r="R1379" s="184" t="s">
        <v>2583</v>
      </c>
      <c r="S1379" s="124" t="s">
        <v>2932</v>
      </c>
      <c r="T1379" s="124" t="s">
        <v>69</v>
      </c>
      <c r="U1379" s="124" t="s">
        <v>2884</v>
      </c>
      <c r="V1379" s="124" t="s">
        <v>51</v>
      </c>
      <c r="W1379" s="124" t="s">
        <v>51</v>
      </c>
      <c r="X1379" s="124" t="s">
        <v>52</v>
      </c>
      <c r="Y1379" s="124" t="s">
        <v>946</v>
      </c>
      <c r="Z1379" s="91"/>
      <c r="AA1379" s="124" t="s">
        <v>793</v>
      </c>
      <c r="AB1379" s="91"/>
      <c r="AC1379" s="91"/>
      <c r="AD1379" s="91"/>
      <c r="AE1379" s="91"/>
      <c r="AF1379" s="91"/>
      <c r="AG1379" s="91"/>
      <c r="AH1379" s="91"/>
    </row>
    <row r="1380" spans="1:34" ht="105">
      <c r="A1380" s="120">
        <v>1379</v>
      </c>
      <c r="B1380" s="120" t="b">
        <f t="shared" ca="1" si="21"/>
        <v>0</v>
      </c>
      <c r="C1380" s="121">
        <v>45889</v>
      </c>
      <c r="D1380" s="137">
        <v>0.67017361111111107</v>
      </c>
      <c r="E1380" s="94">
        <v>2041</v>
      </c>
      <c r="F1380" s="91">
        <v>1210</v>
      </c>
      <c r="G1380" s="143" t="s">
        <v>34</v>
      </c>
      <c r="H1380" s="139"/>
      <c r="I1380" s="163"/>
      <c r="J1380" s="139" t="s">
        <v>35</v>
      </c>
      <c r="K1380" s="161">
        <v>6.13</v>
      </c>
      <c r="L1380" s="122" t="str">
        <f>VLOOKUP(K1380,Liste!$L$2:$O$34,4,1)</f>
        <v>GSMR_02/03</v>
      </c>
      <c r="M1380" s="94" t="s">
        <v>36</v>
      </c>
      <c r="N1380" s="124" t="s">
        <v>37</v>
      </c>
      <c r="O1380" s="117" t="s">
        <v>2933</v>
      </c>
      <c r="P1380" s="116" t="s">
        <v>2665</v>
      </c>
      <c r="Q1380" s="118" t="s">
        <v>39</v>
      </c>
      <c r="R1380" s="184" t="s">
        <v>2886</v>
      </c>
      <c r="S1380" s="124" t="s">
        <v>2934</v>
      </c>
      <c r="T1380" s="124" t="s">
        <v>56</v>
      </c>
      <c r="U1380" s="124" t="s">
        <v>2751</v>
      </c>
      <c r="V1380" s="124" t="s">
        <v>51</v>
      </c>
      <c r="W1380" s="124" t="s">
        <v>51</v>
      </c>
      <c r="X1380" s="124" t="s">
        <v>52</v>
      </c>
      <c r="Y1380" s="124" t="s">
        <v>946</v>
      </c>
      <c r="Z1380" s="91"/>
      <c r="AA1380" s="124" t="s">
        <v>793</v>
      </c>
      <c r="AB1380" s="91"/>
      <c r="AC1380" s="91"/>
      <c r="AD1380" s="91"/>
      <c r="AE1380" s="91"/>
      <c r="AF1380" s="91"/>
      <c r="AG1380" s="91"/>
      <c r="AH1380" s="91"/>
    </row>
    <row r="1381" spans="1:34" ht="60">
      <c r="A1381" s="120">
        <v>1380</v>
      </c>
      <c r="B1381" s="120" t="b">
        <f t="shared" ca="1" si="21"/>
        <v>0</v>
      </c>
      <c r="C1381" s="121">
        <v>45889</v>
      </c>
      <c r="D1381" s="137">
        <v>0.87017361111111113</v>
      </c>
      <c r="E1381" s="94">
        <v>1053</v>
      </c>
      <c r="F1381" s="91">
        <v>1210</v>
      </c>
      <c r="G1381" s="143" t="s">
        <v>71</v>
      </c>
      <c r="H1381" s="139"/>
      <c r="I1381" s="163"/>
      <c r="J1381" s="139" t="s">
        <v>72</v>
      </c>
      <c r="K1381" s="162">
        <v>94.953999999999994</v>
      </c>
      <c r="L1381" s="122" t="str">
        <f>VLOOKUP(K1381,Liste!$L$2:$O$34,4,1)</f>
        <v>GSMR_17/18</v>
      </c>
      <c r="M1381" s="94" t="s">
        <v>36</v>
      </c>
      <c r="N1381" s="124" t="s">
        <v>37</v>
      </c>
      <c r="O1381" s="117" t="s">
        <v>2935</v>
      </c>
      <c r="P1381" s="117" t="s">
        <v>2793</v>
      </c>
      <c r="Q1381" s="118" t="s">
        <v>54</v>
      </c>
      <c r="R1381" s="184" t="s">
        <v>2916</v>
      </c>
      <c r="S1381" s="124" t="s">
        <v>2936</v>
      </c>
      <c r="T1381" s="124" t="s">
        <v>56</v>
      </c>
      <c r="U1381" s="124" t="s">
        <v>2764</v>
      </c>
      <c r="V1381" s="124" t="s">
        <v>51</v>
      </c>
      <c r="W1381" s="124" t="s">
        <v>51</v>
      </c>
      <c r="X1381" s="124" t="s">
        <v>52</v>
      </c>
      <c r="Y1381" s="124" t="s">
        <v>946</v>
      </c>
      <c r="Z1381" s="91"/>
      <c r="AA1381" s="124" t="s">
        <v>778</v>
      </c>
      <c r="AB1381" s="91"/>
      <c r="AC1381" s="91"/>
      <c r="AD1381" s="91"/>
      <c r="AE1381" s="91"/>
      <c r="AF1381" s="91"/>
      <c r="AG1381" s="91"/>
      <c r="AH1381" s="91"/>
    </row>
    <row r="1382" spans="1:34" ht="60">
      <c r="A1382" s="120">
        <v>1381</v>
      </c>
      <c r="B1382" s="120" t="b">
        <f t="shared" ca="1" si="21"/>
        <v>0</v>
      </c>
      <c r="C1382" s="121">
        <v>45890</v>
      </c>
      <c r="D1382" s="137">
        <v>0.90736111111111106</v>
      </c>
      <c r="E1382" s="94">
        <v>1057</v>
      </c>
      <c r="F1382" s="91">
        <v>1205</v>
      </c>
      <c r="G1382" s="143" t="s">
        <v>71</v>
      </c>
      <c r="H1382" s="139"/>
      <c r="I1382" s="163"/>
      <c r="J1382" s="139" t="s">
        <v>72</v>
      </c>
      <c r="K1382" s="162">
        <v>94.953999999999994</v>
      </c>
      <c r="L1382" s="122" t="str">
        <f>VLOOKUP(K1382,Liste!$L$2:$O$34,4,1)</f>
        <v>GSMR_17/18</v>
      </c>
      <c r="M1382" s="94" t="s">
        <v>36</v>
      </c>
      <c r="N1382" s="124" t="s">
        <v>37</v>
      </c>
      <c r="O1382" s="117" t="s">
        <v>2937</v>
      </c>
      <c r="P1382" s="117" t="s">
        <v>2793</v>
      </c>
      <c r="Q1382" s="118" t="s">
        <v>54</v>
      </c>
      <c r="R1382" s="184" t="s">
        <v>2916</v>
      </c>
      <c r="S1382" s="124" t="s">
        <v>2930</v>
      </c>
      <c r="T1382" s="124" t="s">
        <v>56</v>
      </c>
      <c r="U1382" s="124" t="s">
        <v>2827</v>
      </c>
      <c r="V1382" s="124" t="s">
        <v>51</v>
      </c>
      <c r="W1382" s="124" t="s">
        <v>43</v>
      </c>
      <c r="X1382" s="124" t="s">
        <v>52</v>
      </c>
      <c r="Y1382" s="124" t="s">
        <v>946</v>
      </c>
      <c r="Z1382" s="91"/>
      <c r="AA1382" s="124" t="s">
        <v>778</v>
      </c>
      <c r="AB1382" s="91"/>
      <c r="AC1382" s="91"/>
      <c r="AD1382" s="91"/>
      <c r="AE1382" s="91"/>
      <c r="AF1382" s="91"/>
      <c r="AG1382" s="91"/>
      <c r="AH1382" s="91"/>
    </row>
    <row r="1383" spans="1:34" ht="60">
      <c r="A1383" s="120">
        <v>1382</v>
      </c>
      <c r="B1383" s="120" t="b">
        <f t="shared" ca="1" si="21"/>
        <v>0</v>
      </c>
      <c r="C1383" s="121">
        <v>45891</v>
      </c>
      <c r="D1383" s="137">
        <v>0.36587962962962961</v>
      </c>
      <c r="E1383" s="94">
        <v>1005</v>
      </c>
      <c r="F1383" s="91">
        <v>1208</v>
      </c>
      <c r="G1383" s="143" t="s">
        <v>71</v>
      </c>
      <c r="H1383" s="139"/>
      <c r="I1383" s="163"/>
      <c r="J1383" s="139" t="s">
        <v>72</v>
      </c>
      <c r="K1383" s="162">
        <v>94.953999999999994</v>
      </c>
      <c r="L1383" s="122" t="str">
        <f>VLOOKUP(K1383,Liste!$L$2:$O$34,4,1)</f>
        <v>GSMR_17/18</v>
      </c>
      <c r="M1383" s="94" t="s">
        <v>36</v>
      </c>
      <c r="N1383" s="124" t="s">
        <v>37</v>
      </c>
      <c r="O1383" s="117" t="s">
        <v>2938</v>
      </c>
      <c r="P1383" s="117" t="s">
        <v>2793</v>
      </c>
      <c r="Q1383" s="118" t="s">
        <v>54</v>
      </c>
      <c r="R1383" s="184" t="s">
        <v>2916</v>
      </c>
      <c r="S1383" s="124" t="s">
        <v>2930</v>
      </c>
      <c r="T1383" s="124" t="s">
        <v>93</v>
      </c>
      <c r="U1383" s="124" t="s">
        <v>2840</v>
      </c>
      <c r="V1383" s="124" t="s">
        <v>51</v>
      </c>
      <c r="W1383" s="124" t="s">
        <v>51</v>
      </c>
      <c r="X1383" s="124" t="s">
        <v>52</v>
      </c>
      <c r="Y1383" s="124" t="s">
        <v>2107</v>
      </c>
      <c r="Z1383" s="91"/>
      <c r="AA1383" s="124" t="s">
        <v>772</v>
      </c>
      <c r="AB1383" s="91"/>
      <c r="AC1383" s="91"/>
      <c r="AD1383" s="91"/>
      <c r="AE1383" s="91"/>
      <c r="AF1383" s="91"/>
      <c r="AG1383" s="91"/>
      <c r="AH1383" s="91"/>
    </row>
    <row r="1384" spans="1:34" ht="60">
      <c r="A1384" s="120">
        <v>1383</v>
      </c>
      <c r="B1384" s="120" t="b">
        <f t="shared" ca="1" si="21"/>
        <v>0</v>
      </c>
      <c r="C1384" s="121">
        <v>45891</v>
      </c>
      <c r="D1384" s="137">
        <v>0.43390046296296297</v>
      </c>
      <c r="E1384" s="94">
        <v>2017</v>
      </c>
      <c r="F1384" s="91">
        <v>1208</v>
      </c>
      <c r="G1384" s="143" t="s">
        <v>34</v>
      </c>
      <c r="H1384" s="139"/>
      <c r="I1384" s="163"/>
      <c r="J1384" s="139" t="s">
        <v>35</v>
      </c>
      <c r="K1384" s="162">
        <v>96.316999999999993</v>
      </c>
      <c r="L1384" s="122" t="str">
        <f>VLOOKUP(K1384,Liste!$L$2:$O$34,4,1)</f>
        <v>GSMR_17/18</v>
      </c>
      <c r="M1384" s="94" t="s">
        <v>36</v>
      </c>
      <c r="N1384" s="124" t="s">
        <v>37</v>
      </c>
      <c r="O1384" s="117" t="s">
        <v>2939</v>
      </c>
      <c r="P1384" s="117" t="s">
        <v>2793</v>
      </c>
      <c r="Q1384" s="118" t="s">
        <v>54</v>
      </c>
      <c r="R1384" s="184" t="s">
        <v>2916</v>
      </c>
      <c r="S1384" s="124" t="s">
        <v>2940</v>
      </c>
      <c r="T1384" s="124" t="s">
        <v>56</v>
      </c>
      <c r="U1384" s="124" t="s">
        <v>2941</v>
      </c>
      <c r="V1384" s="124" t="s">
        <v>51</v>
      </c>
      <c r="W1384" s="124" t="s">
        <v>51</v>
      </c>
      <c r="X1384" s="124" t="s">
        <v>52</v>
      </c>
      <c r="Y1384" s="124" t="s">
        <v>946</v>
      </c>
      <c r="Z1384" s="91"/>
      <c r="AA1384" s="124" t="s">
        <v>772</v>
      </c>
      <c r="AB1384" s="91"/>
      <c r="AC1384" s="91"/>
      <c r="AD1384" s="91"/>
      <c r="AE1384" s="91"/>
      <c r="AF1384" s="91"/>
      <c r="AG1384" s="91"/>
      <c r="AH1384" s="91"/>
    </row>
    <row r="1385" spans="1:34" ht="105">
      <c r="A1385" s="120">
        <v>1384</v>
      </c>
      <c r="B1385" s="120" t="b">
        <f t="shared" ca="1" si="21"/>
        <v>0</v>
      </c>
      <c r="C1385" s="121">
        <v>45891</v>
      </c>
      <c r="D1385" s="137">
        <v>0.56086805555555552</v>
      </c>
      <c r="E1385" s="94">
        <v>1025</v>
      </c>
      <c r="F1385" s="91">
        <v>1202</v>
      </c>
      <c r="G1385" s="143" t="s">
        <v>71</v>
      </c>
      <c r="H1385" s="139"/>
      <c r="I1385" s="163"/>
      <c r="J1385" s="139" t="s">
        <v>35</v>
      </c>
      <c r="K1385" s="162">
        <v>181.626</v>
      </c>
      <c r="L1385" s="122" t="str">
        <f>VLOOKUP(K1385,Liste!$L$2:$O$34,4,1)</f>
        <v>GSMR_30/31</v>
      </c>
      <c r="M1385" s="94" t="s">
        <v>36</v>
      </c>
      <c r="N1385" s="124" t="s">
        <v>37</v>
      </c>
      <c r="O1385" s="117" t="s">
        <v>2942</v>
      </c>
      <c r="P1385" s="116" t="s">
        <v>2665</v>
      </c>
      <c r="Q1385" s="118" t="s">
        <v>105</v>
      </c>
      <c r="R1385" s="184" t="s">
        <v>1072</v>
      </c>
      <c r="S1385" s="124" t="s">
        <v>2943</v>
      </c>
      <c r="T1385" s="124" t="s">
        <v>69</v>
      </c>
      <c r="U1385" s="124" t="s">
        <v>2865</v>
      </c>
      <c r="V1385" s="124" t="s">
        <v>51</v>
      </c>
      <c r="W1385" s="124" t="s">
        <v>51</v>
      </c>
      <c r="X1385" s="124" t="s">
        <v>52</v>
      </c>
      <c r="Y1385" s="124" t="s">
        <v>2107</v>
      </c>
      <c r="Z1385" s="91"/>
      <c r="AA1385" s="124" t="s">
        <v>793</v>
      </c>
      <c r="AB1385" s="91"/>
      <c r="AC1385" s="91"/>
      <c r="AD1385" s="91"/>
      <c r="AE1385" s="91"/>
      <c r="AF1385" s="91"/>
      <c r="AG1385" s="91"/>
      <c r="AH1385" s="91"/>
    </row>
    <row r="1386" spans="1:34" ht="105">
      <c r="A1386" s="120">
        <v>1385</v>
      </c>
      <c r="B1386" s="120" t="b">
        <f t="shared" ca="1" si="21"/>
        <v>0</v>
      </c>
      <c r="C1386" s="121">
        <v>45891</v>
      </c>
      <c r="D1386" s="137">
        <v>0.72820601851851852</v>
      </c>
      <c r="E1386" s="94">
        <v>2017</v>
      </c>
      <c r="F1386" s="91">
        <v>1204</v>
      </c>
      <c r="G1386" s="143" t="s">
        <v>34</v>
      </c>
      <c r="H1386" s="139"/>
      <c r="I1386" s="163"/>
      <c r="J1386" s="139" t="s">
        <v>35</v>
      </c>
      <c r="K1386" s="162">
        <v>108.206</v>
      </c>
      <c r="L1386" s="122" t="str">
        <f>VLOOKUP(K1386,Liste!$L$2:$O$34,4,1)</f>
        <v>GSMR_19/20</v>
      </c>
      <c r="M1386" s="94" t="s">
        <v>36</v>
      </c>
      <c r="N1386" s="124" t="s">
        <v>37</v>
      </c>
      <c r="O1386" s="117" t="s">
        <v>2944</v>
      </c>
      <c r="P1386" s="116" t="s">
        <v>2665</v>
      </c>
      <c r="Q1386" s="118" t="s">
        <v>54</v>
      </c>
      <c r="R1386" s="184" t="s">
        <v>2916</v>
      </c>
      <c r="S1386" s="124" t="s">
        <v>2945</v>
      </c>
      <c r="T1386" s="124" t="s">
        <v>56</v>
      </c>
      <c r="U1386" s="124" t="s">
        <v>2749</v>
      </c>
      <c r="V1386" s="124" t="s">
        <v>51</v>
      </c>
      <c r="W1386" s="124" t="s">
        <v>51</v>
      </c>
      <c r="X1386" s="124" t="s">
        <v>52</v>
      </c>
      <c r="Y1386" s="124" t="s">
        <v>946</v>
      </c>
      <c r="Z1386" s="91"/>
      <c r="AA1386" s="124" t="s">
        <v>793</v>
      </c>
      <c r="AB1386" s="91"/>
      <c r="AC1386" s="91"/>
      <c r="AD1386" s="91"/>
      <c r="AE1386" s="91"/>
      <c r="AF1386" s="91"/>
      <c r="AG1386" s="91"/>
      <c r="AH1386" s="91"/>
    </row>
    <row r="1387" spans="1:34" ht="105">
      <c r="A1387" s="120">
        <v>1386</v>
      </c>
      <c r="B1387" s="120" t="b">
        <f t="shared" ca="1" si="21"/>
        <v>0</v>
      </c>
      <c r="C1387" s="121">
        <v>45893</v>
      </c>
      <c r="D1387" s="137">
        <v>0.50385416666666671</v>
      </c>
      <c r="E1387" s="94">
        <v>2025</v>
      </c>
      <c r="F1387" s="91">
        <v>1206</v>
      </c>
      <c r="G1387" s="143" t="s">
        <v>34</v>
      </c>
      <c r="H1387" s="139"/>
      <c r="I1387" s="163"/>
      <c r="J1387" s="139" t="s">
        <v>35</v>
      </c>
      <c r="K1387" s="161">
        <v>6.13</v>
      </c>
      <c r="L1387" s="122" t="str">
        <f>VLOOKUP(K1387,Liste!$L$2:$O$34,4,1)</f>
        <v>GSMR_02/03</v>
      </c>
      <c r="M1387" s="94" t="s">
        <v>36</v>
      </c>
      <c r="N1387" s="124" t="s">
        <v>58</v>
      </c>
      <c r="O1387" s="117" t="s">
        <v>2946</v>
      </c>
      <c r="P1387" s="116" t="s">
        <v>2665</v>
      </c>
      <c r="Q1387" s="118" t="s">
        <v>39</v>
      </c>
      <c r="R1387" s="184" t="s">
        <v>2947</v>
      </c>
      <c r="S1387" s="124" t="s">
        <v>2934</v>
      </c>
      <c r="T1387" s="124" t="s">
        <v>56</v>
      </c>
      <c r="U1387" s="124" t="s">
        <v>2856</v>
      </c>
      <c r="V1387" s="124" t="s">
        <v>43</v>
      </c>
      <c r="W1387" s="124" t="s">
        <v>51</v>
      </c>
      <c r="X1387" s="124" t="s">
        <v>52</v>
      </c>
      <c r="Y1387" s="124" t="s">
        <v>946</v>
      </c>
      <c r="Z1387" s="91"/>
      <c r="AA1387" s="124" t="s">
        <v>1118</v>
      </c>
      <c r="AB1387" s="91"/>
      <c r="AC1387" s="91"/>
      <c r="AD1387" s="91"/>
      <c r="AE1387" s="91"/>
      <c r="AF1387" s="91"/>
      <c r="AG1387" s="91"/>
      <c r="AH1387" s="91"/>
    </row>
    <row r="1388" spans="1:34" ht="60">
      <c r="A1388" s="120">
        <v>1387</v>
      </c>
      <c r="B1388" s="120" t="b">
        <f t="shared" ca="1" si="21"/>
        <v>0</v>
      </c>
      <c r="C1388" s="121">
        <v>45893</v>
      </c>
      <c r="D1388" s="137">
        <v>0.74077546296296293</v>
      </c>
      <c r="E1388" s="94">
        <v>2017</v>
      </c>
      <c r="F1388" s="91">
        <v>1205</v>
      </c>
      <c r="G1388" s="143" t="s">
        <v>71</v>
      </c>
      <c r="H1388" s="139"/>
      <c r="I1388" s="163"/>
      <c r="J1388" s="139" t="s">
        <v>72</v>
      </c>
      <c r="K1388" s="162">
        <v>94.953999999999994</v>
      </c>
      <c r="L1388" s="122" t="str">
        <f>VLOOKUP(K1388,Liste!$L$2:$O$34,4,1)</f>
        <v>GSMR_17/18</v>
      </c>
      <c r="M1388" s="94" t="s">
        <v>36</v>
      </c>
      <c r="N1388" s="124" t="s">
        <v>37</v>
      </c>
      <c r="O1388" s="117" t="s">
        <v>2948</v>
      </c>
      <c r="P1388" s="117" t="s">
        <v>2793</v>
      </c>
      <c r="Q1388" s="118" t="s">
        <v>54</v>
      </c>
      <c r="R1388" s="184" t="s">
        <v>2916</v>
      </c>
      <c r="S1388" s="124" t="s">
        <v>2949</v>
      </c>
      <c r="T1388" s="124" t="s">
        <v>56</v>
      </c>
      <c r="U1388" s="124" t="s">
        <v>2749</v>
      </c>
      <c r="V1388" s="124" t="s">
        <v>51</v>
      </c>
      <c r="W1388" s="124" t="s">
        <v>51</v>
      </c>
      <c r="X1388" s="124" t="s">
        <v>52</v>
      </c>
      <c r="Y1388" s="124" t="s">
        <v>2107</v>
      </c>
      <c r="Z1388" s="91"/>
      <c r="AA1388" s="124" t="s">
        <v>793</v>
      </c>
      <c r="AB1388" s="91"/>
      <c r="AC1388" s="91"/>
      <c r="AD1388" s="91"/>
      <c r="AE1388" s="91"/>
      <c r="AF1388" s="91"/>
      <c r="AG1388" s="91"/>
      <c r="AH1388" s="91"/>
    </row>
    <row r="1389" spans="1:34" ht="60">
      <c r="A1389" s="120">
        <v>1388</v>
      </c>
      <c r="B1389" s="120" t="b">
        <f t="shared" ca="1" si="21"/>
        <v>0</v>
      </c>
      <c r="C1389" s="121">
        <v>45894</v>
      </c>
      <c r="D1389" s="137">
        <v>0.9927083333333333</v>
      </c>
      <c r="E1389" s="94">
        <v>10091</v>
      </c>
      <c r="F1389" s="91">
        <v>1205</v>
      </c>
      <c r="G1389" s="143" t="s">
        <v>71</v>
      </c>
      <c r="H1389" s="139"/>
      <c r="I1389" s="94"/>
      <c r="J1389" s="139" t="s">
        <v>72</v>
      </c>
      <c r="K1389" s="162">
        <v>94.953999999999994</v>
      </c>
      <c r="L1389" s="122" t="str">
        <f>VLOOKUP(K1389,Liste!$L$2:$O$34,4,1)</f>
        <v>GSMR_17/18</v>
      </c>
      <c r="M1389" s="94" t="s">
        <v>36</v>
      </c>
      <c r="N1389" s="124" t="s">
        <v>37</v>
      </c>
      <c r="O1389" s="117" t="s">
        <v>2950</v>
      </c>
      <c r="P1389" s="117" t="s">
        <v>2793</v>
      </c>
      <c r="Q1389" s="118" t="s">
        <v>54</v>
      </c>
      <c r="R1389" s="184" t="s">
        <v>2916</v>
      </c>
      <c r="S1389" s="124" t="s">
        <v>2949</v>
      </c>
      <c r="T1389" s="124" t="s">
        <v>56</v>
      </c>
      <c r="U1389" s="124" t="s">
        <v>2795</v>
      </c>
      <c r="V1389" s="124" t="s">
        <v>51</v>
      </c>
      <c r="W1389" s="124" t="s">
        <v>51</v>
      </c>
      <c r="X1389" s="124" t="s">
        <v>52</v>
      </c>
      <c r="Y1389" s="124" t="s">
        <v>946</v>
      </c>
      <c r="Z1389" s="91"/>
      <c r="AA1389" s="124" t="s">
        <v>754</v>
      </c>
      <c r="AB1389" s="91"/>
      <c r="AC1389" s="91"/>
      <c r="AD1389" s="91"/>
      <c r="AE1389" s="91"/>
      <c r="AF1389" s="91"/>
      <c r="AG1389" s="91"/>
      <c r="AH1389" s="91"/>
    </row>
    <row r="1390" spans="1:34" ht="60">
      <c r="A1390" s="120">
        <v>1389</v>
      </c>
      <c r="B1390" s="120" t="b">
        <f t="shared" ca="1" si="21"/>
        <v>0</v>
      </c>
      <c r="C1390" s="121">
        <v>45896</v>
      </c>
      <c r="D1390" s="137">
        <v>0.36148148148148146</v>
      </c>
      <c r="E1390" s="94">
        <v>1005</v>
      </c>
      <c r="F1390" s="91">
        <v>1208</v>
      </c>
      <c r="G1390" s="143" t="s">
        <v>71</v>
      </c>
      <c r="H1390" s="94"/>
      <c r="I1390" s="94"/>
      <c r="J1390" s="139" t="s">
        <v>72</v>
      </c>
      <c r="K1390" s="94">
        <v>122.536</v>
      </c>
      <c r="L1390" s="122" t="str">
        <f>VLOOKUP(K1390,Liste!$L$2:$O$34,4,1)</f>
        <v>GSMR_21/22</v>
      </c>
      <c r="M1390" s="94" t="s">
        <v>36</v>
      </c>
      <c r="N1390" s="124" t="s">
        <v>37</v>
      </c>
      <c r="O1390" s="117" t="s">
        <v>2951</v>
      </c>
      <c r="P1390" s="191"/>
      <c r="Q1390" s="118" t="s">
        <v>54</v>
      </c>
      <c r="R1390" s="184" t="s">
        <v>2916</v>
      </c>
      <c r="S1390" s="124" t="s">
        <v>2952</v>
      </c>
      <c r="T1390" s="124" t="s">
        <v>78</v>
      </c>
      <c r="U1390" s="124" t="s">
        <v>2813</v>
      </c>
      <c r="V1390" s="124" t="s">
        <v>51</v>
      </c>
      <c r="W1390" s="124" t="s">
        <v>51</v>
      </c>
      <c r="X1390" s="124" t="s">
        <v>52</v>
      </c>
      <c r="Y1390" s="124" t="s">
        <v>2107</v>
      </c>
      <c r="Z1390" s="91"/>
      <c r="AA1390" s="124" t="s">
        <v>802</v>
      </c>
      <c r="AB1390" s="91"/>
      <c r="AC1390" s="91"/>
      <c r="AD1390" s="140" t="s">
        <v>2953</v>
      </c>
      <c r="AE1390" s="91"/>
      <c r="AF1390" s="91"/>
      <c r="AG1390" s="91"/>
      <c r="AH1390" s="91"/>
    </row>
    <row r="1391" spans="1:34" ht="60">
      <c r="A1391" s="120">
        <v>1390</v>
      </c>
      <c r="B1391" s="120" t="b">
        <f t="shared" ca="1" si="21"/>
        <v>0</v>
      </c>
      <c r="C1391" s="121">
        <v>45896</v>
      </c>
      <c r="D1391" s="137">
        <v>0.44944444444444442</v>
      </c>
      <c r="E1391" s="94">
        <v>1013</v>
      </c>
      <c r="F1391" s="91">
        <v>1205</v>
      </c>
      <c r="G1391" s="143" t="s">
        <v>71</v>
      </c>
      <c r="H1391" s="94"/>
      <c r="I1391" s="94"/>
      <c r="J1391" s="139" t="s">
        <v>72</v>
      </c>
      <c r="K1391" s="94">
        <v>94.953999999999994</v>
      </c>
      <c r="L1391" s="122" t="str">
        <f>VLOOKUP(K1391,Liste!$L$2:$O$34,4,1)</f>
        <v>GSMR_17/18</v>
      </c>
      <c r="M1391" s="94" t="s">
        <v>36</v>
      </c>
      <c r="N1391" s="124" t="s">
        <v>37</v>
      </c>
      <c r="O1391" s="117" t="s">
        <v>2954</v>
      </c>
      <c r="P1391" s="117" t="s">
        <v>2793</v>
      </c>
      <c r="Q1391" s="118" t="s">
        <v>54</v>
      </c>
      <c r="R1391" s="184" t="s">
        <v>2916</v>
      </c>
      <c r="S1391" s="124" t="s">
        <v>2949</v>
      </c>
      <c r="T1391" s="124" t="s">
        <v>56</v>
      </c>
      <c r="U1391" s="124" t="s">
        <v>2955</v>
      </c>
      <c r="V1391" s="124" t="s">
        <v>51</v>
      </c>
      <c r="W1391" s="124" t="s">
        <v>51</v>
      </c>
      <c r="X1391" s="124" t="s">
        <v>52</v>
      </c>
      <c r="Y1391" s="124" t="s">
        <v>946</v>
      </c>
      <c r="Z1391" s="91"/>
      <c r="AA1391" s="124" t="s">
        <v>802</v>
      </c>
      <c r="AB1391" s="91"/>
      <c r="AC1391" s="91"/>
      <c r="AD1391" s="91"/>
      <c r="AE1391" s="91"/>
      <c r="AF1391" s="91"/>
      <c r="AG1391" s="91"/>
      <c r="AH1391" s="91"/>
    </row>
    <row r="1392" spans="1:34" ht="60">
      <c r="A1392" s="120">
        <v>1391</v>
      </c>
      <c r="B1392" s="120" t="b">
        <f t="shared" ca="1" si="21"/>
        <v>0</v>
      </c>
      <c r="C1392" s="121">
        <v>45896</v>
      </c>
      <c r="D1392" s="137">
        <v>0.49952546296296296</v>
      </c>
      <c r="E1392" s="94">
        <v>1017</v>
      </c>
      <c r="F1392" s="91">
        <v>1202</v>
      </c>
      <c r="G1392" s="143" t="s">
        <v>71</v>
      </c>
      <c r="H1392" s="94"/>
      <c r="I1392" s="94"/>
      <c r="J1392" s="139" t="s">
        <v>72</v>
      </c>
      <c r="K1392" s="94">
        <v>37.917000000000002</v>
      </c>
      <c r="L1392" s="122" t="str">
        <f>VLOOKUP(K1392,Liste!$L$2:$O$34,4,1)</f>
        <v>GSMR_07/08</v>
      </c>
      <c r="M1392" s="94" t="s">
        <v>36</v>
      </c>
      <c r="N1392" s="124" t="s">
        <v>37</v>
      </c>
      <c r="O1392" s="117" t="s">
        <v>2956</v>
      </c>
      <c r="P1392" s="191"/>
      <c r="Q1392" s="118" t="s">
        <v>39</v>
      </c>
      <c r="R1392" s="184" t="s">
        <v>2886</v>
      </c>
      <c r="S1392" s="124" t="s">
        <v>2957</v>
      </c>
      <c r="T1392" s="124" t="s">
        <v>78</v>
      </c>
      <c r="U1392" s="124" t="s">
        <v>2757</v>
      </c>
      <c r="V1392" s="124" t="s">
        <v>51</v>
      </c>
      <c r="W1392" s="124" t="s">
        <v>43</v>
      </c>
      <c r="X1392" s="124" t="s">
        <v>52</v>
      </c>
      <c r="Y1392" s="124" t="s">
        <v>946</v>
      </c>
      <c r="Z1392" s="91"/>
      <c r="AA1392" s="124" t="s">
        <v>802</v>
      </c>
      <c r="AB1392" s="91"/>
      <c r="AC1392" s="91"/>
      <c r="AD1392" s="91"/>
      <c r="AE1392" s="91"/>
      <c r="AF1392" s="91"/>
      <c r="AG1392" s="91"/>
      <c r="AH1392" s="91"/>
    </row>
    <row r="1393" spans="1:34" ht="60">
      <c r="A1393" s="120">
        <v>1392</v>
      </c>
      <c r="B1393" s="120" t="b">
        <f t="shared" ca="1" si="21"/>
        <v>0</v>
      </c>
      <c r="C1393" s="121">
        <v>45896</v>
      </c>
      <c r="D1393" s="137">
        <v>0.69944444444444442</v>
      </c>
      <c r="E1393" s="94">
        <v>1037</v>
      </c>
      <c r="F1393" s="91">
        <v>1205</v>
      </c>
      <c r="G1393" s="143" t="s">
        <v>71</v>
      </c>
      <c r="H1393" s="94"/>
      <c r="I1393" s="94"/>
      <c r="J1393" s="139" t="s">
        <v>72</v>
      </c>
      <c r="K1393" s="94">
        <v>94.953999999999994</v>
      </c>
      <c r="L1393" s="122" t="str">
        <f>VLOOKUP(K1393,Liste!$L$2:$O$34,4,1)</f>
        <v>GSMR_17/18</v>
      </c>
      <c r="M1393" s="94" t="s">
        <v>36</v>
      </c>
      <c r="N1393" s="124" t="s">
        <v>37</v>
      </c>
      <c r="O1393" s="117" t="s">
        <v>2958</v>
      </c>
      <c r="P1393" s="117" t="s">
        <v>2793</v>
      </c>
      <c r="Q1393" s="118" t="s">
        <v>54</v>
      </c>
      <c r="R1393" s="184" t="s">
        <v>2916</v>
      </c>
      <c r="S1393" s="124" t="s">
        <v>2949</v>
      </c>
      <c r="T1393" s="124" t="s">
        <v>56</v>
      </c>
      <c r="U1393" s="124" t="s">
        <v>2152</v>
      </c>
      <c r="V1393" s="124" t="s">
        <v>51</v>
      </c>
      <c r="W1393" s="124" t="s">
        <v>51</v>
      </c>
      <c r="X1393" s="124" t="s">
        <v>52</v>
      </c>
      <c r="Y1393" s="124" t="s">
        <v>946</v>
      </c>
      <c r="Z1393" s="91"/>
      <c r="AA1393" s="124" t="s">
        <v>778</v>
      </c>
      <c r="AB1393" s="91"/>
      <c r="AC1393" s="91"/>
      <c r="AD1393" s="91"/>
      <c r="AE1393" s="91"/>
      <c r="AF1393" s="91"/>
      <c r="AG1393" s="91"/>
      <c r="AH1393" s="91"/>
    </row>
    <row r="1394" spans="1:34" ht="60">
      <c r="A1394" s="120">
        <v>1393</v>
      </c>
      <c r="B1394" s="120" t="b">
        <f ca="1">AND(C1394&gt;=TODAY()-6, C1394&lt;=TODAY())</f>
        <v>0</v>
      </c>
      <c r="C1394" s="121">
        <v>45897</v>
      </c>
      <c r="D1394" s="137">
        <v>0.44876157407407408</v>
      </c>
      <c r="E1394" s="94">
        <v>1013</v>
      </c>
      <c r="F1394" s="91">
        <v>1208</v>
      </c>
      <c r="G1394" s="143" t="s">
        <v>71</v>
      </c>
      <c r="H1394" s="91"/>
      <c r="I1394" s="115"/>
      <c r="J1394" s="139" t="s">
        <v>72</v>
      </c>
      <c r="K1394" s="94">
        <v>94.953999999999994</v>
      </c>
      <c r="L1394" s="122" t="str">
        <f>VLOOKUP(K1394,Liste!$L$2:$O$34,4,1)</f>
        <v>GSMR_17/18</v>
      </c>
      <c r="M1394" s="94" t="s">
        <v>36</v>
      </c>
      <c r="N1394" s="124" t="s">
        <v>37</v>
      </c>
      <c r="O1394" s="117" t="s">
        <v>2959</v>
      </c>
      <c r="P1394" s="117" t="s">
        <v>2793</v>
      </c>
      <c r="Q1394" s="118" t="s">
        <v>54</v>
      </c>
      <c r="R1394" s="184" t="s">
        <v>2916</v>
      </c>
      <c r="S1394" s="124" t="s">
        <v>2960</v>
      </c>
      <c r="T1394" s="124" t="s">
        <v>56</v>
      </c>
      <c r="U1394" s="124" t="s">
        <v>2848</v>
      </c>
      <c r="V1394" s="124" t="s">
        <v>51</v>
      </c>
      <c r="W1394" s="124" t="s">
        <v>51</v>
      </c>
      <c r="X1394" s="124" t="s">
        <v>52</v>
      </c>
      <c r="Y1394" s="124" t="s">
        <v>946</v>
      </c>
      <c r="Z1394" s="91"/>
      <c r="AA1394" s="124" t="s">
        <v>802</v>
      </c>
      <c r="AB1394" s="91"/>
      <c r="AC1394" s="91"/>
      <c r="AD1394" s="91"/>
      <c r="AE1394" s="91"/>
      <c r="AF1394" s="91"/>
      <c r="AG1394" s="91"/>
      <c r="AH1394" s="91"/>
    </row>
    <row r="1395" spans="1:34" ht="60">
      <c r="A1395" s="120">
        <v>1394</v>
      </c>
      <c r="B1395" s="120" t="b">
        <f t="shared" ref="B1395" ca="1" si="22">AND(C1395&gt;=TODAY()-7, C1395&lt;=TODAY()-1)</f>
        <v>0</v>
      </c>
      <c r="C1395" s="121">
        <v>45898</v>
      </c>
      <c r="D1395" s="137">
        <v>0.49084490740740738</v>
      </c>
      <c r="E1395" s="91">
        <v>1018</v>
      </c>
      <c r="F1395" s="91">
        <v>1210</v>
      </c>
      <c r="G1395" s="143" t="s">
        <v>71</v>
      </c>
      <c r="H1395" s="91"/>
      <c r="I1395" s="115"/>
      <c r="J1395" s="139" t="s">
        <v>72</v>
      </c>
      <c r="K1395" s="94">
        <v>94.953999999999994</v>
      </c>
      <c r="L1395" s="122" t="str">
        <f>VLOOKUP(K1395,Liste!$L$2:$O$34,4,1)</f>
        <v>GSMR_17/18</v>
      </c>
      <c r="M1395" s="94" t="s">
        <v>36</v>
      </c>
      <c r="N1395" s="124" t="s">
        <v>37</v>
      </c>
      <c r="O1395" s="117" t="s">
        <v>2961</v>
      </c>
      <c r="P1395" s="117" t="s">
        <v>2793</v>
      </c>
      <c r="Q1395" s="118" t="s">
        <v>54</v>
      </c>
      <c r="R1395" s="184" t="s">
        <v>2916</v>
      </c>
      <c r="S1395" s="124" t="s">
        <v>2962</v>
      </c>
      <c r="T1395" s="124" t="s">
        <v>56</v>
      </c>
      <c r="U1395" s="124" t="s">
        <v>2795</v>
      </c>
      <c r="V1395" s="124" t="s">
        <v>51</v>
      </c>
      <c r="W1395" s="124" t="s">
        <v>51</v>
      </c>
      <c r="X1395" s="124" t="s">
        <v>52</v>
      </c>
      <c r="Y1395" s="124" t="s">
        <v>2107</v>
      </c>
      <c r="Z1395" s="91"/>
      <c r="AA1395" s="124" t="s">
        <v>802</v>
      </c>
      <c r="AB1395" s="91"/>
      <c r="AC1395" s="91"/>
      <c r="AD1395" s="91"/>
      <c r="AE1395" s="91"/>
      <c r="AF1395" s="91"/>
      <c r="AG1395" s="91"/>
      <c r="AH1395" s="91"/>
    </row>
    <row r="1396" spans="1:34" ht="60">
      <c r="A1396" s="120">
        <v>1395</v>
      </c>
      <c r="B1396" s="120" t="b">
        <f t="shared" ref="B1396:B1397" ca="1" si="23">AND(C1396&gt;=TODAY()-7, C1396&lt;=TODAY()-1)</f>
        <v>0</v>
      </c>
      <c r="C1396" s="121">
        <v>45899</v>
      </c>
      <c r="D1396" s="137">
        <v>0.36501157407407409</v>
      </c>
      <c r="E1396" s="91">
        <v>1005</v>
      </c>
      <c r="F1396" s="91">
        <v>1208</v>
      </c>
      <c r="G1396" s="143" t="s">
        <v>71</v>
      </c>
      <c r="H1396" s="91"/>
      <c r="I1396" s="115"/>
      <c r="J1396" s="139" t="s">
        <v>72</v>
      </c>
      <c r="K1396" s="94">
        <v>94.953999999999994</v>
      </c>
      <c r="L1396" s="122" t="str">
        <f>VLOOKUP(K1396,Liste!$L$2:$O$34,4,1)</f>
        <v>GSMR_17/18</v>
      </c>
      <c r="M1396" s="94" t="s">
        <v>36</v>
      </c>
      <c r="N1396" s="124" t="s">
        <v>37</v>
      </c>
      <c r="O1396" s="117" t="s">
        <v>2963</v>
      </c>
      <c r="P1396" s="117" t="s">
        <v>2793</v>
      </c>
      <c r="Q1396" s="118" t="s">
        <v>54</v>
      </c>
      <c r="R1396" s="184" t="s">
        <v>2916</v>
      </c>
      <c r="S1396" s="124" t="s">
        <v>2964</v>
      </c>
      <c r="T1396" s="124" t="s">
        <v>56</v>
      </c>
      <c r="U1396" s="124" t="s">
        <v>2893</v>
      </c>
      <c r="V1396" s="124" t="s">
        <v>51</v>
      </c>
      <c r="W1396" s="124" t="s">
        <v>51</v>
      </c>
      <c r="X1396" s="124" t="s">
        <v>52</v>
      </c>
      <c r="Y1396" s="124" t="s">
        <v>2107</v>
      </c>
      <c r="Z1396" s="91"/>
      <c r="AA1396" s="124" t="s">
        <v>802</v>
      </c>
      <c r="AB1396" s="91"/>
      <c r="AC1396" s="91"/>
      <c r="AD1396" s="91"/>
      <c r="AE1396" s="91"/>
      <c r="AF1396" s="91"/>
      <c r="AG1396" s="91"/>
      <c r="AH1396" s="91"/>
    </row>
    <row r="1397" spans="1:34" ht="60">
      <c r="A1397" s="120">
        <v>1396</v>
      </c>
      <c r="B1397" s="120" t="b">
        <f t="shared" ca="1" si="23"/>
        <v>0</v>
      </c>
      <c r="C1397" s="121">
        <v>45899</v>
      </c>
      <c r="D1397" s="137">
        <v>0.71181712962962962</v>
      </c>
      <c r="E1397" s="91">
        <v>2045</v>
      </c>
      <c r="F1397" s="91">
        <v>1211</v>
      </c>
      <c r="G1397" s="143" t="s">
        <v>71</v>
      </c>
      <c r="H1397" s="91"/>
      <c r="I1397" s="115"/>
      <c r="J1397" s="139" t="s">
        <v>35</v>
      </c>
      <c r="K1397" s="160">
        <v>6.13</v>
      </c>
      <c r="L1397" s="122" t="str">
        <f>VLOOKUP(K1397,Liste!$L$2:$O$34,4,1)</f>
        <v>GSMR_02/03</v>
      </c>
      <c r="M1397" s="94" t="s">
        <v>36</v>
      </c>
      <c r="N1397" s="124" t="s">
        <v>37</v>
      </c>
      <c r="O1397" s="117" t="s">
        <v>2965</v>
      </c>
      <c r="P1397" s="127"/>
      <c r="Q1397" s="118" t="s">
        <v>39</v>
      </c>
      <c r="R1397" s="184" t="s">
        <v>2947</v>
      </c>
      <c r="S1397" s="124" t="s">
        <v>1459</v>
      </c>
      <c r="T1397" s="124" t="s">
        <v>56</v>
      </c>
      <c r="U1397" s="124" t="s">
        <v>2751</v>
      </c>
      <c r="V1397" s="124" t="s">
        <v>51</v>
      </c>
      <c r="W1397" s="124" t="s">
        <v>51</v>
      </c>
      <c r="X1397" s="124" t="s">
        <v>52</v>
      </c>
      <c r="Y1397" s="124" t="s">
        <v>2966</v>
      </c>
      <c r="Z1397" s="91"/>
      <c r="AA1397" s="124" t="s">
        <v>2967</v>
      </c>
      <c r="AB1397" s="91"/>
      <c r="AC1397" s="91"/>
      <c r="AD1397" s="91"/>
      <c r="AE1397" s="91"/>
      <c r="AF1397" s="91"/>
      <c r="AG1397" s="91"/>
      <c r="AH1397" s="91"/>
    </row>
    <row r="1398" spans="1:34" ht="60">
      <c r="A1398" s="120">
        <v>1396</v>
      </c>
      <c r="B1398" s="120" t="b">
        <f t="shared" ref="B1398:B1399" ca="1" si="24">AND(C1398&gt;=TODAY()-7, C1398&lt;=TODAY()-1)</f>
        <v>0</v>
      </c>
      <c r="C1398" s="121">
        <v>45899</v>
      </c>
      <c r="D1398" s="137">
        <v>0.74362268518518515</v>
      </c>
      <c r="E1398" s="91">
        <v>1042</v>
      </c>
      <c r="F1398" s="91">
        <v>1208</v>
      </c>
      <c r="G1398" s="143" t="s">
        <v>71</v>
      </c>
      <c r="H1398" s="91"/>
      <c r="I1398" s="115"/>
      <c r="J1398" s="139" t="s">
        <v>72</v>
      </c>
      <c r="K1398" s="94">
        <v>94.950999999999993</v>
      </c>
      <c r="L1398" s="122" t="str">
        <f>VLOOKUP(K1398,Liste!$L$2:$O$34,4,1)</f>
        <v>GSMR_17/18</v>
      </c>
      <c r="M1398" s="94" t="s">
        <v>36</v>
      </c>
      <c r="N1398" s="124" t="s">
        <v>37</v>
      </c>
      <c r="O1398" s="117" t="s">
        <v>2963</v>
      </c>
      <c r="P1398" s="117" t="s">
        <v>2793</v>
      </c>
      <c r="Q1398" s="118" t="s">
        <v>54</v>
      </c>
      <c r="R1398" s="184" t="s">
        <v>2916</v>
      </c>
      <c r="S1398" s="124" t="s">
        <v>2968</v>
      </c>
      <c r="T1398" s="124" t="s">
        <v>56</v>
      </c>
      <c r="U1398" s="124" t="s">
        <v>2152</v>
      </c>
      <c r="V1398" s="124" t="s">
        <v>51</v>
      </c>
      <c r="W1398" s="124" t="s">
        <v>51</v>
      </c>
      <c r="X1398" s="124" t="s">
        <v>52</v>
      </c>
      <c r="Y1398" s="124" t="s">
        <v>2107</v>
      </c>
      <c r="Z1398" s="91"/>
      <c r="AA1398" s="124" t="s">
        <v>2967</v>
      </c>
      <c r="AB1398" s="91"/>
      <c r="AC1398" s="91"/>
      <c r="AD1398" s="91"/>
      <c r="AE1398" s="91"/>
      <c r="AF1398" s="91"/>
      <c r="AG1398" s="91"/>
      <c r="AH1398" s="91"/>
    </row>
    <row r="1399" spans="1:34" ht="60">
      <c r="A1399" s="120">
        <v>1397</v>
      </c>
      <c r="B1399" s="120" t="b">
        <f t="shared" ca="1" si="24"/>
        <v>0</v>
      </c>
      <c r="C1399" s="121">
        <v>45902</v>
      </c>
      <c r="D1399" s="137">
        <v>0.40815972222222224</v>
      </c>
      <c r="E1399" s="91">
        <v>1010</v>
      </c>
      <c r="F1399" s="91">
        <v>1208</v>
      </c>
      <c r="G1399" s="143" t="s">
        <v>71</v>
      </c>
      <c r="H1399" s="91"/>
      <c r="I1399" s="115"/>
      <c r="J1399" s="139" t="s">
        <v>72</v>
      </c>
      <c r="K1399" s="94">
        <v>94.950999999999993</v>
      </c>
      <c r="L1399" s="122" t="str">
        <f>VLOOKUP(K1399,Liste!$L$2:$O$34,4,1)</f>
        <v>GSMR_17/18</v>
      </c>
      <c r="M1399" s="94" t="s">
        <v>36</v>
      </c>
      <c r="N1399" s="124" t="s">
        <v>37</v>
      </c>
      <c r="O1399" s="117" t="s">
        <v>2963</v>
      </c>
      <c r="P1399" s="117" t="s">
        <v>2793</v>
      </c>
      <c r="Q1399" s="118" t="s">
        <v>54</v>
      </c>
      <c r="R1399" s="184" t="s">
        <v>2916</v>
      </c>
      <c r="S1399" s="124" t="s">
        <v>2968</v>
      </c>
      <c r="T1399" s="124" t="s">
        <v>93</v>
      </c>
      <c r="U1399" s="124" t="s">
        <v>2848</v>
      </c>
      <c r="V1399" s="124" t="s">
        <v>51</v>
      </c>
      <c r="W1399" s="124" t="s">
        <v>51</v>
      </c>
      <c r="X1399" s="124" t="s">
        <v>52</v>
      </c>
      <c r="Y1399" s="124" t="s">
        <v>2107</v>
      </c>
      <c r="Z1399" s="91"/>
      <c r="AA1399" s="124" t="s">
        <v>802</v>
      </c>
      <c r="AB1399" s="91"/>
      <c r="AC1399" s="91"/>
      <c r="AD1399" s="91"/>
      <c r="AE1399" s="91"/>
      <c r="AF1399" s="91"/>
      <c r="AG1399" s="91"/>
      <c r="AH1399" s="91"/>
    </row>
    <row r="1400" spans="1:34" ht="60">
      <c r="A1400" s="120">
        <v>1398</v>
      </c>
      <c r="B1400" s="120" t="b">
        <f t="shared" ref="B1400" ca="1" si="25">AND(C1400&gt;=TODAY()-7, C1400&lt;=TODAY()-1)</f>
        <v>0</v>
      </c>
      <c r="C1400" s="121">
        <v>45902</v>
      </c>
      <c r="D1400" s="137">
        <v>0.9098032407407407</v>
      </c>
      <c r="E1400" s="91">
        <v>1058</v>
      </c>
      <c r="F1400" s="91">
        <v>1208</v>
      </c>
      <c r="G1400" s="143" t="s">
        <v>71</v>
      </c>
      <c r="H1400" s="91"/>
      <c r="I1400" s="115"/>
      <c r="J1400" s="139" t="s">
        <v>72</v>
      </c>
      <c r="K1400" s="94">
        <v>94.950999999999993</v>
      </c>
      <c r="L1400" s="122" t="str">
        <f>VLOOKUP(K1400,Liste!$L$2:$O$34,4,1)</f>
        <v>GSMR_17/18</v>
      </c>
      <c r="M1400" s="94" t="s">
        <v>36</v>
      </c>
      <c r="N1400" s="124" t="s">
        <v>37</v>
      </c>
      <c r="O1400" s="117" t="s">
        <v>2963</v>
      </c>
      <c r="P1400" s="117" t="s">
        <v>2793</v>
      </c>
      <c r="Q1400" s="118" t="s">
        <v>54</v>
      </c>
      <c r="R1400" s="184" t="s">
        <v>2916</v>
      </c>
      <c r="S1400" s="124" t="s">
        <v>2968</v>
      </c>
      <c r="T1400" s="124" t="s">
        <v>93</v>
      </c>
      <c r="U1400" s="124" t="s">
        <v>2152</v>
      </c>
      <c r="V1400" s="124" t="s">
        <v>51</v>
      </c>
      <c r="W1400" s="124" t="s">
        <v>51</v>
      </c>
      <c r="X1400" s="124" t="s">
        <v>52</v>
      </c>
      <c r="Y1400" s="124" t="s">
        <v>2107</v>
      </c>
      <c r="Z1400" s="91"/>
      <c r="AA1400" s="124" t="s">
        <v>793</v>
      </c>
      <c r="AB1400" s="91"/>
      <c r="AC1400" s="91"/>
      <c r="AD1400" s="91"/>
      <c r="AE1400" s="91"/>
      <c r="AF1400" s="91"/>
      <c r="AG1400" s="91"/>
      <c r="AH1400" s="91"/>
    </row>
    <row r="1401" spans="1:34" ht="105">
      <c r="A1401" s="120">
        <v>1399</v>
      </c>
      <c r="B1401" s="120" t="b">
        <f t="shared" ref="B1401:B1405" ca="1" si="26">AND(C1401&gt;=TODAY()-7, C1401&lt;=TODAY()-1)</f>
        <v>0</v>
      </c>
      <c r="C1401" s="121">
        <v>45902</v>
      </c>
      <c r="D1401" s="137">
        <v>0.92016203703703703</v>
      </c>
      <c r="E1401" s="94">
        <v>10081</v>
      </c>
      <c r="F1401" s="91">
        <v>1210</v>
      </c>
      <c r="G1401" s="143" t="s">
        <v>34</v>
      </c>
      <c r="H1401" s="139">
        <v>1050</v>
      </c>
      <c r="I1401" s="163"/>
      <c r="J1401" s="139" t="s">
        <v>35</v>
      </c>
      <c r="K1401" s="161">
        <v>6.13</v>
      </c>
      <c r="L1401" s="122" t="str">
        <f>VLOOKUP(K1401,Liste!$L$2:$O$34,4,1)</f>
        <v>GSMR_02/03</v>
      </c>
      <c r="M1401" s="94" t="s">
        <v>36</v>
      </c>
      <c r="N1401" s="124" t="s">
        <v>58</v>
      </c>
      <c r="O1401" s="117" t="s">
        <v>2946</v>
      </c>
      <c r="P1401" s="116" t="s">
        <v>2665</v>
      </c>
      <c r="Q1401" s="118" t="s">
        <v>39</v>
      </c>
      <c r="R1401" s="184" t="s">
        <v>2947</v>
      </c>
      <c r="S1401" s="124" t="s">
        <v>2934</v>
      </c>
      <c r="T1401" s="124" t="s">
        <v>56</v>
      </c>
      <c r="U1401" s="124" t="s">
        <v>2789</v>
      </c>
      <c r="V1401" s="124" t="s">
        <v>51</v>
      </c>
      <c r="W1401" s="124" t="s">
        <v>51</v>
      </c>
      <c r="X1401" s="124" t="s">
        <v>52</v>
      </c>
      <c r="Y1401" s="124" t="s">
        <v>946</v>
      </c>
      <c r="Z1401" s="91"/>
      <c r="AA1401" s="124" t="s">
        <v>1183</v>
      </c>
      <c r="AB1401" s="91"/>
      <c r="AC1401" s="91"/>
      <c r="AD1401" s="91"/>
      <c r="AE1401" s="91"/>
      <c r="AF1401" s="91"/>
      <c r="AG1401" s="91"/>
      <c r="AH1401" s="91"/>
    </row>
    <row r="1402" spans="1:34" ht="60">
      <c r="A1402" s="120">
        <v>1400</v>
      </c>
      <c r="B1402" s="120" t="b">
        <f t="shared" ca="1" si="26"/>
        <v>0</v>
      </c>
      <c r="C1402" s="121">
        <v>45903</v>
      </c>
      <c r="D1402" s="137">
        <v>0.3240277777777778</v>
      </c>
      <c r="E1402" s="94">
        <v>1001</v>
      </c>
      <c r="F1402" s="91">
        <v>1210</v>
      </c>
      <c r="G1402" s="143" t="s">
        <v>71</v>
      </c>
      <c r="H1402" s="139">
        <v>1051</v>
      </c>
      <c r="I1402" s="163"/>
      <c r="J1402" s="139" t="s">
        <v>72</v>
      </c>
      <c r="K1402" s="94">
        <v>94.953999999999994</v>
      </c>
      <c r="L1402" s="122" t="str">
        <f>VLOOKUP(K1402,Liste!$L$2:$O$34,4,1)</f>
        <v>GSMR_17/18</v>
      </c>
      <c r="M1402" s="94" t="s">
        <v>36</v>
      </c>
      <c r="N1402" s="124" t="s">
        <v>37</v>
      </c>
      <c r="O1402" s="117" t="s">
        <v>2969</v>
      </c>
      <c r="P1402" s="117" t="s">
        <v>2793</v>
      </c>
      <c r="Q1402" s="118" t="s">
        <v>54</v>
      </c>
      <c r="R1402" s="184" t="s">
        <v>2916</v>
      </c>
      <c r="S1402" s="124" t="s">
        <v>2970</v>
      </c>
      <c r="T1402" s="124" t="s">
        <v>56</v>
      </c>
      <c r="U1402" s="124" t="s">
        <v>2848</v>
      </c>
      <c r="V1402" s="124" t="s">
        <v>51</v>
      </c>
      <c r="W1402" s="124" t="s">
        <v>51</v>
      </c>
      <c r="X1402" s="124" t="s">
        <v>52</v>
      </c>
      <c r="Y1402" s="124" t="s">
        <v>946</v>
      </c>
      <c r="Z1402" s="91"/>
      <c r="AA1402" s="124" t="s">
        <v>802</v>
      </c>
      <c r="AB1402" s="91"/>
      <c r="AC1402" s="91"/>
      <c r="AD1402" s="91"/>
      <c r="AE1402" s="91"/>
      <c r="AF1402" s="91"/>
      <c r="AG1402" s="91"/>
      <c r="AH1402" s="91"/>
    </row>
    <row r="1403" spans="1:34" ht="60">
      <c r="A1403" s="120">
        <v>1401</v>
      </c>
      <c r="B1403" s="120" t="b">
        <f t="shared" ca="1" si="26"/>
        <v>0</v>
      </c>
      <c r="C1403" s="121">
        <v>45903</v>
      </c>
      <c r="D1403" s="137" t="s">
        <v>2971</v>
      </c>
      <c r="E1403" s="94">
        <v>1005</v>
      </c>
      <c r="F1403" s="91" t="s">
        <v>2972</v>
      </c>
      <c r="G1403" s="143" t="s">
        <v>71</v>
      </c>
      <c r="H1403" s="139">
        <v>1052</v>
      </c>
      <c r="I1403" s="163"/>
      <c r="J1403" s="139" t="s">
        <v>72</v>
      </c>
      <c r="K1403" s="94">
        <v>94.953999999999994</v>
      </c>
      <c r="L1403" s="122" t="str">
        <f>VLOOKUP(K1403,Liste!$L$2:$O$34,4,1)</f>
        <v>GSMR_17/18</v>
      </c>
      <c r="M1403" s="94" t="s">
        <v>36</v>
      </c>
      <c r="N1403" s="124" t="s">
        <v>37</v>
      </c>
      <c r="O1403" s="117" t="s">
        <v>2963</v>
      </c>
      <c r="P1403" s="117" t="s">
        <v>2793</v>
      </c>
      <c r="Q1403" s="118" t="s">
        <v>54</v>
      </c>
      <c r="R1403" s="184" t="s">
        <v>2916</v>
      </c>
      <c r="S1403" s="124" t="s">
        <v>2970</v>
      </c>
      <c r="T1403" s="124" t="s">
        <v>56</v>
      </c>
      <c r="U1403" s="124" t="s">
        <v>2152</v>
      </c>
      <c r="V1403" s="124" t="s">
        <v>51</v>
      </c>
      <c r="W1403" s="124" t="s">
        <v>51</v>
      </c>
      <c r="X1403" s="124" t="s">
        <v>52</v>
      </c>
      <c r="Y1403" s="124" t="s">
        <v>2107</v>
      </c>
      <c r="Z1403" s="91"/>
      <c r="AA1403" s="124" t="s">
        <v>802</v>
      </c>
      <c r="AB1403" s="91"/>
      <c r="AC1403" s="91"/>
      <c r="AD1403" s="91"/>
      <c r="AE1403" s="91"/>
      <c r="AF1403" s="91"/>
      <c r="AG1403" s="91"/>
      <c r="AH1403" s="91"/>
    </row>
    <row r="1404" spans="1:34" ht="60">
      <c r="A1404" s="120">
        <v>1402</v>
      </c>
      <c r="B1404" s="120" t="b">
        <f t="shared" ca="1" si="26"/>
        <v>0</v>
      </c>
      <c r="C1404" s="121">
        <v>45903</v>
      </c>
      <c r="D1404" s="137">
        <v>0.40837962962962965</v>
      </c>
      <c r="E1404" s="94">
        <v>1010</v>
      </c>
      <c r="F1404" s="91">
        <v>1205</v>
      </c>
      <c r="G1404" s="143" t="s">
        <v>71</v>
      </c>
      <c r="H1404" s="139">
        <v>1053</v>
      </c>
      <c r="I1404" s="163"/>
      <c r="J1404" s="139" t="s">
        <v>72</v>
      </c>
      <c r="K1404" s="94">
        <v>94.953999999999994</v>
      </c>
      <c r="L1404" s="122" t="str">
        <f>VLOOKUP(K1404,Liste!$L$2:$O$34,4,1)</f>
        <v>GSMR_17/18</v>
      </c>
      <c r="M1404" s="94" t="s">
        <v>36</v>
      </c>
      <c r="N1404" s="124" t="s">
        <v>37</v>
      </c>
      <c r="O1404" s="117" t="s">
        <v>2963</v>
      </c>
      <c r="P1404" s="117" t="s">
        <v>2793</v>
      </c>
      <c r="Q1404" s="118" t="s">
        <v>54</v>
      </c>
      <c r="R1404" s="184" t="s">
        <v>2916</v>
      </c>
      <c r="S1404" s="124" t="s">
        <v>2970</v>
      </c>
      <c r="T1404" s="124" t="s">
        <v>56</v>
      </c>
      <c r="U1404" s="124" t="s">
        <v>2955</v>
      </c>
      <c r="V1404" s="124" t="s">
        <v>51</v>
      </c>
      <c r="W1404" s="124" t="s">
        <v>51</v>
      </c>
      <c r="X1404" s="124" t="s">
        <v>52</v>
      </c>
      <c r="Y1404" s="124" t="s">
        <v>2107</v>
      </c>
      <c r="Z1404" s="91"/>
      <c r="AA1404" s="124" t="s">
        <v>802</v>
      </c>
      <c r="AB1404" s="91"/>
      <c r="AC1404" s="91"/>
      <c r="AD1404" s="91"/>
      <c r="AE1404" s="91"/>
      <c r="AF1404" s="91"/>
      <c r="AG1404" s="91"/>
      <c r="AH1404" s="91"/>
    </row>
    <row r="1405" spans="1:34" ht="105">
      <c r="A1405" s="120">
        <v>1403</v>
      </c>
      <c r="B1405" s="120" t="b">
        <f t="shared" ca="1" si="26"/>
        <v>0</v>
      </c>
      <c r="C1405" s="121">
        <v>45903</v>
      </c>
      <c r="D1405" s="137">
        <v>0.37884259259259262</v>
      </c>
      <c r="E1405" s="94">
        <v>1005</v>
      </c>
      <c r="F1405" s="91">
        <v>1209</v>
      </c>
      <c r="G1405" s="143" t="s">
        <v>71</v>
      </c>
      <c r="H1405" s="139">
        <v>1054</v>
      </c>
      <c r="I1405" s="163"/>
      <c r="J1405" s="139" t="s">
        <v>72</v>
      </c>
      <c r="K1405" s="161">
        <v>7.3209999999999997</v>
      </c>
      <c r="L1405" s="122" t="str">
        <f>VLOOKUP(K1405,Liste!$L$2:$O$34,4,1)</f>
        <v>GSMR_02/03</v>
      </c>
      <c r="M1405" s="94" t="s">
        <v>36</v>
      </c>
      <c r="N1405" s="124" t="s">
        <v>37</v>
      </c>
      <c r="O1405" s="117" t="s">
        <v>2973</v>
      </c>
      <c r="P1405" s="116" t="s">
        <v>2665</v>
      </c>
      <c r="Q1405" s="118" t="s">
        <v>39</v>
      </c>
      <c r="R1405" s="184" t="s">
        <v>2947</v>
      </c>
      <c r="S1405" s="124" t="s">
        <v>2974</v>
      </c>
      <c r="T1405" s="124" t="s">
        <v>1440</v>
      </c>
      <c r="U1405" s="124" t="s">
        <v>2975</v>
      </c>
      <c r="V1405" s="124" t="s">
        <v>51</v>
      </c>
      <c r="W1405" s="124" t="s">
        <v>51</v>
      </c>
      <c r="X1405" s="124" t="s">
        <v>52</v>
      </c>
      <c r="Y1405" s="124" t="s">
        <v>946</v>
      </c>
      <c r="Z1405" s="91"/>
      <c r="AA1405" s="124" t="s">
        <v>802</v>
      </c>
      <c r="AB1405" s="91"/>
      <c r="AC1405" s="91"/>
      <c r="AD1405" s="94"/>
      <c r="AE1405" s="91"/>
      <c r="AF1405" s="91"/>
      <c r="AG1405" s="91"/>
      <c r="AH1405" s="91"/>
    </row>
    <row r="1406" spans="1:34" ht="105">
      <c r="A1406" s="120">
        <v>1404</v>
      </c>
      <c r="B1406" s="120" t="b">
        <f t="shared" ref="B1406:B1418" ca="1" si="27">AND(C1406&gt;=TODAY()-7, C1406&lt;=TODAY()-1)</f>
        <v>0</v>
      </c>
      <c r="C1406" s="121">
        <v>45903</v>
      </c>
      <c r="D1406" s="137">
        <v>0.68707175925925923</v>
      </c>
      <c r="E1406" s="94">
        <v>2041</v>
      </c>
      <c r="F1406" s="91">
        <v>1203</v>
      </c>
      <c r="G1406" s="143" t="s">
        <v>34</v>
      </c>
      <c r="H1406" s="139">
        <v>1055</v>
      </c>
      <c r="I1406" s="163"/>
      <c r="J1406" s="139" t="s">
        <v>35</v>
      </c>
      <c r="K1406" s="94">
        <v>117.258</v>
      </c>
      <c r="L1406" s="122" t="str">
        <f>VLOOKUP(K1406,Liste!$L$2:$O$34,4,1)</f>
        <v>GSMR_20/21</v>
      </c>
      <c r="M1406" s="94" t="s">
        <v>36</v>
      </c>
      <c r="N1406" s="124" t="s">
        <v>37</v>
      </c>
      <c r="O1406" s="117" t="s">
        <v>2976</v>
      </c>
      <c r="P1406" s="116" t="s">
        <v>2665</v>
      </c>
      <c r="Q1406" s="118" t="s">
        <v>54</v>
      </c>
      <c r="R1406" s="184" t="s">
        <v>2916</v>
      </c>
      <c r="S1406" s="124" t="s">
        <v>2977</v>
      </c>
      <c r="T1406" s="124" t="s">
        <v>41</v>
      </c>
      <c r="U1406" s="124" t="s">
        <v>2792</v>
      </c>
      <c r="V1406" s="124" t="s">
        <v>43</v>
      </c>
      <c r="W1406" s="124" t="s">
        <v>51</v>
      </c>
      <c r="X1406" s="124" t="s">
        <v>52</v>
      </c>
      <c r="Y1406" s="124" t="s">
        <v>946</v>
      </c>
      <c r="Z1406" s="91"/>
      <c r="AA1406" s="124" t="s">
        <v>754</v>
      </c>
      <c r="AB1406" s="91"/>
      <c r="AC1406" s="91"/>
      <c r="AD1406" s="140" t="s">
        <v>2953</v>
      </c>
      <c r="AE1406" s="91"/>
      <c r="AF1406" s="91"/>
      <c r="AG1406" s="91"/>
      <c r="AH1406" s="91"/>
    </row>
    <row r="1407" spans="1:34" ht="105">
      <c r="A1407" s="120">
        <v>1405</v>
      </c>
      <c r="B1407" s="120" t="b">
        <f t="shared" ca="1" si="27"/>
        <v>0</v>
      </c>
      <c r="C1407" s="121">
        <v>45904</v>
      </c>
      <c r="D1407" s="137">
        <v>0.33674768518518516</v>
      </c>
      <c r="E1407" s="94">
        <v>2009</v>
      </c>
      <c r="F1407" s="91">
        <v>1211</v>
      </c>
      <c r="G1407" s="143" t="s">
        <v>34</v>
      </c>
      <c r="H1407" s="139">
        <v>1054</v>
      </c>
      <c r="I1407" s="163"/>
      <c r="J1407" s="139" t="s">
        <v>35</v>
      </c>
      <c r="K1407" s="161">
        <v>6.13</v>
      </c>
      <c r="L1407" s="122" t="str">
        <f>VLOOKUP(K1407,Liste!$L$2:$O$34,4,1)</f>
        <v>GSMR_02/03</v>
      </c>
      <c r="M1407" s="94" t="s">
        <v>36</v>
      </c>
      <c r="N1407" s="124" t="s">
        <v>58</v>
      </c>
      <c r="O1407" s="117" t="s">
        <v>2978</v>
      </c>
      <c r="P1407" s="116" t="s">
        <v>2665</v>
      </c>
      <c r="Q1407" s="118" t="s">
        <v>39</v>
      </c>
      <c r="R1407" s="184" t="s">
        <v>2947</v>
      </c>
      <c r="S1407" s="124" t="s">
        <v>2979</v>
      </c>
      <c r="T1407" s="124" t="s">
        <v>93</v>
      </c>
      <c r="U1407" s="124" t="s">
        <v>2980</v>
      </c>
      <c r="V1407" s="124" t="s">
        <v>51</v>
      </c>
      <c r="W1407" s="124" t="s">
        <v>51</v>
      </c>
      <c r="X1407" s="124" t="s">
        <v>52</v>
      </c>
      <c r="Y1407" s="124" t="s">
        <v>946</v>
      </c>
      <c r="Z1407" s="91"/>
      <c r="AA1407" s="124" t="s">
        <v>802</v>
      </c>
      <c r="AB1407" s="91"/>
      <c r="AC1407" s="91"/>
      <c r="AD1407" s="94"/>
      <c r="AE1407" s="91"/>
      <c r="AF1407" s="91"/>
      <c r="AG1407" s="91"/>
      <c r="AH1407" s="91"/>
    </row>
    <row r="1408" spans="1:34" ht="105">
      <c r="A1408" s="120">
        <v>1406</v>
      </c>
      <c r="B1408" s="120" t="b">
        <f t="shared" ca="1" si="27"/>
        <v>0</v>
      </c>
      <c r="C1408" s="121">
        <v>45905</v>
      </c>
      <c r="D1408" s="137">
        <v>0.33734953703703702</v>
      </c>
      <c r="E1408" s="94">
        <v>2009</v>
      </c>
      <c r="F1408" s="91">
        <v>1204</v>
      </c>
      <c r="G1408" s="143" t="s">
        <v>34</v>
      </c>
      <c r="H1408" s="139">
        <v>1053</v>
      </c>
      <c r="I1408" s="163"/>
      <c r="J1408" s="139" t="s">
        <v>35</v>
      </c>
      <c r="K1408" s="161">
        <v>6.13</v>
      </c>
      <c r="L1408" s="122" t="str">
        <f>VLOOKUP(K1408,Liste!$L$2:$O$34,4,1)</f>
        <v>GSMR_02/03</v>
      </c>
      <c r="M1408" s="94" t="s">
        <v>36</v>
      </c>
      <c r="N1408" s="124" t="s">
        <v>58</v>
      </c>
      <c r="O1408" s="117" t="s">
        <v>2981</v>
      </c>
      <c r="P1408" s="116" t="s">
        <v>2665</v>
      </c>
      <c r="Q1408" s="118" t="s">
        <v>39</v>
      </c>
      <c r="R1408" s="184" t="s">
        <v>2947</v>
      </c>
      <c r="S1408" s="124" t="s">
        <v>2982</v>
      </c>
      <c r="T1408" s="124" t="s">
        <v>209</v>
      </c>
      <c r="U1408" s="124" t="s">
        <v>2983</v>
      </c>
      <c r="V1408" s="124" t="s">
        <v>51</v>
      </c>
      <c r="W1408" s="124" t="s">
        <v>51</v>
      </c>
      <c r="X1408" s="124" t="s">
        <v>52</v>
      </c>
      <c r="Y1408" s="124" t="s">
        <v>946</v>
      </c>
      <c r="Z1408" s="91"/>
      <c r="AA1408" s="124" t="s">
        <v>757</v>
      </c>
      <c r="AB1408" s="91"/>
      <c r="AC1408" s="91"/>
      <c r="AD1408" s="94"/>
      <c r="AE1408" s="91"/>
      <c r="AF1408" s="91"/>
      <c r="AG1408" s="91"/>
      <c r="AH1408" s="91"/>
    </row>
    <row r="1409" spans="1:34" ht="105">
      <c r="A1409" s="120">
        <v>1408</v>
      </c>
      <c r="B1409" s="120" t="b">
        <f t="shared" ca="1" si="27"/>
        <v>0</v>
      </c>
      <c r="C1409" s="121">
        <v>45905</v>
      </c>
      <c r="D1409" s="137">
        <v>0.50421296296296292</v>
      </c>
      <c r="E1409" s="94">
        <v>2025</v>
      </c>
      <c r="F1409" s="91">
        <v>1202</v>
      </c>
      <c r="G1409" s="143" t="s">
        <v>34</v>
      </c>
      <c r="H1409" s="139">
        <v>1043</v>
      </c>
      <c r="I1409" s="163"/>
      <c r="J1409" s="139" t="s">
        <v>35</v>
      </c>
      <c r="K1409" s="161">
        <v>6.13</v>
      </c>
      <c r="L1409" s="122" t="str">
        <f>VLOOKUP(K1409,Liste!$L$2:$O$34,4,1)</f>
        <v>GSMR_02/03</v>
      </c>
      <c r="M1409" s="94" t="s">
        <v>36</v>
      </c>
      <c r="N1409" s="124" t="s">
        <v>37</v>
      </c>
      <c r="O1409" s="117" t="s">
        <v>2984</v>
      </c>
      <c r="P1409" s="116" t="s">
        <v>2665</v>
      </c>
      <c r="Q1409" s="118" t="s">
        <v>39</v>
      </c>
      <c r="R1409" s="184" t="s">
        <v>2947</v>
      </c>
      <c r="S1409" s="124" t="s">
        <v>2985</v>
      </c>
      <c r="T1409" s="124" t="s">
        <v>56</v>
      </c>
      <c r="U1409" s="124" t="s">
        <v>2986</v>
      </c>
      <c r="V1409" s="124" t="s">
        <v>51</v>
      </c>
      <c r="W1409" s="124" t="s">
        <v>51</v>
      </c>
      <c r="X1409" s="124" t="s">
        <v>52</v>
      </c>
      <c r="Y1409" s="124" t="s">
        <v>946</v>
      </c>
      <c r="Z1409" s="91"/>
      <c r="AA1409" s="124" t="s">
        <v>754</v>
      </c>
      <c r="AB1409" s="91"/>
      <c r="AC1409" s="91"/>
      <c r="AD1409" s="94"/>
      <c r="AE1409" s="91"/>
      <c r="AF1409" s="91"/>
      <c r="AG1409" s="91"/>
      <c r="AH1409" s="91"/>
    </row>
    <row r="1410" spans="1:34" ht="60">
      <c r="A1410" s="120">
        <v>1407</v>
      </c>
      <c r="B1410" s="120" t="b">
        <f ca="1">AND(C1410&gt;=TODAY()-7, C1410&lt;=TODAY()-1)</f>
        <v>0</v>
      </c>
      <c r="C1410" s="121">
        <v>45905</v>
      </c>
      <c r="D1410" s="137">
        <v>0.49004629629629631</v>
      </c>
      <c r="E1410" s="94">
        <v>1017</v>
      </c>
      <c r="F1410" s="91">
        <v>1205</v>
      </c>
      <c r="G1410" s="143" t="s">
        <v>71</v>
      </c>
      <c r="H1410" s="139">
        <v>1061</v>
      </c>
      <c r="I1410" s="163"/>
      <c r="J1410" s="139" t="s">
        <v>72</v>
      </c>
      <c r="K1410" s="94">
        <v>94.953999999999994</v>
      </c>
      <c r="L1410" s="122" t="str">
        <f>VLOOKUP(K1410,Liste!$L$2:$O$34,4,1)</f>
        <v>GSMR_17/18</v>
      </c>
      <c r="M1410" s="94" t="s">
        <v>36</v>
      </c>
      <c r="N1410" s="124" t="s">
        <v>37</v>
      </c>
      <c r="O1410" s="117" t="s">
        <v>2987</v>
      </c>
      <c r="P1410" s="117" t="s">
        <v>2793</v>
      </c>
      <c r="Q1410" s="118" t="s">
        <v>39</v>
      </c>
      <c r="R1410" s="184" t="s">
        <v>2988</v>
      </c>
      <c r="S1410" s="124" t="s">
        <v>2989</v>
      </c>
      <c r="T1410" s="124" t="s">
        <v>69</v>
      </c>
      <c r="U1410" s="124" t="s">
        <v>2990</v>
      </c>
      <c r="V1410" s="124" t="s">
        <v>51</v>
      </c>
      <c r="W1410" s="124" t="s">
        <v>51</v>
      </c>
      <c r="X1410" s="124" t="s">
        <v>52</v>
      </c>
      <c r="Y1410" s="124" t="s">
        <v>946</v>
      </c>
      <c r="Z1410" s="91"/>
      <c r="AA1410" s="124" t="s">
        <v>754</v>
      </c>
      <c r="AB1410" s="91"/>
      <c r="AC1410" s="91"/>
      <c r="AD1410" s="94"/>
      <c r="AE1410" s="91"/>
      <c r="AF1410" s="91"/>
      <c r="AG1410" s="91"/>
      <c r="AH1410" s="91"/>
    </row>
    <row r="1411" spans="1:34" ht="60">
      <c r="A1411" s="120">
        <v>1409</v>
      </c>
      <c r="B1411" s="120" t="b">
        <f t="shared" ca="1" si="27"/>
        <v>0</v>
      </c>
      <c r="C1411" s="121">
        <v>45905</v>
      </c>
      <c r="D1411" s="137">
        <v>0.78274305555555557</v>
      </c>
      <c r="E1411" s="94">
        <v>1045</v>
      </c>
      <c r="F1411" s="91">
        <v>1209</v>
      </c>
      <c r="G1411" s="143" t="s">
        <v>71</v>
      </c>
      <c r="H1411" s="139">
        <v>1032</v>
      </c>
      <c r="I1411" s="163"/>
      <c r="J1411" s="139" t="s">
        <v>72</v>
      </c>
      <c r="K1411" s="94">
        <v>94.953999999999994</v>
      </c>
      <c r="L1411" s="122" t="str">
        <f>VLOOKUP(K1411,Liste!$L$2:$O$34,4,1)</f>
        <v>GSMR_17/18</v>
      </c>
      <c r="M1411" s="94" t="s">
        <v>36</v>
      </c>
      <c r="N1411" s="124" t="s">
        <v>37</v>
      </c>
      <c r="O1411" s="117" t="s">
        <v>2991</v>
      </c>
      <c r="P1411" s="117" t="s">
        <v>2793</v>
      </c>
      <c r="Q1411" s="118" t="s">
        <v>39</v>
      </c>
      <c r="R1411" s="184" t="s">
        <v>2988</v>
      </c>
      <c r="S1411" s="124" t="s">
        <v>2992</v>
      </c>
      <c r="T1411" s="124" t="s">
        <v>56</v>
      </c>
      <c r="U1411" s="124" t="s">
        <v>2740</v>
      </c>
      <c r="V1411" s="124" t="s">
        <v>51</v>
      </c>
      <c r="W1411" s="124" t="s">
        <v>51</v>
      </c>
      <c r="X1411" s="124" t="s">
        <v>52</v>
      </c>
      <c r="Y1411" s="124" t="s">
        <v>946</v>
      </c>
      <c r="Z1411" s="91"/>
      <c r="AA1411" s="124" t="s">
        <v>1295</v>
      </c>
      <c r="AB1411" s="91"/>
      <c r="AC1411" s="91"/>
      <c r="AD1411" s="94"/>
      <c r="AE1411" s="91"/>
      <c r="AF1411" s="91"/>
      <c r="AG1411" s="91"/>
      <c r="AH1411" s="91"/>
    </row>
    <row r="1412" spans="1:34" ht="60">
      <c r="A1412" s="120">
        <v>1410</v>
      </c>
      <c r="B1412" s="120" t="b">
        <f t="shared" ca="1" si="27"/>
        <v>0</v>
      </c>
      <c r="C1412" s="121">
        <v>45905</v>
      </c>
      <c r="D1412" s="137">
        <v>0.93138888888888893</v>
      </c>
      <c r="E1412" s="94">
        <v>10081</v>
      </c>
      <c r="F1412" s="91">
        <v>1205</v>
      </c>
      <c r="G1412" s="143" t="s">
        <v>34</v>
      </c>
      <c r="H1412" s="139">
        <v>7217</v>
      </c>
      <c r="I1412" s="163"/>
      <c r="J1412" s="139" t="s">
        <v>35</v>
      </c>
      <c r="K1412" s="94">
        <v>73.585999999999999</v>
      </c>
      <c r="L1412" s="122" t="str">
        <f>VLOOKUP(K1412,Liste!$L$2:$O$34,4,1)</f>
        <v>GSMR_13/14</v>
      </c>
      <c r="M1412" s="94" t="s">
        <v>36</v>
      </c>
      <c r="N1412" s="124" t="s">
        <v>37</v>
      </c>
      <c r="O1412" s="117" t="s">
        <v>2993</v>
      </c>
      <c r="P1412" s="116"/>
      <c r="Q1412" s="118" t="s">
        <v>54</v>
      </c>
      <c r="R1412" s="184" t="s">
        <v>2869</v>
      </c>
      <c r="S1412" s="124" t="s">
        <v>2994</v>
      </c>
      <c r="T1412" s="124" t="s">
        <v>56</v>
      </c>
      <c r="U1412" s="124" t="s">
        <v>2743</v>
      </c>
      <c r="V1412" s="124" t="s">
        <v>51</v>
      </c>
      <c r="W1412" s="124" t="s">
        <v>51</v>
      </c>
      <c r="X1412" s="124" t="s">
        <v>52</v>
      </c>
      <c r="Y1412" s="124" t="s">
        <v>946</v>
      </c>
      <c r="Z1412" s="91"/>
      <c r="AA1412" s="124" t="s">
        <v>745</v>
      </c>
      <c r="AB1412" s="91"/>
      <c r="AC1412" s="91"/>
      <c r="AD1412" s="94"/>
      <c r="AE1412" s="91"/>
      <c r="AF1412" s="91"/>
      <c r="AG1412" s="91"/>
      <c r="AH1412" s="91"/>
    </row>
    <row r="1413" spans="1:34" ht="60">
      <c r="A1413" s="120">
        <v>1411</v>
      </c>
      <c r="B1413" s="120" t="b">
        <f t="shared" ca="1" si="27"/>
        <v>0</v>
      </c>
      <c r="C1413" s="121">
        <v>45906</v>
      </c>
      <c r="D1413" s="137">
        <v>0.36553240740740739</v>
      </c>
      <c r="E1413" s="94">
        <v>1005</v>
      </c>
      <c r="F1413" s="91">
        <v>1205</v>
      </c>
      <c r="G1413" s="143" t="s">
        <v>71</v>
      </c>
      <c r="H1413" s="139">
        <v>1061</v>
      </c>
      <c r="I1413" s="163"/>
      <c r="J1413" s="139" t="s">
        <v>72</v>
      </c>
      <c r="K1413" s="94">
        <v>94.953999999999994</v>
      </c>
      <c r="L1413" s="122" t="str">
        <f>VLOOKUP(K1413,Liste!$L$2:$O$34,4,1)</f>
        <v>GSMR_17/18</v>
      </c>
      <c r="M1413" s="94" t="s">
        <v>36</v>
      </c>
      <c r="N1413" s="124" t="s">
        <v>37</v>
      </c>
      <c r="O1413" s="117" t="s">
        <v>2991</v>
      </c>
      <c r="P1413" s="117" t="s">
        <v>2793</v>
      </c>
      <c r="Q1413" s="118" t="s">
        <v>39</v>
      </c>
      <c r="R1413" s="184" t="s">
        <v>2988</v>
      </c>
      <c r="S1413" s="124" t="s">
        <v>2992</v>
      </c>
      <c r="T1413" s="124" t="s">
        <v>56</v>
      </c>
      <c r="U1413" s="124" t="s">
        <v>2795</v>
      </c>
      <c r="V1413" s="124" t="s">
        <v>51</v>
      </c>
      <c r="W1413" s="124" t="s">
        <v>51</v>
      </c>
      <c r="X1413" s="124" t="s">
        <v>52</v>
      </c>
      <c r="Y1413" s="124" t="s">
        <v>946</v>
      </c>
      <c r="Z1413" s="91"/>
      <c r="AA1413" s="124" t="s">
        <v>754</v>
      </c>
      <c r="AB1413" s="91"/>
      <c r="AC1413" s="91"/>
      <c r="AD1413" s="94"/>
      <c r="AE1413" s="91"/>
      <c r="AF1413" s="91"/>
      <c r="AG1413" s="91"/>
      <c r="AH1413" s="91"/>
    </row>
    <row r="1414" spans="1:34" ht="105">
      <c r="A1414" s="120">
        <v>1412</v>
      </c>
      <c r="B1414" s="120" t="b">
        <f t="shared" ca="1" si="27"/>
        <v>0</v>
      </c>
      <c r="C1414" s="121">
        <v>45906</v>
      </c>
      <c r="D1414" s="137">
        <v>0.4619212962962963</v>
      </c>
      <c r="E1414" s="94">
        <v>2025</v>
      </c>
      <c r="F1414" s="91">
        <v>1201</v>
      </c>
      <c r="G1414" s="143" t="s">
        <v>34</v>
      </c>
      <c r="H1414" s="139">
        <v>1057</v>
      </c>
      <c r="I1414" s="163"/>
      <c r="J1414" s="139" t="s">
        <v>35</v>
      </c>
      <c r="K1414" s="161">
        <v>6.13</v>
      </c>
      <c r="L1414" s="122" t="str">
        <f>VLOOKUP(K1414,Liste!$L$2:$O$34,4,1)</f>
        <v>GSMR_02/03</v>
      </c>
      <c r="M1414" s="94" t="s">
        <v>36</v>
      </c>
      <c r="N1414" s="124" t="s">
        <v>37</v>
      </c>
      <c r="O1414" s="117" t="s">
        <v>2995</v>
      </c>
      <c r="P1414" s="116" t="s">
        <v>2665</v>
      </c>
      <c r="Q1414" s="118" t="s">
        <v>39</v>
      </c>
      <c r="R1414" s="184" t="s">
        <v>2947</v>
      </c>
      <c r="S1414" s="124" t="s">
        <v>2996</v>
      </c>
      <c r="T1414" s="124" t="s">
        <v>93</v>
      </c>
      <c r="U1414" s="124" t="s">
        <v>2997</v>
      </c>
      <c r="V1414" s="124" t="s">
        <v>51</v>
      </c>
      <c r="W1414" s="124" t="s">
        <v>51</v>
      </c>
      <c r="X1414" s="124" t="s">
        <v>52</v>
      </c>
      <c r="Y1414" s="124" t="s">
        <v>946</v>
      </c>
      <c r="Z1414" s="91"/>
      <c r="AA1414" s="124" t="s">
        <v>754</v>
      </c>
      <c r="AB1414" s="91"/>
      <c r="AC1414" s="91"/>
      <c r="AD1414" s="94"/>
      <c r="AE1414" s="91"/>
      <c r="AF1414" s="91"/>
      <c r="AG1414" s="91"/>
      <c r="AH1414" s="91"/>
    </row>
    <row r="1415" spans="1:34" ht="60">
      <c r="A1415" s="120">
        <v>1413</v>
      </c>
      <c r="B1415" s="120" t="b">
        <f t="shared" ca="1" si="27"/>
        <v>0</v>
      </c>
      <c r="C1415" s="121">
        <v>45906</v>
      </c>
      <c r="D1415" s="137">
        <v>0.49655092592592592</v>
      </c>
      <c r="E1415" s="94">
        <v>1017</v>
      </c>
      <c r="F1415" s="91">
        <v>1203</v>
      </c>
      <c r="G1415" s="143" t="s">
        <v>71</v>
      </c>
      <c r="H1415" s="139">
        <v>1027</v>
      </c>
      <c r="I1415" s="163"/>
      <c r="J1415" s="139" t="s">
        <v>72</v>
      </c>
      <c r="K1415" s="94">
        <v>48.426000000000002</v>
      </c>
      <c r="L1415" s="122" t="str">
        <f>VLOOKUP(K1415,Liste!$L$2:$O$34,4,1)</f>
        <v>GSMR_08/09</v>
      </c>
      <c r="M1415" s="94" t="s">
        <v>36</v>
      </c>
      <c r="N1415" s="124" t="s">
        <v>37</v>
      </c>
      <c r="O1415" s="117" t="s">
        <v>2998</v>
      </c>
      <c r="P1415" s="116"/>
      <c r="Q1415" s="118" t="s">
        <v>54</v>
      </c>
      <c r="R1415" s="184" t="s">
        <v>2869</v>
      </c>
      <c r="S1415" s="124" t="s">
        <v>2999</v>
      </c>
      <c r="T1415" s="124" t="s">
        <v>41</v>
      </c>
      <c r="U1415" s="124" t="s">
        <v>2782</v>
      </c>
      <c r="V1415" s="124" t="s">
        <v>43</v>
      </c>
      <c r="W1415" s="124" t="s">
        <v>51</v>
      </c>
      <c r="X1415" s="124" t="s">
        <v>52</v>
      </c>
      <c r="Y1415" s="124" t="s">
        <v>946</v>
      </c>
      <c r="Z1415" s="91"/>
      <c r="AA1415" s="124" t="s">
        <v>754</v>
      </c>
      <c r="AB1415" s="91"/>
      <c r="AC1415" s="91"/>
      <c r="AD1415" s="94"/>
      <c r="AE1415" s="91"/>
      <c r="AF1415" s="91"/>
      <c r="AG1415" s="91"/>
      <c r="AH1415" s="91"/>
    </row>
    <row r="1416" spans="1:34" ht="60">
      <c r="A1416" s="120">
        <v>1414</v>
      </c>
      <c r="B1416" s="120" t="b">
        <f t="shared" ca="1" si="27"/>
        <v>0</v>
      </c>
      <c r="C1416" s="121">
        <v>45906</v>
      </c>
      <c r="D1416" s="137">
        <v>0.89759259259259261</v>
      </c>
      <c r="E1416" s="94">
        <v>1057</v>
      </c>
      <c r="F1416" s="91">
        <v>1201</v>
      </c>
      <c r="G1416" s="143" t="s">
        <v>71</v>
      </c>
      <c r="H1416" s="139">
        <v>1028</v>
      </c>
      <c r="I1416" s="163"/>
      <c r="J1416" s="139" t="s">
        <v>72</v>
      </c>
      <c r="K1416" s="94">
        <v>161.72200000000001</v>
      </c>
      <c r="L1416" s="122" t="str">
        <f>VLOOKUP(K1416,Liste!$L$2:$O$34,4,1)</f>
        <v>GSMR_27/28</v>
      </c>
      <c r="M1416" s="94" t="s">
        <v>36</v>
      </c>
      <c r="N1416" s="124" t="s">
        <v>37</v>
      </c>
      <c r="O1416" s="117" t="s">
        <v>3000</v>
      </c>
      <c r="P1416" s="116"/>
      <c r="Q1416" s="118" t="s">
        <v>54</v>
      </c>
      <c r="R1416" s="184" t="s">
        <v>2869</v>
      </c>
      <c r="S1416" s="124" t="s">
        <v>3001</v>
      </c>
      <c r="T1416" s="124" t="s">
        <v>101</v>
      </c>
      <c r="U1416" s="124" t="s">
        <v>2746</v>
      </c>
      <c r="V1416" s="124" t="s">
        <v>43</v>
      </c>
      <c r="W1416" s="124" t="s">
        <v>51</v>
      </c>
      <c r="X1416" s="124" t="s">
        <v>52</v>
      </c>
      <c r="Y1416" s="124" t="s">
        <v>946</v>
      </c>
      <c r="Z1416" s="91"/>
      <c r="AA1416" s="124" t="s">
        <v>3002</v>
      </c>
      <c r="AB1416" s="91"/>
      <c r="AC1416" s="91"/>
      <c r="AD1416" s="94" t="s">
        <v>3003</v>
      </c>
      <c r="AE1416" s="91"/>
      <c r="AF1416" s="91"/>
      <c r="AG1416" s="91"/>
      <c r="AH1416" s="91"/>
    </row>
    <row r="1417" spans="1:34" ht="105">
      <c r="A1417" s="120">
        <v>1415</v>
      </c>
      <c r="B1417" s="120" t="b">
        <f t="shared" ca="1" si="27"/>
        <v>0</v>
      </c>
      <c r="C1417" s="121">
        <v>45907</v>
      </c>
      <c r="D1417" s="137">
        <v>0.50375000000000003</v>
      </c>
      <c r="E1417" s="94">
        <v>2025</v>
      </c>
      <c r="F1417" s="91">
        <v>1203</v>
      </c>
      <c r="G1417" s="143" t="s">
        <v>34</v>
      </c>
      <c r="H1417" s="139">
        <v>1025</v>
      </c>
      <c r="I1417" s="163"/>
      <c r="J1417" s="139" t="s">
        <v>35</v>
      </c>
      <c r="K1417" s="161">
        <v>6.13</v>
      </c>
      <c r="L1417" s="122" t="str">
        <f>VLOOKUP(K1417,Liste!$L$2:$O$34,4,1)</f>
        <v>GSMR_02/03</v>
      </c>
      <c r="M1417" s="94" t="s">
        <v>36</v>
      </c>
      <c r="N1417" s="124" t="s">
        <v>37</v>
      </c>
      <c r="O1417" s="117" t="s">
        <v>2995</v>
      </c>
      <c r="P1417" s="116" t="s">
        <v>2665</v>
      </c>
      <c r="Q1417" s="118" t="s">
        <v>39</v>
      </c>
      <c r="R1417" s="184" t="s">
        <v>2947</v>
      </c>
      <c r="S1417" s="124" t="s">
        <v>2996</v>
      </c>
      <c r="T1417" s="124" t="s">
        <v>56</v>
      </c>
      <c r="U1417" s="124" t="s">
        <v>2746</v>
      </c>
      <c r="V1417" s="124" t="s">
        <v>51</v>
      </c>
      <c r="W1417" s="124" t="s">
        <v>51</v>
      </c>
      <c r="X1417" s="124" t="s">
        <v>52</v>
      </c>
      <c r="Y1417" s="124" t="s">
        <v>946</v>
      </c>
      <c r="Z1417" s="91"/>
      <c r="AA1417" s="124" t="s">
        <v>754</v>
      </c>
      <c r="AB1417" s="91"/>
      <c r="AC1417" s="91"/>
      <c r="AD1417" s="94"/>
      <c r="AE1417" s="91"/>
      <c r="AF1417" s="91"/>
      <c r="AG1417" s="91"/>
      <c r="AH1417" s="91"/>
    </row>
    <row r="1418" spans="1:34" ht="60">
      <c r="A1418" s="120">
        <v>1416</v>
      </c>
      <c r="B1418" s="120" t="b">
        <f t="shared" ca="1" si="27"/>
        <v>0</v>
      </c>
      <c r="C1418" s="121">
        <v>45907</v>
      </c>
      <c r="D1418" s="137">
        <v>0.7697222222222222</v>
      </c>
      <c r="E1418" s="94">
        <v>1045</v>
      </c>
      <c r="F1418" s="91">
        <v>1201</v>
      </c>
      <c r="G1418" s="143" t="s">
        <v>71</v>
      </c>
      <c r="H1418" s="139">
        <v>1028</v>
      </c>
      <c r="I1418" s="163"/>
      <c r="J1418" s="139" t="s">
        <v>72</v>
      </c>
      <c r="K1418" s="165">
        <v>177.85</v>
      </c>
      <c r="L1418" s="122" t="str">
        <f>VLOOKUP(K1418,Liste!$L$2:$O$34,4,1)</f>
        <v>GSMR_30/31</v>
      </c>
      <c r="M1418" s="94" t="s">
        <v>36</v>
      </c>
      <c r="N1418" s="124" t="s">
        <v>37</v>
      </c>
      <c r="O1418" s="117" t="s">
        <v>3004</v>
      </c>
      <c r="P1418" s="116"/>
      <c r="Q1418" s="118" t="s">
        <v>47</v>
      </c>
      <c r="R1418" s="184" t="s">
        <v>2583</v>
      </c>
      <c r="S1418" s="124" t="s">
        <v>3005</v>
      </c>
      <c r="T1418" s="124" t="s">
        <v>93</v>
      </c>
      <c r="U1418" s="124" t="s">
        <v>2774</v>
      </c>
      <c r="V1418" s="124" t="s">
        <v>43</v>
      </c>
      <c r="W1418" s="124" t="s">
        <v>51</v>
      </c>
      <c r="X1418" s="124" t="s">
        <v>52</v>
      </c>
      <c r="Y1418" s="124" t="s">
        <v>946</v>
      </c>
      <c r="Z1418" s="91"/>
      <c r="AA1418" s="124" t="s">
        <v>1295</v>
      </c>
      <c r="AB1418" s="91"/>
      <c r="AC1418" s="91"/>
      <c r="AD1418" s="94"/>
      <c r="AE1418" s="91"/>
      <c r="AF1418" s="91"/>
      <c r="AG1418" s="91"/>
      <c r="AH1418" s="91"/>
    </row>
    <row r="1419" spans="1:34" ht="60">
      <c r="A1419" s="120">
        <v>1417</v>
      </c>
      <c r="B1419" s="120" t="b">
        <f t="shared" ref="B1419:B1425" ca="1" si="28">AND(C1419&gt;=TODAY()-7, C1419&lt;=TODAY()-1)</f>
        <v>0</v>
      </c>
      <c r="C1419" s="121">
        <v>45908</v>
      </c>
      <c r="D1419" s="137">
        <v>0.82376157407407402</v>
      </c>
      <c r="E1419" s="94">
        <v>1049</v>
      </c>
      <c r="F1419" s="91">
        <v>1205</v>
      </c>
      <c r="G1419" s="143" t="s">
        <v>71</v>
      </c>
      <c r="H1419" s="139">
        <v>1061</v>
      </c>
      <c r="I1419" s="115"/>
      <c r="J1419" s="139" t="s">
        <v>72</v>
      </c>
      <c r="K1419" s="165">
        <v>94.953999999999994</v>
      </c>
      <c r="L1419" s="122" t="str">
        <f>VLOOKUP(K1419,Liste!$L$2:$O$34,4,1)</f>
        <v>GSMR_17/18</v>
      </c>
      <c r="M1419" s="94" t="s">
        <v>36</v>
      </c>
      <c r="N1419" s="124" t="s">
        <v>37</v>
      </c>
      <c r="O1419" s="117" t="s">
        <v>3006</v>
      </c>
      <c r="P1419" s="117" t="s">
        <v>2793</v>
      </c>
      <c r="Q1419" s="118" t="s">
        <v>39</v>
      </c>
      <c r="R1419" s="184" t="s">
        <v>2988</v>
      </c>
      <c r="S1419" s="124" t="s">
        <v>3007</v>
      </c>
      <c r="T1419" s="124" t="s">
        <v>56</v>
      </c>
      <c r="U1419" s="124" t="s">
        <v>2955</v>
      </c>
      <c r="V1419" s="124" t="s">
        <v>51</v>
      </c>
      <c r="W1419" s="124" t="s">
        <v>51</v>
      </c>
      <c r="X1419" s="124" t="s">
        <v>52</v>
      </c>
      <c r="Y1419" s="124" t="s">
        <v>946</v>
      </c>
      <c r="Z1419" s="91"/>
      <c r="AA1419" s="124" t="s">
        <v>1295</v>
      </c>
      <c r="AB1419" s="91"/>
      <c r="AC1419" s="91"/>
      <c r="AD1419" s="94"/>
      <c r="AE1419" s="91"/>
      <c r="AF1419" s="91"/>
      <c r="AG1419" s="91"/>
      <c r="AH1419" s="91"/>
    </row>
    <row r="1420" spans="1:34" ht="60">
      <c r="A1420" s="120">
        <v>1418</v>
      </c>
      <c r="B1420" s="120" t="b">
        <f t="shared" ca="1" si="28"/>
        <v>0</v>
      </c>
      <c r="C1420" s="121">
        <v>45909</v>
      </c>
      <c r="D1420" s="137" t="s">
        <v>3008</v>
      </c>
      <c r="E1420" s="94">
        <v>1002</v>
      </c>
      <c r="F1420" s="91">
        <v>1209</v>
      </c>
      <c r="G1420" s="143" t="s">
        <v>71</v>
      </c>
      <c r="H1420" s="139">
        <v>1032</v>
      </c>
      <c r="I1420" s="115"/>
      <c r="J1420" s="139" t="s">
        <v>72</v>
      </c>
      <c r="K1420" s="165">
        <v>94.953999999999994</v>
      </c>
      <c r="L1420" s="122" t="str">
        <f>VLOOKUP(K1420,Liste!$L$2:$O$34,4,1)</f>
        <v>GSMR_17/18</v>
      </c>
      <c r="M1420" s="94" t="s">
        <v>36</v>
      </c>
      <c r="N1420" s="124" t="s">
        <v>37</v>
      </c>
      <c r="O1420" s="117" t="s">
        <v>3009</v>
      </c>
      <c r="P1420" s="117" t="s">
        <v>2793</v>
      </c>
      <c r="Q1420" s="118" t="s">
        <v>39</v>
      </c>
      <c r="R1420" s="184" t="s">
        <v>2988</v>
      </c>
      <c r="S1420" s="124" t="s">
        <v>2992</v>
      </c>
      <c r="T1420" s="124" t="s">
        <v>56</v>
      </c>
      <c r="U1420" s="124" t="s">
        <v>2848</v>
      </c>
      <c r="V1420" s="124" t="s">
        <v>51</v>
      </c>
      <c r="W1420" s="124" t="s">
        <v>51</v>
      </c>
      <c r="X1420" s="124" t="s">
        <v>52</v>
      </c>
      <c r="Y1420" s="124" t="s">
        <v>946</v>
      </c>
      <c r="Z1420" s="91"/>
      <c r="AA1420" s="124" t="s">
        <v>802</v>
      </c>
      <c r="AB1420" s="91"/>
      <c r="AC1420" s="91"/>
      <c r="AD1420" s="94"/>
      <c r="AE1420" s="91"/>
      <c r="AF1420" s="91"/>
      <c r="AG1420" s="91"/>
      <c r="AH1420" s="91"/>
    </row>
    <row r="1421" spans="1:34" ht="60">
      <c r="A1421" s="120">
        <v>1419</v>
      </c>
      <c r="B1421" s="120" t="b">
        <f t="shared" ca="1" si="28"/>
        <v>0</v>
      </c>
      <c r="C1421" s="121">
        <v>45911</v>
      </c>
      <c r="D1421" s="137" t="s">
        <v>3010</v>
      </c>
      <c r="E1421" s="94">
        <v>10081</v>
      </c>
      <c r="F1421" s="91">
        <v>1207</v>
      </c>
      <c r="G1421" s="143" t="s">
        <v>34</v>
      </c>
      <c r="H1421" s="139">
        <v>1083</v>
      </c>
      <c r="I1421" s="115"/>
      <c r="J1421" s="139" t="s">
        <v>35</v>
      </c>
      <c r="K1421" s="165">
        <v>108.206</v>
      </c>
      <c r="L1421" s="122" t="str">
        <f>VLOOKUP(K1421,Liste!$L$2:$O$34,4,1)</f>
        <v>GSMR_19/20</v>
      </c>
      <c r="M1421" s="94" t="s">
        <v>36</v>
      </c>
      <c r="N1421" s="124" t="s">
        <v>37</v>
      </c>
      <c r="O1421" s="117" t="s">
        <v>3011</v>
      </c>
      <c r="P1421" s="116"/>
      <c r="Q1421" s="118" t="s">
        <v>47</v>
      </c>
      <c r="R1421" s="184" t="s">
        <v>3012</v>
      </c>
      <c r="S1421" s="124" t="s">
        <v>3013</v>
      </c>
      <c r="T1421" s="124" t="s">
        <v>56</v>
      </c>
      <c r="U1421" s="124" t="s">
        <v>2955</v>
      </c>
      <c r="V1421" s="124" t="s">
        <v>51</v>
      </c>
      <c r="W1421" s="124" t="s">
        <v>51</v>
      </c>
      <c r="X1421" s="124" t="s">
        <v>52</v>
      </c>
      <c r="Y1421" s="124" t="s">
        <v>946</v>
      </c>
      <c r="Z1421" s="91"/>
      <c r="AA1421" s="124" t="s">
        <v>754</v>
      </c>
      <c r="AB1421" s="91"/>
      <c r="AC1421" s="91"/>
      <c r="AD1421" s="94"/>
      <c r="AE1421" s="91"/>
      <c r="AF1421" s="91"/>
      <c r="AG1421" s="91"/>
      <c r="AH1421" s="91"/>
    </row>
    <row r="1422" spans="1:34" ht="60">
      <c r="A1422" s="120">
        <v>1420</v>
      </c>
      <c r="B1422" s="120" t="b">
        <f t="shared" ca="1" si="28"/>
        <v>0</v>
      </c>
      <c r="C1422" s="121">
        <v>45912</v>
      </c>
      <c r="D1422" s="137" t="s">
        <v>3014</v>
      </c>
      <c r="E1422" s="94">
        <v>15297</v>
      </c>
      <c r="F1422" s="91">
        <v>1206</v>
      </c>
      <c r="G1422" s="143" t="s">
        <v>34</v>
      </c>
      <c r="H1422" s="139">
        <v>1055</v>
      </c>
      <c r="I1422" s="115"/>
      <c r="J1422" s="139" t="s">
        <v>35</v>
      </c>
      <c r="K1422" s="165">
        <v>80.47</v>
      </c>
      <c r="L1422" s="122" t="str">
        <f>VLOOKUP(K1422,Liste!$L$2:$O$34,4,1)</f>
        <v>GSMR_14/15</v>
      </c>
      <c r="M1422" s="94" t="s">
        <v>36</v>
      </c>
      <c r="N1422" s="124" t="s">
        <v>37</v>
      </c>
      <c r="O1422" s="117" t="s">
        <v>3015</v>
      </c>
      <c r="P1422" s="116"/>
      <c r="Q1422" s="118" t="s">
        <v>105</v>
      </c>
      <c r="R1422" s="184" t="s">
        <v>1072</v>
      </c>
      <c r="S1422" s="124" t="s">
        <v>3016</v>
      </c>
      <c r="T1422" s="124" t="s">
        <v>41</v>
      </c>
      <c r="U1422" s="124" t="s">
        <v>2764</v>
      </c>
      <c r="V1422" s="124" t="s">
        <v>51</v>
      </c>
      <c r="W1422" s="124" t="s">
        <v>51</v>
      </c>
      <c r="X1422" s="124" t="s">
        <v>52</v>
      </c>
      <c r="Y1422" s="124" t="s">
        <v>2107</v>
      </c>
      <c r="Z1422" s="91"/>
      <c r="AA1422" s="124" t="s">
        <v>754</v>
      </c>
      <c r="AB1422" s="91"/>
      <c r="AC1422" s="91"/>
      <c r="AD1422" s="94"/>
      <c r="AE1422" s="91"/>
      <c r="AF1422" s="91"/>
      <c r="AG1422" s="91"/>
      <c r="AH1422" s="91"/>
    </row>
    <row r="1423" spans="1:34" ht="60">
      <c r="A1423" s="120">
        <v>1419</v>
      </c>
      <c r="B1423" s="120" t="b">
        <f t="shared" ca="1" si="28"/>
        <v>0</v>
      </c>
      <c r="C1423" s="121">
        <v>45912</v>
      </c>
      <c r="D1423" s="137" t="s">
        <v>3017</v>
      </c>
      <c r="E1423" s="94">
        <v>1013</v>
      </c>
      <c r="F1423" s="91">
        <v>1208</v>
      </c>
      <c r="G1423" s="143" t="s">
        <v>71</v>
      </c>
      <c r="H1423" s="139">
        <v>1045</v>
      </c>
      <c r="I1423" s="115"/>
      <c r="J1423" s="139" t="s">
        <v>72</v>
      </c>
      <c r="K1423" s="165">
        <v>94.953999999999994</v>
      </c>
      <c r="L1423" s="122" t="str">
        <f>VLOOKUP(K1423,Liste!$L$2:$O$34,4,1)</f>
        <v>GSMR_17/18</v>
      </c>
      <c r="M1423" s="94" t="s">
        <v>36</v>
      </c>
      <c r="N1423" s="124" t="s">
        <v>37</v>
      </c>
      <c r="O1423" s="117" t="s">
        <v>3018</v>
      </c>
      <c r="P1423" s="117" t="s">
        <v>2793</v>
      </c>
      <c r="Q1423" s="118" t="s">
        <v>39</v>
      </c>
      <c r="R1423" s="184" t="s">
        <v>2988</v>
      </c>
      <c r="S1423" s="124" t="s">
        <v>2992</v>
      </c>
      <c r="T1423" s="124" t="s">
        <v>93</v>
      </c>
      <c r="U1423" s="124" t="s">
        <v>2902</v>
      </c>
      <c r="V1423" s="124" t="s">
        <v>51</v>
      </c>
      <c r="W1423" s="124" t="s">
        <v>51</v>
      </c>
      <c r="X1423" s="124" t="s">
        <v>52</v>
      </c>
      <c r="Y1423" s="124" t="s">
        <v>1372</v>
      </c>
      <c r="Z1423" s="91"/>
      <c r="AA1423" s="124" t="s">
        <v>802</v>
      </c>
      <c r="AB1423" s="91"/>
      <c r="AC1423" s="91"/>
      <c r="AD1423" s="94"/>
      <c r="AE1423" s="91"/>
      <c r="AF1423" s="91"/>
      <c r="AG1423" s="91"/>
      <c r="AH1423" s="91"/>
    </row>
    <row r="1424" spans="1:34" ht="105">
      <c r="A1424" s="120">
        <v>1420</v>
      </c>
      <c r="B1424" s="120" t="b">
        <f t="shared" ca="1" si="28"/>
        <v>0</v>
      </c>
      <c r="C1424" s="121">
        <v>45912</v>
      </c>
      <c r="D1424" s="137">
        <v>0.6699074074074074</v>
      </c>
      <c r="E1424" s="94">
        <v>2041</v>
      </c>
      <c r="F1424" s="91">
        <v>1203</v>
      </c>
      <c r="G1424" s="143" t="s">
        <v>34</v>
      </c>
      <c r="H1424" s="139">
        <v>1025</v>
      </c>
      <c r="I1424" s="163"/>
      <c r="J1424" s="139" t="s">
        <v>35</v>
      </c>
      <c r="K1424" s="161">
        <v>6.13</v>
      </c>
      <c r="L1424" s="122" t="str">
        <f>VLOOKUP(K1424,Liste!$L$2:$O$34,4,1)</f>
        <v>GSMR_02/03</v>
      </c>
      <c r="M1424" s="94" t="s">
        <v>36</v>
      </c>
      <c r="N1424" s="124" t="s">
        <v>58</v>
      </c>
      <c r="O1424" s="117" t="s">
        <v>3019</v>
      </c>
      <c r="P1424" s="116" t="s">
        <v>2665</v>
      </c>
      <c r="Q1424" s="118" t="s">
        <v>39</v>
      </c>
      <c r="R1424" s="184" t="s">
        <v>2947</v>
      </c>
      <c r="S1424" s="124" t="s">
        <v>2996</v>
      </c>
      <c r="T1424" s="124" t="s">
        <v>56</v>
      </c>
      <c r="U1424" s="124" t="s">
        <v>3020</v>
      </c>
      <c r="V1424" s="124" t="s">
        <v>51</v>
      </c>
      <c r="W1424" s="124" t="s">
        <v>51</v>
      </c>
      <c r="X1424" s="124" t="s">
        <v>52</v>
      </c>
      <c r="Y1424" s="124" t="s">
        <v>946</v>
      </c>
      <c r="Z1424" s="91"/>
      <c r="AA1424" s="124" t="s">
        <v>1183</v>
      </c>
      <c r="AB1424" s="91"/>
      <c r="AC1424" s="91"/>
      <c r="AD1424" s="94"/>
      <c r="AE1424" s="91"/>
      <c r="AF1424" s="91"/>
      <c r="AG1424" s="91"/>
      <c r="AH1424" s="91"/>
    </row>
    <row r="1425" spans="1:34" ht="60">
      <c r="A1425" s="120">
        <v>1421</v>
      </c>
      <c r="B1425" s="120" t="b">
        <f t="shared" ca="1" si="28"/>
        <v>0</v>
      </c>
      <c r="C1425" s="121">
        <v>45912</v>
      </c>
      <c r="D1425" s="137">
        <v>0.69856481481481481</v>
      </c>
      <c r="E1425" s="94">
        <v>1038</v>
      </c>
      <c r="F1425" s="91">
        <v>1208</v>
      </c>
      <c r="G1425" s="143" t="s">
        <v>71</v>
      </c>
      <c r="H1425" s="139">
        <v>1045</v>
      </c>
      <c r="I1425" s="115"/>
      <c r="J1425" s="139" t="s">
        <v>72</v>
      </c>
      <c r="K1425" s="165">
        <v>94.953999999999994</v>
      </c>
      <c r="L1425" s="122" t="str">
        <f>VLOOKUP(K1425,Liste!$L$2:$O$34,4,1)</f>
        <v>GSMR_17/18</v>
      </c>
      <c r="M1425" s="94" t="s">
        <v>36</v>
      </c>
      <c r="N1425" s="124" t="s">
        <v>37</v>
      </c>
      <c r="O1425" s="117" t="s">
        <v>3018</v>
      </c>
      <c r="P1425" s="117" t="s">
        <v>2793</v>
      </c>
      <c r="Q1425" s="118" t="s">
        <v>39</v>
      </c>
      <c r="R1425" s="184" t="s">
        <v>2988</v>
      </c>
      <c r="S1425" s="124" t="s">
        <v>2992</v>
      </c>
      <c r="T1425" s="124" t="s">
        <v>56</v>
      </c>
      <c r="U1425" s="124" t="s">
        <v>2152</v>
      </c>
      <c r="V1425" s="124" t="s">
        <v>51</v>
      </c>
      <c r="W1425" s="124" t="s">
        <v>51</v>
      </c>
      <c r="X1425" s="124" t="s">
        <v>52</v>
      </c>
      <c r="Y1425" s="124" t="s">
        <v>1372</v>
      </c>
      <c r="Z1425" s="91"/>
      <c r="AA1425" s="124" t="s">
        <v>1295</v>
      </c>
      <c r="AB1425" s="91"/>
      <c r="AC1425" s="91"/>
      <c r="AD1425" s="94"/>
      <c r="AE1425" s="91"/>
      <c r="AF1425" s="91"/>
      <c r="AG1425" s="91"/>
      <c r="AH1425" s="91"/>
    </row>
    <row r="1426" spans="1:34" ht="60">
      <c r="A1426" s="120">
        <v>1422</v>
      </c>
      <c r="B1426" s="120" t="b">
        <f t="shared" ref="B1426:B1427" ca="1" si="29">AND(C1426&gt;=TODAY()-7, C1426&lt;=TODAY()-1)</f>
        <v>0</v>
      </c>
      <c r="C1426" s="121">
        <v>45912</v>
      </c>
      <c r="D1426" s="137">
        <v>0.85731481481481486</v>
      </c>
      <c r="E1426" s="94">
        <v>1053</v>
      </c>
      <c r="F1426" s="91">
        <v>1203</v>
      </c>
      <c r="G1426" s="143" t="s">
        <v>71</v>
      </c>
      <c r="H1426" s="139">
        <v>1026</v>
      </c>
      <c r="I1426" s="115"/>
      <c r="J1426" s="139" t="s">
        <v>72</v>
      </c>
      <c r="K1426" s="165">
        <v>151.35</v>
      </c>
      <c r="L1426" s="122" t="str">
        <f>VLOOKUP(K1426,Liste!$L$2:$O$34,4,1)</f>
        <v>GSMR_26/27</v>
      </c>
      <c r="M1426" s="94" t="s">
        <v>36</v>
      </c>
      <c r="N1426" s="124" t="s">
        <v>37</v>
      </c>
      <c r="O1426" s="117" t="s">
        <v>3021</v>
      </c>
      <c r="P1426" s="116"/>
      <c r="Q1426" s="118" t="s">
        <v>47</v>
      </c>
      <c r="R1426" s="184" t="s">
        <v>3022</v>
      </c>
      <c r="S1426" s="124" t="s">
        <v>3023</v>
      </c>
      <c r="T1426" s="124" t="s">
        <v>41</v>
      </c>
      <c r="U1426" s="124" t="s">
        <v>2817</v>
      </c>
      <c r="V1426" s="124" t="s">
        <v>51</v>
      </c>
      <c r="W1426" s="124" t="s">
        <v>51</v>
      </c>
      <c r="X1426" s="124" t="s">
        <v>52</v>
      </c>
      <c r="Y1426" s="124" t="s">
        <v>946</v>
      </c>
      <c r="Z1426" s="91"/>
      <c r="AA1426" s="124" t="s">
        <v>754</v>
      </c>
      <c r="AB1426" s="91"/>
      <c r="AC1426" s="91"/>
      <c r="AD1426" s="94"/>
      <c r="AE1426" s="91"/>
      <c r="AF1426" s="91"/>
      <c r="AG1426" s="91"/>
      <c r="AH1426" s="91"/>
    </row>
    <row r="1427" spans="1:34" ht="60">
      <c r="A1427" s="120">
        <v>1423</v>
      </c>
      <c r="B1427" s="120" t="b">
        <f t="shared" ca="1" si="29"/>
        <v>0</v>
      </c>
      <c r="C1427" s="121">
        <v>45912</v>
      </c>
      <c r="D1427" s="137">
        <v>0.86137731481481483</v>
      </c>
      <c r="E1427" s="94">
        <v>1053</v>
      </c>
      <c r="F1427" s="91">
        <v>1203</v>
      </c>
      <c r="G1427" s="143" t="s">
        <v>71</v>
      </c>
      <c r="H1427" s="139">
        <v>1026</v>
      </c>
      <c r="I1427" s="115"/>
      <c r="J1427" s="139" t="s">
        <v>72</v>
      </c>
      <c r="K1427" s="165">
        <v>127.815</v>
      </c>
      <c r="L1427" s="122" t="str">
        <f>VLOOKUP(K1427,Liste!$L$2:$O$34,4,1)</f>
        <v>GSMR_22/23</v>
      </c>
      <c r="M1427" s="94" t="s">
        <v>36</v>
      </c>
      <c r="N1427" s="124" t="s">
        <v>37</v>
      </c>
      <c r="O1427" s="117" t="s">
        <v>3024</v>
      </c>
      <c r="P1427" s="116"/>
      <c r="Q1427" s="118" t="s">
        <v>54</v>
      </c>
      <c r="R1427" s="184" t="s">
        <v>2583</v>
      </c>
      <c r="S1427" s="124" t="s">
        <v>3025</v>
      </c>
      <c r="T1427" s="124" t="s">
        <v>116</v>
      </c>
      <c r="U1427" s="124" t="s">
        <v>2857</v>
      </c>
      <c r="V1427" s="124" t="s">
        <v>51</v>
      </c>
      <c r="W1427" s="124" t="s">
        <v>51</v>
      </c>
      <c r="X1427" s="124" t="s">
        <v>52</v>
      </c>
      <c r="Y1427" s="124" t="s">
        <v>1372</v>
      </c>
      <c r="Z1427" s="91"/>
      <c r="AA1427" s="124" t="s">
        <v>754</v>
      </c>
      <c r="AB1427" s="91"/>
      <c r="AC1427" s="91"/>
      <c r="AD1427" s="94"/>
      <c r="AE1427" s="91"/>
      <c r="AF1427" s="91"/>
      <c r="AG1427" s="91"/>
      <c r="AH1427" s="91"/>
    </row>
    <row r="1428" spans="1:34" ht="105">
      <c r="A1428" s="120">
        <v>1423</v>
      </c>
      <c r="B1428" s="120" t="b">
        <f t="shared" ref="B1428" ca="1" si="30">AND(C1428&gt;=TODAY()-7, C1428&lt;=TODAY()-1)</f>
        <v>0</v>
      </c>
      <c r="C1428" s="121">
        <v>45913</v>
      </c>
      <c r="D1428" s="137">
        <v>0.33708333333333335</v>
      </c>
      <c r="E1428" s="94">
        <v>2009</v>
      </c>
      <c r="F1428" s="91">
        <v>1209</v>
      </c>
      <c r="G1428" s="143" t="s">
        <v>34</v>
      </c>
      <c r="H1428" s="139">
        <v>1058</v>
      </c>
      <c r="I1428" s="115"/>
      <c r="J1428" s="139" t="s">
        <v>35</v>
      </c>
      <c r="K1428" s="161">
        <v>6.13</v>
      </c>
      <c r="L1428" s="122" t="str">
        <f>VLOOKUP(K1428,Liste!$L$2:$O$34,4,1)</f>
        <v>GSMR_02/03</v>
      </c>
      <c r="M1428" s="94" t="s">
        <v>36</v>
      </c>
      <c r="N1428" s="124" t="s">
        <v>58</v>
      </c>
      <c r="O1428" s="117" t="s">
        <v>3026</v>
      </c>
      <c r="P1428" s="116" t="s">
        <v>2665</v>
      </c>
      <c r="Q1428" s="118" t="s">
        <v>39</v>
      </c>
      <c r="R1428" s="184" t="s">
        <v>2947</v>
      </c>
      <c r="S1428" s="124" t="s">
        <v>3027</v>
      </c>
      <c r="T1428" s="124" t="s">
        <v>56</v>
      </c>
      <c r="U1428" s="124" t="s">
        <v>2824</v>
      </c>
      <c r="V1428" s="124" t="s">
        <v>43</v>
      </c>
      <c r="W1428" s="124" t="s">
        <v>51</v>
      </c>
      <c r="X1428" s="124" t="s">
        <v>52</v>
      </c>
      <c r="Y1428" s="124" t="s">
        <v>946</v>
      </c>
      <c r="Z1428" s="91"/>
      <c r="AA1428" s="124" t="s">
        <v>1118</v>
      </c>
      <c r="AB1428" s="91"/>
      <c r="AC1428" s="91"/>
      <c r="AD1428" s="94"/>
      <c r="AE1428" s="91"/>
      <c r="AF1428" s="91"/>
      <c r="AG1428" s="91"/>
      <c r="AH1428" s="91"/>
    </row>
    <row r="1429" spans="1:34" ht="105">
      <c r="A1429" s="120">
        <v>1424</v>
      </c>
      <c r="B1429" s="120" t="b">
        <f t="shared" ref="B1429" ca="1" si="31">AND(C1429&gt;=TODAY()-7, C1429&lt;=TODAY()-1)</f>
        <v>0</v>
      </c>
      <c r="C1429" s="121">
        <v>45913</v>
      </c>
      <c r="D1429" s="137">
        <v>0.37935185185185183</v>
      </c>
      <c r="E1429" s="94">
        <v>2013</v>
      </c>
      <c r="F1429" s="91">
        <v>1204</v>
      </c>
      <c r="G1429" s="143" t="s">
        <v>34</v>
      </c>
      <c r="H1429" s="139">
        <v>1053</v>
      </c>
      <c r="I1429" s="115"/>
      <c r="J1429" s="139" t="s">
        <v>35</v>
      </c>
      <c r="K1429" s="161">
        <v>5.73</v>
      </c>
      <c r="L1429" s="122" t="str">
        <f>VLOOKUP(K1429,Liste!$L$2:$O$34,4,1)</f>
        <v>GSMR_02/03</v>
      </c>
      <c r="M1429" s="94" t="s">
        <v>36</v>
      </c>
      <c r="N1429" s="124" t="s">
        <v>37</v>
      </c>
      <c r="O1429" s="117" t="s">
        <v>3028</v>
      </c>
      <c r="P1429" s="116" t="s">
        <v>2665</v>
      </c>
      <c r="Q1429" s="118" t="s">
        <v>39</v>
      </c>
      <c r="R1429" s="184" t="s">
        <v>2947</v>
      </c>
      <c r="S1429" s="124" t="s">
        <v>3029</v>
      </c>
      <c r="T1429" s="124" t="s">
        <v>56</v>
      </c>
      <c r="U1429" s="124" t="s">
        <v>2789</v>
      </c>
      <c r="V1429" s="124" t="s">
        <v>51</v>
      </c>
      <c r="W1429" s="124" t="s">
        <v>51</v>
      </c>
      <c r="X1429" s="124" t="s">
        <v>52</v>
      </c>
      <c r="Y1429" s="124" t="s">
        <v>946</v>
      </c>
      <c r="Z1429" s="91"/>
      <c r="AA1429" s="91" t="s">
        <v>3030</v>
      </c>
      <c r="AB1429" s="91"/>
      <c r="AC1429" s="91"/>
      <c r="AD1429" s="94"/>
      <c r="AE1429" s="91"/>
      <c r="AF1429" s="91"/>
      <c r="AG1429" s="91"/>
      <c r="AH1429" s="91"/>
    </row>
    <row r="1430" spans="1:34" ht="60">
      <c r="A1430" s="120">
        <v>1425</v>
      </c>
      <c r="B1430" s="120" t="b">
        <f t="shared" ref="B1430" ca="1" si="32">AND(C1430&gt;=TODAY()-7, C1430&lt;=TODAY()-1)</f>
        <v>0</v>
      </c>
      <c r="C1430" s="121">
        <v>45913</v>
      </c>
      <c r="D1430" s="137">
        <v>0.93188657407407405</v>
      </c>
      <c r="E1430" s="94">
        <v>10081</v>
      </c>
      <c r="F1430" s="91">
        <v>1204</v>
      </c>
      <c r="G1430" s="143" t="s">
        <v>34</v>
      </c>
      <c r="H1430" s="139">
        <v>1053</v>
      </c>
      <c r="I1430" s="115"/>
      <c r="J1430" s="139" t="s">
        <v>35</v>
      </c>
      <c r="K1430" s="165">
        <v>73.585999999999999</v>
      </c>
      <c r="L1430" s="122" t="str">
        <f>VLOOKUP(K1430,Liste!$L$2:$O$34,4,1)</f>
        <v>GSMR_13/14</v>
      </c>
      <c r="M1430" s="94" t="s">
        <v>36</v>
      </c>
      <c r="N1430" s="124" t="s">
        <v>37</v>
      </c>
      <c r="O1430" s="117" t="s">
        <v>3031</v>
      </c>
      <c r="P1430" s="116"/>
      <c r="Q1430" s="118" t="s">
        <v>47</v>
      </c>
      <c r="R1430" s="184" t="s">
        <v>3022</v>
      </c>
      <c r="S1430" s="124" t="s">
        <v>3032</v>
      </c>
      <c r="T1430" s="124" t="s">
        <v>41</v>
      </c>
      <c r="U1430" s="124" t="s">
        <v>2743</v>
      </c>
      <c r="V1430" s="124" t="s">
        <v>51</v>
      </c>
      <c r="W1430" s="124" t="s">
        <v>51</v>
      </c>
      <c r="X1430" s="124" t="s">
        <v>52</v>
      </c>
      <c r="Y1430" s="124" t="s">
        <v>946</v>
      </c>
      <c r="Z1430" s="91"/>
      <c r="AA1430" s="124" t="s">
        <v>754</v>
      </c>
      <c r="AB1430" s="91"/>
      <c r="AC1430" s="91"/>
      <c r="AD1430" s="94"/>
      <c r="AE1430" s="91"/>
      <c r="AF1430" s="91"/>
      <c r="AG1430" s="91"/>
      <c r="AH1430" s="91"/>
    </row>
    <row r="1431" spans="1:34" ht="60">
      <c r="A1431" s="120">
        <v>1426</v>
      </c>
      <c r="B1431" s="120" t="b">
        <f t="shared" ref="B1431" ca="1" si="33">AND(C1431&gt;=TODAY()-7, C1431&lt;=TODAY()-1)</f>
        <v>0</v>
      </c>
      <c r="C1431" s="121">
        <v>45914</v>
      </c>
      <c r="D1431" s="137">
        <v>0.49018518518518517</v>
      </c>
      <c r="E1431" s="94">
        <v>1017</v>
      </c>
      <c r="F1431" s="91">
        <v>1208</v>
      </c>
      <c r="G1431" s="143" t="s">
        <v>71</v>
      </c>
      <c r="H1431" s="139">
        <v>1045</v>
      </c>
      <c r="I1431" s="139" t="s">
        <v>35</v>
      </c>
      <c r="J1431" s="139" t="s">
        <v>72</v>
      </c>
      <c r="K1431" s="165">
        <v>94.953999999999994</v>
      </c>
      <c r="L1431" s="122" t="str">
        <f>VLOOKUP(K1431,Liste!$L$2:$O$34,4,1)</f>
        <v>GSMR_17/18</v>
      </c>
      <c r="M1431" s="94" t="s">
        <v>36</v>
      </c>
      <c r="N1431" s="124" t="s">
        <v>37</v>
      </c>
      <c r="O1431" s="117" t="s">
        <v>3033</v>
      </c>
      <c r="P1431" s="117" t="s">
        <v>2793</v>
      </c>
      <c r="Q1431" s="118" t="s">
        <v>39</v>
      </c>
      <c r="R1431" s="184" t="s">
        <v>2988</v>
      </c>
      <c r="S1431" s="124" t="s">
        <v>3034</v>
      </c>
      <c r="T1431" s="124" t="s">
        <v>209</v>
      </c>
      <c r="U1431" s="124" t="s">
        <v>2848</v>
      </c>
      <c r="V1431" s="124" t="s">
        <v>51</v>
      </c>
      <c r="W1431" s="124" t="s">
        <v>51</v>
      </c>
      <c r="X1431" s="124" t="s">
        <v>52</v>
      </c>
      <c r="Y1431" s="124" t="s">
        <v>1372</v>
      </c>
      <c r="Z1431" s="94"/>
      <c r="AA1431" s="91" t="s">
        <v>3030</v>
      </c>
      <c r="AB1431" s="91"/>
      <c r="AC1431" s="91"/>
      <c r="AD1431" s="91"/>
      <c r="AE1431" s="91"/>
      <c r="AF1431" s="91"/>
      <c r="AG1431" s="91"/>
      <c r="AH1431" s="91"/>
    </row>
    <row r="1432" spans="1:34" ht="105">
      <c r="A1432" s="120">
        <v>1427</v>
      </c>
      <c r="B1432" s="120" t="b">
        <f t="shared" ref="B1432" ca="1" si="34">AND(C1432&gt;=TODAY()-7, C1432&lt;=TODAY()-1)</f>
        <v>0</v>
      </c>
      <c r="C1432" s="121">
        <v>45917</v>
      </c>
      <c r="D1432" s="137">
        <v>0.34287037037037038</v>
      </c>
      <c r="E1432" s="94">
        <v>1001</v>
      </c>
      <c r="F1432" s="91">
        <v>1210</v>
      </c>
      <c r="G1432" s="143" t="s">
        <v>71</v>
      </c>
      <c r="H1432" s="139">
        <v>1020</v>
      </c>
      <c r="I1432" s="139" t="s">
        <v>35</v>
      </c>
      <c r="J1432" s="139" t="s">
        <v>72</v>
      </c>
      <c r="K1432" s="161">
        <v>7.3209999999999997</v>
      </c>
      <c r="L1432" s="122" t="str">
        <f>VLOOKUP(K1432,Liste!$L$2:$O$34,4,1)</f>
        <v>GSMR_02/03</v>
      </c>
      <c r="M1432" s="94" t="s">
        <v>36</v>
      </c>
      <c r="N1432" s="124" t="s">
        <v>37</v>
      </c>
      <c r="O1432" s="117" t="s">
        <v>3035</v>
      </c>
      <c r="P1432" s="116" t="s">
        <v>2665</v>
      </c>
      <c r="Q1432" s="118" t="s">
        <v>39</v>
      </c>
      <c r="R1432" s="184" t="s">
        <v>2947</v>
      </c>
      <c r="S1432" s="124" t="s">
        <v>3036</v>
      </c>
      <c r="T1432" s="124" t="s">
        <v>56</v>
      </c>
      <c r="U1432" s="124" t="s">
        <v>2813</v>
      </c>
      <c r="V1432" s="124" t="s">
        <v>51</v>
      </c>
      <c r="W1432" s="124" t="s">
        <v>51</v>
      </c>
      <c r="X1432" s="124" t="s">
        <v>52</v>
      </c>
      <c r="Y1432" s="124" t="s">
        <v>946</v>
      </c>
      <c r="Z1432" s="94"/>
      <c r="AA1432" s="124" t="s">
        <v>802</v>
      </c>
      <c r="AB1432" s="91"/>
      <c r="AC1432" s="91"/>
      <c r="AD1432" s="91"/>
      <c r="AE1432" s="91"/>
      <c r="AF1432" s="91"/>
      <c r="AG1432" s="91"/>
      <c r="AH1432" s="91"/>
    </row>
    <row r="1433" spans="1:34" ht="105">
      <c r="A1433" s="120">
        <v>1428</v>
      </c>
      <c r="B1433" s="120" t="b">
        <f t="shared" ref="B1433" ca="1" si="35">AND(C1433&gt;=TODAY()-7, C1433&lt;=TODAY()-1)</f>
        <v>0</v>
      </c>
      <c r="C1433" s="121">
        <v>45917</v>
      </c>
      <c r="D1433" s="137">
        <v>0.67644675925925923</v>
      </c>
      <c r="E1433" s="94">
        <v>1033</v>
      </c>
      <c r="F1433" s="91">
        <v>1209</v>
      </c>
      <c r="G1433" s="143" t="s">
        <v>71</v>
      </c>
      <c r="H1433" s="139">
        <v>1033</v>
      </c>
      <c r="I1433" s="139" t="s">
        <v>35</v>
      </c>
      <c r="J1433" s="139" t="s">
        <v>72</v>
      </c>
      <c r="K1433" s="161">
        <v>7.3209999999999997</v>
      </c>
      <c r="L1433" s="122" t="str">
        <f>VLOOKUP(K1433,Liste!$L$2:$O$34,4,1)</f>
        <v>GSMR_02/03</v>
      </c>
      <c r="M1433" s="94" t="s">
        <v>36</v>
      </c>
      <c r="N1433" s="124" t="s">
        <v>37</v>
      </c>
      <c r="O1433" s="117" t="s">
        <v>3037</v>
      </c>
      <c r="P1433" s="116" t="s">
        <v>2665</v>
      </c>
      <c r="Q1433" s="118" t="s">
        <v>39</v>
      </c>
      <c r="R1433" s="184" t="s">
        <v>2947</v>
      </c>
      <c r="S1433" s="124" t="s">
        <v>3038</v>
      </c>
      <c r="T1433" s="124" t="s">
        <v>56</v>
      </c>
      <c r="U1433" s="124" t="s">
        <v>3039</v>
      </c>
      <c r="V1433" s="124" t="s">
        <v>43</v>
      </c>
      <c r="W1433" s="124" t="s">
        <v>51</v>
      </c>
      <c r="X1433" s="124" t="s">
        <v>52</v>
      </c>
      <c r="Y1433" s="124" t="s">
        <v>946</v>
      </c>
      <c r="Z1433" s="94"/>
      <c r="AA1433" s="124" t="s">
        <v>959</v>
      </c>
      <c r="AB1433" s="91"/>
      <c r="AC1433" s="91"/>
      <c r="AD1433" s="91"/>
      <c r="AE1433" s="91"/>
      <c r="AF1433" s="91"/>
      <c r="AG1433" s="91"/>
      <c r="AH1433" s="91"/>
    </row>
    <row r="1434" spans="1:34" ht="60">
      <c r="A1434" s="120">
        <v>1429</v>
      </c>
      <c r="B1434" s="120" t="b">
        <f t="shared" ref="B1434" ca="1" si="36">AND(C1434&gt;=TODAY()-7, C1434&lt;=TODAY()-1)</f>
        <v>0</v>
      </c>
      <c r="C1434" s="121">
        <v>45917</v>
      </c>
      <c r="D1434" s="137">
        <v>0.87119212962962966</v>
      </c>
      <c r="E1434" s="94">
        <v>1053</v>
      </c>
      <c r="F1434" s="91">
        <v>1210</v>
      </c>
      <c r="G1434" s="143" t="s">
        <v>71</v>
      </c>
      <c r="H1434" s="139">
        <v>1072</v>
      </c>
      <c r="I1434" s="139" t="s">
        <v>35</v>
      </c>
      <c r="J1434" s="139" t="s">
        <v>72</v>
      </c>
      <c r="K1434" s="165">
        <v>94.953999999999994</v>
      </c>
      <c r="L1434" s="122" t="str">
        <f>VLOOKUP(K1434,Liste!$L$2:$O$34,4,1)</f>
        <v>GSMR_17/18</v>
      </c>
      <c r="M1434" s="94" t="s">
        <v>36</v>
      </c>
      <c r="N1434" s="124" t="s">
        <v>37</v>
      </c>
      <c r="O1434" s="117" t="s">
        <v>3040</v>
      </c>
      <c r="P1434" s="117" t="s">
        <v>2793</v>
      </c>
      <c r="Q1434" s="118" t="s">
        <v>39</v>
      </c>
      <c r="R1434" s="184" t="s">
        <v>2988</v>
      </c>
      <c r="S1434" s="124" t="s">
        <v>3034</v>
      </c>
      <c r="T1434" s="124" t="s">
        <v>56</v>
      </c>
      <c r="U1434" s="124" t="s">
        <v>2152</v>
      </c>
      <c r="V1434" s="124" t="s">
        <v>51</v>
      </c>
      <c r="W1434" s="124" t="s">
        <v>51</v>
      </c>
      <c r="X1434" s="124" t="s">
        <v>52</v>
      </c>
      <c r="Y1434" s="124" t="s">
        <v>227</v>
      </c>
      <c r="Z1434" s="94"/>
      <c r="AA1434" s="124" t="s">
        <v>959</v>
      </c>
      <c r="AB1434" s="91"/>
      <c r="AC1434" s="91"/>
      <c r="AD1434" s="91"/>
      <c r="AE1434" s="91"/>
      <c r="AF1434" s="91"/>
      <c r="AG1434" s="91"/>
      <c r="AH1434" s="91"/>
    </row>
    <row r="1435" spans="1:34" ht="60">
      <c r="A1435" s="120">
        <v>1430</v>
      </c>
      <c r="B1435" s="120" t="b">
        <f t="shared" ref="B1435:B1445" ca="1" si="37">AND(C1435&gt;=TODAY()-7, C1435&lt;=TODAY()-1)</f>
        <v>0</v>
      </c>
      <c r="C1435" s="121">
        <v>45918</v>
      </c>
      <c r="D1435" s="137">
        <v>0.51445601851851852</v>
      </c>
      <c r="E1435" s="94">
        <v>2025</v>
      </c>
      <c r="F1435" s="91">
        <v>1208</v>
      </c>
      <c r="G1435" s="143" t="s">
        <v>34</v>
      </c>
      <c r="H1435" s="139">
        <v>1036</v>
      </c>
      <c r="I1435" s="139" t="s">
        <v>35</v>
      </c>
      <c r="J1435" s="139" t="s">
        <v>35</v>
      </c>
      <c r="K1435" s="165">
        <v>74.712999999999994</v>
      </c>
      <c r="L1435" s="122" t="str">
        <f>VLOOKUP(K1435,Liste!$L$2:$O$34,4,1)</f>
        <v>GSMR_13/14</v>
      </c>
      <c r="M1435" s="94" t="s">
        <v>36</v>
      </c>
      <c r="N1435" s="124" t="s">
        <v>37</v>
      </c>
      <c r="O1435" s="117" t="s">
        <v>3041</v>
      </c>
      <c r="P1435" s="126"/>
      <c r="Q1435" s="118" t="s">
        <v>47</v>
      </c>
      <c r="R1435" s="184" t="s">
        <v>3022</v>
      </c>
      <c r="S1435" s="124" t="s">
        <v>3032</v>
      </c>
      <c r="T1435" s="124" t="s">
        <v>41</v>
      </c>
      <c r="U1435" s="124" t="s">
        <v>2857</v>
      </c>
      <c r="V1435" s="124" t="s">
        <v>51</v>
      </c>
      <c r="W1435" s="124" t="s">
        <v>51</v>
      </c>
      <c r="X1435" s="124" t="s">
        <v>52</v>
      </c>
      <c r="Y1435" s="124" t="s">
        <v>946</v>
      </c>
      <c r="Z1435" s="94"/>
      <c r="AA1435" s="124" t="s">
        <v>802</v>
      </c>
      <c r="AB1435" s="91"/>
      <c r="AC1435" s="91"/>
      <c r="AD1435" s="91"/>
      <c r="AE1435" s="91"/>
      <c r="AF1435" s="91"/>
      <c r="AG1435" s="91"/>
      <c r="AH1435" s="91"/>
    </row>
    <row r="1436" spans="1:34" ht="105">
      <c r="A1436" s="120">
        <v>1431</v>
      </c>
      <c r="B1436" s="120" t="b">
        <f t="shared" ca="1" si="37"/>
        <v>0</v>
      </c>
      <c r="C1436" s="121">
        <v>45919</v>
      </c>
      <c r="D1436" s="137">
        <v>0.1705787037037037</v>
      </c>
      <c r="E1436" s="94">
        <v>2025</v>
      </c>
      <c r="F1436" s="91">
        <v>1204</v>
      </c>
      <c r="G1436" s="143" t="s">
        <v>34</v>
      </c>
      <c r="H1436" s="139">
        <v>1053</v>
      </c>
      <c r="I1436" s="139" t="s">
        <v>35</v>
      </c>
      <c r="J1436" s="139" t="s">
        <v>35</v>
      </c>
      <c r="K1436" s="161">
        <v>6.13</v>
      </c>
      <c r="L1436" s="122" t="str">
        <f>VLOOKUP(K1436,Liste!$L$2:$O$34,4,1)</f>
        <v>GSMR_02/03</v>
      </c>
      <c r="M1436" s="94" t="s">
        <v>36</v>
      </c>
      <c r="N1436" s="124" t="s">
        <v>58</v>
      </c>
      <c r="O1436" s="117" t="s">
        <v>3042</v>
      </c>
      <c r="P1436" s="116" t="s">
        <v>2665</v>
      </c>
      <c r="Q1436" s="118" t="s">
        <v>39</v>
      </c>
      <c r="R1436" s="184" t="s">
        <v>2947</v>
      </c>
      <c r="S1436" s="124" t="s">
        <v>1459</v>
      </c>
      <c r="T1436" s="124" t="s">
        <v>56</v>
      </c>
      <c r="U1436" s="124" t="s">
        <v>2824</v>
      </c>
      <c r="V1436" s="124" t="s">
        <v>51</v>
      </c>
      <c r="W1436" s="124" t="s">
        <v>51</v>
      </c>
      <c r="X1436" s="124" t="s">
        <v>52</v>
      </c>
      <c r="Y1436" s="124" t="s">
        <v>946</v>
      </c>
      <c r="Z1436" s="94"/>
      <c r="AA1436" s="124" t="s">
        <v>1118</v>
      </c>
      <c r="AB1436" s="91"/>
      <c r="AC1436" s="91"/>
      <c r="AD1436" s="91"/>
      <c r="AE1436" s="91"/>
      <c r="AF1436" s="91"/>
      <c r="AG1436" s="91"/>
      <c r="AH1436" s="91"/>
    </row>
    <row r="1437" spans="1:34" ht="105">
      <c r="A1437" s="120">
        <v>1432</v>
      </c>
      <c r="B1437" s="120" t="b">
        <f t="shared" ca="1" si="37"/>
        <v>0</v>
      </c>
      <c r="C1437" s="121">
        <v>45919</v>
      </c>
      <c r="D1437" s="137">
        <v>0.71197916666666672</v>
      </c>
      <c r="E1437" s="94">
        <v>2045</v>
      </c>
      <c r="F1437" s="91">
        <v>1205</v>
      </c>
      <c r="G1437" s="143" t="s">
        <v>34</v>
      </c>
      <c r="H1437" s="139">
        <v>7218</v>
      </c>
      <c r="I1437" s="139" t="s">
        <v>35</v>
      </c>
      <c r="J1437" s="139" t="s">
        <v>35</v>
      </c>
      <c r="K1437" s="161">
        <v>6.13</v>
      </c>
      <c r="L1437" s="122" t="str">
        <f>VLOOKUP(K1437,Liste!$L$2:$O$34,4,1)</f>
        <v>GSMR_02/03</v>
      </c>
      <c r="M1437" s="94" t="s">
        <v>36</v>
      </c>
      <c r="N1437" s="124" t="s">
        <v>37</v>
      </c>
      <c r="O1437" s="117" t="s">
        <v>3043</v>
      </c>
      <c r="P1437" s="116" t="s">
        <v>2665</v>
      </c>
      <c r="Q1437" s="118" t="s">
        <v>39</v>
      </c>
      <c r="R1437" s="184" t="s">
        <v>2947</v>
      </c>
      <c r="S1437" s="124" t="s">
        <v>1459</v>
      </c>
      <c r="T1437" s="124" t="s">
        <v>56</v>
      </c>
      <c r="U1437" s="124" t="s">
        <v>2789</v>
      </c>
      <c r="V1437" s="124" t="s">
        <v>43</v>
      </c>
      <c r="W1437" s="124" t="s">
        <v>51</v>
      </c>
      <c r="X1437" s="124" t="s">
        <v>52</v>
      </c>
      <c r="Y1437" s="124" t="s">
        <v>946</v>
      </c>
      <c r="Z1437" s="94"/>
      <c r="AA1437" s="124" t="s">
        <v>754</v>
      </c>
      <c r="AB1437" s="91"/>
      <c r="AC1437" s="91"/>
      <c r="AD1437" s="91"/>
      <c r="AE1437" s="91"/>
      <c r="AF1437" s="91"/>
      <c r="AG1437" s="91"/>
      <c r="AH1437" s="91"/>
    </row>
    <row r="1438" spans="1:34" ht="105">
      <c r="A1438" s="120">
        <v>1433</v>
      </c>
      <c r="B1438" s="120" t="b">
        <f t="shared" ca="1" si="37"/>
        <v>0</v>
      </c>
      <c r="C1438" s="121">
        <v>45919</v>
      </c>
      <c r="D1438" s="137">
        <v>0.75368055555555558</v>
      </c>
      <c r="E1438" s="94">
        <v>2049</v>
      </c>
      <c r="F1438" s="91">
        <v>1202</v>
      </c>
      <c r="G1438" s="143" t="s">
        <v>34</v>
      </c>
      <c r="H1438" s="139">
        <v>1042</v>
      </c>
      <c r="I1438" s="139" t="s">
        <v>35</v>
      </c>
      <c r="J1438" s="139" t="s">
        <v>35</v>
      </c>
      <c r="K1438" s="161">
        <v>6.13</v>
      </c>
      <c r="L1438" s="122" t="str">
        <f>VLOOKUP(K1438,Liste!$L$2:$O$34,4,1)</f>
        <v>GSMR_02/03</v>
      </c>
      <c r="M1438" s="94" t="s">
        <v>36</v>
      </c>
      <c r="N1438" s="124" t="s">
        <v>58</v>
      </c>
      <c r="O1438" s="117" t="s">
        <v>3044</v>
      </c>
      <c r="P1438" s="116" t="s">
        <v>2665</v>
      </c>
      <c r="Q1438" s="118" t="s">
        <v>39</v>
      </c>
      <c r="R1438" s="184" t="s">
        <v>2947</v>
      </c>
      <c r="S1438" s="124" t="s">
        <v>3038</v>
      </c>
      <c r="T1438" s="124" t="s">
        <v>56</v>
      </c>
      <c r="U1438" s="124" t="s">
        <v>2846</v>
      </c>
      <c r="V1438" s="124" t="s">
        <v>51</v>
      </c>
      <c r="W1438" s="124" t="s">
        <v>51</v>
      </c>
      <c r="X1438" s="124" t="s">
        <v>52</v>
      </c>
      <c r="Y1438" s="124" t="s">
        <v>946</v>
      </c>
      <c r="Z1438" s="94"/>
      <c r="AA1438" s="124" t="s">
        <v>1295</v>
      </c>
      <c r="AB1438" s="91"/>
      <c r="AC1438" s="91"/>
      <c r="AD1438" s="91"/>
      <c r="AE1438" s="91"/>
      <c r="AF1438" s="91"/>
      <c r="AG1438" s="91"/>
      <c r="AH1438" s="91"/>
    </row>
    <row r="1439" spans="1:34" ht="60">
      <c r="A1439" s="120">
        <v>1434</v>
      </c>
      <c r="B1439" s="120" t="b">
        <f t="shared" ca="1" si="37"/>
        <v>0</v>
      </c>
      <c r="C1439" s="121">
        <v>45920</v>
      </c>
      <c r="D1439" s="137">
        <v>0.36502314814814812</v>
      </c>
      <c r="E1439" s="94">
        <v>1005</v>
      </c>
      <c r="F1439" s="91">
        <v>1205</v>
      </c>
      <c r="G1439" s="143" t="s">
        <v>71</v>
      </c>
      <c r="H1439" s="139">
        <v>1061</v>
      </c>
      <c r="I1439" s="115"/>
      <c r="J1439" s="139" t="s">
        <v>72</v>
      </c>
      <c r="K1439" s="165">
        <v>136.73500000000001</v>
      </c>
      <c r="L1439" s="122" t="str">
        <f>VLOOKUP(K1439,Liste!$L$2:$O$34,4,1)</f>
        <v>GSMR_24/25</v>
      </c>
      <c r="M1439" s="94" t="s">
        <v>36</v>
      </c>
      <c r="N1439" s="124" t="s">
        <v>58</v>
      </c>
      <c r="O1439" s="117" t="s">
        <v>3045</v>
      </c>
      <c r="P1439" s="127"/>
      <c r="Q1439" s="118" t="s">
        <v>39</v>
      </c>
      <c r="R1439" s="184" t="s">
        <v>2947</v>
      </c>
      <c r="S1439" s="124" t="s">
        <v>3046</v>
      </c>
      <c r="T1439" s="124" t="s">
        <v>69</v>
      </c>
      <c r="U1439" s="124" t="s">
        <v>2768</v>
      </c>
      <c r="V1439" s="124" t="s">
        <v>51</v>
      </c>
      <c r="W1439" s="124" t="s">
        <v>51</v>
      </c>
      <c r="X1439" s="124" t="s">
        <v>52</v>
      </c>
      <c r="Y1439" s="124" t="s">
        <v>946</v>
      </c>
      <c r="Z1439" s="94"/>
      <c r="AA1439" s="124" t="s">
        <v>3002</v>
      </c>
      <c r="AB1439" s="91"/>
      <c r="AC1439" s="91"/>
      <c r="AD1439" s="91"/>
      <c r="AE1439" s="91"/>
      <c r="AF1439" s="91"/>
      <c r="AG1439" s="91"/>
      <c r="AH1439" s="91"/>
    </row>
    <row r="1440" spans="1:34" ht="105">
      <c r="A1440" s="120">
        <v>1435</v>
      </c>
      <c r="B1440" s="120" t="b">
        <f t="shared" ca="1" si="37"/>
        <v>0</v>
      </c>
      <c r="C1440" s="121">
        <v>45921</v>
      </c>
      <c r="D1440" s="137">
        <v>0.50354166666666667</v>
      </c>
      <c r="E1440" s="94">
        <v>2025</v>
      </c>
      <c r="F1440" s="91">
        <v>1208</v>
      </c>
      <c r="G1440" s="143" t="s">
        <v>34</v>
      </c>
      <c r="H1440" s="139">
        <v>1037</v>
      </c>
      <c r="I1440" s="139" t="s">
        <v>35</v>
      </c>
      <c r="J1440" s="139" t="s">
        <v>35</v>
      </c>
      <c r="K1440" s="161">
        <v>6.13</v>
      </c>
      <c r="L1440" s="122" t="str">
        <f>VLOOKUP(K1440,Liste!$L$2:$O$34,4,1)</f>
        <v>GSMR_02/03</v>
      </c>
      <c r="M1440" s="94" t="s">
        <v>36</v>
      </c>
      <c r="N1440" s="124" t="s">
        <v>37</v>
      </c>
      <c r="O1440" s="117" t="s">
        <v>3043</v>
      </c>
      <c r="P1440" s="116" t="s">
        <v>2665</v>
      </c>
      <c r="Q1440" s="118" t="s">
        <v>39</v>
      </c>
      <c r="R1440" s="184" t="s">
        <v>2947</v>
      </c>
      <c r="S1440" s="124" t="s">
        <v>1459</v>
      </c>
      <c r="T1440" s="124" t="s">
        <v>56</v>
      </c>
      <c r="U1440" s="124" t="s">
        <v>2856</v>
      </c>
      <c r="V1440" s="124" t="s">
        <v>43</v>
      </c>
      <c r="W1440" s="124" t="s">
        <v>51</v>
      </c>
      <c r="X1440" s="124" t="s">
        <v>52</v>
      </c>
      <c r="Y1440" s="124" t="s">
        <v>946</v>
      </c>
      <c r="Z1440" s="94"/>
      <c r="AA1440" s="124" t="s">
        <v>959</v>
      </c>
      <c r="AB1440" s="91"/>
      <c r="AC1440" s="91"/>
      <c r="AD1440" s="91"/>
      <c r="AE1440" s="91"/>
      <c r="AF1440" s="91"/>
      <c r="AG1440" s="91"/>
      <c r="AH1440" s="91"/>
    </row>
    <row r="1441" spans="1:34" ht="60">
      <c r="A1441" s="120">
        <v>1436</v>
      </c>
      <c r="B1441" s="120" t="b">
        <f t="shared" ca="1" si="37"/>
        <v>0</v>
      </c>
      <c r="C1441" s="121">
        <v>45921</v>
      </c>
      <c r="D1441" s="137">
        <v>0.53820601851851857</v>
      </c>
      <c r="E1441" s="94">
        <v>1021</v>
      </c>
      <c r="F1441" s="91">
        <v>1205</v>
      </c>
      <c r="G1441" s="143" t="s">
        <v>71</v>
      </c>
      <c r="H1441" s="139">
        <v>1061</v>
      </c>
      <c r="I1441" s="139" t="s">
        <v>35</v>
      </c>
      <c r="J1441" s="139" t="s">
        <v>72</v>
      </c>
      <c r="K1441" s="165">
        <v>94.953999999999994</v>
      </c>
      <c r="L1441" s="122" t="str">
        <f>VLOOKUP(K1441,Liste!$L$2:$O$34,4,1)</f>
        <v>GSMR_17/18</v>
      </c>
      <c r="M1441" s="94" t="s">
        <v>36</v>
      </c>
      <c r="N1441" s="124" t="s">
        <v>37</v>
      </c>
      <c r="O1441" s="117" t="s">
        <v>3047</v>
      </c>
      <c r="P1441" s="117" t="s">
        <v>2793</v>
      </c>
      <c r="Q1441" s="118" t="s">
        <v>39</v>
      </c>
      <c r="R1441" s="184" t="s">
        <v>2988</v>
      </c>
      <c r="S1441" s="124" t="s">
        <v>3034</v>
      </c>
      <c r="T1441" s="124" t="s">
        <v>56</v>
      </c>
      <c r="U1441" s="124" t="s">
        <v>2848</v>
      </c>
      <c r="V1441" s="124" t="s">
        <v>51</v>
      </c>
      <c r="W1441" s="124" t="s">
        <v>51</v>
      </c>
      <c r="X1441" s="124" t="s">
        <v>52</v>
      </c>
      <c r="Y1441" s="124" t="s">
        <v>946</v>
      </c>
      <c r="Z1441" s="94"/>
      <c r="AA1441" s="124" t="s">
        <v>959</v>
      </c>
      <c r="AB1441" s="91"/>
      <c r="AC1441" s="91"/>
      <c r="AD1441" s="91"/>
      <c r="AE1441" s="91"/>
      <c r="AF1441" s="91"/>
      <c r="AG1441" s="91"/>
      <c r="AH1441" s="91"/>
    </row>
    <row r="1442" spans="1:34" ht="60">
      <c r="A1442" s="120">
        <v>1437</v>
      </c>
      <c r="B1442" s="120" t="b">
        <f t="shared" ca="1" si="37"/>
        <v>0</v>
      </c>
      <c r="C1442" s="121">
        <v>45921</v>
      </c>
      <c r="D1442" s="137">
        <v>0.78820601851851857</v>
      </c>
      <c r="E1442" s="94">
        <v>1045</v>
      </c>
      <c r="F1442" s="91">
        <v>1205</v>
      </c>
      <c r="G1442" s="143" t="s">
        <v>71</v>
      </c>
      <c r="H1442" s="139">
        <v>1061</v>
      </c>
      <c r="I1442" s="139" t="s">
        <v>35</v>
      </c>
      <c r="J1442" s="139" t="s">
        <v>72</v>
      </c>
      <c r="K1442" s="165">
        <v>94.953999999999994</v>
      </c>
      <c r="L1442" s="122" t="str">
        <f>VLOOKUP(K1442,Liste!$L$2:$O$34,4,1)</f>
        <v>GSMR_17/18</v>
      </c>
      <c r="M1442" s="94" t="s">
        <v>36</v>
      </c>
      <c r="N1442" s="124" t="s">
        <v>37</v>
      </c>
      <c r="O1442" s="117" t="s">
        <v>3047</v>
      </c>
      <c r="P1442" s="117" t="s">
        <v>2793</v>
      </c>
      <c r="Q1442" s="118" t="s">
        <v>39</v>
      </c>
      <c r="R1442" s="184" t="s">
        <v>2988</v>
      </c>
      <c r="S1442" s="124" t="s">
        <v>3034</v>
      </c>
      <c r="T1442" s="124" t="s">
        <v>56</v>
      </c>
      <c r="U1442" s="124" t="s">
        <v>2152</v>
      </c>
      <c r="V1442" s="124" t="s">
        <v>51</v>
      </c>
      <c r="W1442" s="124" t="s">
        <v>51</v>
      </c>
      <c r="X1442" s="124" t="s">
        <v>52</v>
      </c>
      <c r="Y1442" s="124" t="s">
        <v>946</v>
      </c>
      <c r="Z1442" s="94"/>
      <c r="AA1442" s="124" t="s">
        <v>754</v>
      </c>
      <c r="AB1442" s="91"/>
      <c r="AC1442" s="91"/>
      <c r="AD1442" s="91"/>
      <c r="AE1442" s="91"/>
      <c r="AF1442" s="91"/>
      <c r="AG1442" s="91"/>
      <c r="AH1442" s="91"/>
    </row>
    <row r="1443" spans="1:34" ht="60">
      <c r="A1443" s="120">
        <v>1438</v>
      </c>
      <c r="B1443" s="120" t="b">
        <f t="shared" ca="1" si="37"/>
        <v>0</v>
      </c>
      <c r="C1443" s="121">
        <v>45921</v>
      </c>
      <c r="D1443" s="137">
        <v>0.83048611111111115</v>
      </c>
      <c r="E1443" s="94">
        <v>1049</v>
      </c>
      <c r="F1443" s="91">
        <v>1207</v>
      </c>
      <c r="G1443" s="143" t="s">
        <v>71</v>
      </c>
      <c r="H1443" s="139">
        <v>1047</v>
      </c>
      <c r="I1443" s="139" t="s">
        <v>35</v>
      </c>
      <c r="J1443" s="139" t="s">
        <v>72</v>
      </c>
      <c r="K1443" s="165">
        <v>94.953999999999994</v>
      </c>
      <c r="L1443" s="122" t="str">
        <f>VLOOKUP(K1443,Liste!$L$2:$O$34,4,1)</f>
        <v>GSMR_17/18</v>
      </c>
      <c r="M1443" s="94" t="s">
        <v>36</v>
      </c>
      <c r="N1443" s="124" t="s">
        <v>37</v>
      </c>
      <c r="O1443" s="117" t="s">
        <v>3048</v>
      </c>
      <c r="P1443" s="117" t="s">
        <v>2793</v>
      </c>
      <c r="Q1443" s="118" t="s">
        <v>39</v>
      </c>
      <c r="R1443" s="184" t="s">
        <v>2988</v>
      </c>
      <c r="S1443" s="124" t="s">
        <v>3034</v>
      </c>
      <c r="T1443" s="124" t="s">
        <v>93</v>
      </c>
      <c r="U1443" s="124" t="s">
        <v>2955</v>
      </c>
      <c r="V1443" s="124" t="s">
        <v>51</v>
      </c>
      <c r="W1443" s="124" t="s">
        <v>51</v>
      </c>
      <c r="X1443" s="124" t="s">
        <v>52</v>
      </c>
      <c r="Y1443" s="124" t="s">
        <v>227</v>
      </c>
      <c r="Z1443" s="94"/>
      <c r="AA1443" s="124" t="s">
        <v>754</v>
      </c>
      <c r="AB1443" s="91"/>
      <c r="AC1443" s="91"/>
      <c r="AD1443" s="91"/>
      <c r="AE1443" s="91"/>
      <c r="AF1443" s="91"/>
      <c r="AG1443" s="91"/>
      <c r="AH1443" s="91"/>
    </row>
    <row r="1444" spans="1:34" ht="105">
      <c r="A1444" s="120">
        <v>1439</v>
      </c>
      <c r="B1444" s="120" t="b">
        <f t="shared" ca="1" si="37"/>
        <v>0</v>
      </c>
      <c r="C1444" s="121">
        <v>45921</v>
      </c>
      <c r="D1444" s="137">
        <v>0.88495370370370374</v>
      </c>
      <c r="E1444" s="94">
        <v>1054</v>
      </c>
      <c r="F1444" s="91">
        <v>1203</v>
      </c>
      <c r="G1444" s="143" t="s">
        <v>71</v>
      </c>
      <c r="H1444" s="139">
        <v>1027</v>
      </c>
      <c r="I1444" s="139" t="s">
        <v>35</v>
      </c>
      <c r="J1444" s="139" t="s">
        <v>72</v>
      </c>
      <c r="K1444" s="169">
        <v>7.3209999999999997</v>
      </c>
      <c r="L1444" s="122" t="str">
        <f>VLOOKUP(K1444,Liste!$L$2:$O$34,4,1)</f>
        <v>GSMR_02/03</v>
      </c>
      <c r="M1444" s="94" t="s">
        <v>36</v>
      </c>
      <c r="N1444" s="124" t="s">
        <v>37</v>
      </c>
      <c r="O1444" s="117" t="s">
        <v>3049</v>
      </c>
      <c r="P1444" s="116" t="s">
        <v>2665</v>
      </c>
      <c r="Q1444" s="118" t="s">
        <v>39</v>
      </c>
      <c r="R1444" s="184" t="s">
        <v>2947</v>
      </c>
      <c r="S1444" s="124" t="s">
        <v>2088</v>
      </c>
      <c r="T1444" s="124" t="s">
        <v>56</v>
      </c>
      <c r="U1444" s="124" t="s">
        <v>2797</v>
      </c>
      <c r="V1444" s="124" t="s">
        <v>51</v>
      </c>
      <c r="W1444" s="124" t="s">
        <v>51</v>
      </c>
      <c r="X1444" s="124" t="s">
        <v>52</v>
      </c>
      <c r="Y1444" s="124" t="s">
        <v>227</v>
      </c>
      <c r="Z1444" s="94"/>
      <c r="AA1444" s="124" t="s">
        <v>793</v>
      </c>
      <c r="AB1444" s="91"/>
      <c r="AC1444" s="91"/>
      <c r="AD1444" s="91"/>
      <c r="AE1444" s="91"/>
      <c r="AF1444" s="91"/>
      <c r="AG1444" s="91"/>
      <c r="AH1444" s="91"/>
    </row>
    <row r="1445" spans="1:34" ht="60">
      <c r="A1445" s="120">
        <v>1440</v>
      </c>
      <c r="B1445" s="120" t="b">
        <f t="shared" ca="1" si="37"/>
        <v>0</v>
      </c>
      <c r="C1445" s="121">
        <v>45921</v>
      </c>
      <c r="D1445" s="137">
        <v>0.9129976851851852</v>
      </c>
      <c r="E1445" s="94">
        <v>1058</v>
      </c>
      <c r="F1445" s="91">
        <v>1202</v>
      </c>
      <c r="G1445" s="143" t="s">
        <v>71</v>
      </c>
      <c r="H1445" s="139">
        <v>1031</v>
      </c>
      <c r="I1445" s="139" t="s">
        <v>35</v>
      </c>
      <c r="J1445" s="139" t="s">
        <v>72</v>
      </c>
      <c r="K1445" s="165">
        <v>94.953999999999994</v>
      </c>
      <c r="L1445" s="122" t="str">
        <f>VLOOKUP(K1445,Liste!$L$2:$O$34,4,1)</f>
        <v>GSMR_17/18</v>
      </c>
      <c r="M1445" s="94" t="s">
        <v>36</v>
      </c>
      <c r="N1445" s="124" t="s">
        <v>37</v>
      </c>
      <c r="O1445" s="117" t="s">
        <v>3048</v>
      </c>
      <c r="P1445" s="117" t="s">
        <v>2793</v>
      </c>
      <c r="Q1445" s="118" t="s">
        <v>39</v>
      </c>
      <c r="R1445" s="184" t="s">
        <v>2988</v>
      </c>
      <c r="S1445" s="124" t="s">
        <v>3034</v>
      </c>
      <c r="T1445" s="124" t="s">
        <v>93</v>
      </c>
      <c r="U1445" s="124" t="s">
        <v>2749</v>
      </c>
      <c r="V1445" s="124" t="s">
        <v>51</v>
      </c>
      <c r="W1445" s="124" t="s">
        <v>51</v>
      </c>
      <c r="X1445" s="124" t="s">
        <v>52</v>
      </c>
      <c r="Y1445" s="124" t="s">
        <v>227</v>
      </c>
      <c r="Z1445" s="94"/>
      <c r="AA1445" s="124" t="s">
        <v>793</v>
      </c>
      <c r="AB1445" s="91"/>
      <c r="AC1445" s="91"/>
      <c r="AD1445" s="91"/>
      <c r="AE1445" s="91"/>
      <c r="AF1445" s="91"/>
      <c r="AG1445" s="91"/>
      <c r="AH1445" s="91"/>
    </row>
    <row r="1446" spans="1:34" ht="60">
      <c r="A1446" s="120">
        <v>1441</v>
      </c>
      <c r="B1446" s="120" t="b">
        <f t="shared" ref="B1446:B1451" ca="1" si="38">AND(C1446&gt;=TODAY()-7, C1446&lt;=TODAY()-1)</f>
        <v>0</v>
      </c>
      <c r="C1446" s="121">
        <v>45923</v>
      </c>
      <c r="D1446" s="137">
        <v>0.32954861111111111</v>
      </c>
      <c r="E1446" s="94">
        <v>1001</v>
      </c>
      <c r="F1446" s="91">
        <v>1205</v>
      </c>
      <c r="G1446" s="143" t="s">
        <v>71</v>
      </c>
      <c r="H1446" s="139">
        <v>1061</v>
      </c>
      <c r="I1446" s="139" t="s">
        <v>35</v>
      </c>
      <c r="J1446" s="139" t="s">
        <v>72</v>
      </c>
      <c r="K1446" s="165">
        <v>94.953999999999994</v>
      </c>
      <c r="L1446" s="122" t="str">
        <f>VLOOKUP(K1446,Liste!$L$2:$O$34,4,1)</f>
        <v>GSMR_17/18</v>
      </c>
      <c r="M1446" s="94" t="s">
        <v>36</v>
      </c>
      <c r="N1446" s="124" t="s">
        <v>37</v>
      </c>
      <c r="O1446" s="117" t="s">
        <v>3050</v>
      </c>
      <c r="P1446" s="117" t="s">
        <v>2793</v>
      </c>
      <c r="Q1446" s="118" t="s">
        <v>39</v>
      </c>
      <c r="R1446" s="184" t="s">
        <v>2988</v>
      </c>
      <c r="S1446" s="124" t="s">
        <v>3034</v>
      </c>
      <c r="T1446" s="124" t="s">
        <v>93</v>
      </c>
      <c r="U1446" s="124" t="s">
        <v>2749</v>
      </c>
      <c r="V1446" s="124" t="s">
        <v>51</v>
      </c>
      <c r="W1446" s="124" t="s">
        <v>51</v>
      </c>
      <c r="X1446" s="124" t="s">
        <v>52</v>
      </c>
      <c r="Y1446" s="124" t="s">
        <v>946</v>
      </c>
      <c r="Z1446" s="94"/>
      <c r="AA1446" s="124" t="s">
        <v>802</v>
      </c>
      <c r="AB1446" s="91"/>
      <c r="AC1446" s="91"/>
      <c r="AD1446" s="91"/>
      <c r="AE1446" s="91"/>
      <c r="AF1446" s="91"/>
      <c r="AG1446" s="91"/>
      <c r="AH1446" s="91"/>
    </row>
    <row r="1447" spans="1:34" ht="60">
      <c r="A1447" s="120">
        <v>1442</v>
      </c>
      <c r="B1447" s="120" t="b">
        <f t="shared" ca="1" si="38"/>
        <v>0</v>
      </c>
      <c r="C1447" s="121">
        <v>45923</v>
      </c>
      <c r="D1447" s="137">
        <v>0.37157407407407406</v>
      </c>
      <c r="E1447" s="94">
        <v>1005</v>
      </c>
      <c r="F1447" s="91">
        <v>1207</v>
      </c>
      <c r="G1447" s="143" t="s">
        <v>71</v>
      </c>
      <c r="H1447" s="139">
        <v>1047</v>
      </c>
      <c r="I1447" s="139" t="s">
        <v>35</v>
      </c>
      <c r="J1447" s="139" t="s">
        <v>72</v>
      </c>
      <c r="K1447" s="165">
        <v>94.953999999999994</v>
      </c>
      <c r="L1447" s="122" t="str">
        <f>VLOOKUP(K1447,Liste!$L$2:$O$34,4,1)</f>
        <v>GSMR_17/18</v>
      </c>
      <c r="M1447" s="94" t="s">
        <v>36</v>
      </c>
      <c r="N1447" s="124" t="s">
        <v>37</v>
      </c>
      <c r="O1447" s="117" t="s">
        <v>3051</v>
      </c>
      <c r="P1447" s="117" t="s">
        <v>2793</v>
      </c>
      <c r="Q1447" s="118" t="s">
        <v>39</v>
      </c>
      <c r="R1447" s="184" t="s">
        <v>2988</v>
      </c>
      <c r="S1447" s="124" t="s">
        <v>3034</v>
      </c>
      <c r="T1447" s="124" t="s">
        <v>56</v>
      </c>
      <c r="U1447" s="124" t="s">
        <v>2840</v>
      </c>
      <c r="V1447" s="124" t="s">
        <v>51</v>
      </c>
      <c r="W1447" s="124" t="s">
        <v>51</v>
      </c>
      <c r="X1447" s="124" t="s">
        <v>52</v>
      </c>
      <c r="Y1447" s="124" t="s">
        <v>227</v>
      </c>
      <c r="Z1447" s="94"/>
      <c r="AA1447" s="124" t="s">
        <v>802</v>
      </c>
      <c r="AB1447" s="91"/>
      <c r="AC1447" s="91"/>
      <c r="AD1447" s="91"/>
      <c r="AE1447" s="91"/>
      <c r="AF1447" s="91"/>
      <c r="AG1447" s="91"/>
      <c r="AH1447" s="91"/>
    </row>
    <row r="1448" spans="1:34" ht="60">
      <c r="A1448" s="120">
        <v>1443</v>
      </c>
      <c r="B1448" s="120" t="b">
        <f t="shared" ca="1" si="38"/>
        <v>0</v>
      </c>
      <c r="C1448" s="121">
        <v>45923</v>
      </c>
      <c r="D1448" s="137">
        <v>0.94980324074074074</v>
      </c>
      <c r="E1448" s="94">
        <v>1062</v>
      </c>
      <c r="F1448" s="91">
        <v>1209</v>
      </c>
      <c r="G1448" s="143" t="s">
        <v>71</v>
      </c>
      <c r="H1448" s="139">
        <v>1032</v>
      </c>
      <c r="I1448" s="139" t="s">
        <v>35</v>
      </c>
      <c r="J1448" s="139" t="s">
        <v>72</v>
      </c>
      <c r="K1448" s="165">
        <v>127.815</v>
      </c>
      <c r="L1448" s="122" t="str">
        <f>VLOOKUP(K1448,Liste!$L$2:$O$34,4,1)</f>
        <v>GSMR_22/23</v>
      </c>
      <c r="M1448" s="94" t="s">
        <v>36</v>
      </c>
      <c r="N1448" s="124" t="s">
        <v>37</v>
      </c>
      <c r="O1448" s="117" t="s">
        <v>3052</v>
      </c>
      <c r="P1448" s="126"/>
      <c r="Q1448" s="118" t="s">
        <v>47</v>
      </c>
      <c r="R1448" s="184" t="s">
        <v>2613</v>
      </c>
      <c r="S1448" s="124" t="s">
        <v>3053</v>
      </c>
      <c r="T1448" s="124" t="s">
        <v>101</v>
      </c>
      <c r="U1448" s="124" t="s">
        <v>2817</v>
      </c>
      <c r="V1448" s="124" t="s">
        <v>51</v>
      </c>
      <c r="W1448" s="124" t="s">
        <v>51</v>
      </c>
      <c r="X1448" s="124" t="s">
        <v>52</v>
      </c>
      <c r="Y1448" s="124" t="s">
        <v>227</v>
      </c>
      <c r="Z1448" s="94"/>
      <c r="AA1448" s="124" t="s">
        <v>793</v>
      </c>
      <c r="AB1448" s="91"/>
      <c r="AC1448" s="91"/>
      <c r="AD1448" s="91"/>
      <c r="AE1448" s="91"/>
      <c r="AF1448" s="91"/>
      <c r="AG1448" s="91"/>
      <c r="AH1448" s="91"/>
    </row>
    <row r="1449" spans="1:34" ht="105">
      <c r="A1449" s="120">
        <v>1444</v>
      </c>
      <c r="B1449" s="120" t="b">
        <f t="shared" ca="1" si="38"/>
        <v>0</v>
      </c>
      <c r="C1449" s="121">
        <v>45925</v>
      </c>
      <c r="D1449" s="137">
        <v>0.17038194444444443</v>
      </c>
      <c r="E1449" s="94">
        <v>2081</v>
      </c>
      <c r="F1449" s="91">
        <v>1202</v>
      </c>
      <c r="G1449" s="143" t="s">
        <v>34</v>
      </c>
      <c r="H1449" s="139">
        <v>1043</v>
      </c>
      <c r="I1449" s="139"/>
      <c r="J1449" s="139" t="s">
        <v>35</v>
      </c>
      <c r="K1449" s="161">
        <v>6.13</v>
      </c>
      <c r="L1449" s="122" t="str">
        <f>VLOOKUP(K1449,Liste!$L$2:$O$34,4,1)</f>
        <v>GSMR_02/03</v>
      </c>
      <c r="M1449" s="94" t="s">
        <v>36</v>
      </c>
      <c r="N1449" s="124" t="s">
        <v>58</v>
      </c>
      <c r="O1449" s="117" t="s">
        <v>3054</v>
      </c>
      <c r="P1449" s="116" t="s">
        <v>2665</v>
      </c>
      <c r="Q1449" s="118" t="s">
        <v>39</v>
      </c>
      <c r="R1449" s="184" t="s">
        <v>3055</v>
      </c>
      <c r="S1449" s="124" t="s">
        <v>3056</v>
      </c>
      <c r="T1449" s="124" t="s">
        <v>56</v>
      </c>
      <c r="U1449" s="124" t="s">
        <v>3057</v>
      </c>
      <c r="V1449" s="124" t="s">
        <v>43</v>
      </c>
      <c r="W1449" s="124" t="s">
        <v>51</v>
      </c>
      <c r="X1449" s="124" t="s">
        <v>52</v>
      </c>
      <c r="Y1449" s="124" t="s">
        <v>946</v>
      </c>
      <c r="Z1449" s="94"/>
      <c r="AA1449" s="124" t="s">
        <v>1183</v>
      </c>
      <c r="AB1449" s="91"/>
      <c r="AC1449" s="91"/>
      <c r="AD1449" s="91"/>
      <c r="AE1449" s="91"/>
      <c r="AF1449" s="91"/>
      <c r="AG1449" s="91"/>
      <c r="AH1449" s="91"/>
    </row>
    <row r="1450" spans="1:34" ht="60">
      <c r="A1450" s="120">
        <v>1445</v>
      </c>
      <c r="B1450" s="120" t="b">
        <f t="shared" ca="1" si="38"/>
        <v>0</v>
      </c>
      <c r="C1450" s="121">
        <v>45925</v>
      </c>
      <c r="D1450" s="137">
        <v>0.41298611111111111</v>
      </c>
      <c r="E1450" s="94">
        <v>1009</v>
      </c>
      <c r="F1450" s="91">
        <v>1208</v>
      </c>
      <c r="G1450" s="143" t="s">
        <v>71</v>
      </c>
      <c r="H1450" s="139">
        <v>1045</v>
      </c>
      <c r="I1450" s="139"/>
      <c r="J1450" s="139" t="s">
        <v>72</v>
      </c>
      <c r="K1450" s="165">
        <v>94.953999999999994</v>
      </c>
      <c r="L1450" s="122" t="str">
        <f>VLOOKUP(K1450,Liste!$L$2:$O$34,4,1)</f>
        <v>GSMR_17/18</v>
      </c>
      <c r="M1450" s="94" t="s">
        <v>36</v>
      </c>
      <c r="N1450" s="124" t="s">
        <v>37</v>
      </c>
      <c r="O1450" s="117" t="s">
        <v>3051</v>
      </c>
      <c r="P1450" s="117" t="s">
        <v>2793</v>
      </c>
      <c r="Q1450" s="118" t="s">
        <v>39</v>
      </c>
      <c r="R1450" s="184" t="s">
        <v>2988</v>
      </c>
      <c r="S1450" s="124" t="s">
        <v>3034</v>
      </c>
      <c r="T1450" s="124" t="s">
        <v>56</v>
      </c>
      <c r="U1450" s="124" t="s">
        <v>2902</v>
      </c>
      <c r="V1450" s="124" t="s">
        <v>51</v>
      </c>
      <c r="W1450" s="124" t="s">
        <v>51</v>
      </c>
      <c r="X1450" s="124" t="s">
        <v>52</v>
      </c>
      <c r="Y1450" s="124" t="s">
        <v>227</v>
      </c>
      <c r="Z1450" s="94"/>
      <c r="AA1450" s="124" t="s">
        <v>802</v>
      </c>
      <c r="AB1450" s="91"/>
      <c r="AC1450" s="91"/>
      <c r="AD1450" s="91"/>
      <c r="AE1450" s="91"/>
      <c r="AF1450" s="91"/>
      <c r="AG1450" s="91"/>
      <c r="AH1450" s="91"/>
    </row>
    <row r="1451" spans="1:34" ht="60">
      <c r="A1451" s="120">
        <v>1446</v>
      </c>
      <c r="B1451" s="120" t="b">
        <f t="shared" ca="1" si="38"/>
        <v>0</v>
      </c>
      <c r="C1451" s="121">
        <v>45925</v>
      </c>
      <c r="D1451" s="137">
        <v>0.63677083333333329</v>
      </c>
      <c r="E1451" s="94">
        <v>2037</v>
      </c>
      <c r="F1451" s="91">
        <v>1205</v>
      </c>
      <c r="G1451" s="143" t="s">
        <v>34</v>
      </c>
      <c r="H1451" s="139">
        <v>7218</v>
      </c>
      <c r="I1451" s="139"/>
      <c r="J1451" s="139" t="s">
        <v>35</v>
      </c>
      <c r="K1451" s="165">
        <v>53.600999999999999</v>
      </c>
      <c r="L1451" s="122" t="str">
        <f>VLOOKUP(K1451,Liste!$L$2:$O$34,4,1)</f>
        <v>GSMR_09/10</v>
      </c>
      <c r="M1451" s="94" t="s">
        <v>36</v>
      </c>
      <c r="N1451" s="124" t="s">
        <v>37</v>
      </c>
      <c r="O1451" s="117" t="s">
        <v>3058</v>
      </c>
      <c r="P1451" s="126"/>
      <c r="Q1451" s="118" t="s">
        <v>47</v>
      </c>
      <c r="R1451" s="184" t="s">
        <v>2613</v>
      </c>
      <c r="S1451" s="124" t="s">
        <v>3059</v>
      </c>
      <c r="T1451" s="124" t="s">
        <v>69</v>
      </c>
      <c r="U1451" s="124" t="s">
        <v>2743</v>
      </c>
      <c r="V1451" s="124" t="s">
        <v>51</v>
      </c>
      <c r="W1451" s="124" t="s">
        <v>51</v>
      </c>
      <c r="X1451" s="124" t="s">
        <v>52</v>
      </c>
      <c r="Y1451" s="124" t="s">
        <v>227</v>
      </c>
      <c r="Z1451" s="94"/>
      <c r="AA1451" s="124" t="s">
        <v>802</v>
      </c>
      <c r="AB1451" s="91"/>
      <c r="AC1451" s="91"/>
      <c r="AD1451" s="91"/>
      <c r="AE1451" s="91"/>
      <c r="AF1451" s="91"/>
      <c r="AG1451" s="91"/>
      <c r="AH1451" s="91"/>
    </row>
    <row r="1452" spans="1:34" ht="60">
      <c r="A1452" s="120">
        <v>1447</v>
      </c>
      <c r="B1452" s="120" t="b">
        <f t="shared" ref="B1452" ca="1" si="39">AND(C1452&gt;=TODAY()-7, C1452&lt;=TODAY()-1)</f>
        <v>0</v>
      </c>
      <c r="C1452" s="121">
        <v>45926</v>
      </c>
      <c r="D1452" s="137">
        <v>0.67843750000000003</v>
      </c>
      <c r="E1452" s="94">
        <v>2037</v>
      </c>
      <c r="F1452" s="91">
        <v>1205</v>
      </c>
      <c r="G1452" s="143" t="s">
        <v>71</v>
      </c>
      <c r="H1452" s="139">
        <v>7219</v>
      </c>
      <c r="I1452" s="139"/>
      <c r="J1452" s="139" t="s">
        <v>72</v>
      </c>
      <c r="K1452" s="165">
        <v>54.600999999999999</v>
      </c>
      <c r="L1452" s="122" t="str">
        <f>VLOOKUP(K1452,Liste!$L$2:$O$34,4,1)</f>
        <v>GSMR_09/10</v>
      </c>
      <c r="M1452" s="94" t="s">
        <v>36</v>
      </c>
      <c r="N1452" s="124" t="s">
        <v>37</v>
      </c>
      <c r="O1452" s="117" t="s">
        <v>3058</v>
      </c>
      <c r="P1452" s="126"/>
      <c r="Q1452" s="118" t="s">
        <v>47</v>
      </c>
      <c r="R1452" s="184" t="s">
        <v>2613</v>
      </c>
      <c r="S1452" s="124" t="s">
        <v>3060</v>
      </c>
      <c r="T1452" s="124" t="s">
        <v>101</v>
      </c>
      <c r="U1452" s="124" t="s">
        <v>3061</v>
      </c>
      <c r="V1452" s="124" t="s">
        <v>51</v>
      </c>
      <c r="W1452" s="124" t="s">
        <v>51</v>
      </c>
      <c r="X1452" s="124" t="s">
        <v>52</v>
      </c>
      <c r="Y1452" s="124" t="s">
        <v>227</v>
      </c>
      <c r="Z1452" s="94"/>
      <c r="AA1452" s="124" t="s">
        <v>802</v>
      </c>
      <c r="AB1452" s="91"/>
      <c r="AC1452" s="91"/>
      <c r="AD1452" s="91"/>
      <c r="AE1452" s="91"/>
      <c r="AF1452" s="91"/>
      <c r="AG1452" s="91"/>
      <c r="AH1452" s="91"/>
    </row>
    <row r="1453" spans="1:34" ht="60">
      <c r="A1453" s="120">
        <v>1448</v>
      </c>
      <c r="B1453" s="120" t="b">
        <f t="shared" ref="B1453" ca="1" si="40">AND(C1453&gt;=TODAY()-7, C1453&lt;=TODAY()-1)</f>
        <v>0</v>
      </c>
      <c r="C1453" s="186">
        <v>45926</v>
      </c>
      <c r="D1453" s="187">
        <v>0.85725694444444445</v>
      </c>
      <c r="E1453" s="188">
        <v>1035</v>
      </c>
      <c r="F1453" s="188">
        <v>1202</v>
      </c>
      <c r="G1453" s="188" t="s">
        <v>71</v>
      </c>
      <c r="H1453" s="188">
        <v>1031</v>
      </c>
      <c r="I1453" s="139"/>
      <c r="J1453" s="139" t="s">
        <v>72</v>
      </c>
      <c r="K1453" s="165">
        <v>198.98400000000001</v>
      </c>
      <c r="L1453" s="122" t="str">
        <f>VLOOKUP(K1453,Liste!$L$2:$O$34,4,1)</f>
        <v>GSMR_33/RAC</v>
      </c>
      <c r="M1453" s="94" t="s">
        <v>36</v>
      </c>
      <c r="N1453" s="124" t="s">
        <v>58</v>
      </c>
      <c r="O1453" s="117" t="s">
        <v>3062</v>
      </c>
      <c r="P1453" s="126"/>
      <c r="Q1453" s="118" t="s">
        <v>47</v>
      </c>
      <c r="R1453" s="184" t="s">
        <v>2613</v>
      </c>
      <c r="S1453" s="124" t="s">
        <v>3063</v>
      </c>
      <c r="T1453" s="124" t="s">
        <v>209</v>
      </c>
      <c r="U1453" s="124" t="s">
        <v>2795</v>
      </c>
      <c r="V1453" s="124" t="s">
        <v>43</v>
      </c>
      <c r="W1453" s="124" t="s">
        <v>43</v>
      </c>
      <c r="X1453" s="124" t="s">
        <v>52</v>
      </c>
      <c r="Y1453" s="124" t="s">
        <v>227</v>
      </c>
      <c r="Z1453" s="94"/>
      <c r="AA1453" s="124" t="s">
        <v>810</v>
      </c>
      <c r="AB1453" s="91"/>
      <c r="AC1453" s="91"/>
      <c r="AD1453" s="91"/>
      <c r="AE1453" s="91"/>
      <c r="AF1453" s="91"/>
      <c r="AG1453" s="91"/>
      <c r="AH1453" s="91"/>
    </row>
    <row r="1454" spans="1:34" ht="60">
      <c r="A1454" s="120">
        <v>1448</v>
      </c>
      <c r="B1454" s="120" t="b">
        <f t="shared" ref="B1454" ca="1" si="41">AND(C1454&gt;=TODAY()-7, C1454&lt;=TODAY()-1)</f>
        <v>0</v>
      </c>
      <c r="C1454" s="121">
        <v>45927</v>
      </c>
      <c r="D1454" s="137">
        <v>0.3714351851851852</v>
      </c>
      <c r="E1454" s="94">
        <v>1005</v>
      </c>
      <c r="F1454" s="91">
        <v>1210</v>
      </c>
      <c r="G1454" s="143" t="s">
        <v>71</v>
      </c>
      <c r="H1454" s="139">
        <v>1072</v>
      </c>
      <c r="I1454" s="139"/>
      <c r="J1454" s="139" t="s">
        <v>72</v>
      </c>
      <c r="K1454" s="165">
        <v>94.953999999999994</v>
      </c>
      <c r="L1454" s="122" t="str">
        <f>VLOOKUP(K1454,Liste!$L$2:$O$34,4,1)</f>
        <v>GSMR_17/18</v>
      </c>
      <c r="M1454" s="94" t="s">
        <v>3064</v>
      </c>
      <c r="N1454" s="124" t="s">
        <v>37</v>
      </c>
      <c r="O1454" s="117" t="s">
        <v>3065</v>
      </c>
      <c r="P1454" s="117" t="s">
        <v>2793</v>
      </c>
      <c r="Q1454" s="118" t="s">
        <v>39</v>
      </c>
      <c r="R1454" s="184" t="s">
        <v>2988</v>
      </c>
      <c r="S1454" s="124" t="s">
        <v>3034</v>
      </c>
      <c r="T1454" s="124" t="s">
        <v>116</v>
      </c>
      <c r="U1454" s="124" t="s">
        <v>2827</v>
      </c>
      <c r="V1454" s="124" t="s">
        <v>51</v>
      </c>
      <c r="W1454" s="124" t="s">
        <v>51</v>
      </c>
      <c r="X1454" s="124" t="s">
        <v>52</v>
      </c>
      <c r="Y1454" s="124" t="s">
        <v>946</v>
      </c>
      <c r="Z1454" s="94"/>
      <c r="AA1454" s="124" t="s">
        <v>802</v>
      </c>
      <c r="AB1454" s="91"/>
      <c r="AC1454" s="91"/>
      <c r="AD1454" s="91"/>
      <c r="AE1454" s="91"/>
      <c r="AF1454" s="91"/>
      <c r="AG1454" s="91"/>
      <c r="AH1454" s="91"/>
    </row>
    <row r="1455" spans="1:34" ht="60">
      <c r="A1455" s="120">
        <v>1449</v>
      </c>
      <c r="B1455" s="120" t="b">
        <f t="shared" ref="B1455" ca="1" si="42">AND(C1455&gt;=TODAY()-7, C1455&lt;=TODAY()-1)</f>
        <v>0</v>
      </c>
      <c r="C1455" s="121">
        <v>45928</v>
      </c>
      <c r="D1455" s="137">
        <v>0.78780092592592588</v>
      </c>
      <c r="E1455" s="94">
        <v>1045</v>
      </c>
      <c r="F1455" s="91">
        <v>1209</v>
      </c>
      <c r="G1455" s="143" t="s">
        <v>71</v>
      </c>
      <c r="H1455" s="139">
        <v>1032</v>
      </c>
      <c r="I1455" s="139"/>
      <c r="J1455" s="139" t="s">
        <v>72</v>
      </c>
      <c r="K1455" s="165">
        <v>94.953999999999994</v>
      </c>
      <c r="L1455" s="122" t="str">
        <f>VLOOKUP(K1455,Liste!$L$2:$O$34,4,1)</f>
        <v>GSMR_17/18</v>
      </c>
      <c r="M1455" s="94" t="s">
        <v>3064</v>
      </c>
      <c r="N1455" s="124" t="s">
        <v>37</v>
      </c>
      <c r="O1455" s="117" t="s">
        <v>3066</v>
      </c>
      <c r="P1455" s="117" t="s">
        <v>2793</v>
      </c>
      <c r="Q1455" s="118" t="s">
        <v>39</v>
      </c>
      <c r="R1455" s="184" t="s">
        <v>2988</v>
      </c>
      <c r="S1455" s="124" t="s">
        <v>3034</v>
      </c>
      <c r="T1455" s="124" t="s">
        <v>56</v>
      </c>
      <c r="U1455" s="124" t="s">
        <v>2827</v>
      </c>
      <c r="V1455" s="124" t="s">
        <v>51</v>
      </c>
      <c r="W1455" s="124" t="s">
        <v>51</v>
      </c>
      <c r="X1455" s="124" t="s">
        <v>52</v>
      </c>
      <c r="Y1455" s="124" t="s">
        <v>227</v>
      </c>
      <c r="Z1455" s="94"/>
      <c r="AA1455" s="124"/>
      <c r="AB1455" s="91"/>
      <c r="AC1455" s="91"/>
      <c r="AD1455" s="91"/>
      <c r="AE1455" s="91"/>
      <c r="AF1455" s="91"/>
      <c r="AG1455" s="91"/>
      <c r="AH1455" s="91"/>
    </row>
    <row r="1456" spans="1:34" ht="60">
      <c r="A1456" s="120">
        <v>1450</v>
      </c>
      <c r="B1456" s="120" t="b">
        <f t="shared" ref="B1456" ca="1" si="43">AND(C1456&gt;=TODAY()-7, C1456&lt;=TODAY()-1)</f>
        <v>0</v>
      </c>
      <c r="C1456" s="121">
        <v>45928</v>
      </c>
      <c r="D1456" s="137">
        <v>0.91289351851851852</v>
      </c>
      <c r="E1456" s="94">
        <v>1058</v>
      </c>
      <c r="F1456" s="91">
        <v>1205</v>
      </c>
      <c r="G1456" s="143" t="s">
        <v>71</v>
      </c>
      <c r="H1456" s="139">
        <v>1061</v>
      </c>
      <c r="I1456" s="139"/>
      <c r="J1456" s="139" t="s">
        <v>72</v>
      </c>
      <c r="K1456" s="165">
        <v>94.953999999999994</v>
      </c>
      <c r="L1456" s="122" t="str">
        <f>VLOOKUP(K1456,Liste!$L$2:$O$34,4,1)</f>
        <v>GSMR_17/18</v>
      </c>
      <c r="M1456" s="94" t="s">
        <v>36</v>
      </c>
      <c r="N1456" s="124" t="s">
        <v>37</v>
      </c>
      <c r="O1456" s="117" t="s">
        <v>3067</v>
      </c>
      <c r="P1456" s="117" t="s">
        <v>2793</v>
      </c>
      <c r="Q1456" s="118" t="s">
        <v>39</v>
      </c>
      <c r="R1456" s="184" t="s">
        <v>2988</v>
      </c>
      <c r="S1456" s="124" t="s">
        <v>3034</v>
      </c>
      <c r="T1456" s="124" t="s">
        <v>93</v>
      </c>
      <c r="U1456" s="124" t="s">
        <v>2740</v>
      </c>
      <c r="V1456" s="124" t="s">
        <v>51</v>
      </c>
      <c r="W1456" s="124" t="s">
        <v>43</v>
      </c>
      <c r="X1456" s="124" t="s">
        <v>52</v>
      </c>
      <c r="Y1456" s="124" t="s">
        <v>946</v>
      </c>
      <c r="Z1456" s="94"/>
      <c r="AA1456" s="124" t="s">
        <v>1295</v>
      </c>
      <c r="AB1456" s="91"/>
      <c r="AC1456" s="91"/>
      <c r="AD1456" s="91"/>
      <c r="AE1456" s="91"/>
      <c r="AF1456" s="91"/>
      <c r="AG1456" s="91"/>
      <c r="AH1456" s="91"/>
    </row>
    <row r="1457" spans="1:34" ht="105">
      <c r="A1457" s="120">
        <v>1451</v>
      </c>
      <c r="B1457" s="120" t="b">
        <f t="shared" ref="B1457" ca="1" si="44">AND(C1457&gt;=TODAY()-7, C1457&lt;=TODAY()-1)</f>
        <v>0</v>
      </c>
      <c r="C1457" s="121">
        <v>45931</v>
      </c>
      <c r="D1457" s="137">
        <v>0.55170138888888887</v>
      </c>
      <c r="E1457" s="94">
        <v>1021</v>
      </c>
      <c r="F1457" s="91">
        <v>1207</v>
      </c>
      <c r="G1457" s="143" t="s">
        <v>71</v>
      </c>
      <c r="H1457" s="139">
        <v>1046</v>
      </c>
      <c r="I1457" s="139"/>
      <c r="J1457" s="139" t="s">
        <v>72</v>
      </c>
      <c r="K1457" s="174">
        <v>7.3209999999999997</v>
      </c>
      <c r="L1457" s="122" t="str">
        <f>VLOOKUP(K1457,Liste!$L$2:$O$34,4,1)</f>
        <v>GSMR_02/03</v>
      </c>
      <c r="M1457" s="94" t="s">
        <v>36</v>
      </c>
      <c r="N1457" s="124" t="s">
        <v>37</v>
      </c>
      <c r="O1457" s="117" t="s">
        <v>3068</v>
      </c>
      <c r="P1457" s="116" t="s">
        <v>2665</v>
      </c>
      <c r="Q1457" s="118" t="s">
        <v>39</v>
      </c>
      <c r="R1457" s="184" t="s">
        <v>2947</v>
      </c>
      <c r="S1457" s="124" t="s">
        <v>3069</v>
      </c>
      <c r="T1457" s="124" t="s">
        <v>93</v>
      </c>
      <c r="U1457" s="124" t="s">
        <v>3039</v>
      </c>
      <c r="V1457" s="124" t="s">
        <v>51</v>
      </c>
      <c r="W1457" s="124" t="s">
        <v>51</v>
      </c>
      <c r="X1457" s="124" t="s">
        <v>52</v>
      </c>
      <c r="Y1457" s="124" t="s">
        <v>946</v>
      </c>
      <c r="Z1457" s="94"/>
      <c r="AA1457" s="124" t="s">
        <v>802</v>
      </c>
      <c r="AB1457" s="91"/>
      <c r="AC1457" s="91"/>
      <c r="AD1457" s="91"/>
      <c r="AE1457" s="91"/>
      <c r="AF1457" s="91"/>
      <c r="AG1457" s="91"/>
      <c r="AH1457" s="91"/>
    </row>
    <row r="1458" spans="1:34" ht="105">
      <c r="A1458" s="120">
        <v>1452</v>
      </c>
      <c r="B1458" s="120" t="b">
        <f t="shared" ref="B1458" ca="1" si="45">AND(C1458&gt;=TODAY()-7, C1458&lt;=TODAY()-1)</f>
        <v>0</v>
      </c>
      <c r="C1458" s="121">
        <v>45931</v>
      </c>
      <c r="D1458" s="137">
        <v>0.80062500000000003</v>
      </c>
      <c r="E1458" s="94">
        <v>1045</v>
      </c>
      <c r="F1458" s="91">
        <v>1207</v>
      </c>
      <c r="G1458" s="143" t="s">
        <v>71</v>
      </c>
      <c r="H1458" s="139">
        <v>1046</v>
      </c>
      <c r="I1458" s="139"/>
      <c r="J1458" s="139" t="s">
        <v>72</v>
      </c>
      <c r="K1458" s="174">
        <v>7.3209999999999997</v>
      </c>
      <c r="L1458" s="122" t="str">
        <f>VLOOKUP(K1458,Liste!$L$2:$O$34,4,1)</f>
        <v>GSMR_02/03</v>
      </c>
      <c r="M1458" s="94" t="s">
        <v>36</v>
      </c>
      <c r="N1458" s="124" t="s">
        <v>37</v>
      </c>
      <c r="O1458" s="117" t="s">
        <v>3070</v>
      </c>
      <c r="P1458" s="116" t="s">
        <v>2665</v>
      </c>
      <c r="Q1458" s="118" t="s">
        <v>39</v>
      </c>
      <c r="R1458" s="184" t="s">
        <v>2947</v>
      </c>
      <c r="S1458" s="124" t="s">
        <v>3069</v>
      </c>
      <c r="T1458" s="124" t="s">
        <v>93</v>
      </c>
      <c r="U1458" s="124" t="s">
        <v>2743</v>
      </c>
      <c r="V1458" s="124" t="s">
        <v>51</v>
      </c>
      <c r="W1458" s="124" t="s">
        <v>51</v>
      </c>
      <c r="X1458" s="124" t="s">
        <v>52</v>
      </c>
      <c r="Y1458" s="124" t="s">
        <v>946</v>
      </c>
      <c r="Z1458" s="94"/>
      <c r="AA1458" s="124" t="s">
        <v>959</v>
      </c>
      <c r="AB1458" s="91"/>
      <c r="AC1458" s="91"/>
      <c r="AD1458" s="91"/>
      <c r="AE1458" s="91"/>
      <c r="AF1458" s="91"/>
      <c r="AG1458" s="91"/>
      <c r="AH1458" s="91"/>
    </row>
    <row r="1459" spans="1:34" ht="60">
      <c r="A1459" s="120">
        <v>1453</v>
      </c>
      <c r="B1459" s="120" t="b">
        <f ca="1">AND(C1459&gt;=TODAY()-7, C1459&lt;=TODAY()-1)</f>
        <v>0</v>
      </c>
      <c r="C1459" s="121">
        <v>45932</v>
      </c>
      <c r="D1459" s="137">
        <v>0.37122685185185184</v>
      </c>
      <c r="E1459" s="94">
        <v>1005</v>
      </c>
      <c r="F1459" s="91">
        <v>1208</v>
      </c>
      <c r="G1459" s="143" t="s">
        <v>71</v>
      </c>
      <c r="H1459" s="139">
        <v>1045</v>
      </c>
      <c r="I1459" s="139"/>
      <c r="J1459" s="139" t="s">
        <v>72</v>
      </c>
      <c r="K1459" s="165">
        <v>94.953999999999994</v>
      </c>
      <c r="L1459" s="122" t="str">
        <f>VLOOKUP(K1459,Liste!$L$2:$O$34,4,1)</f>
        <v>GSMR_17/18</v>
      </c>
      <c r="M1459" s="94" t="s">
        <v>36</v>
      </c>
      <c r="N1459" s="124" t="s">
        <v>37</v>
      </c>
      <c r="O1459" s="117" t="s">
        <v>3071</v>
      </c>
      <c r="P1459" s="117" t="s">
        <v>2793</v>
      </c>
      <c r="Q1459" s="118" t="s">
        <v>39</v>
      </c>
      <c r="R1459" s="184" t="s">
        <v>2988</v>
      </c>
      <c r="S1459" s="124" t="s">
        <v>3034</v>
      </c>
      <c r="T1459" s="124" t="s">
        <v>93</v>
      </c>
      <c r="U1459" s="124" t="s">
        <v>2152</v>
      </c>
      <c r="V1459" s="124" t="s">
        <v>51</v>
      </c>
      <c r="W1459" s="124" t="s">
        <v>51</v>
      </c>
      <c r="X1459" s="124" t="s">
        <v>52</v>
      </c>
      <c r="Y1459" s="124" t="s">
        <v>946</v>
      </c>
      <c r="Z1459" s="94"/>
      <c r="AA1459" s="124" t="s">
        <v>802</v>
      </c>
      <c r="AB1459" s="91"/>
      <c r="AC1459" s="91"/>
      <c r="AD1459" s="91"/>
      <c r="AE1459" s="91"/>
      <c r="AF1459" s="91"/>
      <c r="AG1459" s="91"/>
      <c r="AH1459" s="91"/>
    </row>
    <row r="1460" spans="1:34" ht="105">
      <c r="A1460" s="120">
        <v>1454</v>
      </c>
      <c r="B1460" s="120" t="b">
        <f ca="1">AND(C1460&gt;=TODAY()-7, C1460&lt;=TODAY()-1)</f>
        <v>0</v>
      </c>
      <c r="C1460" s="121">
        <v>45932</v>
      </c>
      <c r="D1460" s="137">
        <v>0.87858796296296293</v>
      </c>
      <c r="E1460" s="94">
        <v>2061</v>
      </c>
      <c r="F1460" s="91">
        <v>1203</v>
      </c>
      <c r="G1460" s="143" t="s">
        <v>34</v>
      </c>
      <c r="H1460" s="139">
        <v>1025</v>
      </c>
      <c r="I1460" s="115"/>
      <c r="J1460" s="139" t="s">
        <v>35</v>
      </c>
      <c r="K1460" s="174">
        <v>6.13</v>
      </c>
      <c r="L1460" s="122" t="str">
        <f>VLOOKUP(K1460,Liste!$L$2:$O$34,4,1)</f>
        <v>GSMR_02/03</v>
      </c>
      <c r="M1460" s="94" t="s">
        <v>36</v>
      </c>
      <c r="N1460" s="124" t="s">
        <v>37</v>
      </c>
      <c r="O1460" s="117" t="s">
        <v>3072</v>
      </c>
      <c r="P1460" s="116" t="s">
        <v>2665</v>
      </c>
      <c r="Q1460" s="118" t="s">
        <v>39</v>
      </c>
      <c r="R1460" s="184" t="s">
        <v>2947</v>
      </c>
      <c r="S1460" s="124" t="s">
        <v>3073</v>
      </c>
      <c r="T1460" s="124" t="s">
        <v>56</v>
      </c>
      <c r="U1460" s="124" t="s">
        <v>3061</v>
      </c>
      <c r="V1460" s="124" t="s">
        <v>51</v>
      </c>
      <c r="W1460" s="124" t="s">
        <v>51</v>
      </c>
      <c r="X1460" s="124" t="s">
        <v>52</v>
      </c>
      <c r="Y1460" s="124" t="s">
        <v>946</v>
      </c>
      <c r="Z1460" s="94"/>
      <c r="AA1460" s="124" t="s">
        <v>754</v>
      </c>
      <c r="AB1460" s="91"/>
      <c r="AC1460" s="91"/>
      <c r="AD1460" s="91"/>
      <c r="AE1460" s="91"/>
      <c r="AF1460" s="91"/>
      <c r="AG1460" s="91"/>
      <c r="AH1460" s="91"/>
    </row>
    <row r="1461" spans="1:34" ht="105">
      <c r="A1461" s="120">
        <v>1455</v>
      </c>
      <c r="B1461" s="120" t="b">
        <f ca="1">AND(C1461&gt;=TODAY()-7, C1461&lt;=TODAY()-1)</f>
        <v>0</v>
      </c>
      <c r="C1461" s="121">
        <v>45933</v>
      </c>
      <c r="D1461" s="137">
        <v>0.29537037037037039</v>
      </c>
      <c r="E1461" s="94">
        <v>2005</v>
      </c>
      <c r="F1461" s="91">
        <v>1206</v>
      </c>
      <c r="G1461" s="143" t="s">
        <v>34</v>
      </c>
      <c r="H1461" s="139">
        <v>1055</v>
      </c>
      <c r="I1461" s="115"/>
      <c r="J1461" s="139" t="s">
        <v>35</v>
      </c>
      <c r="K1461" s="174">
        <v>6.13</v>
      </c>
      <c r="L1461" s="122" t="str">
        <f>VLOOKUP(K1461,Liste!$L$2:$O$34,4,1)</f>
        <v>GSMR_02/03</v>
      </c>
      <c r="M1461" s="94" t="s">
        <v>36</v>
      </c>
      <c r="N1461" s="124" t="s">
        <v>37</v>
      </c>
      <c r="O1461" s="117" t="s">
        <v>3074</v>
      </c>
      <c r="P1461" s="116" t="s">
        <v>2665</v>
      </c>
      <c r="Q1461" s="118" t="s">
        <v>39</v>
      </c>
      <c r="R1461" s="184" t="s">
        <v>2947</v>
      </c>
      <c r="S1461" s="124" t="s">
        <v>2320</v>
      </c>
      <c r="T1461" s="124" t="s">
        <v>56</v>
      </c>
      <c r="U1461" s="124" t="s">
        <v>2902</v>
      </c>
      <c r="V1461" s="124" t="s">
        <v>51</v>
      </c>
      <c r="W1461" s="124" t="s">
        <v>51</v>
      </c>
      <c r="X1461" s="124" t="s">
        <v>52</v>
      </c>
      <c r="Y1461" s="124" t="s">
        <v>946</v>
      </c>
      <c r="Z1461" s="94"/>
      <c r="AA1461" s="124" t="s">
        <v>754</v>
      </c>
      <c r="AB1461" s="91"/>
      <c r="AC1461" s="91"/>
      <c r="AD1461" s="91"/>
      <c r="AE1461" s="91"/>
      <c r="AF1461" s="91"/>
      <c r="AG1461" s="91"/>
      <c r="AH1461" s="91"/>
    </row>
    <row r="1462" spans="1:34" ht="60">
      <c r="A1462" s="120">
        <v>1456</v>
      </c>
      <c r="B1462" s="120" t="b">
        <f t="shared" ref="B1462:B1463" ca="1" si="46">AND(C1462&gt;=TODAY()-7, C1462&lt;=TODAY()-1)</f>
        <v>0</v>
      </c>
      <c r="C1462" s="121">
        <v>45933</v>
      </c>
      <c r="D1462" s="137">
        <v>0.3712152777777778</v>
      </c>
      <c r="E1462" s="94">
        <v>1005</v>
      </c>
      <c r="F1462" s="91">
        <v>1201</v>
      </c>
      <c r="G1462" s="143" t="s">
        <v>71</v>
      </c>
      <c r="H1462" s="139">
        <v>1029</v>
      </c>
      <c r="I1462" s="115"/>
      <c r="J1462" s="139" t="s">
        <v>72</v>
      </c>
      <c r="K1462" s="165">
        <v>94.953999999999994</v>
      </c>
      <c r="L1462" s="122" t="str">
        <f>VLOOKUP(K1462,Liste!$L$2:$O$34,4,1)</f>
        <v>GSMR_17/18</v>
      </c>
      <c r="M1462" s="94" t="s">
        <v>36</v>
      </c>
      <c r="N1462" s="124" t="s">
        <v>37</v>
      </c>
      <c r="O1462" s="117" t="s">
        <v>3075</v>
      </c>
      <c r="P1462" s="117" t="s">
        <v>2793</v>
      </c>
      <c r="Q1462" s="118" t="s">
        <v>39</v>
      </c>
      <c r="R1462" s="184" t="s">
        <v>2988</v>
      </c>
      <c r="S1462" s="124" t="s">
        <v>3034</v>
      </c>
      <c r="T1462" s="124" t="s">
        <v>56</v>
      </c>
      <c r="U1462" s="124" t="s">
        <v>2152</v>
      </c>
      <c r="V1462" s="124" t="s">
        <v>51</v>
      </c>
      <c r="W1462" s="124" t="s">
        <v>51</v>
      </c>
      <c r="X1462" s="124" t="s">
        <v>52</v>
      </c>
      <c r="Y1462" s="124" t="s">
        <v>227</v>
      </c>
      <c r="Z1462" s="94"/>
      <c r="AA1462" s="124" t="s">
        <v>802</v>
      </c>
      <c r="AB1462" s="91"/>
      <c r="AC1462" s="91"/>
      <c r="AD1462" s="91"/>
      <c r="AE1462" s="91"/>
      <c r="AF1462" s="91"/>
      <c r="AG1462" s="91"/>
      <c r="AH1462" s="91"/>
    </row>
    <row r="1463" spans="1:34" ht="60">
      <c r="A1463" s="120">
        <v>1457</v>
      </c>
      <c r="B1463" s="120" t="b">
        <f t="shared" ca="1" si="46"/>
        <v>0</v>
      </c>
      <c r="C1463" s="121">
        <v>45933</v>
      </c>
      <c r="D1463" s="137">
        <v>0.45461805555555557</v>
      </c>
      <c r="E1463" s="94">
        <v>1013</v>
      </c>
      <c r="F1463" s="91">
        <v>1205</v>
      </c>
      <c r="G1463" s="143" t="s">
        <v>71</v>
      </c>
      <c r="H1463" s="139">
        <v>1061</v>
      </c>
      <c r="I1463" s="115"/>
      <c r="J1463" s="139" t="s">
        <v>72</v>
      </c>
      <c r="K1463" s="165">
        <v>94.953999999999994</v>
      </c>
      <c r="L1463" s="122" t="str">
        <f>VLOOKUP(K1463,Liste!$L$2:$O$34,4,1)</f>
        <v>GSMR_17/18</v>
      </c>
      <c r="M1463" s="94" t="s">
        <v>36</v>
      </c>
      <c r="N1463" s="124" t="s">
        <v>37</v>
      </c>
      <c r="O1463" s="117" t="s">
        <v>3075</v>
      </c>
      <c r="P1463" s="117" t="s">
        <v>2793</v>
      </c>
      <c r="Q1463" s="118" t="s">
        <v>39</v>
      </c>
      <c r="R1463" s="184" t="s">
        <v>2988</v>
      </c>
      <c r="S1463" s="124" t="s">
        <v>3034</v>
      </c>
      <c r="T1463" s="124" t="s">
        <v>93</v>
      </c>
      <c r="U1463" s="124" t="s">
        <v>2152</v>
      </c>
      <c r="V1463" s="124" t="s">
        <v>51</v>
      </c>
      <c r="W1463" s="124" t="s">
        <v>51</v>
      </c>
      <c r="X1463" s="124" t="s">
        <v>52</v>
      </c>
      <c r="Y1463" s="124" t="s">
        <v>227</v>
      </c>
      <c r="Z1463" s="94"/>
      <c r="AA1463" s="124" t="s">
        <v>802</v>
      </c>
      <c r="AB1463" s="91"/>
      <c r="AC1463" s="91"/>
      <c r="AD1463" s="91"/>
      <c r="AE1463" s="91"/>
      <c r="AF1463" s="91"/>
      <c r="AG1463" s="91"/>
      <c r="AH1463" s="91"/>
    </row>
    <row r="1464" spans="1:34" ht="60">
      <c r="A1464" s="120">
        <v>1458</v>
      </c>
      <c r="B1464" s="120" t="b">
        <f t="shared" ref="B1464" ca="1" si="47">AND(C1464&gt;=TODAY()-7, C1464&lt;=TODAY()-1)</f>
        <v>0</v>
      </c>
      <c r="C1464" s="121">
        <v>45934</v>
      </c>
      <c r="D1464" s="137">
        <v>0.74651620370370375</v>
      </c>
      <c r="E1464" s="94">
        <v>1041</v>
      </c>
      <c r="F1464" s="91">
        <v>1205</v>
      </c>
      <c r="G1464" s="143" t="s">
        <v>71</v>
      </c>
      <c r="H1464" s="139">
        <v>1061</v>
      </c>
      <c r="I1464" s="115"/>
      <c r="J1464" s="139" t="s">
        <v>72</v>
      </c>
      <c r="K1464" s="165">
        <v>94.953999999999994</v>
      </c>
      <c r="L1464" s="122" t="str">
        <f>VLOOKUP(K1464,Liste!$L$2:$O$34,4,1)</f>
        <v>GSMR_17/18</v>
      </c>
      <c r="M1464" s="94" t="s">
        <v>36</v>
      </c>
      <c r="N1464" s="124" t="s">
        <v>37</v>
      </c>
      <c r="O1464" s="117" t="s">
        <v>3076</v>
      </c>
      <c r="P1464" s="117" t="s">
        <v>2793</v>
      </c>
      <c r="Q1464" s="118" t="s">
        <v>39</v>
      </c>
      <c r="R1464" s="184" t="s">
        <v>2988</v>
      </c>
      <c r="S1464" s="124" t="s">
        <v>3034</v>
      </c>
      <c r="T1464" s="124" t="s">
        <v>56</v>
      </c>
      <c r="U1464" s="124" t="s">
        <v>2152</v>
      </c>
      <c r="V1464" s="124" t="s">
        <v>51</v>
      </c>
      <c r="W1464" s="124" t="s">
        <v>51</v>
      </c>
      <c r="X1464" s="124" t="s">
        <v>52</v>
      </c>
      <c r="Y1464" s="124" t="s">
        <v>946</v>
      </c>
      <c r="Z1464" s="94"/>
      <c r="AA1464" s="124" t="s">
        <v>959</v>
      </c>
      <c r="AB1464" s="91"/>
      <c r="AC1464" s="91"/>
      <c r="AD1464" s="91"/>
      <c r="AE1464" s="91"/>
      <c r="AF1464" s="91"/>
      <c r="AG1464" s="91"/>
      <c r="AH1464" s="91"/>
    </row>
    <row r="1465" spans="1:34" ht="105">
      <c r="A1465" s="120">
        <v>1459</v>
      </c>
      <c r="B1465" s="120" t="b">
        <f t="shared" ref="B1465" ca="1" si="48">AND(C1465&gt;=TODAY()-7, C1465&lt;=TODAY()-1)</f>
        <v>0</v>
      </c>
      <c r="C1465" s="121">
        <v>45934</v>
      </c>
      <c r="D1465" s="137">
        <v>0.88469907407407411</v>
      </c>
      <c r="E1465" s="94">
        <v>1053</v>
      </c>
      <c r="F1465" s="91">
        <v>1206</v>
      </c>
      <c r="G1465" s="143" t="s">
        <v>71</v>
      </c>
      <c r="H1465" s="139">
        <v>1040</v>
      </c>
      <c r="I1465" s="115"/>
      <c r="J1465" s="139" t="s">
        <v>72</v>
      </c>
      <c r="K1465" s="174">
        <v>7.3209999999999997</v>
      </c>
      <c r="L1465" s="122" t="str">
        <f>VLOOKUP(K1465,Liste!$L$2:$O$34,4,1)</f>
        <v>GSMR_02/03</v>
      </c>
      <c r="M1465" s="94" t="s">
        <v>36</v>
      </c>
      <c r="N1465" s="124" t="s">
        <v>37</v>
      </c>
      <c r="O1465" s="117" t="s">
        <v>3077</v>
      </c>
      <c r="P1465" s="116" t="s">
        <v>2665</v>
      </c>
      <c r="Q1465" s="118" t="s">
        <v>39</v>
      </c>
      <c r="R1465" s="184" t="s">
        <v>2947</v>
      </c>
      <c r="S1465" s="124" t="s">
        <v>3078</v>
      </c>
      <c r="T1465" s="124" t="s">
        <v>93</v>
      </c>
      <c r="U1465" s="124" t="s">
        <v>3079</v>
      </c>
      <c r="V1465" s="124" t="s">
        <v>51</v>
      </c>
      <c r="W1465" s="124" t="s">
        <v>51</v>
      </c>
      <c r="X1465" s="124" t="s">
        <v>52</v>
      </c>
      <c r="Y1465" s="124" t="s">
        <v>946</v>
      </c>
      <c r="Z1465" s="94"/>
      <c r="AA1465" s="124" t="s">
        <v>754</v>
      </c>
      <c r="AB1465" s="91"/>
      <c r="AC1465" s="91"/>
      <c r="AD1465" s="91"/>
      <c r="AE1465" s="91"/>
      <c r="AF1465" s="91"/>
      <c r="AG1465" s="91"/>
      <c r="AH1465" s="91"/>
    </row>
    <row r="1466" spans="1:34" ht="105">
      <c r="A1466" s="120">
        <v>1460</v>
      </c>
      <c r="B1466" s="120" t="b">
        <f t="shared" ref="B1466" ca="1" si="49">AND(C1466&gt;=TODAY()-7, C1466&lt;=TODAY()-1)</f>
        <v>0</v>
      </c>
      <c r="C1466" s="121">
        <v>45935</v>
      </c>
      <c r="D1466" s="137">
        <v>0.38428240740740743</v>
      </c>
      <c r="E1466" s="94">
        <v>1005</v>
      </c>
      <c r="F1466" s="91">
        <v>1204</v>
      </c>
      <c r="G1466" s="143" t="s">
        <v>71</v>
      </c>
      <c r="H1466" s="139">
        <v>1034</v>
      </c>
      <c r="I1466" s="115"/>
      <c r="J1466" s="139" t="s">
        <v>72</v>
      </c>
      <c r="K1466" s="174">
        <v>7.3209999999999997</v>
      </c>
      <c r="L1466" s="122" t="str">
        <f>VLOOKUP(K1466,Liste!$L$2:$O$34,4,1)</f>
        <v>GSMR_02/03</v>
      </c>
      <c r="M1466" s="94" t="s">
        <v>36</v>
      </c>
      <c r="N1466" s="124" t="s">
        <v>37</v>
      </c>
      <c r="O1466" s="117" t="s">
        <v>3080</v>
      </c>
      <c r="P1466" s="116" t="s">
        <v>2665</v>
      </c>
      <c r="Q1466" s="118" t="s">
        <v>39</v>
      </c>
      <c r="R1466" s="184" t="s">
        <v>2947</v>
      </c>
      <c r="S1466" s="124" t="s">
        <v>3081</v>
      </c>
      <c r="T1466" s="124" t="s">
        <v>56</v>
      </c>
      <c r="U1466" s="124" t="s">
        <v>2743</v>
      </c>
      <c r="V1466" s="124" t="s">
        <v>51</v>
      </c>
      <c r="W1466" s="124" t="s">
        <v>51</v>
      </c>
      <c r="X1466" s="124" t="s">
        <v>52</v>
      </c>
      <c r="Y1466" s="124" t="s">
        <v>227</v>
      </c>
      <c r="Z1466" s="94"/>
      <c r="AA1466" s="124" t="s">
        <v>754</v>
      </c>
      <c r="AB1466" s="91"/>
      <c r="AC1466" s="91"/>
      <c r="AD1466" s="91"/>
      <c r="AE1466" s="91"/>
      <c r="AF1466" s="91"/>
      <c r="AG1466" s="91"/>
      <c r="AH1466" s="91"/>
    </row>
    <row r="1467" spans="1:34" ht="60">
      <c r="A1467" s="120">
        <v>1461</v>
      </c>
      <c r="B1467" s="120" t="b">
        <f t="shared" ref="B1467:B1472" ca="1" si="50">AND(C1467&gt;=TODAY()-7, C1467&lt;=TODAY()-1)</f>
        <v>0</v>
      </c>
      <c r="C1467" s="121">
        <v>45935</v>
      </c>
      <c r="D1467" s="137">
        <v>0.43400462962962966</v>
      </c>
      <c r="E1467" s="94">
        <v>2017</v>
      </c>
      <c r="F1467" s="91">
        <v>1204</v>
      </c>
      <c r="G1467" s="143" t="s">
        <v>34</v>
      </c>
      <c r="H1467" s="139">
        <v>1053</v>
      </c>
      <c r="I1467" s="115"/>
      <c r="J1467" s="139" t="s">
        <v>35</v>
      </c>
      <c r="K1467" s="165">
        <v>93.757999999999996</v>
      </c>
      <c r="L1467" s="122" t="str">
        <f>VLOOKUP(K1467,Liste!$L$2:$O$34,4,1)</f>
        <v>GSMR_17/18</v>
      </c>
      <c r="M1467" s="94" t="s">
        <v>36</v>
      </c>
      <c r="N1467" s="124" t="s">
        <v>58</v>
      </c>
      <c r="O1467" s="117" t="s">
        <v>3082</v>
      </c>
      <c r="P1467" s="117" t="s">
        <v>2793</v>
      </c>
      <c r="Q1467" s="118" t="s">
        <v>39</v>
      </c>
      <c r="R1467" s="184" t="s">
        <v>2988</v>
      </c>
      <c r="S1467" s="124" t="s">
        <v>3083</v>
      </c>
      <c r="T1467" s="124" t="s">
        <v>209</v>
      </c>
      <c r="U1467" s="124" t="s">
        <v>2152</v>
      </c>
      <c r="V1467" s="124" t="s">
        <v>51</v>
      </c>
      <c r="W1467" s="124" t="s">
        <v>51</v>
      </c>
      <c r="X1467" s="124" t="s">
        <v>52</v>
      </c>
      <c r="Y1467" s="124" t="s">
        <v>946</v>
      </c>
      <c r="Z1467" s="94"/>
      <c r="AA1467" s="124" t="s">
        <v>1183</v>
      </c>
      <c r="AB1467" s="91"/>
      <c r="AC1467" s="91"/>
      <c r="AD1467" s="91"/>
      <c r="AE1467" s="91"/>
      <c r="AF1467" s="91"/>
      <c r="AG1467" s="91"/>
      <c r="AH1467" s="91"/>
    </row>
    <row r="1468" spans="1:34" ht="60">
      <c r="A1468" s="120">
        <v>1462</v>
      </c>
      <c r="B1468" s="120" t="b">
        <f t="shared" ca="1" si="50"/>
        <v>0</v>
      </c>
      <c r="C1468" s="121">
        <v>45935</v>
      </c>
      <c r="D1468" s="177">
        <v>0.4962037037037037</v>
      </c>
      <c r="E1468" s="91">
        <v>1017</v>
      </c>
      <c r="F1468" s="91">
        <v>1205</v>
      </c>
      <c r="G1468" s="91" t="s">
        <v>71</v>
      </c>
      <c r="H1468" s="91">
        <v>1061</v>
      </c>
      <c r="I1468" s="115"/>
      <c r="J1468" s="94" t="s">
        <v>72</v>
      </c>
      <c r="K1468" s="91">
        <v>94.953999999999994</v>
      </c>
      <c r="L1468" s="122" t="str">
        <f>VLOOKUP(K1468,Liste!$L$2:$O$34,4,1)</f>
        <v>GSMR_17/18</v>
      </c>
      <c r="M1468" s="91" t="s">
        <v>36</v>
      </c>
      <c r="N1468" s="124" t="s">
        <v>37</v>
      </c>
      <c r="O1468" s="117" t="s">
        <v>3084</v>
      </c>
      <c r="P1468" s="117" t="s">
        <v>2793</v>
      </c>
      <c r="Q1468" s="91" t="s">
        <v>39</v>
      </c>
      <c r="R1468" s="184" t="s">
        <v>2988</v>
      </c>
      <c r="S1468" s="124" t="s">
        <v>3034</v>
      </c>
      <c r="T1468" s="124" t="s">
        <v>56</v>
      </c>
      <c r="U1468" s="124" t="s">
        <v>2848</v>
      </c>
      <c r="V1468" s="124" t="s">
        <v>51</v>
      </c>
      <c r="W1468" s="124" t="s">
        <v>51</v>
      </c>
      <c r="X1468" s="124" t="s">
        <v>52</v>
      </c>
      <c r="Y1468" s="124" t="s">
        <v>946</v>
      </c>
      <c r="Z1468" s="91"/>
      <c r="AA1468" s="124" t="s">
        <v>3085</v>
      </c>
      <c r="AB1468" s="124"/>
      <c r="AC1468" s="124"/>
      <c r="AD1468" s="124"/>
      <c r="AE1468" s="124"/>
      <c r="AF1468" s="124"/>
      <c r="AG1468" s="124"/>
      <c r="AH1468" s="124"/>
    </row>
    <row r="1469" spans="1:34" ht="105">
      <c r="A1469" s="120">
        <v>1463</v>
      </c>
      <c r="B1469" s="120" t="b">
        <f t="shared" ca="1" si="50"/>
        <v>0</v>
      </c>
      <c r="C1469" s="121">
        <v>45936</v>
      </c>
      <c r="D1469" s="137">
        <v>0.75340277777777775</v>
      </c>
      <c r="E1469" s="94">
        <v>2049</v>
      </c>
      <c r="F1469" s="91">
        <v>1209</v>
      </c>
      <c r="G1469" s="143" t="s">
        <v>34</v>
      </c>
      <c r="H1469" s="139">
        <v>1058</v>
      </c>
      <c r="I1469" s="115"/>
      <c r="J1469" s="139" t="s">
        <v>35</v>
      </c>
      <c r="K1469" s="174">
        <v>6.13</v>
      </c>
      <c r="L1469" s="122" t="str">
        <f>VLOOKUP(K1469,Liste!$L$2:$O$34,4,1)</f>
        <v>GSMR_02/03</v>
      </c>
      <c r="M1469" s="94" t="s">
        <v>36</v>
      </c>
      <c r="N1469" s="124" t="s">
        <v>37</v>
      </c>
      <c r="O1469" s="117" t="s">
        <v>3072</v>
      </c>
      <c r="P1469" s="116" t="s">
        <v>2665</v>
      </c>
      <c r="Q1469" s="118" t="s">
        <v>39</v>
      </c>
      <c r="R1469" s="184" t="s">
        <v>2947</v>
      </c>
      <c r="S1469" s="124" t="s">
        <v>3073</v>
      </c>
      <c r="T1469" s="124" t="s">
        <v>41</v>
      </c>
      <c r="U1469" s="124" t="s">
        <v>2789</v>
      </c>
      <c r="V1469" s="124" t="s">
        <v>51</v>
      </c>
      <c r="W1469" s="124" t="s">
        <v>51</v>
      </c>
      <c r="X1469" s="124" t="s">
        <v>52</v>
      </c>
      <c r="Y1469" s="124" t="s">
        <v>946</v>
      </c>
      <c r="Z1469" s="94"/>
      <c r="AA1469" s="124" t="s">
        <v>959</v>
      </c>
      <c r="AB1469" s="91"/>
      <c r="AC1469" s="91"/>
      <c r="AD1469" s="91"/>
      <c r="AE1469" s="91"/>
      <c r="AF1469" s="91"/>
      <c r="AG1469" s="91"/>
      <c r="AH1469" s="91"/>
    </row>
    <row r="1470" spans="1:34" ht="75">
      <c r="A1470" s="120">
        <v>1464</v>
      </c>
      <c r="B1470" s="120" t="b">
        <f t="shared" ca="1" si="50"/>
        <v>0</v>
      </c>
      <c r="C1470" s="121">
        <v>45937</v>
      </c>
      <c r="D1470" s="137">
        <v>0.34831018518518519</v>
      </c>
      <c r="E1470" s="94">
        <v>2009</v>
      </c>
      <c r="F1470" s="91">
        <v>1206</v>
      </c>
      <c r="G1470" s="143" t="s">
        <v>34</v>
      </c>
      <c r="H1470" s="139">
        <v>1054</v>
      </c>
      <c r="I1470" s="115"/>
      <c r="J1470" s="139" t="s">
        <v>35</v>
      </c>
      <c r="K1470" s="91">
        <v>73.585999999999999</v>
      </c>
      <c r="L1470" s="122" t="str">
        <f>VLOOKUP(K1470,Liste!$L$2:$O$34,4,1)</f>
        <v>GSMR_13/14</v>
      </c>
      <c r="M1470" s="94" t="s">
        <v>36</v>
      </c>
      <c r="N1470" s="124" t="s">
        <v>37</v>
      </c>
      <c r="O1470" s="117" t="s">
        <v>3086</v>
      </c>
      <c r="P1470" s="127"/>
      <c r="Q1470" s="118" t="s">
        <v>47</v>
      </c>
      <c r="R1470" s="184" t="s">
        <v>2613</v>
      </c>
      <c r="S1470" s="124" t="s">
        <v>3087</v>
      </c>
      <c r="T1470" s="124" t="s">
        <v>101</v>
      </c>
      <c r="U1470" s="124" t="s">
        <v>2774</v>
      </c>
      <c r="V1470" s="124" t="s">
        <v>43</v>
      </c>
      <c r="W1470" s="124" t="s">
        <v>51</v>
      </c>
      <c r="X1470" s="124" t="s">
        <v>52</v>
      </c>
      <c r="Y1470" s="124" t="s">
        <v>946</v>
      </c>
      <c r="Z1470" s="94"/>
      <c r="AA1470" s="124" t="s">
        <v>802</v>
      </c>
      <c r="AB1470" s="91"/>
      <c r="AC1470" s="91"/>
      <c r="AD1470" s="91"/>
      <c r="AE1470" s="91"/>
      <c r="AF1470" s="91"/>
      <c r="AG1470" s="91"/>
      <c r="AH1470" s="91"/>
    </row>
    <row r="1471" spans="1:34" ht="60">
      <c r="A1471" s="120">
        <v>1465</v>
      </c>
      <c r="B1471" s="120" t="b">
        <f t="shared" ca="1" si="50"/>
        <v>0</v>
      </c>
      <c r="C1471" s="121">
        <v>45937</v>
      </c>
      <c r="D1471" s="137">
        <v>0.37116898148148147</v>
      </c>
      <c r="E1471" s="94">
        <v>1005</v>
      </c>
      <c r="F1471" s="91">
        <v>1205</v>
      </c>
      <c r="G1471" s="143" t="s">
        <v>71</v>
      </c>
      <c r="H1471" s="139">
        <v>1061</v>
      </c>
      <c r="I1471" s="115"/>
      <c r="J1471" s="94" t="s">
        <v>72</v>
      </c>
      <c r="K1471" s="91">
        <v>94.953999999999994</v>
      </c>
      <c r="L1471" s="122" t="str">
        <f>VLOOKUP(K1471,Liste!$L$2:$O$34,4,1)</f>
        <v>GSMR_17/18</v>
      </c>
      <c r="M1471" s="94" t="s">
        <v>36</v>
      </c>
      <c r="N1471" s="124" t="s">
        <v>37</v>
      </c>
      <c r="O1471" s="117" t="s">
        <v>3088</v>
      </c>
      <c r="P1471" s="117" t="s">
        <v>2793</v>
      </c>
      <c r="Q1471" s="91" t="s">
        <v>39</v>
      </c>
      <c r="R1471" s="184" t="s">
        <v>2988</v>
      </c>
      <c r="S1471" s="124" t="s">
        <v>3089</v>
      </c>
      <c r="T1471" s="124" t="s">
        <v>93</v>
      </c>
      <c r="U1471" s="124" t="s">
        <v>2152</v>
      </c>
      <c r="V1471" s="124" t="s">
        <v>51</v>
      </c>
      <c r="W1471" s="124" t="s">
        <v>51</v>
      </c>
      <c r="X1471" s="124" t="s">
        <v>52</v>
      </c>
      <c r="Y1471" s="124" t="s">
        <v>227</v>
      </c>
      <c r="Z1471" s="94"/>
      <c r="AA1471" s="124" t="s">
        <v>802</v>
      </c>
      <c r="AB1471" s="91"/>
      <c r="AC1471" s="91"/>
      <c r="AD1471" s="91"/>
      <c r="AE1471" s="91"/>
      <c r="AF1471" s="91"/>
      <c r="AG1471" s="91"/>
      <c r="AH1471" s="91"/>
    </row>
    <row r="1472" spans="1:34" ht="60">
      <c r="A1472" s="120">
        <v>1466</v>
      </c>
      <c r="B1472" s="120" t="b">
        <f t="shared" ca="1" si="50"/>
        <v>0</v>
      </c>
      <c r="C1472" s="121">
        <v>45938</v>
      </c>
      <c r="D1472" s="137">
        <v>0.44399305555555557</v>
      </c>
      <c r="E1472" s="94">
        <v>2017</v>
      </c>
      <c r="F1472" s="91">
        <v>1210</v>
      </c>
      <c r="G1472" s="143" t="s">
        <v>34</v>
      </c>
      <c r="H1472" s="139">
        <v>1050</v>
      </c>
      <c r="I1472" s="115"/>
      <c r="J1472" s="139" t="s">
        <v>35</v>
      </c>
      <c r="K1472" s="91">
        <v>165.298</v>
      </c>
      <c r="L1472" s="122" t="str">
        <f>VLOOKUP(K1472,Liste!$L$2:$O$34,4,1)</f>
        <v>GSMR_28/29</v>
      </c>
      <c r="M1472" s="94" t="s">
        <v>36</v>
      </c>
      <c r="N1472" s="124" t="s">
        <v>37</v>
      </c>
      <c r="O1472" s="117" t="s">
        <v>3090</v>
      </c>
      <c r="P1472" s="127"/>
      <c r="Q1472" s="118" t="s">
        <v>47</v>
      </c>
      <c r="R1472" s="184" t="s">
        <v>2613</v>
      </c>
      <c r="S1472" s="124" t="s">
        <v>3091</v>
      </c>
      <c r="T1472" s="124" t="s">
        <v>93</v>
      </c>
      <c r="U1472" s="124" t="s">
        <v>2749</v>
      </c>
      <c r="V1472" s="124" t="s">
        <v>43</v>
      </c>
      <c r="W1472" s="124" t="s">
        <v>51</v>
      </c>
      <c r="X1472" s="124" t="s">
        <v>52</v>
      </c>
      <c r="Y1472" s="124" t="s">
        <v>946</v>
      </c>
      <c r="Z1472" s="94"/>
      <c r="AA1472" s="124" t="s">
        <v>802</v>
      </c>
      <c r="AB1472" s="91"/>
      <c r="AC1472" s="91"/>
      <c r="AD1472" s="91"/>
      <c r="AE1472" s="91"/>
      <c r="AF1472" s="91"/>
      <c r="AG1472" s="91"/>
      <c r="AH1472" s="91"/>
    </row>
    <row r="1473" spans="1:34" ht="60">
      <c r="A1473" s="120">
        <v>1467</v>
      </c>
      <c r="B1473" s="120" t="b">
        <f t="shared" ref="B1473" ca="1" si="51">AND(C1473&gt;=TODAY()-7, C1473&lt;=TODAY()-1)</f>
        <v>0</v>
      </c>
      <c r="C1473" s="121">
        <v>45939</v>
      </c>
      <c r="D1473" s="137">
        <v>0.41325231481481484</v>
      </c>
      <c r="E1473" s="94">
        <v>1009</v>
      </c>
      <c r="F1473" s="91">
        <v>1205</v>
      </c>
      <c r="G1473" s="143" t="s">
        <v>71</v>
      </c>
      <c r="H1473" s="139">
        <v>1061</v>
      </c>
      <c r="I1473" s="115"/>
      <c r="J1473" s="94" t="s">
        <v>72</v>
      </c>
      <c r="K1473" s="91">
        <v>94.953999999999994</v>
      </c>
      <c r="L1473" s="122" t="str">
        <f>VLOOKUP(K1473,Liste!$L$2:$O$34,4,1)</f>
        <v>GSMR_17/18</v>
      </c>
      <c r="M1473" s="94" t="s">
        <v>36</v>
      </c>
      <c r="N1473" s="124" t="s">
        <v>37</v>
      </c>
      <c r="O1473" s="117" t="s">
        <v>3092</v>
      </c>
      <c r="P1473" s="117" t="s">
        <v>2793</v>
      </c>
      <c r="Q1473" s="91" t="s">
        <v>39</v>
      </c>
      <c r="R1473" s="184" t="s">
        <v>2988</v>
      </c>
      <c r="S1473" s="124" t="s">
        <v>3093</v>
      </c>
      <c r="T1473" s="124" t="s">
        <v>93</v>
      </c>
      <c r="U1473" s="124" t="s">
        <v>2152</v>
      </c>
      <c r="V1473" s="124" t="s">
        <v>51</v>
      </c>
      <c r="W1473" s="124" t="s">
        <v>51</v>
      </c>
      <c r="X1473" s="124" t="s">
        <v>52</v>
      </c>
      <c r="Y1473" s="124" t="s">
        <v>946</v>
      </c>
      <c r="Z1473" s="94"/>
      <c r="AA1473" s="124" t="s">
        <v>802</v>
      </c>
      <c r="AB1473" s="91"/>
      <c r="AC1473" s="91"/>
      <c r="AD1473" s="91"/>
      <c r="AE1473" s="91"/>
      <c r="AF1473" s="91"/>
      <c r="AG1473" s="91"/>
      <c r="AH1473" s="91"/>
    </row>
    <row r="1474" spans="1:34" ht="105">
      <c r="A1474" s="120">
        <v>1468</v>
      </c>
      <c r="B1474" s="120" t="b">
        <f ca="1">AND(C1474&gt;=TODAY()-7, C1474&lt;=TODAY()-1)</f>
        <v>0</v>
      </c>
      <c r="C1474" s="121">
        <v>45939</v>
      </c>
      <c r="D1474" s="137">
        <v>0.96690972222222227</v>
      </c>
      <c r="E1474" s="94">
        <v>1061</v>
      </c>
      <c r="F1474" s="91">
        <v>1205</v>
      </c>
      <c r="G1474" s="143" t="s">
        <v>71</v>
      </c>
      <c r="H1474" s="139">
        <v>1060</v>
      </c>
      <c r="I1474" s="115"/>
      <c r="J1474" s="94" t="s">
        <v>72</v>
      </c>
      <c r="K1474" s="174">
        <v>7.3209999999999997</v>
      </c>
      <c r="L1474" s="122" t="str">
        <f>VLOOKUP(K1474,Liste!$L$2:$O$34,4,1)</f>
        <v>GSMR_02/03</v>
      </c>
      <c r="M1474" s="94" t="s">
        <v>36</v>
      </c>
      <c r="N1474" s="124" t="s">
        <v>37</v>
      </c>
      <c r="O1474" s="117" t="s">
        <v>3094</v>
      </c>
      <c r="P1474" s="116" t="s">
        <v>2665</v>
      </c>
      <c r="Q1474" s="91" t="s">
        <v>39</v>
      </c>
      <c r="R1474" s="184" t="s">
        <v>2947</v>
      </c>
      <c r="S1474" s="124" t="s">
        <v>3095</v>
      </c>
      <c r="T1474" s="124" t="s">
        <v>209</v>
      </c>
      <c r="U1474" s="124" t="s">
        <v>2865</v>
      </c>
      <c r="V1474" s="124" t="s">
        <v>51</v>
      </c>
      <c r="W1474" s="124" t="s">
        <v>51</v>
      </c>
      <c r="X1474" s="124" t="s">
        <v>52</v>
      </c>
      <c r="Y1474" s="124" t="s">
        <v>227</v>
      </c>
      <c r="Z1474" s="94"/>
      <c r="AA1474" s="124" t="s">
        <v>3096</v>
      </c>
      <c r="AB1474" s="91"/>
      <c r="AC1474" s="91"/>
      <c r="AD1474" s="91"/>
      <c r="AE1474" s="91"/>
      <c r="AF1474" s="91"/>
      <c r="AG1474" s="91"/>
      <c r="AH1474" s="91"/>
    </row>
    <row r="1475" spans="1:34" ht="105">
      <c r="A1475" s="120">
        <v>1469</v>
      </c>
      <c r="B1475" s="120" t="b">
        <f ca="1">AND(C1475&gt;=TODAY()-7, C1475&lt;=TODAY()-1)</f>
        <v>0</v>
      </c>
      <c r="C1475" s="121">
        <v>45940</v>
      </c>
      <c r="D1475" s="137">
        <v>0.87873842592592588</v>
      </c>
      <c r="E1475" s="94">
        <v>2061</v>
      </c>
      <c r="F1475" s="91">
        <v>1202</v>
      </c>
      <c r="G1475" s="143" t="s">
        <v>34</v>
      </c>
      <c r="H1475" s="139">
        <v>1042</v>
      </c>
      <c r="I1475" s="115"/>
      <c r="J1475" s="94" t="s">
        <v>35</v>
      </c>
      <c r="K1475" s="174">
        <v>6.13</v>
      </c>
      <c r="L1475" s="122" t="str">
        <f>VLOOKUP(K1475,Liste!$L$2:$O$34,4,1)</f>
        <v>GSMR_02/03</v>
      </c>
      <c r="M1475" s="94" t="s">
        <v>36</v>
      </c>
      <c r="N1475" s="124" t="s">
        <v>37</v>
      </c>
      <c r="O1475" s="117" t="s">
        <v>3097</v>
      </c>
      <c r="P1475" s="116" t="s">
        <v>2665</v>
      </c>
      <c r="Q1475" s="91" t="s">
        <v>39</v>
      </c>
      <c r="R1475" s="184" t="s">
        <v>2947</v>
      </c>
      <c r="S1475" s="124" t="s">
        <v>2205</v>
      </c>
      <c r="T1475" s="124" t="s">
        <v>56</v>
      </c>
      <c r="U1475" s="124" t="s">
        <v>2800</v>
      </c>
      <c r="V1475" s="124" t="s">
        <v>43</v>
      </c>
      <c r="W1475" s="124" t="s">
        <v>51</v>
      </c>
      <c r="X1475" s="124" t="s">
        <v>52</v>
      </c>
      <c r="Y1475" s="124" t="s">
        <v>622</v>
      </c>
      <c r="Z1475" s="94"/>
      <c r="AA1475" s="124" t="s">
        <v>3096</v>
      </c>
      <c r="AB1475" s="91"/>
      <c r="AC1475" s="91"/>
      <c r="AD1475" s="91"/>
      <c r="AE1475" s="91"/>
      <c r="AF1475" s="91"/>
      <c r="AG1475" s="91"/>
      <c r="AH1475" s="91"/>
    </row>
    <row r="1476" spans="1:34" ht="105">
      <c r="A1476" s="120">
        <v>1470</v>
      </c>
      <c r="B1476" s="120" t="b">
        <f ca="1">AND(C1476&gt;=TODAY()-7, C1476&lt;=TODAY()-1)</f>
        <v>0</v>
      </c>
      <c r="C1476" s="121">
        <v>45940</v>
      </c>
      <c r="D1476" s="137">
        <v>0.95474537037037033</v>
      </c>
      <c r="E1476" s="94">
        <v>1061</v>
      </c>
      <c r="F1476" s="91">
        <v>1209</v>
      </c>
      <c r="G1476" s="143" t="s">
        <v>71</v>
      </c>
      <c r="H1476" s="139">
        <v>1042</v>
      </c>
      <c r="I1476" s="115"/>
      <c r="J1476" s="94" t="s">
        <v>35</v>
      </c>
      <c r="K1476" s="91">
        <v>94.953999999999994</v>
      </c>
      <c r="L1476" s="122" t="str">
        <f>VLOOKUP(K1476,Liste!$L$2:$O$34,4,1)</f>
        <v>GSMR_17/18</v>
      </c>
      <c r="M1476" s="94" t="s">
        <v>36</v>
      </c>
      <c r="N1476" s="124" t="s">
        <v>37</v>
      </c>
      <c r="O1476" s="117" t="s">
        <v>3098</v>
      </c>
      <c r="P1476" s="116" t="s">
        <v>2665</v>
      </c>
      <c r="Q1476" s="91" t="s">
        <v>39</v>
      </c>
      <c r="R1476" s="184" t="s">
        <v>2988</v>
      </c>
      <c r="S1476" s="124" t="s">
        <v>3093</v>
      </c>
      <c r="T1476" s="124" t="s">
        <v>116</v>
      </c>
      <c r="U1476" s="124" t="s">
        <v>2827</v>
      </c>
      <c r="V1476" s="124" t="s">
        <v>51</v>
      </c>
      <c r="W1476" s="124" t="s">
        <v>51</v>
      </c>
      <c r="X1476" s="124" t="s">
        <v>52</v>
      </c>
      <c r="Y1476" s="124" t="s">
        <v>227</v>
      </c>
      <c r="Z1476" s="94"/>
      <c r="AA1476" s="124" t="s">
        <v>3096</v>
      </c>
      <c r="AB1476" s="91"/>
      <c r="AC1476" s="91"/>
      <c r="AD1476" s="91"/>
      <c r="AE1476" s="91"/>
      <c r="AF1476" s="91"/>
      <c r="AG1476" s="91"/>
      <c r="AH1476" s="91"/>
    </row>
    <row r="1477" spans="1:34" ht="105">
      <c r="A1477" s="120">
        <v>1471</v>
      </c>
      <c r="B1477" s="120" t="b">
        <f ca="1">AND(C1477&gt;=TODAY()-7, C1477&lt;=TODAY()-1)</f>
        <v>0</v>
      </c>
      <c r="C1477" s="121">
        <v>45942</v>
      </c>
      <c r="D1477" s="137">
        <v>0.42033564814814817</v>
      </c>
      <c r="E1477" s="94">
        <v>1017</v>
      </c>
      <c r="F1477" s="91">
        <v>1205</v>
      </c>
      <c r="G1477" s="143" t="s">
        <v>34</v>
      </c>
      <c r="H1477" s="139">
        <v>7218</v>
      </c>
      <c r="I1477" s="115"/>
      <c r="J1477" s="94" t="s">
        <v>35</v>
      </c>
      <c r="K1477" s="174">
        <v>6.13</v>
      </c>
      <c r="L1477" s="122" t="str">
        <f>VLOOKUP(K1477,Liste!$L$2:$O$34,4,1)</f>
        <v>GSMR_02/03</v>
      </c>
      <c r="M1477" s="94" t="s">
        <v>36</v>
      </c>
      <c r="N1477" s="124" t="s">
        <v>37</v>
      </c>
      <c r="O1477" s="117" t="s">
        <v>3099</v>
      </c>
      <c r="P1477" s="116" t="s">
        <v>2665</v>
      </c>
      <c r="Q1477" s="91" t="s">
        <v>39</v>
      </c>
      <c r="R1477" s="184" t="s">
        <v>2947</v>
      </c>
      <c r="S1477" s="124" t="s">
        <v>2320</v>
      </c>
      <c r="T1477" s="124" t="s">
        <v>56</v>
      </c>
      <c r="U1477" s="124" t="s">
        <v>2857</v>
      </c>
      <c r="V1477" s="124" t="s">
        <v>43</v>
      </c>
      <c r="W1477" s="124" t="s">
        <v>51</v>
      </c>
      <c r="X1477" s="124" t="s">
        <v>52</v>
      </c>
      <c r="Y1477" s="124" t="s">
        <v>622</v>
      </c>
      <c r="Z1477" s="94"/>
      <c r="AA1477" s="124" t="s">
        <v>754</v>
      </c>
      <c r="AB1477" s="91"/>
      <c r="AC1477" s="91"/>
      <c r="AD1477" s="91"/>
      <c r="AE1477" s="91"/>
      <c r="AF1477" s="91"/>
      <c r="AG1477" s="91"/>
      <c r="AH1477" s="91"/>
    </row>
    <row r="1478" spans="1:34" ht="60">
      <c r="A1478" s="120">
        <v>1472</v>
      </c>
      <c r="B1478" s="120" t="b">
        <f t="shared" ref="B1478" ca="1" si="52">AND(C1478&gt;=TODAY()-7, C1478&lt;=TODAY()-1)</f>
        <v>0</v>
      </c>
      <c r="C1478" s="121">
        <v>45942</v>
      </c>
      <c r="D1478" s="137">
        <v>0.94020833333333331</v>
      </c>
      <c r="E1478" s="94">
        <v>1061</v>
      </c>
      <c r="F1478" s="91">
        <v>1202</v>
      </c>
      <c r="G1478" s="143" t="s">
        <v>71</v>
      </c>
      <c r="H1478" s="139">
        <v>1030</v>
      </c>
      <c r="I1478" s="115"/>
      <c r="J1478" s="94" t="s">
        <v>72</v>
      </c>
      <c r="K1478" s="91">
        <v>200</v>
      </c>
      <c r="L1478" s="122" t="s">
        <v>3100</v>
      </c>
      <c r="M1478" s="94" t="s">
        <v>2904</v>
      </c>
      <c r="N1478" s="124" t="s">
        <v>58</v>
      </c>
      <c r="O1478" s="117" t="s">
        <v>3101</v>
      </c>
      <c r="P1478" s="117"/>
      <c r="Q1478" s="118" t="s">
        <v>54</v>
      </c>
      <c r="R1478" s="184" t="s">
        <v>3102</v>
      </c>
      <c r="S1478" s="124" t="s">
        <v>3103</v>
      </c>
      <c r="T1478" s="124" t="s">
        <v>56</v>
      </c>
      <c r="U1478" s="124" t="s">
        <v>2751</v>
      </c>
      <c r="V1478" s="124" t="s">
        <v>51</v>
      </c>
      <c r="W1478" s="124" t="s">
        <v>43</v>
      </c>
      <c r="X1478" s="124" t="s">
        <v>52</v>
      </c>
      <c r="Y1478" s="124" t="s">
        <v>946</v>
      </c>
      <c r="Z1478" s="94"/>
      <c r="AA1478" s="124" t="s">
        <v>1183</v>
      </c>
      <c r="AB1478" s="91"/>
      <c r="AC1478" s="91"/>
      <c r="AD1478" s="91"/>
      <c r="AE1478" s="91"/>
      <c r="AF1478" s="91"/>
      <c r="AG1478" s="91"/>
      <c r="AH1478" s="91"/>
    </row>
    <row r="1479" spans="1:34" ht="60">
      <c r="A1479" s="120">
        <v>1472</v>
      </c>
      <c r="B1479" s="120" t="b">
        <f t="shared" ref="B1479:B1480" ca="1" si="53">AND(C1479&gt;=TODAY()-7, C1479&lt;=TODAY()-1)</f>
        <v>0</v>
      </c>
      <c r="C1479" s="121">
        <v>45943</v>
      </c>
      <c r="D1479" s="137">
        <v>0.33178240740740739</v>
      </c>
      <c r="E1479" s="94">
        <v>1001</v>
      </c>
      <c r="F1479" s="91">
        <v>1204</v>
      </c>
      <c r="G1479" s="143" t="s">
        <v>71</v>
      </c>
      <c r="H1479" s="139">
        <v>1034</v>
      </c>
      <c r="I1479" s="115"/>
      <c r="J1479" s="94" t="s">
        <v>72</v>
      </c>
      <c r="K1479" s="91">
        <v>79.281999999999996</v>
      </c>
      <c r="L1479" s="122" t="str">
        <f>VLOOKUP(K1479,Liste!$L$2:$O$34,4,1)</f>
        <v>GSMR_14/15</v>
      </c>
      <c r="M1479" s="94" t="s">
        <v>36</v>
      </c>
      <c r="N1479" s="124" t="s">
        <v>37</v>
      </c>
      <c r="O1479" s="117" t="s">
        <v>3104</v>
      </c>
      <c r="P1479" s="127"/>
      <c r="Q1479" s="118" t="s">
        <v>47</v>
      </c>
      <c r="R1479" s="184" t="s">
        <v>2613</v>
      </c>
      <c r="S1479" s="124" t="s">
        <v>3105</v>
      </c>
      <c r="T1479" s="124" t="s">
        <v>69</v>
      </c>
      <c r="U1479" s="124" t="s">
        <v>2768</v>
      </c>
      <c r="V1479" s="124" t="s">
        <v>51</v>
      </c>
      <c r="W1479" s="124" t="s">
        <v>51</v>
      </c>
      <c r="X1479" s="124" t="s">
        <v>52</v>
      </c>
      <c r="Y1479" s="124" t="s">
        <v>946</v>
      </c>
      <c r="Z1479" s="94"/>
      <c r="AA1479" s="124" t="s">
        <v>802</v>
      </c>
      <c r="AB1479" s="91"/>
      <c r="AC1479" s="91"/>
      <c r="AD1479" s="91"/>
      <c r="AE1479" s="91"/>
      <c r="AF1479" s="91"/>
      <c r="AG1479" s="91"/>
      <c r="AH1479" s="91"/>
    </row>
    <row r="1480" spans="1:34" ht="60">
      <c r="A1480" s="120">
        <v>1472</v>
      </c>
      <c r="B1480" s="120" t="b">
        <f t="shared" ca="1" si="53"/>
        <v>0</v>
      </c>
      <c r="C1480" s="121">
        <v>45943</v>
      </c>
      <c r="D1480" s="137">
        <v>0.37863425925925925</v>
      </c>
      <c r="E1480" s="94">
        <v>2013</v>
      </c>
      <c r="F1480" s="91">
        <v>1204</v>
      </c>
      <c r="G1480" s="143" t="s">
        <v>34</v>
      </c>
      <c r="H1480" s="139">
        <v>1053</v>
      </c>
      <c r="I1480" s="115"/>
      <c r="J1480" s="94" t="s">
        <v>35</v>
      </c>
      <c r="K1480" s="174">
        <v>6.13</v>
      </c>
      <c r="L1480" s="122" t="str">
        <f>VLOOKUP(K1480,Liste!$L$2:$O$34,4,1)</f>
        <v>GSMR_02/03</v>
      </c>
      <c r="M1480" s="94" t="s">
        <v>36</v>
      </c>
      <c r="N1480" s="124" t="s">
        <v>37</v>
      </c>
      <c r="O1480" s="117" t="s">
        <v>3106</v>
      </c>
      <c r="P1480" s="127"/>
      <c r="Q1480" s="91" t="s">
        <v>39</v>
      </c>
      <c r="R1480" s="184" t="s">
        <v>2947</v>
      </c>
      <c r="S1480" s="124" t="s">
        <v>3073</v>
      </c>
      <c r="T1480" s="124" t="s">
        <v>56</v>
      </c>
      <c r="U1480" s="124" t="s">
        <v>2774</v>
      </c>
      <c r="V1480" s="124" t="s">
        <v>43</v>
      </c>
      <c r="W1480" s="124" t="s">
        <v>51</v>
      </c>
      <c r="X1480" s="124" t="s">
        <v>52</v>
      </c>
      <c r="Y1480" s="124" t="s">
        <v>946</v>
      </c>
      <c r="Z1480" s="94"/>
      <c r="AA1480" s="124" t="s">
        <v>802</v>
      </c>
      <c r="AB1480" s="91"/>
      <c r="AC1480" s="91"/>
      <c r="AD1480" s="91"/>
      <c r="AE1480" s="91"/>
      <c r="AF1480" s="91"/>
      <c r="AG1480" s="91"/>
      <c r="AH1480" s="91"/>
    </row>
    <row r="1481" spans="1:34" ht="60">
      <c r="A1481" s="120">
        <v>1473</v>
      </c>
      <c r="B1481" s="120" t="b">
        <f t="shared" ref="B1481" ca="1" si="54">AND(C1481&gt;=TODAY()-7, C1481&lt;=TODAY()-1)</f>
        <v>0</v>
      </c>
      <c r="C1481" s="121">
        <v>45943</v>
      </c>
      <c r="D1481" s="137">
        <v>0.51462962962962966</v>
      </c>
      <c r="E1481" s="94">
        <v>1017</v>
      </c>
      <c r="F1481" s="91">
        <v>1209</v>
      </c>
      <c r="G1481" s="143" t="s">
        <v>71</v>
      </c>
      <c r="H1481" s="139">
        <v>1032</v>
      </c>
      <c r="I1481" s="115"/>
      <c r="J1481" s="94" t="s">
        <v>72</v>
      </c>
      <c r="K1481" s="91">
        <v>94.953999999999994</v>
      </c>
      <c r="L1481" s="122" t="str">
        <f>VLOOKUP(K1481,Liste!$L$2:$O$34,4,1)</f>
        <v>GSMR_17/18</v>
      </c>
      <c r="M1481" s="94" t="s">
        <v>36</v>
      </c>
      <c r="N1481" s="124" t="s">
        <v>37</v>
      </c>
      <c r="O1481" s="117" t="s">
        <v>3107</v>
      </c>
      <c r="P1481" s="127"/>
      <c r="Q1481" s="91" t="s">
        <v>39</v>
      </c>
      <c r="R1481" s="184" t="s">
        <v>2988</v>
      </c>
      <c r="S1481" s="124" t="s">
        <v>2147</v>
      </c>
      <c r="T1481" s="124" t="s">
        <v>93</v>
      </c>
      <c r="U1481" s="124" t="s">
        <v>2827</v>
      </c>
      <c r="V1481" s="124" t="s">
        <v>43</v>
      </c>
      <c r="W1481" s="124" t="s">
        <v>51</v>
      </c>
      <c r="X1481" s="124" t="s">
        <v>52</v>
      </c>
      <c r="Y1481" s="124" t="s">
        <v>946</v>
      </c>
      <c r="Z1481" s="94"/>
      <c r="AA1481" s="124" t="s">
        <v>802</v>
      </c>
      <c r="AB1481" s="91"/>
      <c r="AC1481" s="91"/>
      <c r="AD1481" s="91"/>
      <c r="AE1481" s="91"/>
      <c r="AF1481" s="91"/>
      <c r="AG1481" s="91"/>
      <c r="AH1481" s="91"/>
    </row>
    <row r="1482" spans="1:34" ht="60">
      <c r="A1482" s="120">
        <v>1474</v>
      </c>
      <c r="B1482" s="120" t="b">
        <f ca="1">AND(C1482&gt;=TODAY()-7, C1482&lt;=TODAY()-1)</f>
        <v>0</v>
      </c>
      <c r="C1482" s="121">
        <v>45944</v>
      </c>
      <c r="D1482" s="137">
        <v>0.71184027777777781</v>
      </c>
      <c r="E1482" s="94">
        <v>2045</v>
      </c>
      <c r="F1482" s="91">
        <v>1210</v>
      </c>
      <c r="G1482" s="143" t="s">
        <v>34</v>
      </c>
      <c r="H1482" s="139">
        <v>1050</v>
      </c>
      <c r="I1482" s="94"/>
      <c r="J1482" s="94" t="s">
        <v>35</v>
      </c>
      <c r="K1482" s="174">
        <v>6.13</v>
      </c>
      <c r="L1482" s="122" t="str">
        <f>VLOOKUP(K1482,Liste!$L$2:$O$34,4,1)</f>
        <v>GSMR_02/03</v>
      </c>
      <c r="M1482" s="94" t="s">
        <v>36</v>
      </c>
      <c r="N1482" s="124" t="s">
        <v>37</v>
      </c>
      <c r="O1482" s="117" t="s">
        <v>3108</v>
      </c>
      <c r="P1482" s="126" t="s">
        <v>3073</v>
      </c>
      <c r="Q1482" s="118" t="s">
        <v>39</v>
      </c>
      <c r="R1482" s="184" t="s">
        <v>2947</v>
      </c>
      <c r="S1482" s="124" t="s">
        <v>3073</v>
      </c>
      <c r="T1482" s="124" t="s">
        <v>56</v>
      </c>
      <c r="U1482" s="124" t="s">
        <v>2774</v>
      </c>
      <c r="V1482" s="124" t="s">
        <v>43</v>
      </c>
      <c r="W1482" s="124" t="s">
        <v>51</v>
      </c>
      <c r="X1482" s="124" t="s">
        <v>52</v>
      </c>
      <c r="Y1482" s="124" t="s">
        <v>950</v>
      </c>
      <c r="Z1482" s="94"/>
      <c r="AA1482" s="124" t="s">
        <v>772</v>
      </c>
      <c r="AB1482" s="91"/>
      <c r="AC1482" s="91"/>
      <c r="AD1482" s="91"/>
      <c r="AE1482" s="91"/>
      <c r="AF1482" s="91"/>
      <c r="AG1482" s="91"/>
      <c r="AH1482" s="91"/>
    </row>
    <row r="1483" spans="1:34" ht="60">
      <c r="A1483" s="120">
        <v>1475</v>
      </c>
      <c r="B1483" s="120" t="b">
        <f t="shared" ref="B1483" ca="1" si="55">AND(C1483&gt;=TODAY()-7, C1483&lt;=TODAY()-1)</f>
        <v>0</v>
      </c>
      <c r="C1483" s="121">
        <v>45944</v>
      </c>
      <c r="D1483" s="137">
        <v>0.80630787037037033</v>
      </c>
      <c r="E1483" s="94">
        <v>2053</v>
      </c>
      <c r="F1483" s="91">
        <v>1204</v>
      </c>
      <c r="G1483" s="143" t="s">
        <v>34</v>
      </c>
      <c r="H1483" s="139">
        <v>1052</v>
      </c>
      <c r="I1483" s="94"/>
      <c r="J1483" s="94" t="s">
        <v>35</v>
      </c>
      <c r="K1483" s="91">
        <v>73.585999999999999</v>
      </c>
      <c r="L1483" s="122" t="str">
        <f>VLOOKUP(K1483,Liste!$L$2:$O$34,4,1)</f>
        <v>GSMR_13/14</v>
      </c>
      <c r="M1483" s="94" t="s">
        <v>36</v>
      </c>
      <c r="N1483" s="124" t="s">
        <v>37</v>
      </c>
      <c r="O1483" s="117" t="s">
        <v>3109</v>
      </c>
      <c r="P1483" s="126" t="s">
        <v>3073</v>
      </c>
      <c r="Q1483" s="118" t="s">
        <v>47</v>
      </c>
      <c r="R1483" s="184" t="s">
        <v>2613</v>
      </c>
      <c r="S1483" s="124" t="s">
        <v>3110</v>
      </c>
      <c r="T1483" s="124" t="s">
        <v>56</v>
      </c>
      <c r="U1483" s="124" t="s">
        <v>2759</v>
      </c>
      <c r="V1483" s="124" t="s">
        <v>43</v>
      </c>
      <c r="W1483" s="124" t="s">
        <v>51</v>
      </c>
      <c r="X1483" s="124" t="s">
        <v>52</v>
      </c>
      <c r="Y1483" s="124" t="s">
        <v>946</v>
      </c>
      <c r="Z1483" s="94"/>
      <c r="AA1483" s="124" t="s">
        <v>772</v>
      </c>
      <c r="AB1483" s="91"/>
      <c r="AC1483" s="91"/>
      <c r="AD1483" s="91"/>
      <c r="AE1483" s="91"/>
      <c r="AF1483" s="91"/>
      <c r="AG1483" s="91"/>
      <c r="AH1483" s="91"/>
    </row>
    <row r="1484" spans="1:34" ht="60">
      <c r="A1484" s="120">
        <v>1476</v>
      </c>
      <c r="B1484" s="120" t="b">
        <f t="shared" ref="B1484" ca="1" si="56">AND(C1484&gt;=TODAY()-7, C1484&lt;=TODAY()-1)</f>
        <v>0</v>
      </c>
      <c r="C1484" s="121">
        <v>45944</v>
      </c>
      <c r="D1484" s="137">
        <v>0.81782407407407409</v>
      </c>
      <c r="E1484" s="94">
        <v>1049</v>
      </c>
      <c r="F1484" s="91">
        <v>1206</v>
      </c>
      <c r="G1484" s="143" t="s">
        <v>71</v>
      </c>
      <c r="H1484" s="139">
        <v>1040</v>
      </c>
      <c r="I1484" s="94"/>
      <c r="J1484" s="94" t="s">
        <v>72</v>
      </c>
      <c r="K1484" s="91">
        <v>177.85</v>
      </c>
      <c r="L1484" s="122" t="str">
        <f>VLOOKUP(K1484,Liste!$L$2:$O$34,4,1)</f>
        <v>GSMR_30/31</v>
      </c>
      <c r="M1484" s="94" t="s">
        <v>36</v>
      </c>
      <c r="N1484" s="124" t="s">
        <v>37</v>
      </c>
      <c r="O1484" s="117" t="s">
        <v>3111</v>
      </c>
      <c r="P1484" s="126" t="s">
        <v>3073</v>
      </c>
      <c r="Q1484" s="118" t="s">
        <v>47</v>
      </c>
      <c r="R1484" s="184" t="s">
        <v>2613</v>
      </c>
      <c r="S1484" s="124" t="s">
        <v>3112</v>
      </c>
      <c r="T1484" s="124" t="s">
        <v>56</v>
      </c>
      <c r="U1484" s="124" t="s">
        <v>2856</v>
      </c>
      <c r="V1484" s="124" t="s">
        <v>43</v>
      </c>
      <c r="W1484" s="124" t="s">
        <v>51</v>
      </c>
      <c r="X1484" s="124" t="s">
        <v>52</v>
      </c>
      <c r="Y1484" s="124" t="s">
        <v>946</v>
      </c>
      <c r="Z1484" s="94"/>
      <c r="AA1484" s="124" t="s">
        <v>772</v>
      </c>
      <c r="AB1484" s="91"/>
      <c r="AC1484" s="91"/>
      <c r="AD1484" s="91"/>
      <c r="AE1484" s="91"/>
      <c r="AF1484" s="91"/>
      <c r="AG1484" s="91"/>
      <c r="AH1484" s="91"/>
    </row>
    <row r="1485" spans="1:34" ht="60">
      <c r="A1485" s="120">
        <v>1477</v>
      </c>
      <c r="B1485" s="120" t="b">
        <f ca="1">AND(C1485&gt;=TODAY()-7, C1485&lt;=TODAY()-1)</f>
        <v>0</v>
      </c>
      <c r="C1485" s="121">
        <v>45945</v>
      </c>
      <c r="D1485" s="137">
        <v>0.80118055555555556</v>
      </c>
      <c r="E1485" s="94">
        <v>2053</v>
      </c>
      <c r="F1485" s="91">
        <v>1211</v>
      </c>
      <c r="G1485" s="143" t="s">
        <v>34</v>
      </c>
      <c r="H1485" s="139">
        <v>7194</v>
      </c>
      <c r="I1485" s="94"/>
      <c r="J1485" s="91" t="s">
        <v>35</v>
      </c>
      <c r="K1485" s="122">
        <v>39.215000000000003</v>
      </c>
      <c r="L1485" s="94" t="str">
        <f>VLOOKUP(K1485,Liste!$L$2:$O$34,4,1)</f>
        <v>GSMR_07/08</v>
      </c>
      <c r="M1485" s="118" t="s">
        <v>36</v>
      </c>
      <c r="N1485" s="118" t="s">
        <v>37</v>
      </c>
      <c r="O1485" s="148" t="s">
        <v>3113</v>
      </c>
      <c r="P1485" s="126" t="s">
        <v>3112</v>
      </c>
      <c r="Q1485" s="124" t="s">
        <v>2631</v>
      </c>
      <c r="R1485" s="184" t="s">
        <v>2613</v>
      </c>
      <c r="S1485" s="124" t="s">
        <v>3114</v>
      </c>
      <c r="T1485" s="124" t="s">
        <v>69</v>
      </c>
      <c r="U1485" s="124" t="s">
        <v>2746</v>
      </c>
      <c r="V1485" s="124" t="s">
        <v>51</v>
      </c>
      <c r="W1485" s="94" t="s">
        <v>51</v>
      </c>
      <c r="X1485" s="124" t="s">
        <v>52</v>
      </c>
      <c r="Y1485" s="91" t="s">
        <v>946</v>
      </c>
      <c r="Z1485" s="91"/>
      <c r="AA1485" s="91" t="s">
        <v>772</v>
      </c>
      <c r="AB1485" s="91"/>
      <c r="AC1485" s="91"/>
      <c r="AD1485" s="91"/>
      <c r="AE1485" s="91"/>
      <c r="AF1485" s="91"/>
      <c r="AG1485" s="91"/>
      <c r="AH1485" s="91"/>
    </row>
    <row r="1486" spans="1:34" ht="60">
      <c r="A1486" s="120">
        <v>1478</v>
      </c>
      <c r="B1486" s="120" t="b">
        <f ca="1">AND(C1486&gt;=TODAY()-7, C1486&lt;=TODAY()-1)</f>
        <v>0</v>
      </c>
      <c r="C1486" s="121">
        <v>45945</v>
      </c>
      <c r="D1486" s="137">
        <v>0.83016203703703706</v>
      </c>
      <c r="E1486" s="94">
        <v>1050</v>
      </c>
      <c r="F1486" s="91">
        <v>1206</v>
      </c>
      <c r="G1486" s="143" t="s">
        <v>71</v>
      </c>
      <c r="H1486" s="139">
        <v>1041</v>
      </c>
      <c r="I1486" s="94"/>
      <c r="J1486" s="91" t="s">
        <v>72</v>
      </c>
      <c r="K1486" s="122">
        <v>91.305000000000007</v>
      </c>
      <c r="L1486" s="122" t="s">
        <v>794</v>
      </c>
      <c r="M1486" s="118" t="s">
        <v>36</v>
      </c>
      <c r="N1486" s="118" t="s">
        <v>37</v>
      </c>
      <c r="O1486" s="148" t="s">
        <v>3115</v>
      </c>
      <c r="P1486" s="126" t="s">
        <v>3112</v>
      </c>
      <c r="Q1486" s="91" t="s">
        <v>39</v>
      </c>
      <c r="R1486" s="184" t="s">
        <v>2988</v>
      </c>
      <c r="S1486" s="124" t="s">
        <v>3093</v>
      </c>
      <c r="T1486" s="124" t="s">
        <v>56</v>
      </c>
      <c r="U1486" s="124" t="s">
        <v>2848</v>
      </c>
      <c r="V1486" s="124" t="s">
        <v>51</v>
      </c>
      <c r="W1486" s="94" t="s">
        <v>51</v>
      </c>
      <c r="X1486" s="124" t="s">
        <v>52</v>
      </c>
      <c r="Y1486" s="91" t="s">
        <v>946</v>
      </c>
      <c r="Z1486" s="91"/>
      <c r="AA1486" s="91" t="s">
        <v>772</v>
      </c>
      <c r="AB1486" s="91"/>
      <c r="AC1486" s="91"/>
      <c r="AD1486" s="91"/>
      <c r="AE1486" s="91"/>
      <c r="AF1486" s="91"/>
      <c r="AG1486" s="91"/>
      <c r="AH1486" s="91"/>
    </row>
    <row r="1487" spans="1:34" ht="60">
      <c r="A1487" s="120">
        <v>1479</v>
      </c>
      <c r="B1487" s="120" t="b">
        <f t="shared" ref="B1487:B1488" ca="1" si="57">AND(C1487&gt;=TODAY()-7, C1487&lt;=TODAY()-1)</f>
        <v>0</v>
      </c>
      <c r="C1487" s="121">
        <v>45945</v>
      </c>
      <c r="D1487" s="137">
        <v>0.8784953703703704</v>
      </c>
      <c r="E1487" s="94">
        <v>2061</v>
      </c>
      <c r="F1487" s="91">
        <v>1210</v>
      </c>
      <c r="G1487" s="143" t="s">
        <v>34</v>
      </c>
      <c r="H1487" s="139">
        <v>1050</v>
      </c>
      <c r="I1487" s="94"/>
      <c r="J1487" s="91" t="s">
        <v>35</v>
      </c>
      <c r="K1487" s="174">
        <v>6.13</v>
      </c>
      <c r="L1487" s="94" t="str">
        <f>VLOOKUP(K1487,Liste!$L$2:$O$34,4,1)</f>
        <v>GSMR_02/03</v>
      </c>
      <c r="M1487" s="118" t="s">
        <v>36</v>
      </c>
      <c r="N1487" s="118" t="s">
        <v>37</v>
      </c>
      <c r="O1487" s="148" t="s">
        <v>3116</v>
      </c>
      <c r="P1487" s="126" t="s">
        <v>3117</v>
      </c>
      <c r="Q1487" s="124" t="s">
        <v>39</v>
      </c>
      <c r="R1487" s="124" t="s">
        <v>2947</v>
      </c>
      <c r="S1487" s="124" t="s">
        <v>3073</v>
      </c>
      <c r="T1487" s="124" t="s">
        <v>116</v>
      </c>
      <c r="U1487" s="124" t="s">
        <v>3061</v>
      </c>
      <c r="V1487" s="124" t="s">
        <v>51</v>
      </c>
      <c r="W1487" s="94" t="s">
        <v>51</v>
      </c>
      <c r="X1487" s="124" t="s">
        <v>52</v>
      </c>
      <c r="Y1487" s="91" t="s">
        <v>946</v>
      </c>
      <c r="Z1487" s="91"/>
      <c r="AA1487" s="91" t="s">
        <v>1295</v>
      </c>
      <c r="AB1487" s="91"/>
      <c r="AC1487" s="91"/>
      <c r="AD1487" s="91"/>
      <c r="AE1487" s="91"/>
      <c r="AF1487" s="91"/>
      <c r="AG1487" s="91"/>
      <c r="AH1487" s="91"/>
    </row>
    <row r="1488" spans="1:34" ht="60">
      <c r="A1488" s="120">
        <v>1480</v>
      </c>
      <c r="B1488" s="120" t="b">
        <f t="shared" ca="1" si="57"/>
        <v>0</v>
      </c>
      <c r="C1488" s="121">
        <v>45945</v>
      </c>
      <c r="D1488" s="137">
        <v>0.88452546296296297</v>
      </c>
      <c r="E1488" s="94">
        <v>1053</v>
      </c>
      <c r="F1488" s="91">
        <v>1204</v>
      </c>
      <c r="G1488" s="143" t="s">
        <v>71</v>
      </c>
      <c r="H1488" s="139">
        <v>1034</v>
      </c>
      <c r="I1488" s="94"/>
      <c r="J1488" s="91" t="s">
        <v>72</v>
      </c>
      <c r="K1488" s="174">
        <v>7.3209999999999997</v>
      </c>
      <c r="L1488" s="94" t="str">
        <f>VLOOKUP(K1488,Liste!$L$2:$O$34,4,1)</f>
        <v>GSMR_02/03</v>
      </c>
      <c r="M1488" s="118" t="s">
        <v>36</v>
      </c>
      <c r="N1488" s="118" t="s">
        <v>37</v>
      </c>
      <c r="O1488" s="148" t="s">
        <v>3118</v>
      </c>
      <c r="P1488" s="126" t="s">
        <v>3119</v>
      </c>
      <c r="Q1488" s="124" t="s">
        <v>39</v>
      </c>
      <c r="R1488" s="124" t="s">
        <v>2947</v>
      </c>
      <c r="S1488" s="124" t="s">
        <v>3120</v>
      </c>
      <c r="T1488" s="124" t="s">
        <v>41</v>
      </c>
      <c r="U1488" s="124" t="s">
        <v>3039</v>
      </c>
      <c r="V1488" s="124" t="s">
        <v>51</v>
      </c>
      <c r="W1488" s="94" t="s">
        <v>51</v>
      </c>
      <c r="X1488" s="124" t="s">
        <v>52</v>
      </c>
      <c r="Y1488" s="91" t="s">
        <v>946</v>
      </c>
      <c r="Z1488" s="91"/>
      <c r="AA1488" s="91" t="s">
        <v>1295</v>
      </c>
      <c r="AB1488" s="91"/>
      <c r="AC1488" s="91"/>
      <c r="AD1488" s="91"/>
      <c r="AE1488" s="91"/>
      <c r="AF1488" s="91"/>
      <c r="AG1488" s="91"/>
      <c r="AH1488" s="91"/>
    </row>
    <row r="1489" spans="1:34" ht="60">
      <c r="A1489" s="120">
        <v>1481</v>
      </c>
      <c r="B1489" s="120" t="b">
        <f t="shared" ref="B1489" ca="1" si="58">AND(C1489&gt;=TODAY()-7, C1489&lt;=TODAY()-1)</f>
        <v>0</v>
      </c>
      <c r="C1489" s="121">
        <v>45946</v>
      </c>
      <c r="D1489" s="137">
        <v>0.84331018518518519</v>
      </c>
      <c r="E1489" s="94">
        <v>1049</v>
      </c>
      <c r="F1489" s="91">
        <v>1203</v>
      </c>
      <c r="G1489" s="143" t="s">
        <v>71</v>
      </c>
      <c r="H1489" s="139">
        <v>1026</v>
      </c>
      <c r="I1489" s="94"/>
      <c r="J1489" s="91" t="s">
        <v>72</v>
      </c>
      <c r="K1489" s="174">
        <v>7.3209999999999997</v>
      </c>
      <c r="L1489" s="94" t="str">
        <f>VLOOKUP(K1489,Liste!$L$2:$O$34,4,1)</f>
        <v>GSMR_02/03</v>
      </c>
      <c r="M1489" s="118" t="s">
        <v>36</v>
      </c>
      <c r="N1489" s="118" t="s">
        <v>37</v>
      </c>
      <c r="O1489" s="148" t="s">
        <v>3121</v>
      </c>
      <c r="P1489" s="126" t="s">
        <v>3122</v>
      </c>
      <c r="Q1489" s="124" t="s">
        <v>39</v>
      </c>
      <c r="R1489" s="124" t="s">
        <v>2947</v>
      </c>
      <c r="S1489" s="124" t="s">
        <v>2264</v>
      </c>
      <c r="T1489" s="124" t="s">
        <v>69</v>
      </c>
      <c r="U1489" s="124" t="s">
        <v>2884</v>
      </c>
      <c r="V1489" s="124" t="s">
        <v>43</v>
      </c>
      <c r="W1489" s="94" t="s">
        <v>51</v>
      </c>
      <c r="X1489" s="124" t="s">
        <v>52</v>
      </c>
      <c r="Y1489" s="91" t="s">
        <v>721</v>
      </c>
      <c r="Z1489" s="91"/>
      <c r="AA1489" s="91" t="s">
        <v>772</v>
      </c>
      <c r="AB1489" s="91"/>
      <c r="AC1489" s="91"/>
      <c r="AD1489" s="91"/>
      <c r="AE1489" s="91"/>
      <c r="AF1489" s="91"/>
      <c r="AG1489" s="91"/>
      <c r="AH1489" s="91"/>
    </row>
    <row r="1490" spans="1:34" ht="60">
      <c r="A1490" s="120">
        <v>1482</v>
      </c>
      <c r="B1490" s="120" t="b">
        <f t="shared" ref="B1490" ca="1" si="59">AND(C1490&gt;=TODAY()-7, C1490&lt;=TODAY()-1)</f>
        <v>0</v>
      </c>
      <c r="C1490" s="121">
        <v>45946</v>
      </c>
      <c r="D1490" s="137">
        <v>0.87880787037037034</v>
      </c>
      <c r="E1490" s="94">
        <v>2061</v>
      </c>
      <c r="F1490" s="91">
        <v>1203</v>
      </c>
      <c r="G1490" s="143" t="s">
        <v>34</v>
      </c>
      <c r="H1490" s="139">
        <v>1024</v>
      </c>
      <c r="I1490" s="115"/>
      <c r="J1490" s="91" t="s">
        <v>35</v>
      </c>
      <c r="K1490" s="174">
        <v>6.13</v>
      </c>
      <c r="L1490" s="94" t="str">
        <f>VLOOKUP(K1490,Liste!$L$2:$O$34,4,1)</f>
        <v>GSMR_02/03</v>
      </c>
      <c r="M1490" s="118" t="s">
        <v>36</v>
      </c>
      <c r="N1490" s="118" t="s">
        <v>37</v>
      </c>
      <c r="O1490" s="148" t="s">
        <v>3123</v>
      </c>
      <c r="P1490" s="127"/>
      <c r="Q1490" s="124" t="s">
        <v>39</v>
      </c>
      <c r="R1490" s="124" t="s">
        <v>2947</v>
      </c>
      <c r="S1490" s="124" t="s">
        <v>3124</v>
      </c>
      <c r="T1490" s="124" t="s">
        <v>56</v>
      </c>
      <c r="U1490" s="124" t="s">
        <v>2800</v>
      </c>
      <c r="V1490" s="124" t="s">
        <v>51</v>
      </c>
      <c r="W1490" s="94" t="s">
        <v>51</v>
      </c>
      <c r="X1490" s="124" t="s">
        <v>52</v>
      </c>
      <c r="Y1490" s="91" t="s">
        <v>950</v>
      </c>
      <c r="Z1490" s="91"/>
      <c r="AA1490" s="91" t="s">
        <v>959</v>
      </c>
      <c r="AB1490" s="91"/>
      <c r="AC1490" s="91"/>
      <c r="AD1490" s="91"/>
      <c r="AE1490" s="91"/>
      <c r="AF1490" s="91"/>
      <c r="AG1490" s="91"/>
      <c r="AH1490" s="91"/>
    </row>
    <row r="1491" spans="1:34" ht="120">
      <c r="A1491" s="120">
        <v>1483</v>
      </c>
      <c r="B1491" s="120" t="b">
        <f t="shared" ref="B1491:B1500" ca="1" si="60">AND(C1491&gt;=TODAY()-7, C1491&lt;=TODAY()-1)</f>
        <v>0</v>
      </c>
      <c r="C1491" s="121">
        <v>45947</v>
      </c>
      <c r="D1491" s="137">
        <v>0.4559375</v>
      </c>
      <c r="E1491" s="94">
        <v>1013</v>
      </c>
      <c r="F1491" s="91">
        <v>1211</v>
      </c>
      <c r="G1491" s="143" t="s">
        <v>71</v>
      </c>
      <c r="H1491" s="139">
        <v>3063</v>
      </c>
      <c r="I1491" s="115"/>
      <c r="J1491" s="91" t="s">
        <v>72</v>
      </c>
      <c r="K1491" s="91">
        <v>94.953999999999994</v>
      </c>
      <c r="L1491" s="94" t="str">
        <f>VLOOKUP(K1491,Liste!$L$2:$O$34,4,1)</f>
        <v>GSMR_17/18</v>
      </c>
      <c r="M1491" s="118" t="s">
        <v>36</v>
      </c>
      <c r="N1491" s="118" t="s">
        <v>37</v>
      </c>
      <c r="O1491" s="148" t="s">
        <v>3125</v>
      </c>
      <c r="P1491" s="127"/>
      <c r="Q1491" s="91" t="s">
        <v>39</v>
      </c>
      <c r="R1491" s="148" t="s">
        <v>2988</v>
      </c>
      <c r="S1491" s="124" t="s">
        <v>2147</v>
      </c>
      <c r="T1491" s="124" t="s">
        <v>56</v>
      </c>
      <c r="U1491" s="124" t="s">
        <v>2848</v>
      </c>
      <c r="V1491" s="124" t="s">
        <v>51</v>
      </c>
      <c r="W1491" s="94" t="s">
        <v>51</v>
      </c>
      <c r="X1491" s="124" t="s">
        <v>52</v>
      </c>
      <c r="Y1491" s="91" t="s">
        <v>950</v>
      </c>
      <c r="Z1491" s="91"/>
      <c r="AA1491" s="124" t="s">
        <v>802</v>
      </c>
      <c r="AB1491" s="91"/>
      <c r="AC1491" s="91"/>
      <c r="AD1491" s="91"/>
      <c r="AE1491" s="91"/>
      <c r="AF1491" s="91"/>
      <c r="AG1491" s="91"/>
      <c r="AH1491" s="91"/>
    </row>
    <row r="1492" spans="1:34" ht="120">
      <c r="A1492" s="120">
        <v>1484</v>
      </c>
      <c r="B1492" s="120" t="b">
        <f t="shared" ca="1" si="60"/>
        <v>0</v>
      </c>
      <c r="C1492" s="121">
        <v>45948</v>
      </c>
      <c r="D1492" s="137">
        <v>0.66453703703703704</v>
      </c>
      <c r="E1492" s="94">
        <v>1033</v>
      </c>
      <c r="F1492" s="91">
        <v>1211</v>
      </c>
      <c r="G1492" s="143" t="s">
        <v>71</v>
      </c>
      <c r="H1492" s="139">
        <v>3063</v>
      </c>
      <c r="I1492" s="115"/>
      <c r="J1492" s="91" t="s">
        <v>72</v>
      </c>
      <c r="K1492" s="91">
        <v>94.953999999999994</v>
      </c>
      <c r="L1492" s="94" t="str">
        <f>VLOOKUP(K1492,Liste!$L$2:$O$34,4,1)</f>
        <v>GSMR_17/18</v>
      </c>
      <c r="M1492" s="118" t="s">
        <v>36</v>
      </c>
      <c r="N1492" s="118" t="s">
        <v>37</v>
      </c>
      <c r="O1492" s="148" t="s">
        <v>3125</v>
      </c>
      <c r="P1492" s="127"/>
      <c r="Q1492" s="91" t="s">
        <v>39</v>
      </c>
      <c r="R1492" s="148" t="s">
        <v>2988</v>
      </c>
      <c r="S1492" s="124" t="s">
        <v>2147</v>
      </c>
      <c r="T1492" s="124" t="s">
        <v>116</v>
      </c>
      <c r="U1492" s="124" t="s">
        <v>2955</v>
      </c>
      <c r="V1492" s="124" t="s">
        <v>51</v>
      </c>
      <c r="W1492" s="94" t="s">
        <v>51</v>
      </c>
      <c r="X1492" s="124" t="s">
        <v>52</v>
      </c>
      <c r="Y1492" s="91" t="s">
        <v>950</v>
      </c>
      <c r="Z1492" s="91"/>
      <c r="AA1492" s="124" t="s">
        <v>754</v>
      </c>
      <c r="AB1492" s="91"/>
      <c r="AC1492" s="91"/>
      <c r="AD1492" s="91"/>
      <c r="AE1492" s="91"/>
      <c r="AF1492" s="91"/>
      <c r="AG1492" s="91"/>
      <c r="AH1492" s="91"/>
    </row>
    <row r="1493" spans="1:34" ht="60">
      <c r="A1493" s="120">
        <v>1485</v>
      </c>
      <c r="B1493" s="120" t="b">
        <f t="shared" ca="1" si="60"/>
        <v>0</v>
      </c>
      <c r="C1493" s="121">
        <v>45949</v>
      </c>
      <c r="D1493" s="137">
        <v>0.62848379629629625</v>
      </c>
      <c r="E1493" s="94">
        <v>2037</v>
      </c>
      <c r="F1493" s="91">
        <v>1211</v>
      </c>
      <c r="G1493" s="143" t="s">
        <v>34</v>
      </c>
      <c r="H1493" s="139"/>
      <c r="I1493" s="115"/>
      <c r="J1493" s="91" t="s">
        <v>35</v>
      </c>
      <c r="K1493" s="160">
        <v>6.13</v>
      </c>
      <c r="L1493" s="94" t="str">
        <f>VLOOKUP(K1493,Liste!$L$2:$O$34,4,1)</f>
        <v>GSMR_02/03</v>
      </c>
      <c r="M1493" s="118" t="s">
        <v>36</v>
      </c>
      <c r="N1493" s="118" t="s">
        <v>58</v>
      </c>
      <c r="O1493" s="148" t="s">
        <v>3126</v>
      </c>
      <c r="P1493" s="127"/>
      <c r="Q1493" s="91" t="s">
        <v>39</v>
      </c>
      <c r="R1493" s="124" t="s">
        <v>2947</v>
      </c>
      <c r="S1493" s="124" t="s">
        <v>903</v>
      </c>
      <c r="T1493" s="124" t="s">
        <v>69</v>
      </c>
      <c r="U1493" s="124" t="s">
        <v>2746</v>
      </c>
      <c r="V1493" s="124" t="s">
        <v>51</v>
      </c>
      <c r="W1493" s="94" t="s">
        <v>51</v>
      </c>
      <c r="X1493" s="124"/>
      <c r="Y1493" s="91" t="s">
        <v>946</v>
      </c>
      <c r="Z1493" s="91"/>
      <c r="AA1493" s="124" t="s">
        <v>3127</v>
      </c>
      <c r="AB1493" s="91"/>
      <c r="AC1493" s="91"/>
      <c r="AD1493" s="91"/>
      <c r="AE1493" s="91"/>
      <c r="AF1493" s="91"/>
      <c r="AG1493" s="91"/>
      <c r="AH1493" s="91"/>
    </row>
    <row r="1494" spans="1:34" ht="60">
      <c r="A1494" s="120">
        <v>1486</v>
      </c>
      <c r="B1494" s="120" t="b">
        <f t="shared" ca="1" si="60"/>
        <v>0</v>
      </c>
      <c r="C1494" s="121">
        <v>45949</v>
      </c>
      <c r="D1494" s="137">
        <v>0.65090277777777783</v>
      </c>
      <c r="E1494" s="94">
        <v>1034</v>
      </c>
      <c r="F1494" s="91">
        <v>1206</v>
      </c>
      <c r="G1494" s="143" t="s">
        <v>71</v>
      </c>
      <c r="H1494" s="139">
        <v>1041</v>
      </c>
      <c r="I1494" s="115"/>
      <c r="J1494" s="91" t="s">
        <v>72</v>
      </c>
      <c r="K1494" s="91">
        <v>177.85</v>
      </c>
      <c r="L1494" s="94" t="str">
        <f>VLOOKUP(K1494,Liste!$L$2:$O$34,4,1)</f>
        <v>GSMR_30/31</v>
      </c>
      <c r="M1494" s="118" t="s">
        <v>36</v>
      </c>
      <c r="N1494" s="118" t="s">
        <v>37</v>
      </c>
      <c r="O1494" s="148" t="s">
        <v>3128</v>
      </c>
      <c r="P1494" s="127"/>
      <c r="Q1494" s="91" t="s">
        <v>47</v>
      </c>
      <c r="R1494" s="184" t="s">
        <v>2613</v>
      </c>
      <c r="S1494" s="124" t="s">
        <v>3129</v>
      </c>
      <c r="T1494" s="124" t="s">
        <v>56</v>
      </c>
      <c r="U1494" s="124" t="s">
        <v>2795</v>
      </c>
      <c r="V1494" s="124" t="s">
        <v>51</v>
      </c>
      <c r="W1494" s="94" t="s">
        <v>51</v>
      </c>
      <c r="X1494" s="124" t="s">
        <v>52</v>
      </c>
      <c r="Y1494" s="91" t="s">
        <v>2966</v>
      </c>
      <c r="Z1494" s="91"/>
      <c r="AA1494" s="124" t="s">
        <v>793</v>
      </c>
      <c r="AB1494" s="91"/>
      <c r="AC1494" s="91"/>
      <c r="AD1494" s="91"/>
      <c r="AE1494" s="91"/>
      <c r="AF1494" s="91"/>
      <c r="AG1494" s="91"/>
      <c r="AH1494" s="91"/>
    </row>
    <row r="1495" spans="1:34" ht="60">
      <c r="A1495" s="120">
        <v>1487</v>
      </c>
      <c r="B1495" s="120" t="b">
        <f t="shared" ca="1" si="60"/>
        <v>0</v>
      </c>
      <c r="C1495" s="121">
        <v>45949</v>
      </c>
      <c r="D1495" s="137">
        <v>0.7348958333333333</v>
      </c>
      <c r="E1495" s="94">
        <v>1042</v>
      </c>
      <c r="F1495" s="91">
        <v>1207</v>
      </c>
      <c r="G1495" s="143" t="s">
        <v>71</v>
      </c>
      <c r="H1495" s="139">
        <v>1047</v>
      </c>
      <c r="I1495" s="115"/>
      <c r="J1495" s="91" t="s">
        <v>72</v>
      </c>
      <c r="K1495" s="91">
        <v>177.85</v>
      </c>
      <c r="L1495" s="94" t="str">
        <f>VLOOKUP(K1495,Liste!$L$2:$O$34,4,1)</f>
        <v>GSMR_30/31</v>
      </c>
      <c r="M1495" s="118" t="s">
        <v>36</v>
      </c>
      <c r="N1495" s="118" t="s">
        <v>37</v>
      </c>
      <c r="O1495" s="148" t="s">
        <v>3130</v>
      </c>
      <c r="P1495" s="127"/>
      <c r="Q1495" s="91" t="s">
        <v>47</v>
      </c>
      <c r="R1495" s="184" t="s">
        <v>2613</v>
      </c>
      <c r="S1495" s="124" t="s">
        <v>3131</v>
      </c>
      <c r="T1495" s="124" t="s">
        <v>56</v>
      </c>
      <c r="U1495" s="124" t="s">
        <v>2857</v>
      </c>
      <c r="V1495" s="124" t="s">
        <v>51</v>
      </c>
      <c r="W1495" s="94" t="s">
        <v>51</v>
      </c>
      <c r="X1495" s="124" t="s">
        <v>52</v>
      </c>
      <c r="Y1495" s="91" t="s">
        <v>2966</v>
      </c>
      <c r="Z1495" s="91"/>
      <c r="AA1495" s="124" t="s">
        <v>793</v>
      </c>
      <c r="AB1495" s="91"/>
      <c r="AC1495" s="91"/>
      <c r="AD1495" s="91"/>
      <c r="AE1495" s="91"/>
      <c r="AF1495" s="91"/>
      <c r="AG1495" s="91"/>
      <c r="AH1495" s="91"/>
    </row>
    <row r="1496" spans="1:34" ht="60">
      <c r="A1496" s="120">
        <v>1488</v>
      </c>
      <c r="B1496" s="120" t="b">
        <f t="shared" ca="1" si="60"/>
        <v>0</v>
      </c>
      <c r="C1496" s="121">
        <v>45950</v>
      </c>
      <c r="D1496" s="137">
        <v>0.66476851851851848</v>
      </c>
      <c r="E1496" s="94">
        <v>1034</v>
      </c>
      <c r="F1496" s="91">
        <v>1203</v>
      </c>
      <c r="G1496" s="143" t="s">
        <v>71</v>
      </c>
      <c r="H1496" s="139">
        <v>1027</v>
      </c>
      <c r="I1496" s="115"/>
      <c r="J1496" s="91" t="s">
        <v>72</v>
      </c>
      <c r="K1496" s="91">
        <v>109.495</v>
      </c>
      <c r="L1496" s="94" t="str">
        <f>VLOOKUP(K1496,Liste!$L$2:$O$34,4,1)</f>
        <v>GSMR_19/20</v>
      </c>
      <c r="M1496" s="118" t="s">
        <v>36</v>
      </c>
      <c r="N1496" s="118" t="s">
        <v>37</v>
      </c>
      <c r="O1496" s="148" t="s">
        <v>3132</v>
      </c>
      <c r="P1496" s="127"/>
      <c r="Q1496" s="91" t="s">
        <v>47</v>
      </c>
      <c r="R1496" s="184" t="s">
        <v>2613</v>
      </c>
      <c r="S1496" s="124" t="s">
        <v>3133</v>
      </c>
      <c r="T1496" s="124" t="s">
        <v>69</v>
      </c>
      <c r="U1496" s="124" t="s">
        <v>2817</v>
      </c>
      <c r="V1496" s="124" t="s">
        <v>51</v>
      </c>
      <c r="W1496" s="94" t="s">
        <v>51</v>
      </c>
      <c r="X1496" s="124" t="s">
        <v>52</v>
      </c>
      <c r="Y1496" s="91" t="s">
        <v>950</v>
      </c>
      <c r="Z1496" s="91"/>
      <c r="AA1496" s="124" t="s">
        <v>793</v>
      </c>
      <c r="AB1496" s="91"/>
      <c r="AC1496" s="91"/>
      <c r="AD1496" s="91"/>
      <c r="AE1496" s="91"/>
      <c r="AF1496" s="91"/>
      <c r="AG1496" s="91"/>
      <c r="AH1496" s="91"/>
    </row>
    <row r="1497" spans="1:34" ht="120">
      <c r="A1497" s="120">
        <v>1489</v>
      </c>
      <c r="B1497" s="120" t="b">
        <f t="shared" ca="1" si="60"/>
        <v>0</v>
      </c>
      <c r="C1497" s="121">
        <v>45951</v>
      </c>
      <c r="D1497" s="137">
        <v>0.66405092592592596</v>
      </c>
      <c r="E1497" s="94">
        <v>1033</v>
      </c>
      <c r="F1497" s="91">
        <v>1205</v>
      </c>
      <c r="G1497" s="143" t="s">
        <v>71</v>
      </c>
      <c r="H1497" s="139">
        <v>1061</v>
      </c>
      <c r="I1497" s="115"/>
      <c r="J1497" s="91" t="s">
        <v>72</v>
      </c>
      <c r="K1497" s="91">
        <v>94.953999999999994</v>
      </c>
      <c r="L1497" s="94" t="str">
        <f>VLOOKUP(K1497,Liste!$L$2:$O$34,4,1)</f>
        <v>GSMR_17/18</v>
      </c>
      <c r="M1497" s="118" t="s">
        <v>36</v>
      </c>
      <c r="N1497" s="118" t="s">
        <v>37</v>
      </c>
      <c r="O1497" s="148" t="s">
        <v>3134</v>
      </c>
      <c r="P1497" s="127"/>
      <c r="Q1497" s="91" t="s">
        <v>39</v>
      </c>
      <c r="R1497" s="148" t="s">
        <v>2988</v>
      </c>
      <c r="S1497" s="124" t="s">
        <v>3135</v>
      </c>
      <c r="T1497" s="124" t="s">
        <v>93</v>
      </c>
      <c r="U1497" s="124" t="s">
        <v>2152</v>
      </c>
      <c r="V1497" s="124" t="s">
        <v>51</v>
      </c>
      <c r="W1497" s="94" t="s">
        <v>51</v>
      </c>
      <c r="X1497" s="124" t="s">
        <v>52</v>
      </c>
      <c r="Y1497" s="91" t="s">
        <v>2966</v>
      </c>
      <c r="Z1497" s="91"/>
      <c r="AA1497" s="124" t="s">
        <v>3127</v>
      </c>
      <c r="AB1497" s="91"/>
      <c r="AC1497" s="91"/>
      <c r="AD1497" s="91"/>
      <c r="AE1497" s="91"/>
      <c r="AF1497" s="91"/>
      <c r="AG1497" s="91"/>
      <c r="AH1497" s="91"/>
    </row>
    <row r="1498" spans="1:34" ht="60">
      <c r="A1498" s="120">
        <v>1490</v>
      </c>
      <c r="B1498" s="120" t="b">
        <f t="shared" ca="1" si="60"/>
        <v>0</v>
      </c>
      <c r="C1498" s="121">
        <v>45952</v>
      </c>
      <c r="D1498" s="137">
        <v>0.33719907407407407</v>
      </c>
      <c r="E1498" s="94">
        <v>2009</v>
      </c>
      <c r="F1498" s="91">
        <v>1204</v>
      </c>
      <c r="G1498" s="143" t="s">
        <v>34</v>
      </c>
      <c r="H1498" s="139">
        <v>1053</v>
      </c>
      <c r="I1498" s="115"/>
      <c r="J1498" s="91" t="s">
        <v>35</v>
      </c>
      <c r="K1498" s="91">
        <v>6.13</v>
      </c>
      <c r="L1498" s="94" t="str">
        <f>VLOOKUP(K1498,Liste!$L$2:$O$34,4,1)</f>
        <v>GSMR_02/03</v>
      </c>
      <c r="M1498" s="118" t="s">
        <v>36</v>
      </c>
      <c r="N1498" s="118" t="s">
        <v>37</v>
      </c>
      <c r="O1498" s="148" t="s">
        <v>3136</v>
      </c>
      <c r="P1498" s="127"/>
      <c r="Q1498" s="91" t="s">
        <v>39</v>
      </c>
      <c r="R1498" s="124" t="s">
        <v>2947</v>
      </c>
      <c r="S1498" s="124" t="s">
        <v>1459</v>
      </c>
      <c r="T1498" s="124" t="s">
        <v>56</v>
      </c>
      <c r="U1498" s="124" t="s">
        <v>2774</v>
      </c>
      <c r="V1498" s="124" t="s">
        <v>51</v>
      </c>
      <c r="W1498" s="94" t="s">
        <v>51</v>
      </c>
      <c r="X1498" s="124" t="s">
        <v>52</v>
      </c>
      <c r="Y1498" s="91" t="s">
        <v>2966</v>
      </c>
      <c r="Z1498" s="91"/>
      <c r="AA1498" s="124" t="s">
        <v>772</v>
      </c>
      <c r="AB1498" s="91"/>
      <c r="AC1498" s="91"/>
      <c r="AD1498" s="91"/>
      <c r="AE1498" s="91"/>
      <c r="AF1498" s="91"/>
      <c r="AG1498" s="91"/>
      <c r="AH1498" s="91"/>
    </row>
    <row r="1499" spans="1:34" ht="120">
      <c r="A1499" s="120">
        <v>1491</v>
      </c>
      <c r="B1499" s="120" t="b">
        <f t="shared" ca="1" si="60"/>
        <v>0</v>
      </c>
      <c r="C1499" s="121">
        <v>45952</v>
      </c>
      <c r="D1499" s="137">
        <v>0.49637731481481484</v>
      </c>
      <c r="E1499" s="94">
        <v>1017</v>
      </c>
      <c r="F1499" s="91">
        <v>1205</v>
      </c>
      <c r="G1499" s="143" t="s">
        <v>71</v>
      </c>
      <c r="H1499" s="139">
        <v>1061</v>
      </c>
      <c r="I1499" s="115"/>
      <c r="J1499" s="91" t="s">
        <v>72</v>
      </c>
      <c r="K1499" s="91">
        <v>94.953999999999994</v>
      </c>
      <c r="L1499" s="94" t="str">
        <f>VLOOKUP(K1499,Liste!$L$2:$O$34,4,1)</f>
        <v>GSMR_17/18</v>
      </c>
      <c r="M1499" s="118" t="s">
        <v>36</v>
      </c>
      <c r="N1499" s="118" t="s">
        <v>37</v>
      </c>
      <c r="O1499" s="148" t="s">
        <v>3125</v>
      </c>
      <c r="P1499" s="127"/>
      <c r="Q1499" s="91" t="s">
        <v>39</v>
      </c>
      <c r="R1499" s="148" t="s">
        <v>2988</v>
      </c>
      <c r="S1499" s="124" t="s">
        <v>3137</v>
      </c>
      <c r="T1499" s="124" t="s">
        <v>56</v>
      </c>
      <c r="U1499" s="124" t="s">
        <v>2152</v>
      </c>
      <c r="V1499" s="124" t="s">
        <v>51</v>
      </c>
      <c r="W1499" s="94" t="s">
        <v>51</v>
      </c>
      <c r="X1499" s="124" t="s">
        <v>52</v>
      </c>
      <c r="Y1499" s="91" t="s">
        <v>2107</v>
      </c>
      <c r="Z1499" s="91"/>
      <c r="AA1499" s="124" t="s">
        <v>772</v>
      </c>
      <c r="AB1499" s="91"/>
      <c r="AC1499" s="91"/>
      <c r="AD1499" s="91"/>
      <c r="AE1499" s="91"/>
      <c r="AF1499" s="91"/>
      <c r="AG1499" s="91"/>
      <c r="AH1499" s="91"/>
    </row>
    <row r="1500" spans="1:34" ht="120">
      <c r="A1500" s="120">
        <v>1492</v>
      </c>
      <c r="B1500" s="120" t="b">
        <f t="shared" ca="1" si="60"/>
        <v>0</v>
      </c>
      <c r="C1500" s="121">
        <v>45953</v>
      </c>
      <c r="D1500" s="137">
        <v>0.78815972222222219</v>
      </c>
      <c r="E1500" s="94">
        <v>1046</v>
      </c>
      <c r="F1500" s="91">
        <v>1209</v>
      </c>
      <c r="G1500" s="143" t="s">
        <v>71</v>
      </c>
      <c r="H1500" s="139">
        <v>1061</v>
      </c>
      <c r="I1500" s="115"/>
      <c r="J1500" s="91" t="s">
        <v>72</v>
      </c>
      <c r="K1500" s="91">
        <v>94.953999999999994</v>
      </c>
      <c r="L1500" s="94" t="str">
        <f>VLOOKUP(K1500,Liste!$L$2:$O$34,4,1)</f>
        <v>GSMR_17/18</v>
      </c>
      <c r="M1500" s="118" t="s">
        <v>36</v>
      </c>
      <c r="N1500" s="118" t="s">
        <v>37</v>
      </c>
      <c r="O1500" s="148" t="s">
        <v>3125</v>
      </c>
      <c r="P1500" s="127"/>
      <c r="Q1500" s="91" t="s">
        <v>39</v>
      </c>
      <c r="R1500" s="148" t="s">
        <v>2988</v>
      </c>
      <c r="S1500" s="124" t="s">
        <v>3137</v>
      </c>
      <c r="T1500" s="124" t="s">
        <v>56</v>
      </c>
      <c r="U1500" s="124" t="s">
        <v>2759</v>
      </c>
      <c r="V1500" s="124" t="s">
        <v>51</v>
      </c>
      <c r="W1500" s="94" t="s">
        <v>51</v>
      </c>
      <c r="X1500" s="124" t="s">
        <v>52</v>
      </c>
      <c r="Y1500" s="91" t="s">
        <v>2107</v>
      </c>
      <c r="Z1500" s="91"/>
      <c r="AA1500" s="124" t="s">
        <v>793</v>
      </c>
      <c r="AB1500" s="91"/>
      <c r="AC1500" s="91"/>
      <c r="AD1500" s="91"/>
      <c r="AE1500" s="91"/>
      <c r="AF1500" s="91"/>
      <c r="AG1500" s="91"/>
      <c r="AH1500" s="91"/>
    </row>
    <row r="1501" spans="1:34" ht="60">
      <c r="A1501" s="120">
        <v>1493</v>
      </c>
      <c r="B1501" s="120" t="b">
        <f t="shared" ref="B1501:B1506" ca="1" si="61">AND(C1501&gt;=TODAY()-7, C1501&lt;=TODAY()-1)</f>
        <v>0</v>
      </c>
      <c r="C1501" s="121">
        <v>45954</v>
      </c>
      <c r="D1501" s="137">
        <v>0.75365740740740739</v>
      </c>
      <c r="E1501" s="94">
        <v>2049</v>
      </c>
      <c r="F1501" s="91">
        <v>1210</v>
      </c>
      <c r="G1501" s="143" t="s">
        <v>34</v>
      </c>
      <c r="H1501" s="139">
        <v>1051</v>
      </c>
      <c r="I1501" s="115"/>
      <c r="J1501" s="91" t="s">
        <v>35</v>
      </c>
      <c r="K1501" s="160">
        <v>6.13</v>
      </c>
      <c r="L1501" s="94" t="str">
        <f>VLOOKUP(K1501,Liste!$L$2:$O$34,4,1)</f>
        <v>GSMR_02/03</v>
      </c>
      <c r="M1501" s="118" t="s">
        <v>36</v>
      </c>
      <c r="N1501" s="118" t="s">
        <v>58</v>
      </c>
      <c r="O1501" s="148" t="s">
        <v>3138</v>
      </c>
      <c r="P1501" s="127"/>
      <c r="Q1501" s="91" t="s">
        <v>39</v>
      </c>
      <c r="R1501" s="124" t="s">
        <v>2947</v>
      </c>
      <c r="S1501" s="124" t="s">
        <v>1459</v>
      </c>
      <c r="T1501" s="124" t="s">
        <v>56</v>
      </c>
      <c r="U1501" s="124" t="s">
        <v>2884</v>
      </c>
      <c r="V1501" s="124" t="s">
        <v>43</v>
      </c>
      <c r="W1501" s="94" t="s">
        <v>51</v>
      </c>
      <c r="X1501" s="124" t="s">
        <v>52</v>
      </c>
      <c r="Y1501" s="91" t="s">
        <v>946</v>
      </c>
      <c r="Z1501" s="91"/>
      <c r="AA1501" s="124" t="s">
        <v>1295</v>
      </c>
      <c r="AB1501" s="91"/>
      <c r="AC1501" s="91"/>
      <c r="AD1501" s="91"/>
      <c r="AE1501" s="91"/>
      <c r="AF1501" s="91"/>
      <c r="AG1501" s="91"/>
      <c r="AH1501" s="91"/>
    </row>
    <row r="1502" spans="1:34" ht="60">
      <c r="A1502" s="120">
        <v>1494</v>
      </c>
      <c r="B1502" s="120" t="b">
        <f t="shared" ca="1" si="61"/>
        <v>0</v>
      </c>
      <c r="C1502" s="121">
        <v>45954</v>
      </c>
      <c r="D1502" s="137">
        <v>0.84356481481481482</v>
      </c>
      <c r="E1502" s="94">
        <v>2053</v>
      </c>
      <c r="F1502" s="91">
        <v>1203</v>
      </c>
      <c r="G1502" s="143" t="s">
        <v>34</v>
      </c>
      <c r="H1502" s="139">
        <v>1024</v>
      </c>
      <c r="I1502" s="115"/>
      <c r="J1502" s="91" t="s">
        <v>35</v>
      </c>
      <c r="K1502" s="91">
        <v>73.585999999999999</v>
      </c>
      <c r="L1502" s="94" t="str">
        <f>VLOOKUP(K1502,Liste!$L$2:$O$34,4,1)</f>
        <v>GSMR_13/14</v>
      </c>
      <c r="M1502" s="118" t="s">
        <v>36</v>
      </c>
      <c r="N1502" s="118" t="s">
        <v>37</v>
      </c>
      <c r="O1502" s="117" t="s">
        <v>3109</v>
      </c>
      <c r="P1502" s="127"/>
      <c r="Q1502" s="118" t="s">
        <v>47</v>
      </c>
      <c r="R1502" s="184" t="s">
        <v>2613</v>
      </c>
      <c r="S1502" s="124" t="s">
        <v>3139</v>
      </c>
      <c r="T1502" s="124" t="s">
        <v>56</v>
      </c>
      <c r="U1502" s="124" t="s">
        <v>2746</v>
      </c>
      <c r="V1502" s="124" t="s">
        <v>51</v>
      </c>
      <c r="W1502" s="94" t="s">
        <v>51</v>
      </c>
      <c r="X1502" s="124" t="s">
        <v>52</v>
      </c>
      <c r="Y1502" s="91" t="s">
        <v>946</v>
      </c>
      <c r="Z1502" s="91"/>
      <c r="AA1502" s="124" t="s">
        <v>959</v>
      </c>
      <c r="AB1502" s="91"/>
      <c r="AC1502" s="91"/>
      <c r="AD1502" s="91"/>
      <c r="AE1502" s="91"/>
      <c r="AF1502" s="91"/>
      <c r="AG1502" s="91"/>
      <c r="AH1502" s="91"/>
    </row>
    <row r="1503" spans="1:34" ht="60">
      <c r="A1503" s="120">
        <v>1495</v>
      </c>
      <c r="B1503" s="120" t="b">
        <f t="shared" ca="1" si="61"/>
        <v>0</v>
      </c>
      <c r="C1503" s="121">
        <v>45954</v>
      </c>
      <c r="D1503" s="137">
        <v>0.8731944444444445</v>
      </c>
      <c r="E1503" s="94">
        <v>2057</v>
      </c>
      <c r="F1503" s="91">
        <v>1209</v>
      </c>
      <c r="G1503" s="143" t="s">
        <v>34</v>
      </c>
      <c r="H1503" s="139">
        <v>7208</v>
      </c>
      <c r="I1503" s="115"/>
      <c r="J1503" s="91" t="s">
        <v>35</v>
      </c>
      <c r="K1503" s="91">
        <v>73.585999999999999</v>
      </c>
      <c r="L1503" s="94" t="str">
        <f>VLOOKUP(K1503,Liste!$L$2:$O$34,4,1)</f>
        <v>GSMR_13/14</v>
      </c>
      <c r="M1503" s="118" t="s">
        <v>36</v>
      </c>
      <c r="N1503" s="118" t="s">
        <v>37</v>
      </c>
      <c r="O1503" s="117" t="s">
        <v>3140</v>
      </c>
      <c r="P1503" s="127"/>
      <c r="Q1503" s="118" t="s">
        <v>47</v>
      </c>
      <c r="R1503" s="184" t="s">
        <v>2613</v>
      </c>
      <c r="S1503" s="124" t="s">
        <v>3139</v>
      </c>
      <c r="T1503" s="124" t="s">
        <v>56</v>
      </c>
      <c r="U1503" s="124" t="s">
        <v>2746</v>
      </c>
      <c r="V1503" s="124" t="s">
        <v>51</v>
      </c>
      <c r="W1503" s="94" t="s">
        <v>51</v>
      </c>
      <c r="X1503" s="124" t="s">
        <v>52</v>
      </c>
      <c r="Y1503" s="91" t="s">
        <v>946</v>
      </c>
      <c r="Z1503" s="91"/>
      <c r="AA1503" s="124" t="s">
        <v>754</v>
      </c>
      <c r="AB1503" s="91"/>
      <c r="AC1503" s="91"/>
      <c r="AD1503" s="91"/>
      <c r="AE1503" s="91"/>
      <c r="AF1503" s="91"/>
      <c r="AG1503" s="91"/>
      <c r="AH1503" s="91"/>
    </row>
    <row r="1504" spans="1:34" ht="60">
      <c r="A1504" s="120">
        <v>1496</v>
      </c>
      <c r="B1504" s="120" t="b">
        <f t="shared" ca="1" si="61"/>
        <v>0</v>
      </c>
      <c r="C1504" s="121">
        <v>45955</v>
      </c>
      <c r="D1504" s="137">
        <v>0.29488425925925926</v>
      </c>
      <c r="E1504" s="94">
        <v>2005</v>
      </c>
      <c r="F1504" s="91">
        <v>1204</v>
      </c>
      <c r="G1504" s="143" t="s">
        <v>34</v>
      </c>
      <c r="H1504" s="139">
        <v>1053</v>
      </c>
      <c r="I1504" s="115"/>
      <c r="J1504" s="91" t="s">
        <v>35</v>
      </c>
      <c r="K1504" s="160">
        <v>6.13</v>
      </c>
      <c r="L1504" s="94" t="str">
        <f>VLOOKUP(K1504,Liste!$L$2:$O$34,4,1)</f>
        <v>GSMR_02/03</v>
      </c>
      <c r="M1504" s="118" t="s">
        <v>36</v>
      </c>
      <c r="N1504" s="118" t="s">
        <v>58</v>
      </c>
      <c r="O1504" s="148" t="s">
        <v>3141</v>
      </c>
      <c r="P1504" s="127"/>
      <c r="Q1504" s="91" t="s">
        <v>39</v>
      </c>
      <c r="R1504" s="124" t="s">
        <v>2947</v>
      </c>
      <c r="S1504" s="124" t="s">
        <v>2130</v>
      </c>
      <c r="T1504" s="124" t="s">
        <v>41</v>
      </c>
      <c r="U1504" s="124" t="s">
        <v>2789</v>
      </c>
      <c r="V1504" s="124" t="s">
        <v>51</v>
      </c>
      <c r="W1504" s="94" t="s">
        <v>51</v>
      </c>
      <c r="X1504" s="124" t="s">
        <v>52</v>
      </c>
      <c r="Y1504" s="91" t="s">
        <v>946</v>
      </c>
      <c r="Z1504" s="91"/>
      <c r="AA1504" s="124" t="s">
        <v>757</v>
      </c>
      <c r="AB1504" s="91"/>
      <c r="AC1504" s="91"/>
      <c r="AD1504" s="91"/>
      <c r="AE1504" s="91"/>
      <c r="AF1504" s="91"/>
      <c r="AG1504" s="91"/>
      <c r="AH1504" s="91"/>
    </row>
    <row r="1505" spans="1:34" ht="60">
      <c r="A1505" s="120">
        <v>1497</v>
      </c>
      <c r="B1505" s="120" t="b">
        <f t="shared" ca="1" si="61"/>
        <v>0</v>
      </c>
      <c r="C1505" s="121">
        <v>45955</v>
      </c>
      <c r="D1505" s="137">
        <v>0.68932870370370369</v>
      </c>
      <c r="E1505" s="94">
        <v>1037</v>
      </c>
      <c r="F1505" s="91">
        <v>1210</v>
      </c>
      <c r="G1505" s="143" t="s">
        <v>71</v>
      </c>
      <c r="H1505" s="139">
        <v>1004</v>
      </c>
      <c r="I1505" s="115"/>
      <c r="J1505" s="91" t="s">
        <v>72</v>
      </c>
      <c r="K1505" s="91" t="s">
        <v>2903</v>
      </c>
      <c r="L1505" s="122" t="s">
        <v>2650</v>
      </c>
      <c r="M1505" s="118" t="s">
        <v>2904</v>
      </c>
      <c r="N1505" s="118" t="s">
        <v>58</v>
      </c>
      <c r="O1505" s="148" t="s">
        <v>3142</v>
      </c>
      <c r="P1505" s="127"/>
      <c r="Q1505" s="118" t="s">
        <v>47</v>
      </c>
      <c r="R1505" s="184" t="s">
        <v>2613</v>
      </c>
      <c r="S1505" s="124" t="s">
        <v>3143</v>
      </c>
      <c r="T1505" s="89" t="s">
        <v>56</v>
      </c>
      <c r="U1505" s="89" t="s">
        <v>2751</v>
      </c>
      <c r="V1505" s="124" t="s">
        <v>51</v>
      </c>
      <c r="W1505" s="89" t="s">
        <v>43</v>
      </c>
      <c r="X1505" s="124" t="s">
        <v>52</v>
      </c>
      <c r="Y1505" s="89" t="s">
        <v>3144</v>
      </c>
      <c r="Z1505" s="91"/>
      <c r="AA1505" s="124" t="s">
        <v>1183</v>
      </c>
      <c r="AB1505" s="91"/>
      <c r="AC1505" s="91"/>
      <c r="AD1505" s="91"/>
      <c r="AE1505" s="91"/>
      <c r="AF1505" s="91"/>
      <c r="AG1505" s="91"/>
      <c r="AH1505" s="91"/>
    </row>
    <row r="1506" spans="1:34" ht="120">
      <c r="A1506" s="120">
        <v>1498</v>
      </c>
      <c r="B1506" s="120" t="b">
        <f t="shared" ca="1" si="61"/>
        <v>0</v>
      </c>
      <c r="C1506" s="121">
        <v>45955</v>
      </c>
      <c r="D1506" s="137">
        <v>0.95516203703703706</v>
      </c>
      <c r="E1506" s="94">
        <v>1061</v>
      </c>
      <c r="F1506" s="91">
        <v>1210</v>
      </c>
      <c r="G1506" s="143" t="s">
        <v>71</v>
      </c>
      <c r="H1506" s="139">
        <v>1072</v>
      </c>
      <c r="I1506" s="115"/>
      <c r="J1506" s="91" t="s">
        <v>72</v>
      </c>
      <c r="K1506" s="91">
        <v>94.953999999999994</v>
      </c>
      <c r="L1506" s="94" t="str">
        <f>VLOOKUP(K1506,Liste!$L$2:$O$34,4,1)</f>
        <v>GSMR_17/18</v>
      </c>
      <c r="M1506" s="118" t="s">
        <v>36</v>
      </c>
      <c r="N1506" s="118" t="s">
        <v>37</v>
      </c>
      <c r="O1506" s="194" t="s">
        <v>3145</v>
      </c>
      <c r="P1506" s="127"/>
      <c r="Q1506" s="91" t="s">
        <v>39</v>
      </c>
      <c r="R1506" s="148" t="s">
        <v>2988</v>
      </c>
      <c r="S1506" s="124" t="s">
        <v>3137</v>
      </c>
      <c r="T1506" s="124" t="s">
        <v>93</v>
      </c>
      <c r="U1506" s="124" t="s">
        <v>2749</v>
      </c>
      <c r="V1506" s="124" t="s">
        <v>51</v>
      </c>
      <c r="W1506" s="94" t="s">
        <v>51</v>
      </c>
      <c r="X1506" s="124" t="s">
        <v>52</v>
      </c>
      <c r="Y1506" s="91" t="s">
        <v>3144</v>
      </c>
      <c r="Z1506" s="91"/>
      <c r="AA1506" s="124" t="s">
        <v>754</v>
      </c>
      <c r="AB1506" s="91"/>
      <c r="AC1506" s="91"/>
      <c r="AD1506" s="91"/>
      <c r="AE1506" s="91"/>
      <c r="AF1506" s="91"/>
      <c r="AG1506" s="91"/>
      <c r="AH1506" s="91"/>
    </row>
    <row r="1507" spans="1:34" ht="60">
      <c r="A1507" s="120">
        <v>1499</v>
      </c>
      <c r="B1507" s="120" t="b">
        <f t="shared" ref="B1507:B1512" ca="1" si="62">AND(C1507&gt;=TODAY()-7, C1507&lt;=TODAY()-1)</f>
        <v>0</v>
      </c>
      <c r="C1507" s="121">
        <v>45957</v>
      </c>
      <c r="D1507" s="137">
        <v>0.8888194444444445</v>
      </c>
      <c r="E1507" s="94">
        <v>1053</v>
      </c>
      <c r="F1507" s="91">
        <v>1210</v>
      </c>
      <c r="G1507" s="143" t="s">
        <v>71</v>
      </c>
      <c r="H1507" s="139">
        <v>1020</v>
      </c>
      <c r="I1507" s="115"/>
      <c r="J1507" s="91" t="s">
        <v>72</v>
      </c>
      <c r="K1507" s="160">
        <v>7.3209999999999997</v>
      </c>
      <c r="L1507" s="94" t="str">
        <f>VLOOKUP(K1507,Liste!$L$2:$O$34,4,1)</f>
        <v>GSMR_02/03</v>
      </c>
      <c r="M1507" s="118" t="s">
        <v>36</v>
      </c>
      <c r="N1507" s="118" t="s">
        <v>37</v>
      </c>
      <c r="O1507" s="148" t="s">
        <v>3146</v>
      </c>
      <c r="P1507" s="127"/>
      <c r="Q1507" s="91" t="s">
        <v>39</v>
      </c>
      <c r="R1507" s="148" t="s">
        <v>2947</v>
      </c>
      <c r="S1507" s="124" t="s">
        <v>2412</v>
      </c>
      <c r="T1507" s="124" t="s">
        <v>209</v>
      </c>
      <c r="U1507" s="124" t="s">
        <v>3147</v>
      </c>
      <c r="V1507" s="124" t="s">
        <v>43</v>
      </c>
      <c r="W1507" s="94" t="s">
        <v>51</v>
      </c>
      <c r="X1507" s="124" t="s">
        <v>52</v>
      </c>
      <c r="Y1507" s="91" t="s">
        <v>3144</v>
      </c>
      <c r="Z1507" s="91"/>
      <c r="AA1507" s="124" t="s">
        <v>1295</v>
      </c>
      <c r="AB1507" s="91"/>
      <c r="AC1507" s="91"/>
      <c r="AD1507" s="91"/>
      <c r="AE1507" s="91"/>
      <c r="AF1507" s="91"/>
      <c r="AG1507" s="91"/>
      <c r="AH1507" s="91"/>
    </row>
    <row r="1508" spans="1:34" ht="60">
      <c r="A1508" s="120">
        <v>1500</v>
      </c>
      <c r="B1508" s="120" t="b">
        <f t="shared" ca="1" si="62"/>
        <v>0</v>
      </c>
      <c r="C1508" s="121">
        <v>45958</v>
      </c>
      <c r="D1508" s="137">
        <v>0.71221064814814816</v>
      </c>
      <c r="E1508" s="94">
        <v>2045</v>
      </c>
      <c r="F1508" s="91">
        <v>1209</v>
      </c>
      <c r="G1508" s="143" t="s">
        <v>34</v>
      </c>
      <c r="H1508" s="139">
        <v>7208</v>
      </c>
      <c r="I1508" s="115"/>
      <c r="J1508" s="91" t="s">
        <v>35</v>
      </c>
      <c r="K1508" s="160">
        <v>6.13</v>
      </c>
      <c r="L1508" s="94" t="str">
        <f>VLOOKUP(K1508,Liste!$L$2:$O$34,4,1)</f>
        <v>GSMR_02/03</v>
      </c>
      <c r="M1508" s="118" t="s">
        <v>36</v>
      </c>
      <c r="N1508" s="118" t="s">
        <v>37</v>
      </c>
      <c r="O1508" s="148" t="s">
        <v>3148</v>
      </c>
      <c r="P1508" s="127"/>
      <c r="Q1508" s="91" t="s">
        <v>39</v>
      </c>
      <c r="R1508" s="148" t="s">
        <v>2947</v>
      </c>
      <c r="S1508" s="124" t="s">
        <v>1582</v>
      </c>
      <c r="T1508" s="124" t="s">
        <v>116</v>
      </c>
      <c r="U1508" s="124" t="s">
        <v>3039</v>
      </c>
      <c r="V1508" s="124" t="s">
        <v>43</v>
      </c>
      <c r="W1508" s="94" t="s">
        <v>51</v>
      </c>
      <c r="X1508" s="124" t="s">
        <v>52</v>
      </c>
      <c r="Y1508" s="91" t="s">
        <v>946</v>
      </c>
      <c r="Z1508" s="91"/>
      <c r="AA1508" s="124" t="s">
        <v>959</v>
      </c>
      <c r="AB1508" s="91"/>
      <c r="AC1508" s="91"/>
      <c r="AD1508" s="91"/>
      <c r="AE1508" s="91"/>
      <c r="AF1508" s="91"/>
      <c r="AG1508" s="91"/>
      <c r="AH1508" s="91"/>
    </row>
    <row r="1509" spans="1:34" ht="30">
      <c r="A1509" s="120">
        <v>1501</v>
      </c>
      <c r="B1509" s="120" t="b">
        <f t="shared" ca="1" si="62"/>
        <v>0</v>
      </c>
      <c r="C1509" s="121">
        <v>45959</v>
      </c>
      <c r="D1509" s="137">
        <v>0.88190972222222219</v>
      </c>
      <c r="E1509" s="94">
        <v>2061</v>
      </c>
      <c r="F1509" s="91">
        <v>1210</v>
      </c>
      <c r="G1509" s="143" t="s">
        <v>34</v>
      </c>
      <c r="H1509" s="139">
        <v>1051</v>
      </c>
      <c r="I1509" s="115"/>
      <c r="J1509" s="91" t="s">
        <v>35</v>
      </c>
      <c r="K1509" s="94">
        <v>18.95</v>
      </c>
      <c r="L1509" s="94" t="str">
        <f>VLOOKUP(K1509,Liste!$L$2:$O$34,4,1)</f>
        <v>GSMR_04/05</v>
      </c>
      <c r="M1509" s="118" t="s">
        <v>36</v>
      </c>
      <c r="N1509" s="118" t="s">
        <v>37</v>
      </c>
      <c r="O1509" s="148" t="s">
        <v>3149</v>
      </c>
      <c r="P1509" s="127"/>
      <c r="Q1509" s="118" t="s">
        <v>47</v>
      </c>
      <c r="R1509" s="148" t="s">
        <v>3150</v>
      </c>
      <c r="S1509" s="1" t="s">
        <v>3151</v>
      </c>
      <c r="T1509" s="124" t="s">
        <v>56</v>
      </c>
      <c r="U1509" s="124" t="s">
        <v>2817</v>
      </c>
      <c r="V1509" s="124" t="s">
        <v>51</v>
      </c>
      <c r="W1509" s="94" t="s">
        <v>51</v>
      </c>
      <c r="X1509" s="124" t="s">
        <v>52</v>
      </c>
      <c r="Y1509" s="91" t="s">
        <v>946</v>
      </c>
      <c r="Z1509" s="91"/>
      <c r="AA1509" s="124" t="s">
        <v>1295</v>
      </c>
      <c r="AB1509" s="91"/>
      <c r="AC1509" s="91"/>
      <c r="AD1509" s="91"/>
      <c r="AE1509" s="91"/>
      <c r="AF1509" s="91"/>
      <c r="AG1509" s="91"/>
      <c r="AH1509" s="91"/>
    </row>
    <row r="1510" spans="1:34" ht="60">
      <c r="A1510" s="120">
        <v>1502</v>
      </c>
      <c r="B1510" s="120" t="b">
        <f t="shared" ca="1" si="62"/>
        <v>0</v>
      </c>
      <c r="C1510" s="121">
        <v>45959</v>
      </c>
      <c r="D1510" s="137">
        <v>0.88546296296296301</v>
      </c>
      <c r="E1510" s="94">
        <v>2061</v>
      </c>
      <c r="F1510" s="91">
        <v>1210</v>
      </c>
      <c r="G1510" s="143" t="s">
        <v>34</v>
      </c>
      <c r="H1510" s="139">
        <v>1050</v>
      </c>
      <c r="I1510" s="115"/>
      <c r="J1510" s="91" t="s">
        <v>35</v>
      </c>
      <c r="K1510" s="94">
        <v>36.558</v>
      </c>
      <c r="L1510" s="94" t="str">
        <f>VLOOKUP(K1510,Liste!$L$2:$O$34,4,1)</f>
        <v>GSMR_07/08</v>
      </c>
      <c r="M1510" s="118" t="s">
        <v>36</v>
      </c>
      <c r="N1510" s="118" t="s">
        <v>37</v>
      </c>
      <c r="O1510" s="148" t="s">
        <v>3152</v>
      </c>
      <c r="P1510" s="127"/>
      <c r="Q1510" s="118" t="s">
        <v>47</v>
      </c>
      <c r="R1510" s="148" t="s">
        <v>3150</v>
      </c>
      <c r="S1510" s="124" t="s">
        <v>3153</v>
      </c>
      <c r="T1510" s="124" t="s">
        <v>56</v>
      </c>
      <c r="U1510" s="124" t="s">
        <v>2774</v>
      </c>
      <c r="V1510" s="124" t="s">
        <v>43</v>
      </c>
      <c r="W1510" s="94" t="s">
        <v>51</v>
      </c>
      <c r="X1510" s="124" t="s">
        <v>52</v>
      </c>
      <c r="Y1510" s="91" t="s">
        <v>946</v>
      </c>
      <c r="Z1510" s="91"/>
      <c r="AA1510" s="124" t="s">
        <v>1295</v>
      </c>
      <c r="AB1510" s="91"/>
      <c r="AC1510" s="91"/>
      <c r="AD1510" s="91"/>
      <c r="AE1510" s="91"/>
      <c r="AF1510" s="91"/>
      <c r="AG1510" s="91"/>
      <c r="AH1510" s="91"/>
    </row>
    <row r="1511" spans="1:34" ht="60">
      <c r="A1511" s="120">
        <v>1503</v>
      </c>
      <c r="B1511" s="120" t="b">
        <f t="shared" ca="1" si="62"/>
        <v>0</v>
      </c>
      <c r="C1511" s="121">
        <v>45961</v>
      </c>
      <c r="D1511" s="137">
        <v>0.25438657407407406</v>
      </c>
      <c r="E1511" s="94">
        <v>2001</v>
      </c>
      <c r="F1511" s="91">
        <v>1211</v>
      </c>
      <c r="G1511" s="143" t="s">
        <v>34</v>
      </c>
      <c r="H1511" s="139">
        <v>7195</v>
      </c>
      <c r="I1511" s="115"/>
      <c r="J1511" s="91" t="s">
        <v>35</v>
      </c>
      <c r="K1511" s="160">
        <v>6.13</v>
      </c>
      <c r="L1511" s="94" t="str">
        <f>VLOOKUP(K1511,Liste!$L$2:$O$34,4,1)</f>
        <v>GSMR_02/03</v>
      </c>
      <c r="M1511" s="118" t="s">
        <v>36</v>
      </c>
      <c r="N1511" s="118" t="s">
        <v>58</v>
      </c>
      <c r="O1511" s="148" t="s">
        <v>3154</v>
      </c>
      <c r="P1511" s="127"/>
      <c r="Q1511" s="118" t="s">
        <v>39</v>
      </c>
      <c r="R1511" s="124" t="s">
        <v>2947</v>
      </c>
      <c r="S1511" s="1" t="s">
        <v>3155</v>
      </c>
      <c r="T1511" s="124" t="s">
        <v>56</v>
      </c>
      <c r="U1511" s="124" t="s">
        <v>2856</v>
      </c>
      <c r="V1511" s="124" t="s">
        <v>43</v>
      </c>
      <c r="W1511" s="94" t="s">
        <v>51</v>
      </c>
      <c r="X1511" s="124" t="s">
        <v>52</v>
      </c>
      <c r="Y1511" s="91" t="s">
        <v>946</v>
      </c>
      <c r="Z1511" s="91"/>
      <c r="AA1511" s="124" t="s">
        <v>1118</v>
      </c>
      <c r="AB1511" s="91"/>
      <c r="AC1511" s="91"/>
      <c r="AD1511" s="91"/>
      <c r="AE1511" s="91"/>
      <c r="AF1511" s="91"/>
      <c r="AG1511" s="91"/>
      <c r="AH1511" s="91"/>
    </row>
    <row r="1512" spans="1:34" ht="60">
      <c r="A1512" s="120">
        <v>1504</v>
      </c>
      <c r="B1512" s="120" t="b">
        <f t="shared" ca="1" si="62"/>
        <v>0</v>
      </c>
      <c r="C1512" s="121">
        <v>45961</v>
      </c>
      <c r="D1512" s="137">
        <v>0.42039351851851853</v>
      </c>
      <c r="E1512" s="94">
        <v>2017</v>
      </c>
      <c r="F1512" s="91">
        <v>1204</v>
      </c>
      <c r="G1512" s="143" t="s">
        <v>34</v>
      </c>
      <c r="H1512" s="139">
        <v>1053</v>
      </c>
      <c r="I1512" s="115"/>
      <c r="J1512" s="91" t="s">
        <v>35</v>
      </c>
      <c r="K1512" s="160">
        <v>6.13</v>
      </c>
      <c r="L1512" s="94" t="str">
        <f>VLOOKUP(K1512,Liste!$L$2:$O$34,4,1)</f>
        <v>GSMR_02/03</v>
      </c>
      <c r="M1512" s="118" t="s">
        <v>36</v>
      </c>
      <c r="N1512" s="118" t="s">
        <v>37</v>
      </c>
      <c r="O1512" s="148" t="s">
        <v>3156</v>
      </c>
      <c r="P1512" s="127"/>
      <c r="Q1512" s="91" t="s">
        <v>39</v>
      </c>
      <c r="R1512" s="148" t="s">
        <v>2947</v>
      </c>
      <c r="S1512" s="211" t="s">
        <v>1459</v>
      </c>
      <c r="T1512" s="124" t="s">
        <v>69</v>
      </c>
      <c r="U1512" s="124" t="s">
        <v>2774</v>
      </c>
      <c r="V1512" s="94" t="s">
        <v>51</v>
      </c>
      <c r="W1512" s="94" t="s">
        <v>51</v>
      </c>
      <c r="X1512" s="124" t="s">
        <v>52</v>
      </c>
      <c r="Y1512" s="91" t="s">
        <v>946</v>
      </c>
      <c r="Z1512" s="91"/>
      <c r="AA1512" s="124" t="s">
        <v>802</v>
      </c>
      <c r="AB1512" s="91"/>
      <c r="AC1512" s="91"/>
      <c r="AD1512" s="91"/>
      <c r="AE1512" s="91"/>
      <c r="AF1512" s="91"/>
      <c r="AG1512" s="91"/>
      <c r="AH1512" s="91"/>
    </row>
    <row r="1513" spans="1:34" ht="60">
      <c r="A1513" s="120">
        <v>1505</v>
      </c>
      <c r="B1513" s="120" t="b">
        <f t="shared" ref="B1513:B1514" ca="1" si="63">AND(C1513&gt;=TODAY()-7, C1513&lt;=TODAY()-1)</f>
        <v>0</v>
      </c>
      <c r="C1513" s="121">
        <v>45966</v>
      </c>
      <c r="D1513" s="137">
        <v>0.64817129629629633</v>
      </c>
      <c r="E1513" s="94">
        <v>1033</v>
      </c>
      <c r="F1513" s="91">
        <v>1206</v>
      </c>
      <c r="G1513" s="143" t="s">
        <v>71</v>
      </c>
      <c r="H1513" s="139">
        <v>1040</v>
      </c>
      <c r="I1513" s="115"/>
      <c r="J1513" s="91" t="s">
        <v>72</v>
      </c>
      <c r="K1513" s="94">
        <v>198.98400000000001</v>
      </c>
      <c r="L1513" s="94" t="str">
        <f>VLOOKUP(K1513,Liste!$L$2:$O$34,4,1)</f>
        <v>GSMR_33/RAC</v>
      </c>
      <c r="M1513" s="118" t="s">
        <v>36</v>
      </c>
      <c r="N1513" s="118" t="s">
        <v>58</v>
      </c>
      <c r="O1513" s="117" t="s">
        <v>3157</v>
      </c>
      <c r="P1513" s="127"/>
      <c r="Q1513" s="118" t="s">
        <v>54</v>
      </c>
      <c r="R1513" s="184" t="s">
        <v>2662</v>
      </c>
      <c r="S1513" s="199" t="s">
        <v>3158</v>
      </c>
      <c r="T1513" s="212" t="s">
        <v>116</v>
      </c>
      <c r="U1513" s="124" t="s">
        <v>2813</v>
      </c>
      <c r="V1513" s="94" t="s">
        <v>51</v>
      </c>
      <c r="W1513" s="94" t="s">
        <v>43</v>
      </c>
      <c r="X1513" s="124" t="s">
        <v>52</v>
      </c>
      <c r="Y1513" s="91" t="s">
        <v>1045</v>
      </c>
      <c r="Z1513" s="91"/>
      <c r="AA1513" s="124" t="s">
        <v>1295</v>
      </c>
      <c r="AB1513" s="91"/>
      <c r="AC1513" s="91"/>
      <c r="AD1513" s="91"/>
      <c r="AE1513" s="91"/>
      <c r="AF1513" s="91"/>
      <c r="AG1513" s="91"/>
      <c r="AH1513" s="91"/>
    </row>
    <row r="1514" spans="1:34" ht="60">
      <c r="A1514" s="120">
        <v>1506</v>
      </c>
      <c r="B1514" s="120" t="b">
        <f t="shared" ca="1" si="63"/>
        <v>0</v>
      </c>
      <c r="C1514" s="121">
        <v>45966</v>
      </c>
      <c r="D1514" s="137">
        <v>0.72223379629629625</v>
      </c>
      <c r="E1514" s="94">
        <v>1037</v>
      </c>
      <c r="F1514" s="91">
        <v>1209</v>
      </c>
      <c r="G1514" s="143" t="s">
        <v>71</v>
      </c>
      <c r="H1514" s="139">
        <v>1033</v>
      </c>
      <c r="I1514" s="115"/>
      <c r="J1514" s="91" t="s">
        <v>72</v>
      </c>
      <c r="K1514" s="160">
        <v>7.3209999999999997</v>
      </c>
      <c r="L1514" s="94" t="str">
        <f>VLOOKUP(K1514,Liste!$L$2:$O$34,4,1)</f>
        <v>GSMR_02/03</v>
      </c>
      <c r="M1514" s="118" t="s">
        <v>36</v>
      </c>
      <c r="N1514" s="118" t="s">
        <v>58</v>
      </c>
      <c r="O1514" s="148" t="s">
        <v>3159</v>
      </c>
      <c r="P1514" s="127"/>
      <c r="Q1514" s="91" t="s">
        <v>39</v>
      </c>
      <c r="R1514" s="213" t="s">
        <v>2947</v>
      </c>
      <c r="S1514" s="199" t="s">
        <v>2412</v>
      </c>
      <c r="T1514" s="212" t="s">
        <v>56</v>
      </c>
      <c r="U1514" s="124" t="s">
        <v>3147</v>
      </c>
      <c r="V1514" s="124" t="s">
        <v>43</v>
      </c>
      <c r="W1514" s="94" t="s">
        <v>51</v>
      </c>
      <c r="X1514" s="124" t="s">
        <v>52</v>
      </c>
      <c r="Y1514" s="91" t="s">
        <v>1045</v>
      </c>
      <c r="Z1514" s="91"/>
      <c r="AA1514" s="124" t="s">
        <v>1295</v>
      </c>
      <c r="AB1514" s="91"/>
      <c r="AC1514" s="91"/>
      <c r="AD1514" s="91"/>
      <c r="AE1514" s="91"/>
      <c r="AF1514" s="91"/>
      <c r="AG1514" s="91"/>
      <c r="AH1514" s="91"/>
    </row>
    <row r="1515" spans="1:34" ht="60">
      <c r="A1515" s="120">
        <v>1507</v>
      </c>
      <c r="B1515" s="120" t="b">
        <f t="shared" ref="B1515" ca="1" si="64">AND(C1515&gt;=TODAY()-7, C1515&lt;=TODAY()-1)</f>
        <v>0</v>
      </c>
      <c r="C1515" s="121">
        <v>45967</v>
      </c>
      <c r="D1515" s="137">
        <v>0.62859953703703708</v>
      </c>
      <c r="E1515" s="94">
        <v>2037</v>
      </c>
      <c r="F1515" s="91">
        <v>1209</v>
      </c>
      <c r="G1515" s="143" t="s">
        <v>34</v>
      </c>
      <c r="H1515" s="139">
        <v>7208</v>
      </c>
      <c r="I1515" s="115"/>
      <c r="J1515" s="91" t="s">
        <v>35</v>
      </c>
      <c r="K1515" s="160">
        <v>6.13</v>
      </c>
      <c r="L1515" s="94" t="str">
        <f>VLOOKUP(K1515,Liste!$L$2:$O$34,4,1)</f>
        <v>GSMR_02/03</v>
      </c>
      <c r="M1515" s="118" t="s">
        <v>36</v>
      </c>
      <c r="N1515" s="118" t="s">
        <v>37</v>
      </c>
      <c r="O1515" s="148" t="s">
        <v>3160</v>
      </c>
      <c r="P1515" s="127"/>
      <c r="Q1515" s="91" t="s">
        <v>39</v>
      </c>
      <c r="R1515" s="213" t="s">
        <v>2947</v>
      </c>
      <c r="S1515" s="199" t="s">
        <v>3161</v>
      </c>
      <c r="T1515" s="212" t="s">
        <v>56</v>
      </c>
      <c r="U1515" s="124" t="s">
        <v>3039</v>
      </c>
      <c r="V1515" s="124" t="s">
        <v>43</v>
      </c>
      <c r="W1515" s="94" t="s">
        <v>51</v>
      </c>
      <c r="X1515" s="124" t="s">
        <v>52</v>
      </c>
      <c r="Y1515" s="91" t="s">
        <v>1045</v>
      </c>
      <c r="Z1515" s="91"/>
      <c r="AA1515" s="124" t="s">
        <v>959</v>
      </c>
      <c r="AB1515" s="91"/>
      <c r="AC1515" s="91"/>
      <c r="AD1515" s="91"/>
      <c r="AE1515" s="91"/>
      <c r="AF1515" s="91"/>
      <c r="AG1515" s="91"/>
      <c r="AH1515" s="91"/>
    </row>
    <row r="1516" spans="1:34" ht="60">
      <c r="A1516" s="120">
        <v>1508</v>
      </c>
      <c r="B1516" s="120" t="b">
        <f t="shared" ref="B1516:B1518" ca="1" si="65">AND(C1516&gt;=TODAY()-7, C1516&lt;=TODAY()-1)</f>
        <v>0</v>
      </c>
      <c r="C1516" s="121">
        <v>45968</v>
      </c>
      <c r="D1516" s="137">
        <v>0.67427083333333337</v>
      </c>
      <c r="E1516" s="94">
        <v>2041</v>
      </c>
      <c r="F1516" s="91">
        <v>1206</v>
      </c>
      <c r="G1516" s="143" t="s">
        <v>34</v>
      </c>
      <c r="H1516" s="139">
        <v>1054</v>
      </c>
      <c r="I1516" s="115"/>
      <c r="J1516" s="91" t="s">
        <v>35</v>
      </c>
      <c r="K1516" s="94">
        <v>21.55</v>
      </c>
      <c r="L1516" s="94" t="str">
        <f>VLOOKUP(K1516,Liste!$L$2:$O$34,4,1)</f>
        <v>GSMR_04/05</v>
      </c>
      <c r="M1516" s="118" t="s">
        <v>36</v>
      </c>
      <c r="N1516" s="118" t="s">
        <v>37</v>
      </c>
      <c r="O1516" s="148" t="s">
        <v>3162</v>
      </c>
      <c r="P1516" s="127"/>
      <c r="Q1516" s="91" t="s">
        <v>54</v>
      </c>
      <c r="R1516" s="184" t="s">
        <v>3163</v>
      </c>
      <c r="S1516" s="199" t="s">
        <v>3164</v>
      </c>
      <c r="T1516" s="212" t="s">
        <v>69</v>
      </c>
      <c r="U1516" s="124" t="s">
        <v>2743</v>
      </c>
      <c r="V1516" s="124" t="s">
        <v>43</v>
      </c>
      <c r="W1516" s="94" t="s">
        <v>51</v>
      </c>
      <c r="X1516" s="124" t="s">
        <v>52</v>
      </c>
      <c r="Y1516" s="91" t="s">
        <v>946</v>
      </c>
      <c r="Z1516" s="91"/>
      <c r="AA1516" s="124" t="s">
        <v>959</v>
      </c>
      <c r="AB1516" s="91"/>
      <c r="AC1516" s="91"/>
      <c r="AD1516" s="91"/>
      <c r="AE1516" s="91"/>
      <c r="AF1516" s="91"/>
      <c r="AG1516" s="91"/>
      <c r="AH1516" s="91"/>
    </row>
    <row r="1517" spans="1:34" ht="60">
      <c r="A1517" s="120">
        <v>1509</v>
      </c>
      <c r="B1517" s="120" t="b">
        <f t="shared" ca="1" si="65"/>
        <v>0</v>
      </c>
      <c r="C1517" s="121">
        <v>45968</v>
      </c>
      <c r="D1517" s="137">
        <v>0.67576388888888894</v>
      </c>
      <c r="E1517" s="94">
        <v>1033</v>
      </c>
      <c r="F1517" s="91">
        <v>1204</v>
      </c>
      <c r="G1517" s="143" t="s">
        <v>71</v>
      </c>
      <c r="H1517" s="139">
        <v>1034</v>
      </c>
      <c r="I1517" s="115"/>
      <c r="J1517" s="91" t="s">
        <v>72</v>
      </c>
      <c r="K1517" s="160">
        <v>7.3209999999999997</v>
      </c>
      <c r="L1517" s="94" t="str">
        <f>VLOOKUP(K1517,Liste!$L$2:$O$34,4,1)</f>
        <v>GSMR_02/03</v>
      </c>
      <c r="M1517" s="118" t="s">
        <v>36</v>
      </c>
      <c r="N1517" s="118" t="s">
        <v>37</v>
      </c>
      <c r="O1517" s="148" t="s">
        <v>3165</v>
      </c>
      <c r="P1517" s="127"/>
      <c r="Q1517" s="91" t="s">
        <v>39</v>
      </c>
      <c r="R1517" s="213" t="s">
        <v>2947</v>
      </c>
      <c r="S1517" s="204" t="s">
        <v>1682</v>
      </c>
      <c r="T1517" s="212" t="s">
        <v>69</v>
      </c>
      <c r="U1517" s="124" t="s">
        <v>2757</v>
      </c>
      <c r="V1517" s="124" t="s">
        <v>51</v>
      </c>
      <c r="W1517" s="94" t="s">
        <v>51</v>
      </c>
      <c r="X1517" s="124" t="s">
        <v>52</v>
      </c>
      <c r="Y1517" s="91" t="s">
        <v>1045</v>
      </c>
      <c r="Z1517" s="91"/>
      <c r="AA1517" s="124" t="s">
        <v>959</v>
      </c>
      <c r="AB1517" s="91"/>
      <c r="AC1517" s="91"/>
      <c r="AD1517" s="91"/>
      <c r="AE1517" s="91"/>
      <c r="AF1517" s="91"/>
      <c r="AG1517" s="91"/>
      <c r="AH1517" s="91"/>
    </row>
    <row r="1518" spans="1:34" ht="60">
      <c r="A1518" s="120">
        <v>1510</v>
      </c>
      <c r="B1518" s="120" t="b">
        <f t="shared" ca="1" si="65"/>
        <v>0</v>
      </c>
      <c r="C1518" s="121">
        <v>45968</v>
      </c>
      <c r="D1518" s="137">
        <v>0.67712962962962964</v>
      </c>
      <c r="E1518" s="94">
        <v>2041</v>
      </c>
      <c r="F1518" s="91">
        <v>1206</v>
      </c>
      <c r="G1518" s="143" t="s">
        <v>34</v>
      </c>
      <c r="H1518" s="139">
        <v>1055</v>
      </c>
      <c r="I1518" s="115"/>
      <c r="J1518" s="91" t="s">
        <v>35</v>
      </c>
      <c r="K1518" s="94">
        <v>35.259</v>
      </c>
      <c r="L1518" s="94" t="str">
        <f>VLOOKUP(K1518,Liste!$L$2:$O$34,4,1)</f>
        <v>GSMR_06/07</v>
      </c>
      <c r="M1518" s="118" t="s">
        <v>36</v>
      </c>
      <c r="N1518" s="118" t="s">
        <v>37</v>
      </c>
      <c r="O1518" s="148" t="s">
        <v>3166</v>
      </c>
      <c r="P1518" s="127"/>
      <c r="Q1518" s="91" t="s">
        <v>47</v>
      </c>
      <c r="R1518" s="184" t="s">
        <v>2613</v>
      </c>
      <c r="S1518" s="210" t="s">
        <v>3153</v>
      </c>
      <c r="T1518" s="212" t="s">
        <v>56</v>
      </c>
      <c r="U1518" s="124" t="s">
        <v>2152</v>
      </c>
      <c r="V1518" s="124" t="s">
        <v>51</v>
      </c>
      <c r="W1518" s="94" t="s">
        <v>51</v>
      </c>
      <c r="X1518" s="124" t="s">
        <v>52</v>
      </c>
      <c r="Y1518" s="91" t="s">
        <v>946</v>
      </c>
      <c r="Z1518" s="91"/>
      <c r="AA1518" s="124" t="s">
        <v>959</v>
      </c>
      <c r="AB1518" s="91"/>
      <c r="AC1518" s="91"/>
      <c r="AD1518" s="91"/>
      <c r="AE1518" s="91"/>
      <c r="AF1518" s="91"/>
      <c r="AG1518" s="91"/>
      <c r="AH1518" s="91"/>
    </row>
    <row r="1519" spans="1:34" ht="60">
      <c r="A1519" s="120">
        <v>1511</v>
      </c>
      <c r="B1519" s="120" t="b">
        <f t="shared" ref="B1519:B1520" ca="1" si="66">AND(C1519&gt;=TODAY()-7, C1519&lt;=TODAY()-1)</f>
        <v>0</v>
      </c>
      <c r="C1519" s="121">
        <v>45970</v>
      </c>
      <c r="D1519" s="137">
        <v>0.32250000000000001</v>
      </c>
      <c r="E1519" s="94">
        <v>2005</v>
      </c>
      <c r="F1519" s="91">
        <v>1208</v>
      </c>
      <c r="G1519" s="143" t="s">
        <v>34</v>
      </c>
      <c r="H1519" s="139">
        <v>1036</v>
      </c>
      <c r="I1519" s="115"/>
      <c r="J1519" s="91" t="s">
        <v>35</v>
      </c>
      <c r="K1519" s="94">
        <v>186.315</v>
      </c>
      <c r="L1519" s="94" t="str">
        <f>VLOOKUP(K1519,Liste!$L$2:$O$34,4,1)</f>
        <v>GSMR_32/33</v>
      </c>
      <c r="M1519" s="118" t="s">
        <v>36</v>
      </c>
      <c r="N1519" s="118" t="s">
        <v>37</v>
      </c>
      <c r="O1519" s="148" t="s">
        <v>3167</v>
      </c>
      <c r="P1519" s="127"/>
      <c r="Q1519" s="91" t="s">
        <v>54</v>
      </c>
      <c r="R1519" s="184" t="s">
        <v>3163</v>
      </c>
      <c r="S1519" s="209" t="s">
        <v>3168</v>
      </c>
      <c r="T1519" s="212" t="s">
        <v>69</v>
      </c>
      <c r="U1519" s="124" t="s">
        <v>2797</v>
      </c>
      <c r="V1519" s="124" t="s">
        <v>43</v>
      </c>
      <c r="W1519" s="94" t="s">
        <v>51</v>
      </c>
      <c r="X1519" s="124" t="s">
        <v>52</v>
      </c>
      <c r="Y1519" s="91" t="s">
        <v>946</v>
      </c>
      <c r="Z1519" s="91"/>
      <c r="AA1519" s="124" t="s">
        <v>754</v>
      </c>
      <c r="AB1519" s="91"/>
      <c r="AC1519" s="91"/>
      <c r="AD1519" s="91"/>
      <c r="AE1519" s="91"/>
      <c r="AF1519" s="91"/>
      <c r="AG1519" s="91"/>
      <c r="AH1519" s="91"/>
    </row>
    <row r="1520" spans="1:34" ht="60">
      <c r="A1520" s="120">
        <v>1512</v>
      </c>
      <c r="B1520" s="120" t="b">
        <f t="shared" ca="1" si="66"/>
        <v>0</v>
      </c>
      <c r="C1520" s="121">
        <v>45970</v>
      </c>
      <c r="D1520" s="137">
        <v>0.50386574074074075</v>
      </c>
      <c r="E1520" s="94">
        <v>2025</v>
      </c>
      <c r="F1520" s="91">
        <v>1204</v>
      </c>
      <c r="G1520" s="143" t="s">
        <v>34</v>
      </c>
      <c r="H1520" s="139">
        <v>1053</v>
      </c>
      <c r="I1520" s="115"/>
      <c r="J1520" s="91" t="s">
        <v>35</v>
      </c>
      <c r="K1520" s="160">
        <v>6.13</v>
      </c>
      <c r="L1520" s="94" t="str">
        <f>VLOOKUP(K1520,Liste!$L$2:$O$34,4,1)</f>
        <v>GSMR_02/03</v>
      </c>
      <c r="M1520" s="118" t="s">
        <v>36</v>
      </c>
      <c r="N1520" s="118" t="s">
        <v>37</v>
      </c>
      <c r="O1520" s="148" t="s">
        <v>3169</v>
      </c>
      <c r="P1520" s="127"/>
      <c r="Q1520" s="91" t="s">
        <v>39</v>
      </c>
      <c r="R1520" s="213" t="s">
        <v>2947</v>
      </c>
      <c r="S1520" s="210" t="s">
        <v>1459</v>
      </c>
      <c r="T1520" s="212" t="s">
        <v>56</v>
      </c>
      <c r="U1520" s="124" t="s">
        <v>2743</v>
      </c>
      <c r="V1520" s="124" t="s">
        <v>51</v>
      </c>
      <c r="W1520" s="94" t="s">
        <v>51</v>
      </c>
      <c r="X1520" s="124" t="s">
        <v>52</v>
      </c>
      <c r="Y1520" s="91" t="s">
        <v>946</v>
      </c>
      <c r="Z1520" s="91"/>
      <c r="AA1520" s="124" t="s">
        <v>754</v>
      </c>
      <c r="AB1520" s="91"/>
      <c r="AC1520" s="91"/>
      <c r="AD1520" s="91"/>
      <c r="AE1520" s="91"/>
      <c r="AF1520" s="91"/>
      <c r="AG1520" s="91"/>
      <c r="AH1520" s="91"/>
    </row>
    <row r="1521" spans="1:34" ht="60">
      <c r="A1521" s="120">
        <v>1513</v>
      </c>
      <c r="B1521" s="120" t="b">
        <f t="shared" ref="B1521" ca="1" si="67">AND(C1521&gt;=TODAY()-7, C1521&lt;=TODAY()-1)</f>
        <v>0</v>
      </c>
      <c r="C1521" s="121">
        <v>45972</v>
      </c>
      <c r="D1521" s="137">
        <v>0.50392361111111106</v>
      </c>
      <c r="E1521" s="94">
        <v>2025</v>
      </c>
      <c r="F1521" s="91">
        <v>1205</v>
      </c>
      <c r="G1521" s="143" t="s">
        <v>34</v>
      </c>
      <c r="H1521" s="139">
        <v>7218</v>
      </c>
      <c r="I1521" s="115"/>
      <c r="J1521" s="91" t="s">
        <v>35</v>
      </c>
      <c r="K1521" s="160">
        <v>6.13</v>
      </c>
      <c r="L1521" s="94" t="str">
        <f>VLOOKUP(K1521,Liste!$L$2:$O$34,4,1)</f>
        <v>GSMR_02/03</v>
      </c>
      <c r="M1521" s="118" t="s">
        <v>36</v>
      </c>
      <c r="N1521" s="118" t="s">
        <v>58</v>
      </c>
      <c r="O1521" s="148" t="s">
        <v>3170</v>
      </c>
      <c r="P1521" s="127"/>
      <c r="Q1521" s="91" t="s">
        <v>39</v>
      </c>
      <c r="R1521" s="213" t="s">
        <v>2947</v>
      </c>
      <c r="S1521" s="210" t="s">
        <v>2473</v>
      </c>
      <c r="T1521" s="212" t="s">
        <v>116</v>
      </c>
      <c r="U1521" s="124" t="s">
        <v>2746</v>
      </c>
      <c r="V1521" s="124" t="s">
        <v>51</v>
      </c>
      <c r="W1521" s="94" t="s">
        <v>51</v>
      </c>
      <c r="X1521" s="124" t="s">
        <v>52</v>
      </c>
      <c r="Y1521" s="91" t="s">
        <v>946</v>
      </c>
      <c r="Z1521" s="91"/>
      <c r="AA1521" s="124" t="s">
        <v>802</v>
      </c>
      <c r="AB1521" s="91"/>
      <c r="AC1521" s="91"/>
      <c r="AD1521" s="91"/>
      <c r="AE1521" s="91"/>
      <c r="AF1521" s="91"/>
      <c r="AG1521" s="91"/>
      <c r="AH1521" s="91"/>
    </row>
    <row r="1522" spans="1:34" ht="60">
      <c r="A1522" s="120">
        <v>1514</v>
      </c>
      <c r="B1522" s="120" t="b">
        <f t="shared" ref="B1522:B1523" ca="1" si="68">AND(C1522&gt;=TODAY()-7, C1522&lt;=TODAY()-1)</f>
        <v>0</v>
      </c>
      <c r="C1522" s="121">
        <v>45972</v>
      </c>
      <c r="D1522" s="137">
        <v>0.73039351851851853</v>
      </c>
      <c r="E1522" s="94">
        <v>2045</v>
      </c>
      <c r="F1522" s="91">
        <v>1203</v>
      </c>
      <c r="G1522" s="143" t="s">
        <v>34</v>
      </c>
      <c r="H1522" s="139">
        <v>1025</v>
      </c>
      <c r="I1522" s="115"/>
      <c r="J1522" s="91" t="s">
        <v>35</v>
      </c>
      <c r="K1522" s="94">
        <v>126.51</v>
      </c>
      <c r="L1522" s="94" t="str">
        <f>VLOOKUP(K1522,Liste!$L$2:$O$34,4,1)</f>
        <v>GSMR_22/23</v>
      </c>
      <c r="M1522" s="118" t="s">
        <v>36</v>
      </c>
      <c r="N1522" s="118" t="s">
        <v>58</v>
      </c>
      <c r="O1522" s="148" t="s">
        <v>3171</v>
      </c>
      <c r="P1522" s="127"/>
      <c r="Q1522" s="91" t="s">
        <v>54</v>
      </c>
      <c r="R1522" s="184" t="s">
        <v>3163</v>
      </c>
      <c r="S1522" s="210" t="s">
        <v>3172</v>
      </c>
      <c r="T1522" s="212" t="s">
        <v>101</v>
      </c>
      <c r="U1522" s="124" t="s">
        <v>2740</v>
      </c>
      <c r="V1522" s="124" t="s">
        <v>51</v>
      </c>
      <c r="W1522" s="94" t="s">
        <v>51</v>
      </c>
      <c r="X1522" s="124" t="s">
        <v>52</v>
      </c>
      <c r="Y1522" s="91" t="s">
        <v>1045</v>
      </c>
      <c r="Z1522" s="91"/>
      <c r="AA1522" s="124" t="s">
        <v>959</v>
      </c>
      <c r="AB1522" s="91"/>
      <c r="AC1522" s="91"/>
      <c r="AD1522" s="91"/>
      <c r="AE1522" s="91"/>
      <c r="AF1522" s="91"/>
      <c r="AG1522" s="91"/>
      <c r="AH1522" s="91"/>
    </row>
    <row r="1523" spans="1:34" ht="60">
      <c r="A1523" s="120">
        <v>1515</v>
      </c>
      <c r="B1523" s="120" t="b">
        <f t="shared" ca="1" si="68"/>
        <v>0</v>
      </c>
      <c r="C1523" s="121">
        <v>45972</v>
      </c>
      <c r="D1523" s="137">
        <v>0.73892361111111116</v>
      </c>
      <c r="E1523" s="94">
        <v>2025</v>
      </c>
      <c r="F1523" s="91">
        <v>1203</v>
      </c>
      <c r="G1523" s="143" t="s">
        <v>34</v>
      </c>
      <c r="H1523" s="139">
        <v>1024</v>
      </c>
      <c r="I1523" s="115"/>
      <c r="J1523" s="91" t="s">
        <v>35</v>
      </c>
      <c r="K1523" s="94">
        <v>130.07400000000001</v>
      </c>
      <c r="L1523" s="94" t="str">
        <f>VLOOKUP(K1523,Liste!$L$2:$O$34,4,1)</f>
        <v>GSMR_23/24</v>
      </c>
      <c r="M1523" s="118" t="s">
        <v>36</v>
      </c>
      <c r="N1523" s="118" t="s">
        <v>58</v>
      </c>
      <c r="O1523" s="148" t="s">
        <v>3173</v>
      </c>
      <c r="P1523" s="127"/>
      <c r="Q1523" s="91" t="s">
        <v>54</v>
      </c>
      <c r="R1523" s="184" t="s">
        <v>3163</v>
      </c>
      <c r="S1523" s="210" t="s">
        <v>3174</v>
      </c>
      <c r="T1523" s="212" t="s">
        <v>56</v>
      </c>
      <c r="U1523" s="124" t="s">
        <v>2757</v>
      </c>
      <c r="V1523" s="124" t="s">
        <v>51</v>
      </c>
      <c r="W1523" s="94" t="s">
        <v>51</v>
      </c>
      <c r="X1523" s="124" t="s">
        <v>52</v>
      </c>
      <c r="Y1523" s="91" t="s">
        <v>946</v>
      </c>
      <c r="Z1523" s="91"/>
      <c r="AA1523" s="124" t="s">
        <v>959</v>
      </c>
      <c r="AB1523" s="91"/>
      <c r="AC1523" s="91"/>
      <c r="AD1523" s="91"/>
      <c r="AE1523" s="91"/>
      <c r="AF1523" s="91"/>
      <c r="AG1523" s="91"/>
      <c r="AH1523" s="91"/>
    </row>
    <row r="1524" spans="1:34" ht="69.75" customHeight="1">
      <c r="A1524" s="120">
        <v>1516</v>
      </c>
      <c r="B1524" s="120" t="b">
        <f t="shared" ref="B1524:B1534" ca="1" si="69">AND(C1524&gt;=TODAY()-7, C1524&lt;=TODAY()-1)</f>
        <v>0</v>
      </c>
      <c r="C1524" s="121">
        <v>45973</v>
      </c>
      <c r="D1524" s="137">
        <v>0.80540509259259263</v>
      </c>
      <c r="E1524" s="94">
        <v>2053</v>
      </c>
      <c r="F1524" s="91">
        <v>1204</v>
      </c>
      <c r="G1524" s="143" t="s">
        <v>34</v>
      </c>
      <c r="H1524" s="139">
        <v>1052</v>
      </c>
      <c r="I1524" s="91" t="s">
        <v>35</v>
      </c>
      <c r="J1524" s="91" t="s">
        <v>35</v>
      </c>
      <c r="K1524" s="94">
        <v>130.07400000000001</v>
      </c>
      <c r="L1524" s="94" t="str">
        <f>VLOOKUP(K1524,Liste!$L$2:$O$34,4,1)</f>
        <v>GSMR_23/24</v>
      </c>
      <c r="M1524" s="118" t="s">
        <v>36</v>
      </c>
      <c r="N1524" s="118" t="s">
        <v>37</v>
      </c>
      <c r="O1524" s="148" t="s">
        <v>3175</v>
      </c>
      <c r="P1524" s="213" t="s">
        <v>3176</v>
      </c>
      <c r="Q1524" s="91" t="s">
        <v>47</v>
      </c>
      <c r="R1524" s="184" t="s">
        <v>2613</v>
      </c>
      <c r="S1524" s="210" t="s">
        <v>3177</v>
      </c>
      <c r="T1524" s="212" t="s">
        <v>78</v>
      </c>
      <c r="U1524" s="124" t="s">
        <v>2743</v>
      </c>
      <c r="V1524" s="124" t="s">
        <v>43</v>
      </c>
      <c r="W1524" s="94" t="s">
        <v>51</v>
      </c>
      <c r="X1524" s="124" t="s">
        <v>52</v>
      </c>
      <c r="Y1524" s="91" t="s">
        <v>946</v>
      </c>
      <c r="Z1524" s="91"/>
      <c r="AA1524" s="124" t="s">
        <v>778</v>
      </c>
      <c r="AB1524" s="91"/>
      <c r="AC1524" s="91"/>
      <c r="AD1524" s="91"/>
      <c r="AE1524" s="91"/>
      <c r="AF1524" s="91"/>
    </row>
    <row r="1525" spans="1:34" ht="60">
      <c r="A1525" s="120">
        <v>1517</v>
      </c>
      <c r="B1525" s="120" t="b">
        <f t="shared" ca="1" si="69"/>
        <v>0</v>
      </c>
      <c r="C1525" s="121">
        <v>45975</v>
      </c>
      <c r="D1525" s="137">
        <v>0.95862268518518523</v>
      </c>
      <c r="E1525" s="94">
        <v>1057</v>
      </c>
      <c r="F1525" s="91">
        <v>1208</v>
      </c>
      <c r="G1525" s="143" t="s">
        <v>71</v>
      </c>
      <c r="H1525" s="139">
        <v>1045</v>
      </c>
      <c r="J1525" s="91" t="s">
        <v>72</v>
      </c>
      <c r="K1525" s="160">
        <v>7.3209999999999997</v>
      </c>
      <c r="L1525" s="94" t="str">
        <f>VLOOKUP(K1525,Liste!$L$2:$O$34,4,1)</f>
        <v>GSMR_02/03</v>
      </c>
      <c r="M1525" s="118" t="s">
        <v>36</v>
      </c>
      <c r="N1525" s="118" t="s">
        <v>58</v>
      </c>
      <c r="O1525" s="148" t="s">
        <v>3178</v>
      </c>
      <c r="Q1525" s="91" t="s">
        <v>39</v>
      </c>
      <c r="R1525" s="213" t="s">
        <v>2947</v>
      </c>
      <c r="S1525" s="210" t="s">
        <v>1344</v>
      </c>
      <c r="T1525" s="212" t="s">
        <v>56</v>
      </c>
      <c r="U1525" s="124" t="s">
        <v>2757</v>
      </c>
      <c r="V1525" s="124" t="s">
        <v>51</v>
      </c>
      <c r="W1525" s="94" t="s">
        <v>51</v>
      </c>
      <c r="X1525" s="124" t="s">
        <v>52</v>
      </c>
      <c r="Y1525" s="91" t="s">
        <v>946</v>
      </c>
      <c r="Z1525" s="91"/>
      <c r="AA1525" s="124" t="s">
        <v>757</v>
      </c>
      <c r="AB1525" s="91"/>
      <c r="AC1525" s="91"/>
      <c r="AD1525" s="91"/>
      <c r="AE1525" s="91"/>
      <c r="AF1525" s="91"/>
      <c r="AG1525" s="91"/>
      <c r="AH1525" s="91"/>
    </row>
    <row r="1526" spans="1:34" ht="60">
      <c r="A1526" s="120">
        <v>1518</v>
      </c>
      <c r="B1526" s="120" t="b">
        <f t="shared" ca="1" si="69"/>
        <v>0</v>
      </c>
      <c r="C1526" s="121">
        <v>45976</v>
      </c>
      <c r="D1526" s="137">
        <v>0.29552083333333334</v>
      </c>
      <c r="E1526" s="94">
        <v>2005</v>
      </c>
      <c r="F1526" s="91">
        <v>1204</v>
      </c>
      <c r="G1526" s="143" t="s">
        <v>34</v>
      </c>
      <c r="H1526" s="139">
        <v>1053</v>
      </c>
      <c r="J1526" s="91" t="s">
        <v>35</v>
      </c>
      <c r="K1526" s="160">
        <v>6.13</v>
      </c>
      <c r="L1526" s="94" t="str">
        <f>VLOOKUP(K1526,Liste!$L$2:$O$34,4,1)</f>
        <v>GSMR_02/03</v>
      </c>
      <c r="M1526" s="118" t="s">
        <v>36</v>
      </c>
      <c r="N1526" s="118" t="s">
        <v>37</v>
      </c>
      <c r="O1526" s="148" t="s">
        <v>3179</v>
      </c>
      <c r="Q1526" s="91" t="s">
        <v>39</v>
      </c>
      <c r="R1526" s="213" t="s">
        <v>2947</v>
      </c>
      <c r="S1526" s="210" t="s">
        <v>2130</v>
      </c>
      <c r="T1526" s="212" t="s">
        <v>209</v>
      </c>
      <c r="U1526" s="124" t="s">
        <v>2743</v>
      </c>
      <c r="V1526" s="124" t="s">
        <v>51</v>
      </c>
      <c r="W1526" s="94" t="s">
        <v>51</v>
      </c>
      <c r="X1526" s="124" t="s">
        <v>52</v>
      </c>
      <c r="Y1526" s="91" t="s">
        <v>946</v>
      </c>
      <c r="Z1526" s="91"/>
      <c r="AA1526" s="124" t="s">
        <v>754</v>
      </c>
      <c r="AB1526" s="91"/>
      <c r="AC1526" s="91"/>
      <c r="AD1526" s="91"/>
      <c r="AE1526" s="91"/>
      <c r="AF1526" s="91"/>
      <c r="AG1526" s="91"/>
      <c r="AH1526" s="91"/>
    </row>
    <row r="1527" spans="1:34" ht="60">
      <c r="A1527" s="120">
        <v>1519</v>
      </c>
      <c r="B1527" s="120" t="b">
        <f t="shared" ca="1" si="69"/>
        <v>0</v>
      </c>
      <c r="C1527" s="121">
        <v>45977</v>
      </c>
      <c r="D1527" s="137">
        <v>0.20828703703703705</v>
      </c>
      <c r="E1527" s="94">
        <v>100071</v>
      </c>
      <c r="F1527" s="91">
        <v>1208</v>
      </c>
      <c r="G1527" s="143" t="s">
        <v>34</v>
      </c>
      <c r="H1527" s="139">
        <v>1037</v>
      </c>
      <c r="J1527" s="91" t="s">
        <v>35</v>
      </c>
      <c r="K1527" s="160">
        <v>6.13</v>
      </c>
      <c r="L1527" s="94" t="str">
        <f>VLOOKUP(K1527,Liste!$L$2:$O$34,4,1)</f>
        <v>GSMR_02/03</v>
      </c>
      <c r="M1527" s="118" t="s">
        <v>36</v>
      </c>
      <c r="N1527" s="118" t="s">
        <v>37</v>
      </c>
      <c r="O1527" s="148" t="s">
        <v>3180</v>
      </c>
      <c r="Q1527" s="91" t="s">
        <v>39</v>
      </c>
      <c r="R1527" s="213" t="s">
        <v>2947</v>
      </c>
      <c r="S1527" s="210" t="s">
        <v>3181</v>
      </c>
      <c r="T1527" s="212" t="s">
        <v>56</v>
      </c>
      <c r="U1527" s="124" t="s">
        <v>2795</v>
      </c>
      <c r="V1527" s="124" t="s">
        <v>51</v>
      </c>
      <c r="W1527" s="94" t="s">
        <v>51</v>
      </c>
      <c r="X1527" s="124" t="s">
        <v>52</v>
      </c>
      <c r="Y1527" s="91" t="s">
        <v>946</v>
      </c>
      <c r="Z1527" s="91"/>
      <c r="AA1527" s="124" t="s">
        <v>959</v>
      </c>
      <c r="AB1527" s="91"/>
      <c r="AC1527" s="91"/>
      <c r="AD1527" s="91"/>
      <c r="AE1527" s="91"/>
      <c r="AF1527" s="91"/>
      <c r="AG1527" s="91"/>
      <c r="AH1527" s="91"/>
    </row>
    <row r="1528" spans="1:34" ht="60">
      <c r="A1528" s="120">
        <v>1520</v>
      </c>
      <c r="B1528" s="120" t="b">
        <f t="shared" ca="1" si="69"/>
        <v>0</v>
      </c>
      <c r="C1528" s="121">
        <v>45977</v>
      </c>
      <c r="D1528" s="137">
        <v>0.22240740740740741</v>
      </c>
      <c r="E1528" s="94">
        <v>100071</v>
      </c>
      <c r="F1528" s="91">
        <v>1208</v>
      </c>
      <c r="G1528" s="143" t="s">
        <v>34</v>
      </c>
      <c r="H1528" s="139">
        <v>1037</v>
      </c>
      <c r="J1528" s="91" t="s">
        <v>35</v>
      </c>
      <c r="K1528" s="94">
        <v>52.289000000000001</v>
      </c>
      <c r="L1528" s="94" t="str">
        <f>VLOOKUP(K1528,Liste!$L$2:$O$34,4,1)</f>
        <v>GSMR_09/10</v>
      </c>
      <c r="M1528" s="118" t="s">
        <v>36</v>
      </c>
      <c r="N1528" s="118" t="s">
        <v>37</v>
      </c>
      <c r="O1528" s="148" t="s">
        <v>3182</v>
      </c>
      <c r="Q1528" s="94" t="s">
        <v>54</v>
      </c>
      <c r="R1528" s="129" t="s">
        <v>2233</v>
      </c>
      <c r="S1528" s="210" t="s">
        <v>3183</v>
      </c>
      <c r="T1528" s="212" t="s">
        <v>69</v>
      </c>
      <c r="U1528" s="124" t="s">
        <v>2754</v>
      </c>
      <c r="V1528" s="124" t="s">
        <v>51</v>
      </c>
      <c r="W1528" s="94" t="s">
        <v>51</v>
      </c>
      <c r="X1528" s="124" t="s">
        <v>52</v>
      </c>
      <c r="Y1528" s="91" t="s">
        <v>227</v>
      </c>
      <c r="Z1528" s="91"/>
      <c r="AA1528" s="124" t="s">
        <v>959</v>
      </c>
      <c r="AB1528" s="91"/>
      <c r="AC1528" s="91"/>
      <c r="AD1528" s="91"/>
      <c r="AE1528" s="91"/>
      <c r="AF1528" s="91"/>
      <c r="AG1528" s="91"/>
      <c r="AH1528" s="91"/>
    </row>
    <row r="1529" spans="1:34" ht="60">
      <c r="A1529" s="120">
        <v>1521</v>
      </c>
      <c r="B1529" s="120" t="b">
        <f t="shared" ca="1" si="69"/>
        <v>0</v>
      </c>
      <c r="C1529" s="121">
        <v>45977</v>
      </c>
      <c r="D1529" s="137">
        <v>0.50388888888888894</v>
      </c>
      <c r="E1529" s="94">
        <v>2025</v>
      </c>
      <c r="F1529" s="91">
        <v>1201</v>
      </c>
      <c r="G1529" s="143" t="s">
        <v>34</v>
      </c>
      <c r="H1529" s="139">
        <v>1056</v>
      </c>
      <c r="J1529" s="91" t="s">
        <v>35</v>
      </c>
      <c r="K1529" s="160">
        <v>6.13</v>
      </c>
      <c r="L1529" s="94" t="str">
        <f>VLOOKUP(K1529,Liste!$L$2:$O$34,4,1)</f>
        <v>GSMR_02/03</v>
      </c>
      <c r="M1529" s="118" t="s">
        <v>36</v>
      </c>
      <c r="N1529" s="118" t="s">
        <v>58</v>
      </c>
      <c r="O1529" s="148" t="s">
        <v>3184</v>
      </c>
      <c r="Q1529" s="94" t="s">
        <v>39</v>
      </c>
      <c r="R1529" s="213" t="s">
        <v>2947</v>
      </c>
      <c r="S1529" s="210" t="s">
        <v>3185</v>
      </c>
      <c r="T1529" s="212" t="s">
        <v>93</v>
      </c>
      <c r="U1529" s="124" t="s">
        <v>2774</v>
      </c>
      <c r="V1529" s="124" t="s">
        <v>51</v>
      </c>
      <c r="W1529" s="94" t="s">
        <v>51</v>
      </c>
      <c r="X1529" s="124" t="s">
        <v>52</v>
      </c>
      <c r="Y1529" s="91" t="s">
        <v>946</v>
      </c>
      <c r="Z1529" s="91"/>
      <c r="AA1529" s="124" t="s">
        <v>3127</v>
      </c>
      <c r="AB1529" s="91"/>
      <c r="AC1529" s="91"/>
      <c r="AD1529" s="91"/>
      <c r="AE1529" s="91"/>
      <c r="AF1529" s="91"/>
      <c r="AG1529" s="91"/>
      <c r="AH1529" s="91"/>
    </row>
    <row r="1530" spans="1:34" ht="60">
      <c r="A1530" s="120">
        <v>1522</v>
      </c>
      <c r="B1530" s="120" t="b">
        <f t="shared" ca="1" si="69"/>
        <v>0</v>
      </c>
      <c r="C1530" s="121">
        <v>45977</v>
      </c>
      <c r="D1530" s="137">
        <v>0.6281944444444445</v>
      </c>
      <c r="E1530" s="94">
        <v>2037</v>
      </c>
      <c r="F1530" s="91">
        <v>1209</v>
      </c>
      <c r="G1530" s="143" t="s">
        <v>34</v>
      </c>
      <c r="H1530" s="139">
        <v>7208</v>
      </c>
      <c r="J1530" s="91" t="s">
        <v>35</v>
      </c>
      <c r="K1530" s="160">
        <v>6.13</v>
      </c>
      <c r="L1530" s="94" t="str">
        <f>VLOOKUP(K1530,Liste!$L$2:$O$34,4,1)</f>
        <v>GSMR_02/03</v>
      </c>
      <c r="M1530" s="118" t="s">
        <v>36</v>
      </c>
      <c r="N1530" s="118" t="s">
        <v>58</v>
      </c>
      <c r="O1530" s="148" t="s">
        <v>3186</v>
      </c>
      <c r="Q1530" s="91" t="s">
        <v>39</v>
      </c>
      <c r="R1530" s="213" t="s">
        <v>2947</v>
      </c>
      <c r="S1530" s="210" t="s">
        <v>3187</v>
      </c>
      <c r="T1530" s="212" t="s">
        <v>93</v>
      </c>
      <c r="U1530" s="124" t="s">
        <v>2800</v>
      </c>
      <c r="V1530" s="124" t="s">
        <v>43</v>
      </c>
      <c r="W1530" s="94" t="s">
        <v>51</v>
      </c>
      <c r="X1530" s="124" t="s">
        <v>52</v>
      </c>
      <c r="Y1530" s="91" t="s">
        <v>946</v>
      </c>
      <c r="Z1530" s="91"/>
      <c r="AA1530" s="124" t="s">
        <v>1183</v>
      </c>
      <c r="AB1530" s="91"/>
      <c r="AC1530" s="91"/>
      <c r="AD1530" s="91"/>
      <c r="AE1530" s="91"/>
      <c r="AF1530" s="91"/>
      <c r="AG1530" s="91"/>
      <c r="AH1530" s="91"/>
    </row>
    <row r="1531" spans="1:34" ht="60">
      <c r="A1531" s="120">
        <v>1523</v>
      </c>
      <c r="B1531" s="120" t="b">
        <f t="shared" ca="1" si="69"/>
        <v>0</v>
      </c>
      <c r="C1531" s="121">
        <v>45977</v>
      </c>
      <c r="D1531" s="137">
        <v>0.87844907407407402</v>
      </c>
      <c r="E1531" s="94">
        <v>2061</v>
      </c>
      <c r="F1531" s="91">
        <v>1209</v>
      </c>
      <c r="G1531" s="143" t="s">
        <v>34</v>
      </c>
      <c r="H1531" s="139">
        <v>7208</v>
      </c>
      <c r="J1531" s="91" t="s">
        <v>35</v>
      </c>
      <c r="K1531" s="160">
        <v>6.13</v>
      </c>
      <c r="L1531" s="94" t="str">
        <f>VLOOKUP(K1531,Liste!$L$2:$O$34,4,1)</f>
        <v>GSMR_02/03</v>
      </c>
      <c r="M1531" s="118" t="s">
        <v>36</v>
      </c>
      <c r="N1531" s="118" t="s">
        <v>37</v>
      </c>
      <c r="O1531" s="148" t="s">
        <v>3188</v>
      </c>
      <c r="Q1531" s="91" t="s">
        <v>39</v>
      </c>
      <c r="R1531" s="213" t="s">
        <v>2947</v>
      </c>
      <c r="S1531" s="210" t="s">
        <v>3189</v>
      </c>
      <c r="T1531" s="212" t="s">
        <v>56</v>
      </c>
      <c r="U1531" s="124" t="s">
        <v>2754</v>
      </c>
      <c r="V1531" s="124" t="s">
        <v>43</v>
      </c>
      <c r="W1531" s="94" t="s">
        <v>51</v>
      </c>
      <c r="X1531" s="124" t="s">
        <v>52</v>
      </c>
      <c r="Y1531" s="91" t="s">
        <v>946</v>
      </c>
      <c r="Z1531" s="91"/>
      <c r="AA1531" s="124" t="s">
        <v>959</v>
      </c>
      <c r="AB1531" s="91"/>
      <c r="AC1531" s="91"/>
      <c r="AD1531" s="91"/>
      <c r="AE1531" s="91"/>
      <c r="AF1531" s="91"/>
      <c r="AG1531" s="91"/>
      <c r="AH1531" s="91"/>
    </row>
    <row r="1532" spans="1:34" ht="60">
      <c r="A1532" s="120">
        <v>1524</v>
      </c>
      <c r="B1532" s="120" t="b">
        <f t="shared" ca="1" si="69"/>
        <v>0</v>
      </c>
      <c r="C1532" s="121">
        <v>45978</v>
      </c>
      <c r="D1532" s="137">
        <v>0.73291666666666666</v>
      </c>
      <c r="E1532" s="94">
        <v>2045</v>
      </c>
      <c r="F1532" s="91">
        <v>1203</v>
      </c>
      <c r="G1532" s="143" t="s">
        <v>34</v>
      </c>
      <c r="H1532" s="139">
        <v>1024</v>
      </c>
      <c r="J1532" s="91" t="s">
        <v>35</v>
      </c>
      <c r="K1532" s="91">
        <v>140.65899999999999</v>
      </c>
      <c r="L1532" s="94" t="str">
        <f>VLOOKUP(K1532,Liste!$L$2:$O$34,4,1)</f>
        <v>GSMR_24/25</v>
      </c>
      <c r="M1532" s="118" t="s">
        <v>36</v>
      </c>
      <c r="N1532" s="118" t="s">
        <v>37</v>
      </c>
      <c r="O1532" s="148" t="s">
        <v>3190</v>
      </c>
      <c r="Q1532" s="94" t="s">
        <v>54</v>
      </c>
      <c r="R1532" s="129" t="s">
        <v>2233</v>
      </c>
      <c r="S1532" s="210" t="s">
        <v>3191</v>
      </c>
      <c r="T1532" s="212" t="s">
        <v>78</v>
      </c>
      <c r="U1532" s="124" t="s">
        <v>2817</v>
      </c>
      <c r="V1532" s="124" t="s">
        <v>51</v>
      </c>
      <c r="W1532" s="94" t="s">
        <v>51</v>
      </c>
      <c r="X1532" s="124" t="s">
        <v>52</v>
      </c>
      <c r="Y1532" s="91" t="s">
        <v>946</v>
      </c>
      <c r="Z1532" s="91"/>
      <c r="AA1532" s="124" t="s">
        <v>3096</v>
      </c>
      <c r="AB1532" s="91"/>
      <c r="AC1532" s="91"/>
      <c r="AD1532" s="91"/>
      <c r="AE1532" s="91"/>
      <c r="AF1532" s="91"/>
      <c r="AG1532" s="91"/>
      <c r="AH1532" s="91"/>
    </row>
    <row r="1533" spans="1:34" ht="60">
      <c r="A1533" s="120">
        <v>1523</v>
      </c>
      <c r="B1533" s="120" t="b">
        <f t="shared" ca="1" si="69"/>
        <v>0</v>
      </c>
      <c r="C1533" s="121">
        <v>45979</v>
      </c>
      <c r="D1533" s="137">
        <v>0.62863425925925931</v>
      </c>
      <c r="E1533" s="94">
        <v>2037</v>
      </c>
      <c r="F1533" s="91">
        <v>1211</v>
      </c>
      <c r="G1533" s="143" t="s">
        <v>34</v>
      </c>
      <c r="H1533" s="139">
        <v>7195</v>
      </c>
      <c r="J1533" s="91" t="s">
        <v>35</v>
      </c>
      <c r="K1533" s="160">
        <v>6.13</v>
      </c>
      <c r="L1533" s="94" t="str">
        <f>VLOOKUP(K1533,Liste!$L$2:$O$34,4,1)</f>
        <v>GSMR_02/03</v>
      </c>
      <c r="M1533" s="118" t="s">
        <v>36</v>
      </c>
      <c r="N1533" s="118" t="s">
        <v>37</v>
      </c>
      <c r="O1533" s="148" t="s">
        <v>3192</v>
      </c>
      <c r="Q1533" s="91" t="s">
        <v>39</v>
      </c>
      <c r="R1533" s="213" t="s">
        <v>2947</v>
      </c>
      <c r="S1533" s="210" t="s">
        <v>3193</v>
      </c>
      <c r="T1533" s="212" t="s">
        <v>56</v>
      </c>
      <c r="U1533" s="124" t="s">
        <v>2746</v>
      </c>
      <c r="V1533" s="124" t="s">
        <v>51</v>
      </c>
      <c r="W1533" s="94" t="s">
        <v>51</v>
      </c>
      <c r="X1533" s="124" t="s">
        <v>52</v>
      </c>
      <c r="Y1533" s="91" t="s">
        <v>946</v>
      </c>
      <c r="Z1533" s="91"/>
      <c r="AA1533" s="124" t="s">
        <v>793</v>
      </c>
      <c r="AB1533" s="91"/>
      <c r="AC1533" s="91"/>
      <c r="AD1533" s="91"/>
      <c r="AE1533" s="91"/>
      <c r="AF1533" s="91"/>
      <c r="AG1533" s="91"/>
      <c r="AH1533" s="91"/>
    </row>
    <row r="1534" spans="1:34" ht="60">
      <c r="A1534" s="120">
        <v>1524</v>
      </c>
      <c r="B1534" s="120" t="b">
        <f t="shared" ca="1" si="69"/>
        <v>0</v>
      </c>
      <c r="C1534" s="121">
        <v>45980</v>
      </c>
      <c r="D1534" s="137">
        <v>0.95446759259259262</v>
      </c>
      <c r="E1534" s="94">
        <v>1062</v>
      </c>
      <c r="F1534" s="91">
        <v>1207</v>
      </c>
      <c r="G1534" s="143" t="s">
        <v>71</v>
      </c>
      <c r="H1534" s="139">
        <v>1047</v>
      </c>
      <c r="J1534" s="91" t="s">
        <v>72</v>
      </c>
      <c r="K1534" s="91">
        <v>108.206</v>
      </c>
      <c r="L1534" s="94" t="str">
        <f>VLOOKUP(K1534,Liste!$L$2:$O$34,4,1)</f>
        <v>GSMR_19/20</v>
      </c>
      <c r="M1534" s="118" t="s">
        <v>36</v>
      </c>
      <c r="N1534" s="118" t="s">
        <v>37</v>
      </c>
      <c r="O1534" s="148" t="s">
        <v>3194</v>
      </c>
      <c r="Q1534" s="94" t="s">
        <v>54</v>
      </c>
      <c r="R1534" s="184" t="s">
        <v>2594</v>
      </c>
      <c r="S1534" s="210" t="s">
        <v>3195</v>
      </c>
      <c r="T1534" s="212" t="s">
        <v>78</v>
      </c>
      <c r="U1534" s="124" t="s">
        <v>2840</v>
      </c>
      <c r="V1534" s="124" t="s">
        <v>51</v>
      </c>
      <c r="W1534" s="94" t="s">
        <v>51</v>
      </c>
      <c r="X1534" s="124" t="s">
        <v>52</v>
      </c>
      <c r="Y1534" s="91" t="s">
        <v>946</v>
      </c>
      <c r="Z1534" s="91"/>
      <c r="AA1534" s="124" t="s">
        <v>959</v>
      </c>
      <c r="AB1534" s="91"/>
      <c r="AC1534" s="91"/>
      <c r="AD1534" s="91"/>
      <c r="AE1534" s="91"/>
      <c r="AF1534" s="91"/>
      <c r="AG1534" s="91"/>
      <c r="AH1534" s="91"/>
    </row>
    <row r="1535" spans="1:34" ht="60">
      <c r="A1535" s="120">
        <v>1525</v>
      </c>
      <c r="B1535" s="120" t="b">
        <f t="shared" ref="B1535" ca="1" si="70">AND(C1535&gt;=TODAY()-7, C1535&lt;=TODAY()-1)</f>
        <v>0</v>
      </c>
      <c r="C1535" s="121">
        <v>45982</v>
      </c>
      <c r="D1535" s="137">
        <v>0.58040509259259254</v>
      </c>
      <c r="E1535" s="94">
        <v>1025</v>
      </c>
      <c r="F1535" s="91">
        <v>1207</v>
      </c>
      <c r="G1535" s="143" t="s">
        <v>71</v>
      </c>
      <c r="H1535" s="139">
        <v>1046</v>
      </c>
      <c r="J1535" s="91" t="s">
        <v>72</v>
      </c>
      <c r="K1535" s="91">
        <v>94.953999999999994</v>
      </c>
      <c r="L1535" s="94" t="str">
        <f>VLOOKUP(K1535,Liste!$L$2:$O$34,4,1)</f>
        <v>GSMR_17/18</v>
      </c>
      <c r="M1535" s="118" t="s">
        <v>36</v>
      </c>
      <c r="N1535" s="118" t="s">
        <v>37</v>
      </c>
      <c r="O1535" s="148" t="s">
        <v>3196</v>
      </c>
      <c r="Q1535" s="91" t="s">
        <v>39</v>
      </c>
      <c r="R1535" s="213" t="s">
        <v>2947</v>
      </c>
      <c r="S1535" s="210" t="s">
        <v>1665</v>
      </c>
      <c r="T1535" s="212" t="s">
        <v>56</v>
      </c>
      <c r="U1535" s="124" t="s">
        <v>2789</v>
      </c>
      <c r="V1535" s="124" t="s">
        <v>51</v>
      </c>
      <c r="W1535" s="94" t="s">
        <v>43</v>
      </c>
      <c r="X1535" s="124" t="s">
        <v>52</v>
      </c>
      <c r="Y1535" s="91" t="s">
        <v>946</v>
      </c>
      <c r="Z1535" s="91"/>
      <c r="AA1535" s="124" t="s">
        <v>1295</v>
      </c>
      <c r="AB1535" s="91"/>
      <c r="AC1535" s="91"/>
      <c r="AD1535" s="91"/>
      <c r="AE1535" s="91"/>
      <c r="AF1535" s="91"/>
      <c r="AG1535" s="91"/>
      <c r="AH1535" s="91"/>
    </row>
    <row r="1536" spans="1:34" ht="72.75" customHeight="1">
      <c r="A1536" s="120">
        <v>1526</v>
      </c>
      <c r="B1536" s="120" t="b">
        <f t="shared" ref="B1536" ca="1" si="71">AND(C1536&gt;=TODAY()-7, C1536&lt;=TODAY()-1)</f>
        <v>0</v>
      </c>
      <c r="C1536" s="121">
        <v>45982</v>
      </c>
      <c r="D1536" s="137">
        <v>0.86901620370370369</v>
      </c>
      <c r="E1536" s="94">
        <v>1053</v>
      </c>
      <c r="F1536" s="91">
        <v>1207</v>
      </c>
      <c r="G1536" s="143" t="s">
        <v>71</v>
      </c>
      <c r="H1536" s="139">
        <v>1047</v>
      </c>
      <c r="J1536" s="91" t="s">
        <v>72</v>
      </c>
      <c r="K1536" s="91">
        <v>118.562</v>
      </c>
      <c r="L1536" s="94" t="str">
        <f>VLOOKUP(K1536,Liste!$L$2:$O$34,4,1)</f>
        <v>GSMR_20/21</v>
      </c>
      <c r="M1536" s="118" t="s">
        <v>36</v>
      </c>
      <c r="N1536" s="118" t="s">
        <v>37</v>
      </c>
      <c r="O1536" s="148" t="s">
        <v>3197</v>
      </c>
      <c r="Q1536" s="94" t="s">
        <v>54</v>
      </c>
      <c r="R1536" s="184" t="s">
        <v>2594</v>
      </c>
      <c r="S1536" s="210" t="s">
        <v>3198</v>
      </c>
      <c r="T1536" s="212" t="s">
        <v>101</v>
      </c>
      <c r="U1536" s="124" t="s">
        <v>2743</v>
      </c>
      <c r="V1536" s="124" t="s">
        <v>43</v>
      </c>
      <c r="W1536" s="94" t="s">
        <v>51</v>
      </c>
      <c r="X1536" s="124" t="s">
        <v>52</v>
      </c>
      <c r="Y1536" s="91" t="s">
        <v>946</v>
      </c>
      <c r="Z1536" s="91"/>
      <c r="AA1536" s="124" t="s">
        <v>778</v>
      </c>
      <c r="AB1536" s="91"/>
      <c r="AC1536" s="91"/>
      <c r="AD1536" s="91"/>
      <c r="AE1536" s="91"/>
      <c r="AF1536" s="91"/>
      <c r="AG1536" s="91"/>
      <c r="AH1536" s="91"/>
    </row>
    <row r="1537" spans="1:34" ht="60">
      <c r="A1537" s="120">
        <v>1527</v>
      </c>
      <c r="B1537" s="120" t="b">
        <f t="shared" ref="B1537:B1543" ca="1" si="72">AND(C1537&gt;=TODAY()-7, C1537&lt;=TODAY()-1)</f>
        <v>0</v>
      </c>
      <c r="C1537" s="121">
        <v>45987</v>
      </c>
      <c r="D1537" s="137">
        <v>0.42056712962962961</v>
      </c>
      <c r="E1537" s="94">
        <v>2017</v>
      </c>
      <c r="F1537" s="91">
        <v>1209</v>
      </c>
      <c r="G1537" s="143" t="s">
        <v>34</v>
      </c>
      <c r="H1537" s="139">
        <v>1058</v>
      </c>
      <c r="J1537" s="91" t="s">
        <v>72</v>
      </c>
      <c r="K1537" s="160">
        <v>6.13</v>
      </c>
      <c r="L1537" s="94" t="str">
        <f>VLOOKUP(K1537,Liste!$L$2:$O$34,4,1)</f>
        <v>GSMR_02/03</v>
      </c>
      <c r="M1537" s="118" t="s">
        <v>36</v>
      </c>
      <c r="N1537" s="118" t="s">
        <v>58</v>
      </c>
      <c r="O1537" s="148" t="s">
        <v>3199</v>
      </c>
      <c r="Q1537" s="91" t="s">
        <v>39</v>
      </c>
      <c r="R1537" s="213" t="s">
        <v>2947</v>
      </c>
      <c r="S1537" s="210" t="s">
        <v>1467</v>
      </c>
      <c r="T1537" s="212" t="s">
        <v>56</v>
      </c>
      <c r="U1537" s="124" t="s">
        <v>2774</v>
      </c>
      <c r="V1537" s="124" t="s">
        <v>51</v>
      </c>
      <c r="W1537" s="94" t="s">
        <v>51</v>
      </c>
      <c r="X1537" s="124" t="s">
        <v>52</v>
      </c>
      <c r="Y1537" s="91" t="s">
        <v>946</v>
      </c>
      <c r="Z1537" s="91"/>
      <c r="AA1537" s="124" t="s">
        <v>802</v>
      </c>
      <c r="AB1537" s="91"/>
      <c r="AC1537" s="91"/>
      <c r="AD1537" s="91"/>
      <c r="AE1537" s="91"/>
      <c r="AF1537" s="91"/>
      <c r="AG1537" s="91"/>
      <c r="AH1537" s="91"/>
    </row>
    <row r="1538" spans="1:34" ht="60">
      <c r="A1538" s="120">
        <v>1528</v>
      </c>
      <c r="B1538" s="120" t="b">
        <f t="shared" ca="1" si="72"/>
        <v>0</v>
      </c>
      <c r="C1538" s="121">
        <v>45989</v>
      </c>
      <c r="D1538" s="137">
        <v>0.31811342592592595</v>
      </c>
      <c r="E1538" s="94">
        <v>2005</v>
      </c>
      <c r="F1538" s="91">
        <v>1207</v>
      </c>
      <c r="G1538" s="143" t="s">
        <v>34</v>
      </c>
      <c r="H1538" s="139">
        <v>1010</v>
      </c>
      <c r="J1538" s="91" t="s">
        <v>35</v>
      </c>
      <c r="K1538" s="91">
        <v>152.548</v>
      </c>
      <c r="L1538" s="94" t="str">
        <f>VLOOKUP(K1538,Liste!$L$2:$O$34,4,1)</f>
        <v>GSMR_26/27</v>
      </c>
      <c r="M1538" s="118" t="s">
        <v>36</v>
      </c>
      <c r="N1538" s="118" t="s">
        <v>37</v>
      </c>
      <c r="O1538" s="148" t="s">
        <v>3200</v>
      </c>
      <c r="Q1538" s="91" t="s">
        <v>47</v>
      </c>
      <c r="R1538" s="184" t="s">
        <v>2613</v>
      </c>
      <c r="S1538" s="210" t="s">
        <v>3201</v>
      </c>
      <c r="T1538" s="212" t="s">
        <v>56</v>
      </c>
      <c r="U1538" s="124" t="s">
        <v>2800</v>
      </c>
      <c r="V1538" s="124" t="s">
        <v>51</v>
      </c>
      <c r="W1538" s="94" t="s">
        <v>51</v>
      </c>
      <c r="X1538" s="124" t="s">
        <v>52</v>
      </c>
      <c r="Y1538" s="91" t="s">
        <v>946</v>
      </c>
      <c r="Z1538" s="91"/>
      <c r="AA1538" s="124" t="s">
        <v>745</v>
      </c>
      <c r="AB1538" s="91"/>
      <c r="AC1538" s="91"/>
      <c r="AD1538" s="91"/>
      <c r="AE1538" s="91"/>
      <c r="AF1538" s="91"/>
      <c r="AG1538" s="91"/>
      <c r="AH1538" s="91"/>
    </row>
    <row r="1539" spans="1:34" ht="60">
      <c r="A1539" s="120">
        <v>1529</v>
      </c>
      <c r="B1539" s="120" t="b">
        <f t="shared" ca="1" si="72"/>
        <v>0</v>
      </c>
      <c r="C1539" s="121">
        <v>45990</v>
      </c>
      <c r="D1539" s="137">
        <v>0.62856481481481485</v>
      </c>
      <c r="E1539" s="94">
        <v>2037</v>
      </c>
      <c r="F1539" s="91">
        <v>1211</v>
      </c>
      <c r="G1539" s="143" t="s">
        <v>34</v>
      </c>
      <c r="H1539" s="139">
        <v>7195</v>
      </c>
      <c r="J1539" s="91" t="s">
        <v>35</v>
      </c>
      <c r="K1539" s="160">
        <v>6.13</v>
      </c>
      <c r="L1539" s="94" t="str">
        <f>VLOOKUP(K1539,Liste!$L$2:$O$34,4,1)</f>
        <v>GSMR_02/03</v>
      </c>
      <c r="M1539" s="118" t="s">
        <v>36</v>
      </c>
      <c r="N1539" s="118" t="s">
        <v>37</v>
      </c>
      <c r="O1539" s="148" t="s">
        <v>3202</v>
      </c>
      <c r="Q1539" s="91" t="s">
        <v>39</v>
      </c>
      <c r="R1539" s="213" t="s">
        <v>2947</v>
      </c>
      <c r="S1539" s="210" t="s">
        <v>3203</v>
      </c>
      <c r="T1539" s="212" t="s">
        <v>56</v>
      </c>
      <c r="U1539" s="124" t="s">
        <v>2824</v>
      </c>
      <c r="V1539" s="124" t="s">
        <v>51</v>
      </c>
      <c r="W1539" s="94" t="s">
        <v>51</v>
      </c>
      <c r="X1539" s="124" t="s">
        <v>52</v>
      </c>
      <c r="Y1539" s="91" t="s">
        <v>946</v>
      </c>
      <c r="Z1539" s="91"/>
      <c r="AA1539" s="124" t="s">
        <v>778</v>
      </c>
      <c r="AB1539" s="91"/>
      <c r="AC1539" s="91"/>
      <c r="AD1539" s="91"/>
      <c r="AE1539" s="91"/>
      <c r="AF1539" s="91"/>
      <c r="AG1539" s="91"/>
      <c r="AH1539" s="91"/>
    </row>
    <row r="1540" spans="1:34" ht="60">
      <c r="A1540" s="120">
        <v>1530</v>
      </c>
      <c r="B1540" s="120" t="b">
        <f t="shared" ca="1" si="72"/>
        <v>0</v>
      </c>
      <c r="C1540" s="121">
        <v>45990</v>
      </c>
      <c r="D1540" s="137">
        <v>0.69795138888888886</v>
      </c>
      <c r="E1540" s="94">
        <v>1037</v>
      </c>
      <c r="F1540" s="91">
        <v>1206</v>
      </c>
      <c r="G1540" s="143" t="s">
        <v>71</v>
      </c>
      <c r="H1540" s="139">
        <v>1040</v>
      </c>
      <c r="J1540" s="91" t="s">
        <v>72</v>
      </c>
      <c r="K1540" s="91">
        <v>140.65899999999999</v>
      </c>
      <c r="L1540" s="94" t="str">
        <f>VLOOKUP(K1540,Liste!$L$2:$O$34,4,1)</f>
        <v>GSMR_24/25</v>
      </c>
      <c r="M1540" s="118" t="s">
        <v>36</v>
      </c>
      <c r="N1540" s="118" t="s">
        <v>37</v>
      </c>
      <c r="O1540" s="148" t="s">
        <v>3204</v>
      </c>
      <c r="Q1540" s="91" t="s">
        <v>47</v>
      </c>
      <c r="R1540" s="184" t="s">
        <v>2613</v>
      </c>
      <c r="S1540" s="210" t="s">
        <v>3205</v>
      </c>
      <c r="T1540" s="212" t="s">
        <v>101</v>
      </c>
      <c r="U1540" s="124" t="s">
        <v>2759</v>
      </c>
      <c r="V1540" s="124" t="s">
        <v>43</v>
      </c>
      <c r="W1540" s="94" t="s">
        <v>51</v>
      </c>
      <c r="X1540" s="124" t="s">
        <v>52</v>
      </c>
      <c r="Y1540" s="91" t="s">
        <v>946</v>
      </c>
      <c r="Z1540" s="91"/>
      <c r="AA1540" s="124" t="s">
        <v>778</v>
      </c>
      <c r="AB1540" s="91"/>
      <c r="AC1540" s="91"/>
      <c r="AD1540" s="91"/>
      <c r="AE1540" s="91"/>
      <c r="AF1540" s="91"/>
      <c r="AG1540" s="91"/>
      <c r="AH1540" s="91"/>
    </row>
    <row r="1541" spans="1:34" ht="60">
      <c r="A1541" s="120">
        <v>1531</v>
      </c>
      <c r="B1541" s="120" t="b">
        <f t="shared" ca="1" si="72"/>
        <v>0</v>
      </c>
      <c r="C1541" s="121">
        <v>45992</v>
      </c>
      <c r="D1541" s="137">
        <v>0.51120370370370372</v>
      </c>
      <c r="E1541" s="94">
        <v>2025</v>
      </c>
      <c r="F1541" s="91">
        <v>1201</v>
      </c>
      <c r="G1541" s="143" t="s">
        <v>34</v>
      </c>
      <c r="H1541" s="139">
        <v>1057</v>
      </c>
      <c r="J1541" s="91" t="s">
        <v>35</v>
      </c>
      <c r="K1541" s="91">
        <v>49.784999999999997</v>
      </c>
      <c r="L1541" s="94" t="str">
        <f>VLOOKUP(K1541,Liste!$L$2:$O$34,4,1)</f>
        <v>GSMR_09/10</v>
      </c>
      <c r="M1541" s="118" t="s">
        <v>36</v>
      </c>
      <c r="N1541" s="118" t="s">
        <v>37</v>
      </c>
      <c r="O1541" s="148" t="s">
        <v>3206</v>
      </c>
      <c r="Q1541" s="91" t="s">
        <v>39</v>
      </c>
      <c r="R1541" s="213" t="s">
        <v>2947</v>
      </c>
      <c r="S1541" s="210" t="s">
        <v>3207</v>
      </c>
      <c r="T1541" s="212" t="s">
        <v>69</v>
      </c>
      <c r="U1541" s="124" t="s">
        <v>2865</v>
      </c>
      <c r="V1541" s="124" t="s">
        <v>51</v>
      </c>
      <c r="W1541" s="94" t="s">
        <v>51</v>
      </c>
      <c r="X1541" s="124" t="s">
        <v>52</v>
      </c>
      <c r="Y1541" s="91" t="s">
        <v>946</v>
      </c>
      <c r="Z1541" s="91"/>
      <c r="AA1541" s="124" t="s">
        <v>802</v>
      </c>
      <c r="AB1541" s="91"/>
      <c r="AC1541" s="91"/>
      <c r="AD1541" s="91"/>
      <c r="AE1541" s="91"/>
      <c r="AF1541" s="91"/>
      <c r="AG1541" s="91"/>
      <c r="AH1541" s="91"/>
    </row>
    <row r="1542" spans="1:34" ht="60">
      <c r="A1542" s="120">
        <v>1532</v>
      </c>
      <c r="B1542" s="120" t="b">
        <f t="shared" ca="1" si="72"/>
        <v>0</v>
      </c>
      <c r="C1542" s="121">
        <v>45995</v>
      </c>
      <c r="D1542" s="137">
        <v>0.52401620370370372</v>
      </c>
      <c r="E1542" s="94">
        <v>2025</v>
      </c>
      <c r="F1542" s="91">
        <v>1207</v>
      </c>
      <c r="G1542" s="143" t="s">
        <v>71</v>
      </c>
      <c r="H1542" s="139">
        <v>1046</v>
      </c>
      <c r="J1542" s="91" t="s">
        <v>72</v>
      </c>
      <c r="K1542" s="91">
        <v>198.98400000000001</v>
      </c>
      <c r="L1542" s="94" t="str">
        <f>VLOOKUP(K1542,Liste!$L$2:$O$34,4,1)</f>
        <v>GSMR_33/RAC</v>
      </c>
      <c r="M1542" s="118" t="s">
        <v>36</v>
      </c>
      <c r="N1542" s="118" t="s">
        <v>58</v>
      </c>
      <c r="O1542" s="148" t="s">
        <v>3208</v>
      </c>
      <c r="Q1542" s="91" t="s">
        <v>54</v>
      </c>
      <c r="R1542" s="213" t="s">
        <v>3209</v>
      </c>
      <c r="S1542" s="210" t="s">
        <v>3210</v>
      </c>
      <c r="T1542" s="212" t="s">
        <v>101</v>
      </c>
      <c r="U1542" s="124" t="s">
        <v>3147</v>
      </c>
      <c r="V1542" s="124" t="s">
        <v>51</v>
      </c>
      <c r="W1542" s="94" t="s">
        <v>43</v>
      </c>
      <c r="X1542" s="124" t="s">
        <v>52</v>
      </c>
      <c r="Y1542" s="91" t="s">
        <v>3211</v>
      </c>
      <c r="Z1542" s="91"/>
      <c r="AA1542" s="124" t="s">
        <v>802</v>
      </c>
      <c r="AB1542" s="91"/>
      <c r="AC1542" s="91"/>
      <c r="AD1542" s="91"/>
      <c r="AE1542" s="91"/>
      <c r="AF1542" s="91"/>
      <c r="AG1542" s="91"/>
      <c r="AH1542" s="91"/>
    </row>
    <row r="1543" spans="1:34" ht="60">
      <c r="A1543" s="120">
        <v>1533</v>
      </c>
      <c r="B1543" s="120" t="b">
        <f t="shared" ca="1" si="72"/>
        <v>0</v>
      </c>
      <c r="C1543" s="121">
        <v>45997</v>
      </c>
      <c r="D1543" s="137">
        <v>0.88537037037037036</v>
      </c>
      <c r="E1543" s="94">
        <v>1053</v>
      </c>
      <c r="F1543" s="91">
        <v>1209</v>
      </c>
      <c r="G1543" s="143" t="s">
        <v>71</v>
      </c>
      <c r="H1543" s="139">
        <v>1033</v>
      </c>
      <c r="J1543" s="91" t="s">
        <v>72</v>
      </c>
      <c r="K1543" s="160">
        <v>8.9700000000000006</v>
      </c>
      <c r="L1543" s="94" t="str">
        <f>VLOOKUP(K1543,Liste!$L$2:$O$34,4,1)</f>
        <v>GSMR_02/03</v>
      </c>
      <c r="M1543" s="118" t="s">
        <v>36</v>
      </c>
      <c r="N1543" s="118" t="s">
        <v>58</v>
      </c>
      <c r="O1543" s="148" t="s">
        <v>3212</v>
      </c>
      <c r="Q1543" s="91" t="s">
        <v>39</v>
      </c>
      <c r="R1543" s="213" t="s">
        <v>2947</v>
      </c>
      <c r="S1543" s="210" t="s">
        <v>2191</v>
      </c>
      <c r="T1543" s="212" t="s">
        <v>69</v>
      </c>
      <c r="U1543" s="124" t="s">
        <v>2804</v>
      </c>
      <c r="V1543" s="124" t="s">
        <v>51</v>
      </c>
      <c r="W1543" s="94" t="s">
        <v>51</v>
      </c>
      <c r="X1543" s="124" t="s">
        <v>52</v>
      </c>
      <c r="Y1543" s="91" t="s">
        <v>946</v>
      </c>
      <c r="AA1543" s="124" t="s">
        <v>1118</v>
      </c>
    </row>
    <row r="1544" spans="1:34" ht="60">
      <c r="A1544" s="120">
        <v>1534</v>
      </c>
      <c r="B1544" s="120" t="b">
        <f t="shared" ref="B1544" ca="1" si="73">AND(C1544&gt;=TODAY()-7, C1544&lt;=TODAY()-1)</f>
        <v>0</v>
      </c>
      <c r="C1544" s="121">
        <v>45998</v>
      </c>
      <c r="D1544" s="137">
        <v>0.86537037037037035</v>
      </c>
      <c r="E1544" s="94">
        <v>2057</v>
      </c>
      <c r="F1544" s="91">
        <v>1209</v>
      </c>
      <c r="G1544" s="143" t="s">
        <v>34</v>
      </c>
      <c r="H1544" s="139">
        <v>1042</v>
      </c>
      <c r="J1544" s="91" t="s">
        <v>35</v>
      </c>
      <c r="K1544" s="91">
        <v>179.149</v>
      </c>
      <c r="L1544" s="94" t="str">
        <f>VLOOKUP(K1544,Liste!$L$2:$O$34,4,1)</f>
        <v>GSMR_30/31</v>
      </c>
      <c r="M1544" s="118" t="s">
        <v>36</v>
      </c>
      <c r="N1544" s="118" t="s">
        <v>37</v>
      </c>
      <c r="O1544" s="148" t="s">
        <v>3213</v>
      </c>
      <c r="Q1544" s="91" t="s">
        <v>47</v>
      </c>
      <c r="R1544" s="184" t="s">
        <v>2613</v>
      </c>
      <c r="S1544" s="210" t="s">
        <v>3214</v>
      </c>
      <c r="T1544" s="212" t="s">
        <v>69</v>
      </c>
      <c r="U1544" s="124" t="s">
        <v>2884</v>
      </c>
      <c r="V1544" s="124" t="s">
        <v>51</v>
      </c>
      <c r="W1544" s="94" t="s">
        <v>51</v>
      </c>
      <c r="X1544" s="124" t="s">
        <v>52</v>
      </c>
      <c r="Y1544" s="91" t="s">
        <v>946</v>
      </c>
      <c r="AA1544" s="124" t="s">
        <v>3096</v>
      </c>
    </row>
    <row r="1545" spans="1:34" ht="60">
      <c r="A1545" s="120">
        <v>1535</v>
      </c>
      <c r="B1545" s="120" t="b">
        <f ca="1">AND(C1545&gt;=TODAY()-7, C1545&lt;=TODAY()-1)</f>
        <v>0</v>
      </c>
      <c r="C1545" s="121">
        <v>45999</v>
      </c>
      <c r="D1545" s="137">
        <v>0.34208333333333335</v>
      </c>
      <c r="E1545" s="94">
        <v>2009</v>
      </c>
      <c r="F1545" s="91">
        <v>1207</v>
      </c>
      <c r="G1545" s="143" t="s">
        <v>34</v>
      </c>
      <c r="H1545" s="139">
        <v>1060</v>
      </c>
      <c r="J1545" s="91" t="s">
        <v>35</v>
      </c>
      <c r="K1545" s="91">
        <v>27.568000000000001</v>
      </c>
      <c r="L1545" s="94" t="str">
        <f>VLOOKUP(K1545,Liste!$L$2:$O$34,4,1)</f>
        <v>GSMR_05/06</v>
      </c>
      <c r="M1545" s="118" t="s">
        <v>36</v>
      </c>
      <c r="N1545" s="118" t="s">
        <v>37</v>
      </c>
      <c r="O1545" s="148" t="s">
        <v>3215</v>
      </c>
      <c r="Q1545" s="91" t="s">
        <v>39</v>
      </c>
      <c r="R1545" s="213" t="s">
        <v>2947</v>
      </c>
      <c r="S1545" s="224" t="s">
        <v>3216</v>
      </c>
      <c r="T1545" s="212" t="s">
        <v>41</v>
      </c>
      <c r="U1545" s="124" t="s">
        <v>2757</v>
      </c>
      <c r="V1545" s="124" t="s">
        <v>51</v>
      </c>
      <c r="W1545" s="94" t="s">
        <v>51</v>
      </c>
      <c r="X1545" s="124" t="s">
        <v>52</v>
      </c>
      <c r="Y1545" s="91" t="s">
        <v>946</v>
      </c>
      <c r="AA1545" s="124" t="s">
        <v>802</v>
      </c>
    </row>
    <row r="1546" spans="1:34" ht="60">
      <c r="A1546" s="120">
        <v>1536</v>
      </c>
      <c r="B1546" s="120" t="b">
        <f ca="1">AND(C1546&gt;=TODAY()-7, C1546&lt;=TODAY()-1)</f>
        <v>0</v>
      </c>
      <c r="C1546" s="121">
        <v>46002</v>
      </c>
      <c r="D1546" s="137">
        <v>0.28309027777777779</v>
      </c>
      <c r="E1546" s="94">
        <v>1081</v>
      </c>
      <c r="F1546" s="91">
        <v>1209</v>
      </c>
      <c r="G1546" s="143" t="s">
        <v>71</v>
      </c>
      <c r="H1546" s="139">
        <v>1032</v>
      </c>
      <c r="J1546" s="91" t="s">
        <v>72</v>
      </c>
      <c r="K1546" s="91">
        <v>58.71</v>
      </c>
      <c r="L1546" s="94" t="str">
        <f>VLOOKUP(K1546,Liste!$L$2:$O$34,4,1)</f>
        <v>GSMR_10/11</v>
      </c>
      <c r="M1546" s="118" t="s">
        <v>36</v>
      </c>
      <c r="N1546" s="118" t="s">
        <v>37</v>
      </c>
      <c r="O1546" s="148" t="s">
        <v>3217</v>
      </c>
      <c r="Q1546" s="91" t="s">
        <v>47</v>
      </c>
      <c r="R1546" s="184" t="s">
        <v>2613</v>
      </c>
      <c r="S1546" s="223" t="s">
        <v>3218</v>
      </c>
      <c r="T1546" s="212" t="s">
        <v>101</v>
      </c>
      <c r="U1546" s="124" t="s">
        <v>2857</v>
      </c>
      <c r="V1546" s="124" t="s">
        <v>51</v>
      </c>
      <c r="W1546" s="94" t="s">
        <v>51</v>
      </c>
      <c r="X1546" s="124" t="s">
        <v>52</v>
      </c>
      <c r="Y1546" s="91" t="s">
        <v>946</v>
      </c>
      <c r="AA1546" s="124" t="s">
        <v>793</v>
      </c>
    </row>
    <row r="1547" spans="1:34" ht="60">
      <c r="A1547" s="120">
        <v>1537</v>
      </c>
      <c r="B1547" s="120" t="b">
        <f t="shared" ref="B1547:B1548" ca="1" si="74">AND(C1547&gt;=TODAY()-7, C1547&lt;=TODAY()-1)</f>
        <v>0</v>
      </c>
      <c r="C1547" s="121">
        <v>46002</v>
      </c>
      <c r="D1547" s="137">
        <v>0.50898148148148148</v>
      </c>
      <c r="E1547" s="94">
        <v>2025</v>
      </c>
      <c r="F1547" s="91">
        <v>1207</v>
      </c>
      <c r="G1547" s="143" t="s">
        <v>34</v>
      </c>
      <c r="H1547" s="139">
        <v>1060</v>
      </c>
      <c r="J1547" s="91" t="s">
        <v>35</v>
      </c>
      <c r="K1547" s="91">
        <v>33.960999999999999</v>
      </c>
      <c r="L1547" s="94" t="str">
        <f>VLOOKUP(K1547,Liste!$L$2:$O$34,4,1)</f>
        <v>GSMR_06/07</v>
      </c>
      <c r="M1547" s="118" t="s">
        <v>36</v>
      </c>
      <c r="N1547" s="118" t="s">
        <v>37</v>
      </c>
      <c r="O1547" s="148" t="s">
        <v>3219</v>
      </c>
      <c r="Q1547" s="91" t="s">
        <v>105</v>
      </c>
      <c r="R1547" s="213" t="s">
        <v>3220</v>
      </c>
      <c r="S1547" s="225" t="s">
        <v>3221</v>
      </c>
      <c r="T1547" s="212" t="s">
        <v>41</v>
      </c>
      <c r="U1547" s="124" t="s">
        <v>2771</v>
      </c>
      <c r="V1547" s="124" t="s">
        <v>51</v>
      </c>
      <c r="W1547" s="94" t="s">
        <v>51</v>
      </c>
      <c r="X1547" s="124" t="s">
        <v>52</v>
      </c>
      <c r="Y1547" s="91" t="s">
        <v>946</v>
      </c>
      <c r="AA1547" s="124" t="s">
        <v>802</v>
      </c>
    </row>
    <row r="1548" spans="1:34" ht="60">
      <c r="A1548" s="120">
        <v>1538</v>
      </c>
      <c r="B1548" s="120" t="b">
        <f t="shared" ca="1" si="74"/>
        <v>0</v>
      </c>
      <c r="C1548" s="121">
        <v>46002</v>
      </c>
      <c r="D1548" s="137">
        <v>0.50900462962962967</v>
      </c>
      <c r="E1548" s="94">
        <v>1018</v>
      </c>
      <c r="F1548" s="91">
        <v>1210</v>
      </c>
      <c r="G1548" s="143" t="s">
        <v>71</v>
      </c>
      <c r="H1548" s="139">
        <v>1072</v>
      </c>
      <c r="J1548" s="91" t="s">
        <v>72</v>
      </c>
      <c r="K1548" s="160">
        <v>8.9700000000000006</v>
      </c>
      <c r="L1548" s="94" t="str">
        <f>VLOOKUP(K1548,Liste!$L$2:$O$34,4,1)</f>
        <v>GSMR_02/03</v>
      </c>
      <c r="M1548" s="118" t="s">
        <v>36</v>
      </c>
      <c r="N1548" s="118" t="s">
        <v>37</v>
      </c>
      <c r="O1548" s="148" t="s">
        <v>3222</v>
      </c>
      <c r="Q1548" s="91" t="s">
        <v>105</v>
      </c>
      <c r="R1548" s="213" t="s">
        <v>3220</v>
      </c>
      <c r="S1548" s="210" t="s">
        <v>3223</v>
      </c>
      <c r="T1548" s="212" t="s">
        <v>69</v>
      </c>
      <c r="U1548" s="124" t="s">
        <v>2757</v>
      </c>
      <c r="V1548" s="124" t="s">
        <v>51</v>
      </c>
      <c r="W1548" s="94" t="s">
        <v>43</v>
      </c>
      <c r="X1548" s="124" t="s">
        <v>52</v>
      </c>
      <c r="Y1548" s="91" t="s">
        <v>946</v>
      </c>
      <c r="AA1548" s="124" t="s">
        <v>802</v>
      </c>
    </row>
    <row r="1549" spans="1:34" ht="60">
      <c r="A1549" s="120">
        <v>1539</v>
      </c>
      <c r="B1549" s="120" t="b">
        <f t="shared" ref="B1549:B1562" ca="1" si="75">AND(C1549&gt;=TODAY()-7, C1549&lt;=TODAY()-1)</f>
        <v>0</v>
      </c>
      <c r="C1549" s="121">
        <v>46002</v>
      </c>
      <c r="D1549" s="137">
        <v>0.84267361111111116</v>
      </c>
      <c r="E1549" s="94">
        <v>1049</v>
      </c>
      <c r="F1549" s="91">
        <v>1210</v>
      </c>
      <c r="G1549" s="143" t="s">
        <v>71</v>
      </c>
      <c r="H1549" s="139">
        <v>1020</v>
      </c>
      <c r="J1549" s="91" t="s">
        <v>72</v>
      </c>
      <c r="K1549" s="160">
        <v>7.3209999999999997</v>
      </c>
      <c r="L1549" s="94" t="str">
        <f>VLOOKUP(K1549,Liste!$L$2:$O$34,4,1)</f>
        <v>GSMR_02/03</v>
      </c>
      <c r="M1549" s="118" t="s">
        <v>36</v>
      </c>
      <c r="N1549" s="118" t="s">
        <v>37</v>
      </c>
      <c r="O1549" s="148" t="s">
        <v>3224</v>
      </c>
      <c r="Q1549" s="91" t="s">
        <v>39</v>
      </c>
      <c r="R1549" s="213" t="s">
        <v>2947</v>
      </c>
      <c r="S1549" s="210" t="s">
        <v>3225</v>
      </c>
      <c r="T1549" s="212" t="s">
        <v>93</v>
      </c>
      <c r="U1549" s="124" t="s">
        <v>2797</v>
      </c>
      <c r="V1549" s="124" t="s">
        <v>51</v>
      </c>
      <c r="W1549" s="94" t="s">
        <v>43</v>
      </c>
      <c r="X1549" s="124" t="s">
        <v>52</v>
      </c>
      <c r="Y1549" s="91" t="s">
        <v>946</v>
      </c>
      <c r="AA1549" s="124" t="s">
        <v>778</v>
      </c>
    </row>
    <row r="1550" spans="1:34" ht="60">
      <c r="A1550" s="120">
        <v>1540</v>
      </c>
      <c r="B1550" s="120" t="b">
        <f t="shared" ca="1" si="75"/>
        <v>0</v>
      </c>
      <c r="C1550" s="121">
        <v>46005</v>
      </c>
      <c r="D1550" s="137">
        <v>0.29549768518518521</v>
      </c>
      <c r="E1550" s="94">
        <v>2005</v>
      </c>
      <c r="F1550" s="91">
        <v>1207</v>
      </c>
      <c r="G1550" s="143" t="s">
        <v>34</v>
      </c>
      <c r="H1550" s="139">
        <v>1061</v>
      </c>
      <c r="J1550" s="91" t="s">
        <v>35</v>
      </c>
      <c r="K1550" s="160">
        <v>6.13</v>
      </c>
      <c r="L1550" s="94" t="str">
        <f>VLOOKUP(K1550,Liste!$L$2:$O$34,4,1)</f>
        <v>GSMR_02/03</v>
      </c>
      <c r="M1550" s="118" t="s">
        <v>36</v>
      </c>
      <c r="N1550" s="118" t="s">
        <v>37</v>
      </c>
      <c r="O1550" s="148" t="s">
        <v>3226</v>
      </c>
      <c r="Q1550" s="91" t="s">
        <v>39</v>
      </c>
      <c r="R1550" s="213" t="s">
        <v>2947</v>
      </c>
      <c r="S1550" s="210" t="s">
        <v>3227</v>
      </c>
      <c r="T1550" s="212" t="s">
        <v>56</v>
      </c>
      <c r="U1550" s="124" t="s">
        <v>2848</v>
      </c>
      <c r="V1550" s="124" t="s">
        <v>51</v>
      </c>
      <c r="W1550" s="94" t="s">
        <v>51</v>
      </c>
      <c r="X1550" s="124" t="s">
        <v>52</v>
      </c>
      <c r="Y1550" s="91" t="s">
        <v>946</v>
      </c>
      <c r="AA1550" s="124" t="s">
        <v>754</v>
      </c>
    </row>
    <row r="1551" spans="1:34" ht="60">
      <c r="A1551" s="120">
        <v>1541</v>
      </c>
      <c r="B1551" s="120" t="b">
        <f t="shared" ca="1" si="75"/>
        <v>0</v>
      </c>
      <c r="C1551" s="121">
        <v>46005</v>
      </c>
      <c r="D1551" s="137">
        <v>0.46206018518518521</v>
      </c>
      <c r="E1551" s="94">
        <v>2021</v>
      </c>
      <c r="F1551" s="91">
        <v>1208</v>
      </c>
      <c r="G1551" s="143" t="s">
        <v>34</v>
      </c>
      <c r="H1551" s="139">
        <v>1037</v>
      </c>
      <c r="J1551" s="91" t="s">
        <v>35</v>
      </c>
      <c r="K1551" s="160">
        <v>6.13</v>
      </c>
      <c r="L1551" s="94" t="str">
        <f>VLOOKUP(K1551,Liste!$L$2:$O$34,4,1)</f>
        <v>GSMR_02/03</v>
      </c>
      <c r="M1551" s="118" t="s">
        <v>36</v>
      </c>
      <c r="N1551" s="118" t="s">
        <v>58</v>
      </c>
      <c r="O1551" s="148" t="s">
        <v>3228</v>
      </c>
      <c r="Q1551" s="91" t="s">
        <v>39</v>
      </c>
      <c r="R1551" s="213" t="s">
        <v>2947</v>
      </c>
      <c r="S1551" s="210" t="s">
        <v>2130</v>
      </c>
      <c r="T1551" s="212" t="s">
        <v>56</v>
      </c>
      <c r="U1551" s="124" t="s">
        <v>2751</v>
      </c>
      <c r="V1551" s="124" t="s">
        <v>51</v>
      </c>
      <c r="W1551" s="94" t="s">
        <v>51</v>
      </c>
      <c r="X1551" s="124" t="s">
        <v>52</v>
      </c>
      <c r="Y1551" s="91" t="s">
        <v>946</v>
      </c>
      <c r="AA1551" s="124" t="s">
        <v>757</v>
      </c>
    </row>
    <row r="1552" spans="1:34" ht="60">
      <c r="A1552" s="120">
        <v>1542</v>
      </c>
      <c r="B1552" s="120" t="b">
        <f t="shared" ca="1" si="75"/>
        <v>0</v>
      </c>
      <c r="C1552" s="121">
        <v>46006</v>
      </c>
      <c r="D1552" s="137">
        <v>0.31015046296296295</v>
      </c>
      <c r="E1552" s="94">
        <v>2005</v>
      </c>
      <c r="F1552" s="91">
        <v>1202</v>
      </c>
      <c r="G1552" s="143" t="s">
        <v>34</v>
      </c>
      <c r="H1552" s="139">
        <v>1042</v>
      </c>
      <c r="J1552" s="91" t="s">
        <v>35</v>
      </c>
      <c r="K1552" s="94">
        <v>95.013999999999996</v>
      </c>
      <c r="L1552" s="94" t="str">
        <f>VLOOKUP(K1552,Liste!$L$2:$O$34,4,1)</f>
        <v>GSMR_17/18</v>
      </c>
      <c r="M1552" s="118" t="s">
        <v>36</v>
      </c>
      <c r="N1552" s="118" t="s">
        <v>37</v>
      </c>
      <c r="O1552" s="148" t="s">
        <v>3229</v>
      </c>
      <c r="Q1552" s="91" t="s">
        <v>47</v>
      </c>
      <c r="R1552" s="148" t="s">
        <v>3230</v>
      </c>
      <c r="S1552" s="210" t="s">
        <v>3231</v>
      </c>
      <c r="T1552" s="212" t="s">
        <v>3232</v>
      </c>
      <c r="U1552" s="124" t="s">
        <v>3233</v>
      </c>
      <c r="V1552" s="124" t="s">
        <v>51</v>
      </c>
      <c r="W1552" s="94" t="s">
        <v>51</v>
      </c>
      <c r="X1552" s="124" t="s">
        <v>52</v>
      </c>
      <c r="Y1552" s="91" t="s">
        <v>3211</v>
      </c>
      <c r="AA1552" s="124" t="s">
        <v>754</v>
      </c>
    </row>
    <row r="1553" spans="1:27" ht="60">
      <c r="A1553" s="120">
        <v>1543</v>
      </c>
      <c r="B1553" s="120" t="b">
        <f t="shared" ca="1" si="75"/>
        <v>0</v>
      </c>
      <c r="C1553" s="121">
        <v>46008</v>
      </c>
      <c r="D1553" s="137">
        <v>0.71246527777777779</v>
      </c>
      <c r="E1553" s="94">
        <v>2045</v>
      </c>
      <c r="F1553" s="91">
        <v>1206</v>
      </c>
      <c r="G1553" s="143" t="s">
        <v>34</v>
      </c>
      <c r="H1553" s="139">
        <v>1055</v>
      </c>
      <c r="J1553" s="91" t="s">
        <v>35</v>
      </c>
      <c r="K1553" s="160">
        <v>6.13</v>
      </c>
      <c r="L1553" s="94" t="str">
        <f>VLOOKUP(K1553,Liste!$L$2:$O$34,4,1)</f>
        <v>GSMR_02/03</v>
      </c>
      <c r="M1553" s="118" t="s">
        <v>36</v>
      </c>
      <c r="N1553" s="118" t="s">
        <v>37</v>
      </c>
      <c r="O1553" s="148" t="s">
        <v>3234</v>
      </c>
      <c r="Q1553" s="91" t="s">
        <v>39</v>
      </c>
      <c r="R1553" s="213" t="s">
        <v>2947</v>
      </c>
      <c r="S1553" s="210" t="s">
        <v>1459</v>
      </c>
      <c r="T1553" s="212" t="s">
        <v>56</v>
      </c>
      <c r="U1553" s="124" t="s">
        <v>2824</v>
      </c>
      <c r="V1553" s="124" t="s">
        <v>51</v>
      </c>
      <c r="W1553" s="94" t="s">
        <v>51</v>
      </c>
      <c r="X1553" s="124" t="s">
        <v>52</v>
      </c>
      <c r="Y1553" s="91" t="s">
        <v>946</v>
      </c>
      <c r="AA1553" s="124" t="s">
        <v>959</v>
      </c>
    </row>
    <row r="1554" spans="1:27" ht="66.599999999999994" customHeight="1">
      <c r="A1554" s="120">
        <v>1544</v>
      </c>
      <c r="B1554" s="120" t="b">
        <f t="shared" ca="1" si="75"/>
        <v>0</v>
      </c>
      <c r="C1554" s="121">
        <v>46009</v>
      </c>
      <c r="D1554" s="137">
        <v>0.50384259259259256</v>
      </c>
      <c r="E1554" s="94">
        <v>2025</v>
      </c>
      <c r="F1554" s="91">
        <v>1209</v>
      </c>
      <c r="G1554" s="143" t="s">
        <v>34</v>
      </c>
      <c r="H1554" s="139">
        <v>7208</v>
      </c>
      <c r="J1554" s="91" t="s">
        <v>35</v>
      </c>
      <c r="K1554" s="160">
        <v>6.13</v>
      </c>
      <c r="L1554" s="94" t="str">
        <f>VLOOKUP(K1554,Liste!$L$2:$O$34,4,1)</f>
        <v>GSMR_02/03</v>
      </c>
      <c r="M1554" s="118" t="s">
        <v>36</v>
      </c>
      <c r="N1554" s="118" t="s">
        <v>58</v>
      </c>
      <c r="O1554" s="148" t="s">
        <v>3235</v>
      </c>
      <c r="Q1554" s="91" t="s">
        <v>39</v>
      </c>
      <c r="R1554" s="213" t="s">
        <v>2947</v>
      </c>
      <c r="S1554" s="210" t="s">
        <v>1232</v>
      </c>
      <c r="T1554" s="212" t="s">
        <v>116</v>
      </c>
      <c r="U1554" s="124" t="s">
        <v>3039</v>
      </c>
      <c r="V1554" s="124" t="s">
        <v>51</v>
      </c>
      <c r="W1554" s="94" t="s">
        <v>51</v>
      </c>
      <c r="X1554" s="124" t="s">
        <v>52</v>
      </c>
      <c r="Y1554" s="91" t="s">
        <v>946</v>
      </c>
      <c r="AA1554" s="124" t="s">
        <v>802</v>
      </c>
    </row>
    <row r="1555" spans="1:27" ht="60">
      <c r="A1555" s="120">
        <v>1545</v>
      </c>
      <c r="B1555" s="120" t="b">
        <f t="shared" ca="1" si="75"/>
        <v>0</v>
      </c>
      <c r="C1555" s="121">
        <v>46010</v>
      </c>
      <c r="D1555" s="137">
        <v>0.79524305555555552</v>
      </c>
      <c r="E1555" s="94">
        <v>2053</v>
      </c>
      <c r="F1555" s="91">
        <v>1201</v>
      </c>
      <c r="G1555" s="143" t="s">
        <v>34</v>
      </c>
      <c r="H1555" s="139">
        <v>1056</v>
      </c>
      <c r="J1555" s="91" t="s">
        <v>35</v>
      </c>
      <c r="K1555" s="160">
        <v>6.13</v>
      </c>
      <c r="L1555" s="94" t="str">
        <f>VLOOKUP(K1555,Liste!$L$2:$O$34,4,1)</f>
        <v>GSMR_02/03</v>
      </c>
      <c r="M1555" s="118" t="s">
        <v>36</v>
      </c>
      <c r="N1555" s="118" t="s">
        <v>37</v>
      </c>
      <c r="O1555" s="148" t="s">
        <v>3234</v>
      </c>
      <c r="Q1555" s="91" t="s">
        <v>39</v>
      </c>
      <c r="R1555" s="213" t="s">
        <v>2947</v>
      </c>
      <c r="S1555" s="210" t="s">
        <v>1459</v>
      </c>
      <c r="T1555" s="212" t="s">
        <v>56</v>
      </c>
      <c r="U1555" s="124" t="s">
        <v>2830</v>
      </c>
      <c r="V1555" s="124" t="s">
        <v>43</v>
      </c>
      <c r="W1555" s="94" t="s">
        <v>51</v>
      </c>
      <c r="X1555" s="124" t="s">
        <v>52</v>
      </c>
      <c r="Y1555" s="91" t="s">
        <v>946</v>
      </c>
      <c r="AA1555" s="124" t="s">
        <v>793</v>
      </c>
    </row>
    <row r="1556" spans="1:27" ht="66.599999999999994" customHeight="1">
      <c r="A1556" s="120">
        <v>1546</v>
      </c>
      <c r="B1556" s="120" t="b">
        <f t="shared" ca="1" si="75"/>
        <v>0</v>
      </c>
      <c r="C1556" s="121">
        <v>46011</v>
      </c>
      <c r="D1556" s="137">
        <v>0.58689814814814811</v>
      </c>
      <c r="E1556" s="94">
        <v>2033</v>
      </c>
      <c r="F1556" s="91">
        <v>1201</v>
      </c>
      <c r="G1556" s="143" t="s">
        <v>34</v>
      </c>
      <c r="H1556" s="139">
        <v>1053</v>
      </c>
      <c r="J1556" s="91" t="s">
        <v>35</v>
      </c>
      <c r="K1556" s="160">
        <v>6.13</v>
      </c>
      <c r="L1556" s="94" t="str">
        <f>VLOOKUP(K1556,Liste!$L$2:$O$34,4,1)</f>
        <v>GSMR_02/03</v>
      </c>
      <c r="M1556" s="118" t="s">
        <v>36</v>
      </c>
      <c r="N1556" s="118" t="s">
        <v>58</v>
      </c>
      <c r="O1556" s="148" t="s">
        <v>3236</v>
      </c>
      <c r="Q1556" s="91" t="s">
        <v>39</v>
      </c>
      <c r="R1556" s="213" t="s">
        <v>2947</v>
      </c>
      <c r="S1556" s="210" t="s">
        <v>1459</v>
      </c>
      <c r="T1556" s="212" t="s">
        <v>93</v>
      </c>
      <c r="U1556" s="124" t="s">
        <v>3061</v>
      </c>
      <c r="V1556" s="124" t="s">
        <v>51</v>
      </c>
      <c r="W1556" s="94" t="s">
        <v>51</v>
      </c>
      <c r="X1556" s="124" t="s">
        <v>52</v>
      </c>
      <c r="Y1556" s="91" t="s">
        <v>946</v>
      </c>
      <c r="AA1556" s="124" t="s">
        <v>1183</v>
      </c>
    </row>
    <row r="1557" spans="1:27" ht="60">
      <c r="A1557" s="120">
        <v>1547</v>
      </c>
      <c r="B1557" s="120" t="b">
        <f t="shared" ca="1" si="75"/>
        <v>0</v>
      </c>
      <c r="C1557" s="121">
        <v>46012</v>
      </c>
      <c r="D1557" s="137">
        <v>0.51031249999999995</v>
      </c>
      <c r="E1557" s="94">
        <v>1018</v>
      </c>
      <c r="F1557" s="91">
        <v>1207</v>
      </c>
      <c r="G1557" s="143" t="s">
        <v>71</v>
      </c>
      <c r="H1557" s="139">
        <v>1053</v>
      </c>
      <c r="J1557" s="91" t="s">
        <v>35</v>
      </c>
      <c r="K1557" s="160">
        <v>5.73</v>
      </c>
      <c r="L1557" s="94" t="str">
        <f>VLOOKUP(K1557,Liste!$L$2:$O$34,4,1)</f>
        <v>GSMR_02/03</v>
      </c>
      <c r="M1557" s="118" t="s">
        <v>36</v>
      </c>
      <c r="N1557" s="118" t="s">
        <v>37</v>
      </c>
      <c r="O1557" s="148" t="s">
        <v>3237</v>
      </c>
      <c r="Q1557" s="91" t="s">
        <v>39</v>
      </c>
      <c r="R1557" s="213" t="s">
        <v>2947</v>
      </c>
      <c r="S1557" s="210" t="s">
        <v>3238</v>
      </c>
      <c r="T1557" s="212" t="s">
        <v>56</v>
      </c>
      <c r="U1557" s="124" t="s">
        <v>3039</v>
      </c>
      <c r="V1557" s="124" t="s">
        <v>43</v>
      </c>
      <c r="W1557" s="94" t="s">
        <v>51</v>
      </c>
      <c r="X1557" s="124" t="s">
        <v>52</v>
      </c>
      <c r="Y1557" s="91" t="s">
        <v>946</v>
      </c>
      <c r="AA1557" s="124" t="s">
        <v>3096</v>
      </c>
    </row>
    <row r="1558" spans="1:27" ht="60">
      <c r="A1558" s="120">
        <v>1548</v>
      </c>
      <c r="B1558" s="120" t="b">
        <f t="shared" ca="1" si="75"/>
        <v>0</v>
      </c>
      <c r="C1558" s="121">
        <v>46013</v>
      </c>
      <c r="D1558" s="137">
        <v>0.31361111111111112</v>
      </c>
      <c r="E1558" s="94">
        <v>2005</v>
      </c>
      <c r="F1558" s="91">
        <v>1202</v>
      </c>
      <c r="G1558" s="143" t="s">
        <v>34</v>
      </c>
      <c r="H1558" s="139">
        <v>1043</v>
      </c>
      <c r="J1558" s="91" t="s">
        <v>35</v>
      </c>
      <c r="K1558" s="94">
        <v>126.51</v>
      </c>
      <c r="L1558" s="94" t="str">
        <f>VLOOKUP(K1558,Liste!$L$2:$O$34,4,1)</f>
        <v>GSMR_22/23</v>
      </c>
      <c r="M1558" s="118" t="s">
        <v>36</v>
      </c>
      <c r="N1558" s="118" t="s">
        <v>37</v>
      </c>
      <c r="O1558" s="148" t="s">
        <v>3239</v>
      </c>
      <c r="Q1558" s="91" t="s">
        <v>47</v>
      </c>
      <c r="R1558" s="148" t="s">
        <v>3230</v>
      </c>
      <c r="S1558" s="210" t="s">
        <v>3240</v>
      </c>
      <c r="T1558" s="212" t="s">
        <v>78</v>
      </c>
      <c r="U1558" s="124" t="s">
        <v>2813</v>
      </c>
      <c r="V1558" s="124" t="s">
        <v>43</v>
      </c>
      <c r="W1558" s="94" t="s">
        <v>51</v>
      </c>
      <c r="X1558" s="124" t="s">
        <v>52</v>
      </c>
      <c r="Y1558" s="91" t="s">
        <v>946</v>
      </c>
      <c r="AA1558" s="124" t="s">
        <v>754</v>
      </c>
    </row>
    <row r="1559" spans="1:27" ht="60">
      <c r="A1559" s="120">
        <v>1549</v>
      </c>
      <c r="B1559" s="120" t="b">
        <f t="shared" ca="1" si="75"/>
        <v>0</v>
      </c>
      <c r="C1559" s="121">
        <v>46014</v>
      </c>
      <c r="D1559" s="137">
        <v>0.58719907407407412</v>
      </c>
      <c r="E1559" s="94">
        <v>2033</v>
      </c>
      <c r="F1559" s="91">
        <v>1202</v>
      </c>
      <c r="G1559" s="143" t="s">
        <v>34</v>
      </c>
      <c r="H1559" s="139">
        <v>1043</v>
      </c>
      <c r="J1559" s="91" t="s">
        <v>35</v>
      </c>
      <c r="K1559" s="160">
        <v>6.13</v>
      </c>
      <c r="L1559" s="94" t="str">
        <f>VLOOKUP(K1559,Liste!$L$2:$O$34,4,1)</f>
        <v>GSMR_02/03</v>
      </c>
      <c r="M1559" s="118" t="s">
        <v>36</v>
      </c>
      <c r="N1559" s="118" t="s">
        <v>37</v>
      </c>
      <c r="O1559" s="148" t="s">
        <v>3236</v>
      </c>
      <c r="Q1559" s="91" t="s">
        <v>39</v>
      </c>
      <c r="R1559" s="213" t="s">
        <v>2947</v>
      </c>
      <c r="S1559" s="210" t="s">
        <v>1459</v>
      </c>
      <c r="T1559" s="212" t="s">
        <v>56</v>
      </c>
      <c r="U1559" s="124" t="s">
        <v>2759</v>
      </c>
      <c r="V1559" s="124" t="s">
        <v>51</v>
      </c>
      <c r="W1559" s="94" t="s">
        <v>51</v>
      </c>
      <c r="X1559" s="124" t="s">
        <v>52</v>
      </c>
      <c r="Y1559" s="91" t="s">
        <v>946</v>
      </c>
      <c r="AA1559" s="124" t="s">
        <v>778</v>
      </c>
    </row>
    <row r="1560" spans="1:27" ht="50.25" customHeight="1">
      <c r="A1560" s="120">
        <v>1550</v>
      </c>
      <c r="B1560" s="120" t="b">
        <f t="shared" ca="1" si="75"/>
        <v>0</v>
      </c>
      <c r="C1560" s="121">
        <v>46014</v>
      </c>
      <c r="D1560" s="137">
        <v>0.71208333333333329</v>
      </c>
      <c r="E1560" s="94">
        <v>2045</v>
      </c>
      <c r="F1560" s="91">
        <v>1208</v>
      </c>
      <c r="G1560" s="143" t="s">
        <v>34</v>
      </c>
      <c r="H1560" s="139">
        <v>1036</v>
      </c>
      <c r="J1560" s="91" t="s">
        <v>35</v>
      </c>
      <c r="K1560" s="160">
        <v>6.13</v>
      </c>
      <c r="L1560" s="94" t="str">
        <f>VLOOKUP(K1560,Liste!$L$2:$O$34,4,1)</f>
        <v>GSMR_02/03</v>
      </c>
      <c r="M1560" s="118" t="s">
        <v>36</v>
      </c>
      <c r="N1560" s="118" t="s">
        <v>58</v>
      </c>
      <c r="O1560" s="148" t="s">
        <v>3241</v>
      </c>
      <c r="Q1560" s="91" t="s">
        <v>39</v>
      </c>
      <c r="R1560" s="213" t="s">
        <v>2947</v>
      </c>
      <c r="S1560" s="210" t="s">
        <v>1255</v>
      </c>
      <c r="T1560" s="212" t="s">
        <v>93</v>
      </c>
      <c r="U1560" s="124" t="s">
        <v>2800</v>
      </c>
      <c r="V1560" s="124" t="s">
        <v>43</v>
      </c>
      <c r="W1560" s="94" t="s">
        <v>51</v>
      </c>
      <c r="X1560" s="124" t="s">
        <v>52</v>
      </c>
      <c r="Y1560" s="91" t="s">
        <v>946</v>
      </c>
      <c r="AA1560" s="124" t="s">
        <v>810</v>
      </c>
    </row>
    <row r="1561" spans="1:27" ht="60">
      <c r="A1561" s="120">
        <v>1551</v>
      </c>
      <c r="B1561" s="120" t="b">
        <f t="shared" ca="1" si="75"/>
        <v>0</v>
      </c>
      <c r="C1561" s="121">
        <v>46014</v>
      </c>
      <c r="D1561" s="137">
        <v>0.7591782407407407</v>
      </c>
      <c r="E1561" s="94">
        <v>1041</v>
      </c>
      <c r="F1561" s="91">
        <v>1203</v>
      </c>
      <c r="G1561" s="143" t="s">
        <v>71</v>
      </c>
      <c r="H1561" s="139">
        <v>1026</v>
      </c>
      <c r="J1561" s="91" t="s">
        <v>72</v>
      </c>
      <c r="K1561" s="160">
        <v>7.3209999999999997</v>
      </c>
      <c r="L1561" s="94" t="str">
        <f>VLOOKUP(K1561,Liste!$L$2:$O$34,4,1)</f>
        <v>GSMR_02/03</v>
      </c>
      <c r="M1561" s="118" t="s">
        <v>36</v>
      </c>
      <c r="N1561" s="118" t="s">
        <v>37</v>
      </c>
      <c r="O1561" s="148" t="s">
        <v>3242</v>
      </c>
      <c r="Q1561" s="91" t="s">
        <v>39</v>
      </c>
      <c r="R1561" s="213" t="s">
        <v>2947</v>
      </c>
      <c r="S1561" s="210" t="s">
        <v>2264</v>
      </c>
      <c r="T1561" s="212" t="s">
        <v>93</v>
      </c>
      <c r="U1561" s="124" t="s">
        <v>3147</v>
      </c>
      <c r="V1561" s="124" t="s">
        <v>43</v>
      </c>
      <c r="W1561" s="94" t="s">
        <v>43</v>
      </c>
      <c r="X1561" s="124" t="s">
        <v>52</v>
      </c>
      <c r="Y1561" s="91" t="s">
        <v>946</v>
      </c>
      <c r="AA1561" s="124" t="s">
        <v>778</v>
      </c>
    </row>
    <row r="1562" spans="1:27" ht="60">
      <c r="A1562" s="120">
        <v>1552</v>
      </c>
      <c r="B1562" s="120" t="b">
        <f t="shared" ca="1" si="75"/>
        <v>0</v>
      </c>
      <c r="C1562" s="121">
        <v>46015</v>
      </c>
      <c r="D1562" s="137">
        <v>0.41513888888888889</v>
      </c>
      <c r="E1562" s="94">
        <v>1009</v>
      </c>
      <c r="F1562" s="91">
        <v>1205</v>
      </c>
      <c r="G1562" s="143" t="s">
        <v>71</v>
      </c>
      <c r="H1562" s="139">
        <v>1083</v>
      </c>
      <c r="J1562" s="91" t="s">
        <v>35</v>
      </c>
      <c r="K1562" s="94">
        <v>127.815</v>
      </c>
      <c r="L1562" s="94" t="str">
        <f>VLOOKUP(K1562,Liste!$L$2:$O$34,4,1)</f>
        <v>GSMR_22/23</v>
      </c>
      <c r="M1562" s="118" t="s">
        <v>36</v>
      </c>
      <c r="N1562" s="118" t="s">
        <v>37</v>
      </c>
      <c r="O1562" s="148" t="s">
        <v>3243</v>
      </c>
      <c r="Q1562" s="91" t="s">
        <v>47</v>
      </c>
      <c r="R1562" s="148" t="s">
        <v>3230</v>
      </c>
      <c r="S1562" s="210" t="s">
        <v>3240</v>
      </c>
      <c r="T1562" s="212" t="s">
        <v>93</v>
      </c>
      <c r="U1562" s="124" t="s">
        <v>3244</v>
      </c>
      <c r="V1562" s="124" t="s">
        <v>51</v>
      </c>
      <c r="W1562" s="94" t="s">
        <v>51</v>
      </c>
      <c r="X1562" s="124" t="s">
        <v>52</v>
      </c>
      <c r="Y1562" s="91" t="s">
        <v>3211</v>
      </c>
      <c r="AA1562" s="124" t="s">
        <v>793</v>
      </c>
    </row>
    <row r="1563" spans="1:27" ht="60">
      <c r="A1563" s="120">
        <v>1553</v>
      </c>
      <c r="B1563" s="120" t="b">
        <f t="shared" ref="B1563:B1569" ca="1" si="76">AND(C1563&gt;=TODAY()-7, C1563&lt;=TODAY()-1)</f>
        <v>0</v>
      </c>
      <c r="C1563" s="121">
        <v>46016</v>
      </c>
      <c r="D1563" s="137">
        <v>0.92549768518518516</v>
      </c>
      <c r="E1563" s="94">
        <v>1057</v>
      </c>
      <c r="F1563" s="91">
        <v>1201</v>
      </c>
      <c r="G1563" s="143" t="s">
        <v>71</v>
      </c>
      <c r="H1563" s="139">
        <v>1028</v>
      </c>
      <c r="J1563" s="91" t="s">
        <v>35</v>
      </c>
      <c r="K1563" s="160">
        <v>7.3209999999999997</v>
      </c>
      <c r="L1563" s="94" t="str">
        <f>VLOOKUP(K1563,Liste!$L$2:$O$34,4,1)</f>
        <v>GSMR_02/03</v>
      </c>
      <c r="M1563" s="118" t="s">
        <v>36</v>
      </c>
      <c r="N1563" s="118" t="s">
        <v>37</v>
      </c>
      <c r="O1563" s="148" t="s">
        <v>3245</v>
      </c>
      <c r="Q1563" s="91" t="s">
        <v>39</v>
      </c>
      <c r="R1563" s="213" t="s">
        <v>2947</v>
      </c>
      <c r="S1563" s="210" t="s">
        <v>3246</v>
      </c>
      <c r="T1563" s="212" t="s">
        <v>116</v>
      </c>
      <c r="U1563" s="124" t="s">
        <v>2865</v>
      </c>
      <c r="V1563" s="124" t="s">
        <v>51</v>
      </c>
      <c r="W1563" s="94" t="s">
        <v>51</v>
      </c>
      <c r="X1563" s="124" t="s">
        <v>52</v>
      </c>
      <c r="Y1563" s="91" t="s">
        <v>3211</v>
      </c>
      <c r="AA1563" s="124" t="s">
        <v>3096</v>
      </c>
    </row>
    <row r="1564" spans="1:27" ht="45">
      <c r="A1564" s="120">
        <v>1554</v>
      </c>
      <c r="B1564" s="120" t="b">
        <f t="shared" ca="1" si="76"/>
        <v>0</v>
      </c>
      <c r="C1564" s="121">
        <v>46019</v>
      </c>
      <c r="D1564" s="250">
        <v>5.7638888888888887E-3</v>
      </c>
      <c r="E1564" s="94">
        <v>15665</v>
      </c>
      <c r="F1564" s="91">
        <v>1206</v>
      </c>
      <c r="G1564" s="143" t="s">
        <v>71</v>
      </c>
      <c r="H1564" s="251">
        <v>1040</v>
      </c>
      <c r="J1564" s="91" t="s">
        <v>72</v>
      </c>
      <c r="K1564" s="214">
        <v>202.125</v>
      </c>
      <c r="L1564" s="94" t="str">
        <f>VLOOKUP(K1564,Liste!$L$2:$O$34,4,1)</f>
        <v>GSMR_33/RAC</v>
      </c>
      <c r="M1564" s="118" t="s">
        <v>36</v>
      </c>
      <c r="N1564" s="252" t="s">
        <v>58</v>
      </c>
      <c r="O1564" s="148" t="s">
        <v>3247</v>
      </c>
      <c r="Q1564" s="91" t="s">
        <v>47</v>
      </c>
      <c r="R1564" s="253" t="s">
        <v>3230</v>
      </c>
      <c r="S1564" s="210" t="s">
        <v>3248</v>
      </c>
      <c r="T1564" s="212" t="s">
        <v>56</v>
      </c>
      <c r="U1564" s="124" t="s">
        <v>2857</v>
      </c>
      <c r="V1564" s="124" t="s">
        <v>51</v>
      </c>
      <c r="W1564" s="94" t="s">
        <v>51</v>
      </c>
      <c r="X1564" s="124" t="s">
        <v>52</v>
      </c>
      <c r="Y1564" s="91" t="s">
        <v>3249</v>
      </c>
      <c r="AA1564" s="124" t="s">
        <v>1118</v>
      </c>
    </row>
    <row r="1565" spans="1:27" ht="45">
      <c r="A1565" s="120">
        <v>1555</v>
      </c>
      <c r="B1565" s="120" t="b">
        <f t="shared" ca="1" si="76"/>
        <v>0</v>
      </c>
      <c r="C1565" s="254">
        <v>46021</v>
      </c>
      <c r="D1565" s="230">
        <v>0.19115740740740741</v>
      </c>
      <c r="E1565" s="255">
        <v>2081</v>
      </c>
      <c r="F1565" s="91">
        <v>1205</v>
      </c>
      <c r="G1565" s="256" t="s">
        <v>34</v>
      </c>
      <c r="H1565" s="149">
        <v>7218</v>
      </c>
      <c r="J1565" s="231" t="s">
        <v>35</v>
      </c>
      <c r="K1565" s="149">
        <v>79.281999999999996</v>
      </c>
      <c r="L1565" s="255" t="str">
        <f>VLOOKUP(K1565,Liste!$L$2:$O$34,4,1)</f>
        <v>GSMR_14/15</v>
      </c>
      <c r="M1565" s="118" t="s">
        <v>36</v>
      </c>
      <c r="N1565" s="149" t="s">
        <v>58</v>
      </c>
      <c r="O1565" s="257" t="s">
        <v>3250</v>
      </c>
      <c r="Q1565" s="258" t="s">
        <v>105</v>
      </c>
      <c r="R1565" s="213" t="s">
        <v>3220</v>
      </c>
      <c r="S1565" s="259" t="s">
        <v>3251</v>
      </c>
      <c r="T1565" s="212" t="s">
        <v>69</v>
      </c>
      <c r="U1565" s="124" t="s">
        <v>2764</v>
      </c>
      <c r="V1565" s="124" t="s">
        <v>51</v>
      </c>
      <c r="W1565" s="94" t="s">
        <v>51</v>
      </c>
      <c r="X1565" s="124" t="s">
        <v>52</v>
      </c>
      <c r="Y1565" s="91" t="s">
        <v>3252</v>
      </c>
      <c r="AA1565" s="124" t="s">
        <v>1118</v>
      </c>
    </row>
    <row r="1566" spans="1:27" ht="60">
      <c r="A1566" s="120">
        <v>1556</v>
      </c>
      <c r="B1566" s="120" t="b">
        <f t="shared" ca="1" si="76"/>
        <v>0</v>
      </c>
      <c r="C1566" s="121">
        <v>46022</v>
      </c>
      <c r="D1566" s="137">
        <v>0.79541666666666666</v>
      </c>
      <c r="E1566" s="94">
        <v>2053</v>
      </c>
      <c r="F1566" s="91">
        <v>1210</v>
      </c>
      <c r="G1566" s="256" t="s">
        <v>34</v>
      </c>
      <c r="H1566" s="139">
        <v>1051</v>
      </c>
      <c r="J1566" s="91" t="s">
        <v>35</v>
      </c>
      <c r="K1566" s="160">
        <v>6.13</v>
      </c>
      <c r="L1566" s="94" t="str">
        <f>VLOOKUP(K1566,Liste!$L$2:$O$34,4,1)</f>
        <v>GSMR_02/03</v>
      </c>
      <c r="M1566" s="118" t="s">
        <v>36</v>
      </c>
      <c r="N1566" s="118" t="s">
        <v>37</v>
      </c>
      <c r="O1566" s="148" t="s">
        <v>3253</v>
      </c>
      <c r="Q1566" s="91" t="s">
        <v>39</v>
      </c>
      <c r="R1566" s="213" t="s">
        <v>2947</v>
      </c>
      <c r="S1566" s="210" t="s">
        <v>3254</v>
      </c>
      <c r="T1566" s="212" t="s">
        <v>93</v>
      </c>
      <c r="U1566" s="124" t="s">
        <v>2746</v>
      </c>
      <c r="V1566" s="124" t="s">
        <v>51</v>
      </c>
      <c r="W1566" s="94" t="s">
        <v>51</v>
      </c>
      <c r="X1566" s="124" t="s">
        <v>52</v>
      </c>
      <c r="Y1566" s="91" t="s">
        <v>3249</v>
      </c>
      <c r="AA1566" s="124" t="s">
        <v>772</v>
      </c>
    </row>
    <row r="1567" spans="1:27" ht="60">
      <c r="A1567" s="120">
        <v>1557</v>
      </c>
      <c r="B1567" s="120" t="b">
        <f t="shared" ca="1" si="76"/>
        <v>0</v>
      </c>
      <c r="C1567" s="121">
        <v>46022</v>
      </c>
      <c r="D1567" s="137">
        <v>0.92590277777777774</v>
      </c>
      <c r="E1567" s="94">
        <v>1057</v>
      </c>
      <c r="F1567" s="91">
        <v>1208</v>
      </c>
      <c r="G1567" s="256" t="s">
        <v>71</v>
      </c>
      <c r="H1567" s="139">
        <v>1044</v>
      </c>
      <c r="J1567" s="91" t="s">
        <v>72</v>
      </c>
      <c r="K1567" s="160">
        <v>7.3209999999999997</v>
      </c>
      <c r="L1567" s="94" t="str">
        <f>VLOOKUP(K1567,Liste!$L$2:$O$34,4,1)</f>
        <v>GSMR_02/03</v>
      </c>
      <c r="M1567" s="118" t="s">
        <v>36</v>
      </c>
      <c r="N1567" s="149" t="s">
        <v>58</v>
      </c>
      <c r="O1567" s="148" t="s">
        <v>3255</v>
      </c>
      <c r="Q1567" s="91" t="s">
        <v>39</v>
      </c>
      <c r="R1567" s="213" t="s">
        <v>2947</v>
      </c>
      <c r="S1567" s="210" t="s">
        <v>1232</v>
      </c>
      <c r="T1567" s="212" t="s">
        <v>93</v>
      </c>
      <c r="U1567" s="124" t="s">
        <v>2800</v>
      </c>
      <c r="V1567" s="124" t="s">
        <v>51</v>
      </c>
      <c r="W1567" s="94" t="s">
        <v>51</v>
      </c>
      <c r="X1567" s="124" t="s">
        <v>52</v>
      </c>
      <c r="Y1567" s="91" t="s">
        <v>3249</v>
      </c>
      <c r="AA1567" s="124" t="s">
        <v>1183</v>
      </c>
    </row>
    <row r="1568" spans="1:27" ht="60">
      <c r="A1568" s="120">
        <v>1558</v>
      </c>
      <c r="B1568" s="120" t="b">
        <f t="shared" ca="1" si="76"/>
        <v>0</v>
      </c>
      <c r="C1568" s="121">
        <v>46027</v>
      </c>
      <c r="D1568" s="137">
        <v>0.4203587962962963</v>
      </c>
      <c r="E1568" s="94">
        <v>2017</v>
      </c>
      <c r="F1568" s="91">
        <v>1206</v>
      </c>
      <c r="G1568" s="256" t="s">
        <v>34</v>
      </c>
      <c r="H1568" s="139">
        <v>1055</v>
      </c>
      <c r="J1568" s="91" t="s">
        <v>72</v>
      </c>
      <c r="K1568" s="160">
        <v>6.13</v>
      </c>
      <c r="L1568" s="94" t="str">
        <f>VLOOKUP(K1568,Liste!$L$2:$O$34,4,1)</f>
        <v>GSMR_02/03</v>
      </c>
      <c r="M1568" s="118" t="s">
        <v>36</v>
      </c>
      <c r="N1568" s="118" t="s">
        <v>37</v>
      </c>
      <c r="O1568" s="148" t="s">
        <v>3256</v>
      </c>
      <c r="Q1568" s="91" t="s">
        <v>39</v>
      </c>
      <c r="R1568" s="213" t="s">
        <v>2947</v>
      </c>
      <c r="S1568" s="210" t="s">
        <v>2130</v>
      </c>
      <c r="T1568" s="212" t="s">
        <v>78</v>
      </c>
      <c r="U1568" s="124" t="s">
        <v>2857</v>
      </c>
      <c r="V1568" s="124" t="s">
        <v>51</v>
      </c>
      <c r="W1568" s="94" t="s">
        <v>51</v>
      </c>
      <c r="X1568" s="124" t="s">
        <v>52</v>
      </c>
      <c r="Y1568" s="91" t="s">
        <v>3249</v>
      </c>
      <c r="AA1568" s="124" t="s">
        <v>802</v>
      </c>
    </row>
    <row r="1569" spans="1:27" ht="60">
      <c r="A1569" s="120">
        <v>1559</v>
      </c>
      <c r="B1569" s="120" t="b">
        <f t="shared" ca="1" si="76"/>
        <v>0</v>
      </c>
      <c r="C1569" s="121">
        <v>46030</v>
      </c>
      <c r="D1569" s="137">
        <v>0.31763888888888892</v>
      </c>
      <c r="E1569" s="94">
        <v>2005</v>
      </c>
      <c r="F1569" s="91">
        <v>1204</v>
      </c>
      <c r="G1569" s="256" t="s">
        <v>34</v>
      </c>
      <c r="H1569" s="139">
        <v>1053</v>
      </c>
      <c r="J1569" s="91" t="s">
        <v>72</v>
      </c>
      <c r="K1569" s="149">
        <v>145.6</v>
      </c>
      <c r="L1569" s="94" t="str">
        <f>VLOOKUP(K1569,Liste!$L$2:$O$34,4,1)</f>
        <v>GSMR_25/26</v>
      </c>
      <c r="M1569" s="118" t="s">
        <v>36</v>
      </c>
      <c r="N1569" s="118" t="s">
        <v>37</v>
      </c>
      <c r="O1569" s="148" t="s">
        <v>3257</v>
      </c>
      <c r="Q1569" s="91" t="s">
        <v>47</v>
      </c>
      <c r="R1569" s="253" t="s">
        <v>3230</v>
      </c>
      <c r="S1569" s="210" t="s">
        <v>1940</v>
      </c>
      <c r="T1569" s="212" t="s">
        <v>78</v>
      </c>
      <c r="U1569" s="124" t="s">
        <v>2824</v>
      </c>
      <c r="V1569" s="124" t="s">
        <v>43</v>
      </c>
      <c r="W1569" s="94" t="s">
        <v>51</v>
      </c>
      <c r="X1569" s="124" t="s">
        <v>52</v>
      </c>
      <c r="Y1569" s="91" t="s">
        <v>3249</v>
      </c>
      <c r="AA1569" s="124" t="s">
        <v>778</v>
      </c>
    </row>
    <row r="1570" spans="1:27" ht="60">
      <c r="A1570" s="120">
        <v>1560</v>
      </c>
      <c r="B1570" s="120" t="b">
        <f t="shared" ref="B1570:B1575" ca="1" si="77">AND(C1570&gt;=TODAY()-7, C1570&lt;=TODAY()-1)</f>
        <v>0</v>
      </c>
      <c r="C1570" s="121">
        <v>46030</v>
      </c>
      <c r="D1570" s="137">
        <v>0.81841435185185185</v>
      </c>
      <c r="E1570" s="94">
        <v>2053</v>
      </c>
      <c r="F1570" s="91">
        <v>1208</v>
      </c>
      <c r="G1570" s="256" t="s">
        <v>34</v>
      </c>
      <c r="H1570" s="139">
        <v>1036</v>
      </c>
      <c r="J1570" s="91" t="s">
        <v>35</v>
      </c>
      <c r="K1570" s="149">
        <v>161.72200000000001</v>
      </c>
      <c r="L1570" s="94" t="str">
        <f>VLOOKUP(K1570,Liste!$L$2:$O$34,4,1)</f>
        <v>GSMR_27/28</v>
      </c>
      <c r="M1570" s="118" t="s">
        <v>36</v>
      </c>
      <c r="N1570" s="118" t="s">
        <v>37</v>
      </c>
      <c r="O1570" s="148" t="s">
        <v>3258</v>
      </c>
      <c r="Q1570" s="91" t="s">
        <v>47</v>
      </c>
      <c r="R1570" s="253" t="s">
        <v>3230</v>
      </c>
      <c r="S1570" s="210" t="s">
        <v>3259</v>
      </c>
      <c r="T1570" s="212" t="s">
        <v>41</v>
      </c>
      <c r="U1570" s="124" t="s">
        <v>2757</v>
      </c>
      <c r="V1570" s="124" t="s">
        <v>43</v>
      </c>
      <c r="W1570" s="94" t="s">
        <v>51</v>
      </c>
      <c r="X1570" s="124" t="s">
        <v>52</v>
      </c>
      <c r="Y1570" s="91" t="s">
        <v>3249</v>
      </c>
      <c r="AA1570" s="124" t="s">
        <v>793</v>
      </c>
    </row>
    <row r="1571" spans="1:27" ht="60">
      <c r="A1571" s="120">
        <v>1561</v>
      </c>
      <c r="B1571" s="120" t="b">
        <f t="shared" ca="1" si="77"/>
        <v>0</v>
      </c>
      <c r="C1571" s="121">
        <v>46031</v>
      </c>
      <c r="D1571" s="137">
        <v>0.77263888888888888</v>
      </c>
      <c r="E1571" s="94">
        <v>2049</v>
      </c>
      <c r="F1571" s="91">
        <v>1202</v>
      </c>
      <c r="G1571" s="256" t="s">
        <v>34</v>
      </c>
      <c r="H1571" s="139">
        <v>1036</v>
      </c>
      <c r="J1571" s="91" t="s">
        <v>35</v>
      </c>
      <c r="K1571" s="149">
        <v>125.206</v>
      </c>
      <c r="L1571" s="94" t="str">
        <f>VLOOKUP(K1571,Liste!$L$2:$O$34,4,1)</f>
        <v>GSMR_22/23</v>
      </c>
      <c r="M1571" s="118" t="s">
        <v>36</v>
      </c>
      <c r="N1571" s="118" t="s">
        <v>37</v>
      </c>
      <c r="O1571" s="148" t="s">
        <v>3260</v>
      </c>
      <c r="Q1571" s="258" t="s">
        <v>105</v>
      </c>
      <c r="R1571" s="213" t="s">
        <v>3220</v>
      </c>
      <c r="S1571" s="259" t="s">
        <v>3261</v>
      </c>
      <c r="T1571" s="212" t="s">
        <v>69</v>
      </c>
      <c r="U1571" s="124" t="s">
        <v>2846</v>
      </c>
      <c r="V1571" s="124" t="s">
        <v>51</v>
      </c>
      <c r="W1571" s="94" t="s">
        <v>51</v>
      </c>
      <c r="X1571" s="124" t="s">
        <v>52</v>
      </c>
      <c r="Y1571" s="91" t="s">
        <v>3252</v>
      </c>
      <c r="AA1571" s="124" t="s">
        <v>793</v>
      </c>
    </row>
    <row r="1572" spans="1:27" ht="60">
      <c r="A1572" s="120">
        <v>1562</v>
      </c>
      <c r="B1572" s="120" t="b">
        <f t="shared" ca="1" si="77"/>
        <v>0</v>
      </c>
      <c r="C1572" s="121">
        <v>46032</v>
      </c>
      <c r="D1572" s="137">
        <v>0.84258101851851852</v>
      </c>
      <c r="E1572" s="94">
        <v>1050</v>
      </c>
      <c r="F1572" s="91">
        <v>1206</v>
      </c>
      <c r="G1572" s="256" t="s">
        <v>71</v>
      </c>
      <c r="H1572" s="139">
        <v>1040</v>
      </c>
      <c r="J1572" s="91" t="s">
        <v>72</v>
      </c>
      <c r="K1572" s="160">
        <v>7.3209999999999997</v>
      </c>
      <c r="L1572" s="94" t="str">
        <f>VLOOKUP(K1572,Liste!$L$2:$O$34,4,1)</f>
        <v>GSMR_02/03</v>
      </c>
      <c r="M1572" s="118" t="s">
        <v>36</v>
      </c>
      <c r="N1572" s="118" t="s">
        <v>37</v>
      </c>
      <c r="O1572" s="148" t="s">
        <v>3262</v>
      </c>
      <c r="Q1572" s="91" t="s">
        <v>39</v>
      </c>
      <c r="R1572" s="213" t="s">
        <v>2947</v>
      </c>
      <c r="S1572" s="210" t="s">
        <v>2261</v>
      </c>
      <c r="T1572" s="212" t="s">
        <v>93</v>
      </c>
      <c r="U1572" s="124" t="s">
        <v>3079</v>
      </c>
      <c r="V1572" s="124" t="s">
        <v>51</v>
      </c>
      <c r="W1572" s="94" t="s">
        <v>51</v>
      </c>
      <c r="X1572" s="124" t="s">
        <v>52</v>
      </c>
      <c r="Y1572" s="91" t="s">
        <v>3252</v>
      </c>
      <c r="AA1572" s="124" t="s">
        <v>754</v>
      </c>
    </row>
    <row r="1573" spans="1:27" ht="60">
      <c r="A1573" s="120">
        <v>1563</v>
      </c>
      <c r="B1573" s="120" t="b">
        <f t="shared" ca="1" si="77"/>
        <v>0</v>
      </c>
      <c r="C1573" s="121">
        <v>46033</v>
      </c>
      <c r="D1573" s="137">
        <v>0.46197916666666666</v>
      </c>
      <c r="E1573" s="94">
        <v>2021</v>
      </c>
      <c r="F1573" s="91">
        <v>1205</v>
      </c>
      <c r="G1573" s="256" t="s">
        <v>34</v>
      </c>
      <c r="H1573" s="139">
        <v>7281</v>
      </c>
      <c r="J1573" s="91" t="s">
        <v>35</v>
      </c>
      <c r="K1573" s="160">
        <v>6.13</v>
      </c>
      <c r="L1573" s="94" t="str">
        <f>VLOOKUP(K1573,Liste!$L$2:$O$34,4,1)</f>
        <v>GSMR_02/03</v>
      </c>
      <c r="M1573" s="118" t="s">
        <v>36</v>
      </c>
      <c r="N1573" s="149" t="s">
        <v>58</v>
      </c>
      <c r="O1573" s="148" t="s">
        <v>3263</v>
      </c>
      <c r="Q1573" s="91" t="s">
        <v>39</v>
      </c>
      <c r="R1573" s="213" t="s">
        <v>2947</v>
      </c>
      <c r="S1573" s="210" t="s">
        <v>2518</v>
      </c>
      <c r="T1573" s="212" t="s">
        <v>56</v>
      </c>
      <c r="U1573" s="124" t="s">
        <v>2746</v>
      </c>
      <c r="V1573" s="124" t="s">
        <v>51</v>
      </c>
      <c r="W1573" s="94" t="s">
        <v>51</v>
      </c>
      <c r="X1573" s="124" t="s">
        <v>52</v>
      </c>
      <c r="Y1573" s="91" t="s">
        <v>3249</v>
      </c>
      <c r="AA1573" s="124" t="s">
        <v>1118</v>
      </c>
    </row>
    <row r="1574" spans="1:27" ht="60">
      <c r="A1574" s="120">
        <v>1564</v>
      </c>
      <c r="B1574" s="120" t="b">
        <f t="shared" ca="1" si="77"/>
        <v>0</v>
      </c>
      <c r="C1574" s="121">
        <v>46033</v>
      </c>
      <c r="D1574" s="137">
        <v>0.80159722222222218</v>
      </c>
      <c r="E1574" s="94">
        <v>1045</v>
      </c>
      <c r="F1574" s="91">
        <v>1207</v>
      </c>
      <c r="G1574" s="256" t="s">
        <v>71</v>
      </c>
      <c r="H1574" s="139">
        <v>1046</v>
      </c>
      <c r="J1574" s="91" t="s">
        <v>72</v>
      </c>
      <c r="K1574" s="160">
        <v>7.13</v>
      </c>
      <c r="L1574" s="94" t="str">
        <f>VLOOKUP(K1574,Liste!$L$2:$O$34,4,1)</f>
        <v>GSMR_02/03</v>
      </c>
      <c r="M1574" s="118" t="s">
        <v>36</v>
      </c>
      <c r="N1574" s="118" t="s">
        <v>37</v>
      </c>
      <c r="O1574" s="148" t="s">
        <v>3264</v>
      </c>
      <c r="Q1574" s="91" t="s">
        <v>39</v>
      </c>
      <c r="R1574" s="213" t="s">
        <v>2947</v>
      </c>
      <c r="S1574" s="210" t="s">
        <v>1851</v>
      </c>
      <c r="T1574" s="212" t="s">
        <v>41</v>
      </c>
      <c r="U1574" s="124" t="s">
        <v>2843</v>
      </c>
      <c r="V1574" s="124" t="s">
        <v>43</v>
      </c>
      <c r="W1574" s="94" t="s">
        <v>51</v>
      </c>
      <c r="X1574" s="124" t="s">
        <v>52</v>
      </c>
      <c r="Y1574" s="91" t="s">
        <v>3249</v>
      </c>
      <c r="AA1574" s="124" t="s">
        <v>754</v>
      </c>
    </row>
    <row r="1575" spans="1:27" ht="60">
      <c r="A1575" s="120">
        <v>1565</v>
      </c>
      <c r="B1575" s="120" t="b">
        <f t="shared" ca="1" si="77"/>
        <v>0</v>
      </c>
      <c r="C1575" s="121">
        <v>46036</v>
      </c>
      <c r="D1575" s="137">
        <v>0.46190972222222221</v>
      </c>
      <c r="E1575" s="94">
        <v>2021</v>
      </c>
      <c r="F1575" s="91">
        <v>1209</v>
      </c>
      <c r="G1575" s="256" t="s">
        <v>34</v>
      </c>
      <c r="H1575" s="139">
        <v>1058</v>
      </c>
      <c r="J1575" s="91" t="s">
        <v>35</v>
      </c>
      <c r="K1575" s="160">
        <v>4.7069999999999999</v>
      </c>
      <c r="L1575" s="94" t="str">
        <f>VLOOKUP(K1575,Liste!$L$2:$O$34,4,1)</f>
        <v>GSMR_02/03</v>
      </c>
      <c r="M1575" s="118" t="s">
        <v>36</v>
      </c>
      <c r="N1575" s="149" t="s">
        <v>58</v>
      </c>
      <c r="O1575" s="148" t="s">
        <v>3265</v>
      </c>
      <c r="Q1575" s="91" t="s">
        <v>39</v>
      </c>
      <c r="R1575" s="260" t="s">
        <v>2947</v>
      </c>
      <c r="S1575" s="210" t="s">
        <v>3266</v>
      </c>
      <c r="T1575" s="212" t="s">
        <v>56</v>
      </c>
      <c r="U1575" s="124" t="s">
        <v>2774</v>
      </c>
      <c r="V1575" s="124" t="s">
        <v>51</v>
      </c>
      <c r="W1575" s="94" t="s">
        <v>51</v>
      </c>
      <c r="X1575" s="124" t="s">
        <v>52</v>
      </c>
      <c r="Y1575" s="91" t="s">
        <v>3249</v>
      </c>
      <c r="AA1575" s="124" t="s">
        <v>1183</v>
      </c>
    </row>
    <row r="1576" spans="1:27" ht="60">
      <c r="A1576" s="120">
        <v>1566</v>
      </c>
      <c r="B1576" s="120" t="b">
        <f ca="1">AND(C1576&gt;=TODAY()-7, C1576&lt;=TODAY()-1)</f>
        <v>0</v>
      </c>
      <c r="C1576" s="121">
        <v>46039</v>
      </c>
      <c r="D1576" s="137">
        <v>0.77449074074074076</v>
      </c>
      <c r="E1576" s="94">
        <v>1045</v>
      </c>
      <c r="F1576" s="91">
        <v>1201</v>
      </c>
      <c r="G1576" s="256" t="s">
        <v>71</v>
      </c>
      <c r="H1576" s="139">
        <v>1029</v>
      </c>
      <c r="J1576" s="91" t="s">
        <v>35</v>
      </c>
      <c r="K1576" s="149">
        <v>185.47</v>
      </c>
      <c r="L1576" s="94" t="str">
        <f>VLOOKUP(K1576,Liste!$L$2:$O$34,4,1)</f>
        <v>GSMR_32/33</v>
      </c>
      <c r="M1576" s="118" t="s">
        <v>36</v>
      </c>
      <c r="N1576" s="118" t="s">
        <v>37</v>
      </c>
      <c r="O1576" s="148" t="s">
        <v>3267</v>
      </c>
      <c r="Q1576" s="258" t="s">
        <v>54</v>
      </c>
      <c r="R1576" s="184" t="s">
        <v>2594</v>
      </c>
      <c r="S1576" s="259" t="s">
        <v>2462</v>
      </c>
      <c r="T1576" s="212" t="s">
        <v>69</v>
      </c>
      <c r="U1576" s="124" t="s">
        <v>2768</v>
      </c>
      <c r="V1576" s="124" t="s">
        <v>43</v>
      </c>
      <c r="W1576" s="94" t="s">
        <v>51</v>
      </c>
      <c r="X1576" s="124" t="s">
        <v>52</v>
      </c>
      <c r="Y1576" s="91" t="s">
        <v>3249</v>
      </c>
      <c r="AA1576" s="124" t="s">
        <v>754</v>
      </c>
    </row>
    <row r="1577" spans="1:27" ht="60">
      <c r="A1577" s="120">
        <v>1567</v>
      </c>
      <c r="B1577" s="120" t="b">
        <f ca="1">AND(C1577&gt;=TODAY()-7, C1577&lt;=TODAY()-1)</f>
        <v>0</v>
      </c>
      <c r="C1577" s="121">
        <v>46041</v>
      </c>
      <c r="D1577" s="250">
        <v>0.67021990740740744</v>
      </c>
      <c r="E1577" s="94">
        <v>2041</v>
      </c>
      <c r="F1577" s="91">
        <v>1211</v>
      </c>
      <c r="G1577" s="256" t="s">
        <v>34</v>
      </c>
      <c r="H1577" s="139">
        <v>7195</v>
      </c>
      <c r="J1577" s="91" t="s">
        <v>35</v>
      </c>
      <c r="K1577" s="160">
        <v>6.13</v>
      </c>
      <c r="L1577" s="94" t="str">
        <f>VLOOKUP(K1577,Liste!$L$2:$O$34,4,1)</f>
        <v>GSMR_02/03</v>
      </c>
      <c r="M1577" s="118" t="s">
        <v>36</v>
      </c>
      <c r="N1577" s="118" t="s">
        <v>37</v>
      </c>
      <c r="O1577" s="148" t="s">
        <v>3268</v>
      </c>
      <c r="Q1577" s="91" t="s">
        <v>39</v>
      </c>
      <c r="R1577" s="261" t="s">
        <v>2947</v>
      </c>
      <c r="S1577" s="210" t="s">
        <v>1459</v>
      </c>
      <c r="T1577" s="212" t="s">
        <v>56</v>
      </c>
      <c r="U1577" s="124" t="s">
        <v>2768</v>
      </c>
      <c r="V1577" s="124" t="s">
        <v>51</v>
      </c>
      <c r="W1577" s="94" t="s">
        <v>51</v>
      </c>
      <c r="X1577" s="124" t="s">
        <v>52</v>
      </c>
      <c r="Y1577" s="91" t="s">
        <v>3249</v>
      </c>
      <c r="AA1577" s="124" t="s">
        <v>754</v>
      </c>
    </row>
    <row r="1578" spans="1:27" ht="60">
      <c r="A1578" s="120">
        <v>1568</v>
      </c>
      <c r="B1578" s="120" t="b">
        <f ca="1">AND(C1578&gt;=TODAY()-7, C1578&lt;=TODAY()-1)</f>
        <v>0</v>
      </c>
      <c r="C1578" s="254">
        <v>46042</v>
      </c>
      <c r="D1578" s="230">
        <v>0.3371527777777778</v>
      </c>
      <c r="E1578" s="255">
        <v>2009</v>
      </c>
      <c r="F1578" s="91">
        <v>1209</v>
      </c>
      <c r="G1578" s="256" t="s">
        <v>34</v>
      </c>
      <c r="H1578" s="139">
        <v>7208</v>
      </c>
      <c r="J1578" s="91" t="s">
        <v>35</v>
      </c>
      <c r="K1578" s="160">
        <v>6.13</v>
      </c>
      <c r="L1578" s="94" t="str">
        <f>VLOOKUP(K1578,Liste!$L$2:$O$34,4,1)</f>
        <v>GSMR_02/03</v>
      </c>
      <c r="M1578" s="118" t="s">
        <v>36</v>
      </c>
      <c r="N1578" s="118" t="s">
        <v>37</v>
      </c>
      <c r="O1578" s="148" t="s">
        <v>3269</v>
      </c>
      <c r="Q1578" s="91" t="s">
        <v>39</v>
      </c>
      <c r="R1578" s="261" t="s">
        <v>2947</v>
      </c>
      <c r="S1578" s="210" t="s">
        <v>1232</v>
      </c>
      <c r="T1578" s="212" t="s">
        <v>93</v>
      </c>
      <c r="U1578" s="124" t="s">
        <v>3079</v>
      </c>
      <c r="V1578" s="124" t="s">
        <v>43</v>
      </c>
      <c r="W1578" s="94" t="s">
        <v>51</v>
      </c>
      <c r="X1578" s="124" t="s">
        <v>52</v>
      </c>
      <c r="Y1578" s="91" t="s">
        <v>3249</v>
      </c>
      <c r="AA1578" s="124" t="s">
        <v>1295</v>
      </c>
    </row>
    <row r="1579" spans="1:27" ht="60">
      <c r="A1579" s="120">
        <v>1569</v>
      </c>
      <c r="B1579" s="120" t="b">
        <f t="shared" ref="B1579" ca="1" si="78">AND(C1579&gt;=TODAY()-7, C1579&lt;=TODAY()-1)</f>
        <v>0</v>
      </c>
      <c r="C1579" s="254">
        <v>46046</v>
      </c>
      <c r="D1579" s="230">
        <v>0.7533333333333333</v>
      </c>
      <c r="E1579" s="255">
        <v>2049</v>
      </c>
      <c r="F1579" s="91">
        <v>1210</v>
      </c>
      <c r="G1579" s="256" t="s">
        <v>34</v>
      </c>
      <c r="H1579" s="139">
        <v>1050</v>
      </c>
      <c r="J1579" s="91" t="s">
        <v>35</v>
      </c>
      <c r="K1579" s="160">
        <v>6.13</v>
      </c>
      <c r="L1579" s="94" t="str">
        <f>VLOOKUP(K1579,Liste!$L$2:$O$34,4,1)</f>
        <v>GSMR_02/03</v>
      </c>
      <c r="M1579" s="118" t="s">
        <v>36</v>
      </c>
      <c r="N1579" s="149" t="s">
        <v>58</v>
      </c>
      <c r="O1579" s="148" t="s">
        <v>3270</v>
      </c>
      <c r="Q1579" s="91" t="s">
        <v>39</v>
      </c>
      <c r="R1579" s="261" t="s">
        <v>2947</v>
      </c>
      <c r="S1579" s="210" t="s">
        <v>1459</v>
      </c>
      <c r="T1579" s="212" t="s">
        <v>56</v>
      </c>
      <c r="U1579" s="124" t="s">
        <v>2751</v>
      </c>
      <c r="V1579" s="124" t="s">
        <v>51</v>
      </c>
      <c r="W1579" s="94" t="s">
        <v>51</v>
      </c>
      <c r="X1579" s="124" t="s">
        <v>52</v>
      </c>
      <c r="Y1579" s="91" t="s">
        <v>3249</v>
      </c>
      <c r="AA1579" s="124" t="s">
        <v>1118</v>
      </c>
    </row>
    <row r="1580" spans="1:27" ht="60">
      <c r="A1580" s="120">
        <v>1570</v>
      </c>
      <c r="B1580" s="120" t="b">
        <f ca="1">AND(C1580&gt;=TODAY()-7, C1580&lt;=TODAY()-1)</f>
        <v>0</v>
      </c>
      <c r="C1580" s="254">
        <v>46047</v>
      </c>
      <c r="D1580" s="230">
        <v>0.58715277777777775</v>
      </c>
      <c r="E1580" s="255">
        <v>2033</v>
      </c>
      <c r="F1580" s="91">
        <v>1203</v>
      </c>
      <c r="G1580" s="256" t="s">
        <v>34</v>
      </c>
      <c r="H1580" s="139">
        <v>1024</v>
      </c>
      <c r="J1580" s="91" t="s">
        <v>35</v>
      </c>
      <c r="K1580" s="160">
        <v>6.13</v>
      </c>
      <c r="L1580" s="94" t="str">
        <f>VLOOKUP(K1580,Liste!$L$2:$O$34,4,1)</f>
        <v>GSMR_02/03</v>
      </c>
      <c r="M1580" s="118" t="s">
        <v>36</v>
      </c>
      <c r="N1580" s="118" t="s">
        <v>37</v>
      </c>
      <c r="O1580" s="148" t="s">
        <v>3269</v>
      </c>
      <c r="Q1580" s="91" t="s">
        <v>39</v>
      </c>
      <c r="R1580" s="261" t="s">
        <v>2947</v>
      </c>
      <c r="S1580" s="210" t="s">
        <v>1232</v>
      </c>
      <c r="T1580" s="212" t="s">
        <v>93</v>
      </c>
      <c r="U1580" s="124" t="s">
        <v>3147</v>
      </c>
      <c r="V1580" s="124" t="s">
        <v>43</v>
      </c>
      <c r="W1580" s="94" t="s">
        <v>51</v>
      </c>
      <c r="X1580" s="124" t="s">
        <v>52</v>
      </c>
      <c r="Y1580" s="91" t="s">
        <v>3249</v>
      </c>
      <c r="AA1580" s="124" t="s">
        <v>778</v>
      </c>
    </row>
    <row r="1581" spans="1:27" ht="60">
      <c r="A1581" s="120">
        <v>1571</v>
      </c>
      <c r="B1581" s="120" t="b">
        <f t="shared" ref="B1581" ca="1" si="79">AND(C1581&gt;=TODAY()-7, C1581&lt;=TODAY()-1)</f>
        <v>0</v>
      </c>
      <c r="C1581" s="121">
        <v>46049</v>
      </c>
      <c r="D1581" s="137">
        <v>0.81819444444444445</v>
      </c>
      <c r="E1581" s="94">
        <v>2053</v>
      </c>
      <c r="F1581" s="91">
        <v>1208</v>
      </c>
      <c r="G1581" s="256" t="s">
        <v>34</v>
      </c>
      <c r="H1581" s="139">
        <v>1037</v>
      </c>
      <c r="J1581" s="91" t="s">
        <v>35</v>
      </c>
      <c r="K1581" s="149">
        <v>161.72200000000001</v>
      </c>
      <c r="L1581" s="94" t="str">
        <f>VLOOKUP(K1581,Liste!$L$2:$O$34,4,1)</f>
        <v>GSMR_27/28</v>
      </c>
      <c r="M1581" s="118" t="s">
        <v>36</v>
      </c>
      <c r="N1581" s="118" t="s">
        <v>37</v>
      </c>
      <c r="O1581" s="148" t="s">
        <v>3271</v>
      </c>
      <c r="Q1581" s="258" t="s">
        <v>54</v>
      </c>
      <c r="R1581" s="184" t="s">
        <v>2594</v>
      </c>
      <c r="S1581" s="210" t="s">
        <v>3259</v>
      </c>
      <c r="T1581" s="212" t="s">
        <v>69</v>
      </c>
      <c r="U1581" s="124" t="s">
        <v>2746</v>
      </c>
      <c r="V1581" s="124" t="s">
        <v>43</v>
      </c>
      <c r="W1581" s="94" t="s">
        <v>51</v>
      </c>
      <c r="X1581" s="124" t="s">
        <v>52</v>
      </c>
      <c r="Y1581" s="91" t="s">
        <v>3249</v>
      </c>
      <c r="AA1581" s="124" t="s">
        <v>793</v>
      </c>
    </row>
    <row r="1582" spans="1:27" ht="60">
      <c r="A1582" s="120">
        <v>1572</v>
      </c>
      <c r="B1582" s="120" t="b">
        <f t="shared" ref="B1582:B1589" ca="1" si="80">AND(C1582&gt;=TODAY()-7, C1582&lt;=TODAY()-1)</f>
        <v>0</v>
      </c>
      <c r="C1582" s="121">
        <v>46050</v>
      </c>
      <c r="D1582" s="137">
        <v>0.84400462962962963</v>
      </c>
      <c r="E1582" s="94">
        <v>1049</v>
      </c>
      <c r="F1582" s="91">
        <v>1211</v>
      </c>
      <c r="G1582" s="256" t="s">
        <v>71</v>
      </c>
      <c r="H1582" s="139">
        <v>3062</v>
      </c>
      <c r="J1582" s="91" t="s">
        <v>72</v>
      </c>
      <c r="K1582" s="160">
        <v>8.9700000000000006</v>
      </c>
      <c r="L1582" s="94" t="str">
        <f>VLOOKUP(K1582,Liste!$L$2:$O$34,4,1)</f>
        <v>GSMR_02/03</v>
      </c>
      <c r="M1582" s="118" t="s">
        <v>36</v>
      </c>
      <c r="N1582" s="149" t="s">
        <v>58</v>
      </c>
      <c r="O1582" s="148" t="s">
        <v>3272</v>
      </c>
      <c r="Q1582" s="91" t="s">
        <v>39</v>
      </c>
      <c r="R1582" s="261" t="s">
        <v>2947</v>
      </c>
      <c r="S1582" s="210" t="s">
        <v>1851</v>
      </c>
      <c r="T1582" s="212" t="s">
        <v>116</v>
      </c>
      <c r="U1582" s="124" t="s">
        <v>3079</v>
      </c>
      <c r="V1582" s="94" t="s">
        <v>51</v>
      </c>
      <c r="W1582" s="94" t="s">
        <v>51</v>
      </c>
      <c r="X1582" s="124" t="s">
        <v>52</v>
      </c>
      <c r="Y1582" s="91" t="s">
        <v>3249</v>
      </c>
      <c r="AA1582" s="124" t="s">
        <v>1183</v>
      </c>
    </row>
    <row r="1583" spans="1:27" ht="60">
      <c r="A1583" s="120">
        <v>1573</v>
      </c>
      <c r="B1583" s="120" t="b">
        <f t="shared" ca="1" si="80"/>
        <v>0</v>
      </c>
      <c r="C1583" s="121">
        <v>46051</v>
      </c>
      <c r="D1583" s="137">
        <v>0.68537037037037041</v>
      </c>
      <c r="E1583" s="94">
        <v>2041</v>
      </c>
      <c r="F1583" s="91">
        <v>1208</v>
      </c>
      <c r="G1583" s="143" t="s">
        <v>34</v>
      </c>
      <c r="H1583" s="139">
        <v>1037</v>
      </c>
      <c r="J1583" s="91" t="s">
        <v>35</v>
      </c>
      <c r="K1583" s="94">
        <v>101.587</v>
      </c>
      <c r="L1583" s="94" t="str">
        <f>VLOOKUP(K1583,Liste!$L$2:$O$34,4,1)</f>
        <v>GSMR_18/19</v>
      </c>
      <c r="M1583" s="118" t="s">
        <v>36</v>
      </c>
      <c r="N1583" s="118" t="s">
        <v>37</v>
      </c>
      <c r="O1583" s="148" t="s">
        <v>3273</v>
      </c>
      <c r="Q1583" s="91" t="s">
        <v>39</v>
      </c>
      <c r="R1583" s="261" t="s">
        <v>2947</v>
      </c>
      <c r="S1583" s="210" t="s">
        <v>3274</v>
      </c>
      <c r="T1583" s="212" t="s">
        <v>78</v>
      </c>
      <c r="U1583" s="124" t="s">
        <v>2789</v>
      </c>
      <c r="V1583" s="124" t="s">
        <v>51</v>
      </c>
      <c r="W1583" s="94" t="s">
        <v>51</v>
      </c>
      <c r="X1583" s="124" t="s">
        <v>52</v>
      </c>
      <c r="Y1583" s="91" t="s">
        <v>3249</v>
      </c>
      <c r="AA1583" s="124" t="s">
        <v>793</v>
      </c>
    </row>
    <row r="1584" spans="1:27" ht="60">
      <c r="A1584" s="120">
        <v>1574</v>
      </c>
      <c r="B1584" s="120" t="b">
        <f t="shared" ca="1" si="80"/>
        <v>0</v>
      </c>
      <c r="C1584" s="254">
        <v>46054</v>
      </c>
      <c r="D1584" s="230">
        <v>0.79543981481481485</v>
      </c>
      <c r="E1584" s="255">
        <v>2053</v>
      </c>
      <c r="F1584" s="91">
        <v>1205</v>
      </c>
      <c r="G1584" s="256" t="s">
        <v>34</v>
      </c>
      <c r="H1584" s="139">
        <v>7217</v>
      </c>
      <c r="J1584" s="91" t="s">
        <v>35</v>
      </c>
      <c r="K1584" s="160">
        <v>6.13</v>
      </c>
      <c r="L1584" s="94" t="str">
        <f>VLOOKUP(K1584,Liste!$L$2:$O$34,4,1)</f>
        <v>GSMR_02/03</v>
      </c>
      <c r="M1584" s="118" t="s">
        <v>36</v>
      </c>
      <c r="N1584" s="118" t="s">
        <v>37</v>
      </c>
      <c r="O1584" s="148" t="s">
        <v>3269</v>
      </c>
      <c r="Q1584" s="91" t="s">
        <v>39</v>
      </c>
      <c r="R1584" s="261" t="s">
        <v>2947</v>
      </c>
      <c r="S1584" s="210" t="s">
        <v>1232</v>
      </c>
      <c r="T1584" s="212" t="s">
        <v>56</v>
      </c>
      <c r="U1584" s="124" t="s">
        <v>2843</v>
      </c>
      <c r="V1584" s="124" t="s">
        <v>51</v>
      </c>
      <c r="W1584" s="94" t="s">
        <v>51</v>
      </c>
      <c r="X1584" s="124" t="s">
        <v>52</v>
      </c>
      <c r="Y1584" s="91" t="s">
        <v>3249</v>
      </c>
      <c r="AA1584" s="124" t="s">
        <v>778</v>
      </c>
    </row>
    <row r="1585" spans="1:27" ht="60">
      <c r="A1585" s="120">
        <v>1575</v>
      </c>
      <c r="B1585" s="120" t="b">
        <f t="shared" ca="1" si="80"/>
        <v>0</v>
      </c>
      <c r="C1585" s="254">
        <v>46054</v>
      </c>
      <c r="D1585" s="230">
        <v>0.96959490740740739</v>
      </c>
      <c r="E1585" s="94">
        <v>1061</v>
      </c>
      <c r="F1585" s="91">
        <v>1207</v>
      </c>
      <c r="G1585" s="256" t="s">
        <v>71</v>
      </c>
      <c r="H1585" s="139">
        <v>1046</v>
      </c>
      <c r="J1585" s="91" t="s">
        <v>72</v>
      </c>
      <c r="K1585" s="160">
        <v>7.3209999999999997</v>
      </c>
      <c r="L1585" s="94" t="str">
        <f>VLOOKUP(K1585,Liste!$L$2:$O$34,4,1)</f>
        <v>GSMR_02/03</v>
      </c>
      <c r="M1585" s="118" t="s">
        <v>36</v>
      </c>
      <c r="N1585" s="149" t="s">
        <v>58</v>
      </c>
      <c r="O1585" s="148" t="s">
        <v>3275</v>
      </c>
      <c r="Q1585" s="91" t="s">
        <v>39</v>
      </c>
      <c r="R1585" s="261" t="s">
        <v>2947</v>
      </c>
      <c r="S1585" s="210" t="s">
        <v>2264</v>
      </c>
      <c r="T1585" s="212" t="s">
        <v>56</v>
      </c>
      <c r="U1585" s="124" t="s">
        <v>2797</v>
      </c>
      <c r="V1585" s="94" t="s">
        <v>51</v>
      </c>
      <c r="W1585" s="94" t="s">
        <v>43</v>
      </c>
      <c r="X1585" s="124" t="s">
        <v>52</v>
      </c>
      <c r="Y1585" s="91" t="s">
        <v>3249</v>
      </c>
      <c r="AA1585" s="124" t="s">
        <v>757</v>
      </c>
    </row>
    <row r="1586" spans="1:27" ht="60">
      <c r="A1586" s="235">
        <v>1576</v>
      </c>
      <c r="B1586" s="235" t="b">
        <f t="shared" ca="1" si="80"/>
        <v>0</v>
      </c>
      <c r="C1586" s="236">
        <v>46055</v>
      </c>
      <c r="D1586" s="237">
        <v>0.33703703703703702</v>
      </c>
      <c r="E1586" s="238">
        <v>2009</v>
      </c>
      <c r="F1586" s="239">
        <v>1210</v>
      </c>
      <c r="G1586" s="240" t="s">
        <v>34</v>
      </c>
      <c r="H1586" s="241">
        <v>1050</v>
      </c>
      <c r="J1586" s="239" t="s">
        <v>35</v>
      </c>
      <c r="K1586" s="242">
        <v>6.13</v>
      </c>
      <c r="L1586" s="243" t="str">
        <f>VLOOKUP(K1586,Liste!$L$2:$O$34,4,1)</f>
        <v>GSMR_02/03</v>
      </c>
      <c r="M1586" s="244" t="s">
        <v>36</v>
      </c>
      <c r="N1586" s="244" t="s">
        <v>37</v>
      </c>
      <c r="O1586" s="245" t="s">
        <v>3276</v>
      </c>
      <c r="Q1586" s="239" t="s">
        <v>39</v>
      </c>
      <c r="R1586" s="246" t="s">
        <v>2947</v>
      </c>
      <c r="S1586" s="247" t="s">
        <v>3181</v>
      </c>
      <c r="T1586" s="248" t="s">
        <v>56</v>
      </c>
      <c r="U1586" s="249" t="s">
        <v>2856</v>
      </c>
      <c r="V1586" s="249" t="s">
        <v>51</v>
      </c>
      <c r="W1586" s="243" t="s">
        <v>51</v>
      </c>
      <c r="X1586" s="249" t="s">
        <v>52</v>
      </c>
      <c r="Y1586" s="239" t="s">
        <v>3249</v>
      </c>
      <c r="AA1586" s="249" t="s">
        <v>793</v>
      </c>
    </row>
    <row r="1587" spans="1:27" ht="60">
      <c r="A1587" s="235">
        <v>1577</v>
      </c>
      <c r="B1587" s="235" t="b">
        <f t="shared" ca="1" si="80"/>
        <v>0</v>
      </c>
      <c r="C1587" s="236">
        <v>46056</v>
      </c>
      <c r="D1587" s="237">
        <v>0.29524305555555558</v>
      </c>
      <c r="E1587" s="238">
        <v>2005</v>
      </c>
      <c r="F1587" s="239">
        <v>1206</v>
      </c>
      <c r="G1587" s="240" t="s">
        <v>34</v>
      </c>
      <c r="H1587" s="241">
        <v>1055</v>
      </c>
      <c r="J1587" s="239" t="s">
        <v>35</v>
      </c>
      <c r="K1587" s="242">
        <v>6.13</v>
      </c>
      <c r="L1587" s="243" t="str">
        <f>VLOOKUP(K1587,Liste!$L$2:$O$34,4,1)</f>
        <v>GSMR_02/03</v>
      </c>
      <c r="M1587" s="244" t="s">
        <v>36</v>
      </c>
      <c r="N1587" s="244" t="s">
        <v>37</v>
      </c>
      <c r="O1587" s="245" t="s">
        <v>3277</v>
      </c>
      <c r="Q1587" s="239" t="s">
        <v>39</v>
      </c>
      <c r="R1587" s="246" t="s">
        <v>2947</v>
      </c>
      <c r="S1587" s="247" t="s">
        <v>1232</v>
      </c>
      <c r="T1587" s="248" t="s">
        <v>56</v>
      </c>
      <c r="U1587" s="249" t="s">
        <v>2824</v>
      </c>
      <c r="V1587" s="249" t="s">
        <v>43</v>
      </c>
      <c r="W1587" s="243" t="s">
        <v>51</v>
      </c>
      <c r="X1587" s="249" t="s">
        <v>52</v>
      </c>
      <c r="Y1587" s="239" t="s">
        <v>3249</v>
      </c>
      <c r="AA1587" s="249" t="s">
        <v>754</v>
      </c>
    </row>
    <row r="1588" spans="1:27" ht="60">
      <c r="A1588" s="235">
        <v>1578</v>
      </c>
      <c r="B1588" s="235" t="b">
        <f t="shared" ca="1" si="80"/>
        <v>0</v>
      </c>
      <c r="C1588" s="236">
        <v>46057</v>
      </c>
      <c r="D1588" s="237">
        <v>0.55107638888888888</v>
      </c>
      <c r="E1588" s="238">
        <v>1021</v>
      </c>
      <c r="F1588" s="239">
        <v>1207</v>
      </c>
      <c r="G1588" s="240" t="s">
        <v>71</v>
      </c>
      <c r="H1588" s="241">
        <v>1046</v>
      </c>
      <c r="J1588" s="239" t="s">
        <v>72</v>
      </c>
      <c r="K1588" s="242">
        <v>7.3209999999999997</v>
      </c>
      <c r="L1588" s="243" t="str">
        <f>VLOOKUP(K1588,Liste!$L$2:$O$34,4,1)</f>
        <v>GSMR_02/03</v>
      </c>
      <c r="M1588" s="244" t="s">
        <v>36</v>
      </c>
      <c r="N1588" s="244" t="s">
        <v>37</v>
      </c>
      <c r="O1588" s="245" t="s">
        <v>3278</v>
      </c>
      <c r="Q1588" s="239" t="s">
        <v>39</v>
      </c>
      <c r="R1588" s="246" t="s">
        <v>2947</v>
      </c>
      <c r="S1588" s="247" t="s">
        <v>3036</v>
      </c>
      <c r="T1588" s="248" t="s">
        <v>116</v>
      </c>
      <c r="U1588" s="249" t="s">
        <v>3147</v>
      </c>
      <c r="V1588" s="249" t="s">
        <v>43</v>
      </c>
      <c r="W1588" s="243" t="s">
        <v>51</v>
      </c>
      <c r="X1588" s="249" t="s">
        <v>52</v>
      </c>
      <c r="Y1588" s="239" t="s">
        <v>3249</v>
      </c>
      <c r="AA1588" s="249" t="s">
        <v>802</v>
      </c>
    </row>
    <row r="1589" spans="1:27" ht="60">
      <c r="A1589" s="235">
        <v>1579</v>
      </c>
      <c r="B1589" s="235" t="b">
        <f t="shared" ca="1" si="80"/>
        <v>0</v>
      </c>
      <c r="C1589" s="236">
        <v>46057</v>
      </c>
      <c r="D1589" s="237">
        <v>0.79521990740740744</v>
      </c>
      <c r="E1589" s="238">
        <v>2053</v>
      </c>
      <c r="F1589" s="239">
        <v>1204</v>
      </c>
      <c r="G1589" s="240" t="s">
        <v>34</v>
      </c>
      <c r="H1589" s="241">
        <v>1052</v>
      </c>
      <c r="J1589" s="239" t="s">
        <v>35</v>
      </c>
      <c r="K1589" s="242">
        <v>5.93</v>
      </c>
      <c r="L1589" s="243" t="str">
        <f>VLOOKUP(K1589,Liste!$L$2:$O$34,4,1)</f>
        <v>GSMR_02/03</v>
      </c>
      <c r="M1589" s="244" t="s">
        <v>36</v>
      </c>
      <c r="N1589" s="244" t="s">
        <v>58</v>
      </c>
      <c r="O1589" s="245" t="s">
        <v>3279</v>
      </c>
      <c r="Q1589" s="239" t="s">
        <v>39</v>
      </c>
      <c r="R1589" s="246" t="s">
        <v>2947</v>
      </c>
      <c r="S1589" s="247" t="s">
        <v>2261</v>
      </c>
      <c r="T1589" s="248" t="s">
        <v>93</v>
      </c>
      <c r="U1589" s="249" t="s">
        <v>2800</v>
      </c>
      <c r="V1589" s="249" t="s">
        <v>51</v>
      </c>
      <c r="W1589" s="243" t="s">
        <v>51</v>
      </c>
      <c r="X1589" s="249" t="s">
        <v>52</v>
      </c>
      <c r="Y1589" s="239" t="s">
        <v>227</v>
      </c>
      <c r="AA1589" s="249" t="s">
        <v>810</v>
      </c>
    </row>
    <row r="1590" spans="1:27" ht="60">
      <c r="A1590" s="235">
        <v>1580</v>
      </c>
      <c r="B1590" s="235" t="b">
        <f ca="1">AND(C1590&gt;=TODAY()-7, C1590&lt;=TODAY()-1)</f>
        <v>1</v>
      </c>
      <c r="C1590" s="236">
        <v>46060</v>
      </c>
      <c r="D1590" s="237">
        <v>0.85909722222222218</v>
      </c>
      <c r="E1590" s="238">
        <v>1049</v>
      </c>
      <c r="F1590" s="239">
        <v>1208</v>
      </c>
      <c r="G1590" s="240" t="s">
        <v>71</v>
      </c>
      <c r="H1590" s="241">
        <v>1044</v>
      </c>
      <c r="J1590" s="239" t="s">
        <v>72</v>
      </c>
      <c r="K1590" s="242">
        <v>7.3209999999999997</v>
      </c>
      <c r="L1590" s="243" t="str">
        <f>VLOOKUP(K1590,Liste!$L$2:$O$34,4,1)</f>
        <v>GSMR_02/03</v>
      </c>
      <c r="M1590" s="244" t="s">
        <v>36</v>
      </c>
      <c r="N1590" s="244" t="s">
        <v>37</v>
      </c>
      <c r="O1590" s="245" t="s">
        <v>3280</v>
      </c>
      <c r="Q1590" s="239" t="s">
        <v>39</v>
      </c>
      <c r="R1590" s="246" t="s">
        <v>2947</v>
      </c>
      <c r="S1590" s="247" t="s">
        <v>1255</v>
      </c>
      <c r="T1590" s="248" t="s">
        <v>116</v>
      </c>
      <c r="U1590" s="249" t="s">
        <v>2843</v>
      </c>
      <c r="V1590" s="249" t="s">
        <v>51</v>
      </c>
      <c r="W1590" s="243" t="s">
        <v>43</v>
      </c>
      <c r="X1590" s="249" t="s">
        <v>52</v>
      </c>
      <c r="Y1590" s="239" t="s">
        <v>3249</v>
      </c>
      <c r="AA1590" s="249" t="s">
        <v>778</v>
      </c>
    </row>
    <row r="1591" spans="1:27" ht="45">
      <c r="A1591" s="235">
        <v>1581</v>
      </c>
      <c r="B1591" s="235" t="b">
        <f ca="1">AND(C1591&gt;=TODAY()-7, C1591&lt;=TODAY()-1)</f>
        <v>1</v>
      </c>
      <c r="C1591" s="236">
        <v>46061</v>
      </c>
      <c r="D1591" s="237">
        <v>0.23016203703703703</v>
      </c>
      <c r="E1591" s="238">
        <v>10071</v>
      </c>
      <c r="F1591" s="239">
        <v>1205</v>
      </c>
      <c r="G1591" s="240" t="s">
        <v>34</v>
      </c>
      <c r="H1591" s="241">
        <v>7217</v>
      </c>
      <c r="J1591" s="239" t="s">
        <v>35</v>
      </c>
      <c r="K1591" s="243">
        <v>80.47</v>
      </c>
      <c r="L1591" s="243" t="str">
        <f>VLOOKUP(K1591,Liste!$L$2:$O$34,4,1)</f>
        <v>GSMR_14/15</v>
      </c>
      <c r="M1591" s="244" t="s">
        <v>36</v>
      </c>
      <c r="N1591" s="244" t="s">
        <v>37</v>
      </c>
      <c r="O1591" s="273" t="s">
        <v>3250</v>
      </c>
      <c r="Q1591" s="239" t="s">
        <v>105</v>
      </c>
      <c r="R1591" s="280" t="s">
        <v>3220</v>
      </c>
      <c r="S1591" s="247" t="s">
        <v>3281</v>
      </c>
      <c r="T1591" s="248" t="s">
        <v>3282</v>
      </c>
      <c r="U1591" s="249" t="s">
        <v>2764</v>
      </c>
      <c r="V1591" s="249" t="s">
        <v>51</v>
      </c>
      <c r="W1591" s="243" t="s">
        <v>51</v>
      </c>
      <c r="X1591" s="249" t="s">
        <v>52</v>
      </c>
      <c r="Y1591" s="239" t="s">
        <v>227</v>
      </c>
      <c r="AA1591" s="249" t="s">
        <v>778</v>
      </c>
    </row>
    <row r="1592" spans="1:27" ht="45">
      <c r="A1592" s="235">
        <v>1581</v>
      </c>
      <c r="B1592" s="235" t="b">
        <f ca="1">AND(C1592&gt;=TODAY()-7, C1592&lt;=TODAY()-1)</f>
        <v>1</v>
      </c>
      <c r="C1592" s="236">
        <v>46062</v>
      </c>
      <c r="D1592" s="237">
        <v>0.1917824074074074</v>
      </c>
      <c r="E1592" s="238">
        <v>2091</v>
      </c>
      <c r="F1592" s="239">
        <v>1202</v>
      </c>
      <c r="G1592" s="240" t="s">
        <v>34</v>
      </c>
      <c r="H1592" s="241">
        <v>1043</v>
      </c>
      <c r="J1592" s="239" t="s">
        <v>35</v>
      </c>
      <c r="K1592" s="243">
        <v>79.281999999999996</v>
      </c>
      <c r="L1592" s="243" t="str">
        <f>VLOOKUP(K1592,Liste!$L$2:$O$34,4,1)</f>
        <v>GSMR_14/15</v>
      </c>
      <c r="M1592" s="244" t="s">
        <v>36</v>
      </c>
      <c r="N1592" s="244" t="s">
        <v>37</v>
      </c>
      <c r="O1592" s="273" t="s">
        <v>3283</v>
      </c>
      <c r="Q1592" s="239" t="s">
        <v>39</v>
      </c>
      <c r="R1592" s="246" t="s">
        <v>2947</v>
      </c>
      <c r="S1592" s="247" t="s">
        <v>3281</v>
      </c>
      <c r="T1592" s="248" t="s">
        <v>3282</v>
      </c>
      <c r="U1592" s="249" t="s">
        <v>2792</v>
      </c>
      <c r="V1592" s="249" t="s">
        <v>51</v>
      </c>
      <c r="W1592" s="243" t="s">
        <v>51</v>
      </c>
      <c r="X1592" s="249" t="s">
        <v>52</v>
      </c>
      <c r="Y1592" s="239" t="s">
        <v>3249</v>
      </c>
      <c r="AA1592" s="249" t="s">
        <v>793</v>
      </c>
    </row>
    <row r="1593" spans="1:27" ht="45">
      <c r="A1593" s="235">
        <v>1582</v>
      </c>
      <c r="B1593" s="235" t="b">
        <f ca="1">AND(C1593&gt;=TODAY()-7, C1593&lt;=TODAY()-1)</f>
        <v>1</v>
      </c>
      <c r="C1593" s="236">
        <v>46064</v>
      </c>
      <c r="D1593" s="237">
        <v>0.34901620370370373</v>
      </c>
      <c r="E1593" s="238">
        <v>2009</v>
      </c>
      <c r="F1593" s="239">
        <v>1202</v>
      </c>
      <c r="G1593" s="240" t="s">
        <v>34</v>
      </c>
      <c r="H1593" s="241">
        <v>1043</v>
      </c>
      <c r="J1593" s="239" t="s">
        <v>35</v>
      </c>
      <c r="K1593" s="243">
        <v>78.155000000000001</v>
      </c>
      <c r="L1593" s="243" t="str">
        <f>VLOOKUP(K1593,Liste!$L$2:$O$34,4,1)</f>
        <v>GSMR_14/15</v>
      </c>
      <c r="M1593" s="244" t="s">
        <v>36</v>
      </c>
      <c r="N1593" s="244" t="s">
        <v>37</v>
      </c>
      <c r="O1593" s="273" t="s">
        <v>3284</v>
      </c>
      <c r="Q1593" s="239" t="s">
        <v>39</v>
      </c>
      <c r="R1593" s="246" t="s">
        <v>2947</v>
      </c>
      <c r="S1593" s="247" t="s">
        <v>3281</v>
      </c>
      <c r="T1593" s="248" t="s">
        <v>69</v>
      </c>
      <c r="U1593" s="249" t="s">
        <v>2743</v>
      </c>
      <c r="V1593" s="249" t="s">
        <v>43</v>
      </c>
      <c r="W1593" s="243" t="s">
        <v>51</v>
      </c>
      <c r="X1593" s="249" t="s">
        <v>52</v>
      </c>
      <c r="Y1593" s="239" t="s">
        <v>3249</v>
      </c>
      <c r="AA1593" s="249" t="s">
        <v>802</v>
      </c>
    </row>
    <row r="1594" spans="1:27" ht="43.5">
      <c r="A1594" s="235">
        <v>1583</v>
      </c>
      <c r="B1594" s="235" t="b">
        <f ca="1">AND(C1594&gt;=TODAY()-7, C1594&lt;=TODAY()-1)</f>
        <v>0</v>
      </c>
      <c r="C1594" s="236">
        <v>46066</v>
      </c>
      <c r="D1594" s="237">
        <v>0.19123842592592594</v>
      </c>
      <c r="E1594" s="238">
        <v>20081</v>
      </c>
      <c r="F1594" s="239">
        <v>1204</v>
      </c>
      <c r="G1594" s="240" t="s">
        <v>34</v>
      </c>
      <c r="H1594" s="241">
        <v>1053</v>
      </c>
      <c r="J1594" s="239" t="s">
        <v>35</v>
      </c>
      <c r="K1594" s="243">
        <v>79.281999999999996</v>
      </c>
      <c r="L1594" s="243" t="str">
        <f>VLOOKUP(K1594,Liste!$L$2:$O$34,4,1)</f>
        <v>GSMR_14/15</v>
      </c>
      <c r="M1594" s="244" t="s">
        <v>36</v>
      </c>
      <c r="N1594" s="244" t="s">
        <v>37</v>
      </c>
      <c r="O1594" s="273" t="s">
        <v>3285</v>
      </c>
      <c r="Q1594" s="239" t="s">
        <v>39</v>
      </c>
      <c r="R1594" s="246" t="s">
        <v>2947</v>
      </c>
      <c r="S1594" s="247" t="s">
        <v>3286</v>
      </c>
      <c r="T1594" s="248" t="s">
        <v>69</v>
      </c>
      <c r="U1594" s="249" t="s">
        <v>2764</v>
      </c>
      <c r="V1594" s="249" t="s">
        <v>51</v>
      </c>
      <c r="W1594" s="243" t="s">
        <v>51</v>
      </c>
      <c r="X1594" s="249" t="s">
        <v>52</v>
      </c>
      <c r="Y1594" s="239" t="s">
        <v>3249</v>
      </c>
      <c r="AA1594" s="249" t="s">
        <v>793</v>
      </c>
    </row>
    <row r="1595" spans="1:27" ht="43.5">
      <c r="A1595" s="235">
        <v>1584</v>
      </c>
      <c r="B1595" s="235" t="b">
        <f ca="1">AND(C1595&gt;=TODAY()-7, C1595&lt;=TODAY()-1)</f>
        <v>0</v>
      </c>
      <c r="C1595" s="236">
        <v>46066</v>
      </c>
      <c r="D1595" s="237">
        <v>0.35802083333333334</v>
      </c>
      <c r="E1595" s="238">
        <v>2009</v>
      </c>
      <c r="F1595" s="239">
        <v>1204</v>
      </c>
      <c r="G1595" s="240" t="s">
        <v>34</v>
      </c>
      <c r="H1595" s="241">
        <v>1053</v>
      </c>
      <c r="J1595" s="239" t="s">
        <v>35</v>
      </c>
      <c r="K1595" s="243">
        <v>138.30199999999999</v>
      </c>
      <c r="L1595" s="243" t="str">
        <f>VLOOKUP(K1595,Liste!$L$2:$O$34,4,1)</f>
        <v>GSMR_24/25</v>
      </c>
      <c r="M1595" s="244" t="s">
        <v>36</v>
      </c>
      <c r="N1595" s="244" t="s">
        <v>37</v>
      </c>
      <c r="O1595" s="273" t="s">
        <v>3287</v>
      </c>
      <c r="Q1595" s="239" t="s">
        <v>39</v>
      </c>
      <c r="R1595" s="246" t="s">
        <v>2947</v>
      </c>
      <c r="S1595" s="247" t="s">
        <v>3288</v>
      </c>
      <c r="T1595" s="248" t="s">
        <v>69</v>
      </c>
      <c r="U1595" s="249" t="s">
        <v>2824</v>
      </c>
      <c r="V1595" s="249" t="s">
        <v>51</v>
      </c>
      <c r="W1595" s="243" t="s">
        <v>51</v>
      </c>
      <c r="X1595" s="249" t="s">
        <v>52</v>
      </c>
      <c r="Y1595" s="239" t="s">
        <v>227</v>
      </c>
      <c r="AA1595" s="249" t="s">
        <v>754</v>
      </c>
    </row>
    <row r="1596" spans="1:27">
      <c r="J1596" s="94"/>
    </row>
    <row r="1597" spans="1:27">
      <c r="J1597" s="94"/>
    </row>
    <row r="1598" spans="1:27">
      <c r="J1598" s="94"/>
    </row>
    <row r="1599" spans="1:27">
      <c r="J1599" s="94"/>
    </row>
    <row r="1600" spans="1:27">
      <c r="J1600" s="94"/>
    </row>
    <row r="1601" spans="10:10">
      <c r="J1601" s="94"/>
    </row>
    <row r="1602" spans="10:10">
      <c r="J1602" s="94"/>
    </row>
    <row r="1603" spans="10:10">
      <c r="J1603" s="94"/>
    </row>
    <row r="1604" spans="10:10">
      <c r="J1604" s="94"/>
    </row>
    <row r="1605" spans="10:10">
      <c r="J1605" s="94"/>
    </row>
    <row r="1606" spans="10:10">
      <c r="J1606" s="94"/>
    </row>
    <row r="1607" spans="10:10">
      <c r="J1607" s="94"/>
    </row>
    <row r="1608" spans="10:10">
      <c r="J1608" s="94"/>
    </row>
    <row r="1609" spans="10:10">
      <c r="J1609" s="94"/>
    </row>
    <row r="1610" spans="10:10">
      <c r="J1610" s="94"/>
    </row>
    <row r="1611" spans="10:10">
      <c r="J1611" s="94"/>
    </row>
    <row r="1612" spans="10:10">
      <c r="J1612" s="94"/>
    </row>
    <row r="1613" spans="10:10">
      <c r="J1613" s="94"/>
    </row>
    <row r="1614" spans="10:10">
      <c r="J1614" s="94"/>
    </row>
    <row r="1615" spans="10:10">
      <c r="J1615" s="94"/>
    </row>
    <row r="1616" spans="10:10">
      <c r="J1616" s="94"/>
    </row>
    <row r="1617" spans="10:10">
      <c r="J1617" s="94"/>
    </row>
    <row r="1618" spans="10:10">
      <c r="J1618" s="94"/>
    </row>
    <row r="1619" spans="10:10">
      <c r="J1619" s="94"/>
    </row>
    <row r="1620" spans="10:10">
      <c r="J1620" s="94"/>
    </row>
    <row r="1621" spans="10:10">
      <c r="J1621" s="94"/>
    </row>
    <row r="1622" spans="10:10">
      <c r="J1622" s="94"/>
    </row>
    <row r="1623" spans="10:10">
      <c r="J1623" s="94"/>
    </row>
    <row r="1624" spans="10:10">
      <c r="J1624" s="94"/>
    </row>
    <row r="1625" spans="10:10">
      <c r="J1625" s="94"/>
    </row>
    <row r="1626" spans="10:10">
      <c r="J1626" s="94"/>
    </row>
    <row r="1627" spans="10:10">
      <c r="J1627" s="94"/>
    </row>
    <row r="1628" spans="10:10">
      <c r="J1628" s="94"/>
    </row>
    <row r="1629" spans="10:10">
      <c r="J1629" s="94"/>
    </row>
    <row r="1630" spans="10:10">
      <c r="J1630" s="94"/>
    </row>
    <row r="1631" spans="10:10">
      <c r="J1631" s="94"/>
    </row>
    <row r="1632" spans="10:10">
      <c r="J1632" s="94"/>
    </row>
    <row r="1633" spans="10:10">
      <c r="J1633" s="94"/>
    </row>
    <row r="1634" spans="10:10">
      <c r="J1634" s="94"/>
    </row>
    <row r="1635" spans="10:10">
      <c r="J1635" s="94"/>
    </row>
    <row r="1636" spans="10:10">
      <c r="J1636" s="94"/>
    </row>
    <row r="1637" spans="10:10">
      <c r="J1637" s="94"/>
    </row>
    <row r="1638" spans="10:10">
      <c r="J1638" s="94"/>
    </row>
    <row r="1639" spans="10:10">
      <c r="J1639" s="94"/>
    </row>
    <row r="1640" spans="10:10">
      <c r="J1640" s="94"/>
    </row>
    <row r="1641" spans="10:10">
      <c r="J1641" s="94"/>
    </row>
    <row r="1642" spans="10:10">
      <c r="J1642" s="94"/>
    </row>
    <row r="1643" spans="10:10">
      <c r="J1643" s="94"/>
    </row>
    <row r="1644" spans="10:10">
      <c r="J1644" s="94"/>
    </row>
    <row r="1645" spans="10:10">
      <c r="J1645" s="94"/>
    </row>
    <row r="1646" spans="10:10">
      <c r="J1646" s="94"/>
    </row>
    <row r="1647" spans="10:10">
      <c r="J1647" s="94"/>
    </row>
    <row r="1648" spans="10:10">
      <c r="J1648" s="94"/>
    </row>
    <row r="1649" spans="10:10">
      <c r="J1649" s="94"/>
    </row>
    <row r="1650" spans="10:10">
      <c r="J1650" s="94"/>
    </row>
    <row r="1651" spans="10:10">
      <c r="J1651" s="94"/>
    </row>
    <row r="1652" spans="10:10">
      <c r="J1652" s="94"/>
    </row>
    <row r="1653" spans="10:10">
      <c r="J1653" s="94"/>
    </row>
    <row r="1654" spans="10:10">
      <c r="J1654" s="94"/>
    </row>
    <row r="1655" spans="10:10">
      <c r="J1655" s="94"/>
    </row>
    <row r="1656" spans="10:10">
      <c r="J1656" s="94"/>
    </row>
    <row r="1657" spans="10:10">
      <c r="J1657" s="94"/>
    </row>
    <row r="1658" spans="10:10">
      <c r="J1658" s="94"/>
    </row>
    <row r="1659" spans="10:10">
      <c r="J1659" s="94"/>
    </row>
    <row r="1660" spans="10:10">
      <c r="J1660" s="94"/>
    </row>
    <row r="1661" spans="10:10">
      <c r="J1661" s="94"/>
    </row>
    <row r="1662" spans="10:10">
      <c r="J1662" s="94"/>
    </row>
    <row r="1663" spans="10:10">
      <c r="J1663" s="94"/>
    </row>
    <row r="1664" spans="10:10">
      <c r="J1664" s="94"/>
    </row>
    <row r="1665" spans="10:10">
      <c r="J1665" s="94"/>
    </row>
    <row r="1666" spans="10:10">
      <c r="J1666" s="94"/>
    </row>
    <row r="1667" spans="10:10">
      <c r="J1667" s="94"/>
    </row>
    <row r="1668" spans="10:10">
      <c r="J1668" s="94"/>
    </row>
    <row r="1669" spans="10:10">
      <c r="J1669" s="94"/>
    </row>
    <row r="1670" spans="10:10">
      <c r="J1670" s="94"/>
    </row>
    <row r="1671" spans="10:10">
      <c r="J1671" s="94"/>
    </row>
    <row r="1672" spans="10:10">
      <c r="J1672" s="94"/>
    </row>
    <row r="1673" spans="10:10">
      <c r="J1673" s="94"/>
    </row>
    <row r="1674" spans="10:10">
      <c r="J1674" s="94"/>
    </row>
    <row r="1675" spans="10:10">
      <c r="J1675" s="94"/>
    </row>
    <row r="1676" spans="10:10">
      <c r="J1676" s="94"/>
    </row>
    <row r="1677" spans="10:10">
      <c r="J1677" s="94"/>
    </row>
    <row r="1678" spans="10:10">
      <c r="J1678" s="94"/>
    </row>
    <row r="1679" spans="10:10">
      <c r="J1679" s="94"/>
    </row>
    <row r="1680" spans="10:10">
      <c r="J1680" s="94"/>
    </row>
    <row r="1681" spans="10:10">
      <c r="J1681" s="94"/>
    </row>
    <row r="1682" spans="10:10">
      <c r="J1682" s="94"/>
    </row>
    <row r="1683" spans="10:10">
      <c r="J1683" s="94"/>
    </row>
    <row r="1684" spans="10:10">
      <c r="J1684" s="94"/>
    </row>
    <row r="1685" spans="10:10">
      <c r="J1685" s="94"/>
    </row>
    <row r="1686" spans="10:10">
      <c r="J1686" s="94"/>
    </row>
    <row r="1687" spans="10:10">
      <c r="J1687" s="94"/>
    </row>
    <row r="1688" spans="10:10">
      <c r="J1688" s="94"/>
    </row>
    <row r="1689" spans="10:10">
      <c r="J1689" s="94"/>
    </row>
    <row r="1690" spans="10:10">
      <c r="J1690" s="94"/>
    </row>
    <row r="1691" spans="10:10">
      <c r="J1691" s="94"/>
    </row>
    <row r="1692" spans="10:10">
      <c r="J1692" s="94"/>
    </row>
    <row r="1693" spans="10:10">
      <c r="J1693" s="94"/>
    </row>
    <row r="1694" spans="10:10">
      <c r="J1694" s="94"/>
    </row>
    <row r="1695" spans="10:10">
      <c r="J1695" s="94"/>
    </row>
    <row r="1696" spans="10:10">
      <c r="J1696" s="94"/>
    </row>
    <row r="1697" spans="10:10">
      <c r="J1697" s="94"/>
    </row>
    <row r="1698" spans="10:10">
      <c r="J1698" s="94"/>
    </row>
    <row r="1699" spans="10:10">
      <c r="J1699" s="94"/>
    </row>
    <row r="1700" spans="10:10">
      <c r="J1700" s="94"/>
    </row>
    <row r="1701" spans="10:10">
      <c r="J1701" s="94"/>
    </row>
    <row r="1702" spans="10:10">
      <c r="J1702" s="94"/>
    </row>
    <row r="1703" spans="10:10">
      <c r="J1703" s="94"/>
    </row>
    <row r="1704" spans="10:10">
      <c r="J1704" s="94"/>
    </row>
    <row r="1705" spans="10:10">
      <c r="J1705" s="94"/>
    </row>
    <row r="1706" spans="10:10">
      <c r="J1706" s="94"/>
    </row>
    <row r="1707" spans="10:10">
      <c r="J1707" s="94"/>
    </row>
    <row r="1708" spans="10:10">
      <c r="J1708" s="94"/>
    </row>
    <row r="1709" spans="10:10">
      <c r="J1709" s="94"/>
    </row>
    <row r="1710" spans="10:10">
      <c r="J1710" s="94"/>
    </row>
    <row r="1711" spans="10:10">
      <c r="J1711" s="94"/>
    </row>
    <row r="1712" spans="10:10">
      <c r="J1712" s="94"/>
    </row>
    <row r="1713" spans="10:10">
      <c r="J1713" s="94"/>
    </row>
    <row r="1714" spans="10:10">
      <c r="J1714" s="94"/>
    </row>
    <row r="1715" spans="10:10">
      <c r="J1715" s="94"/>
    </row>
    <row r="1716" spans="10:10">
      <c r="J1716" s="94"/>
    </row>
    <row r="1717" spans="10:10">
      <c r="J1717" s="94"/>
    </row>
    <row r="1718" spans="10:10">
      <c r="J1718" s="94"/>
    </row>
    <row r="1719" spans="10:10">
      <c r="J1719" s="94"/>
    </row>
    <row r="1720" spans="10:10">
      <c r="J1720" s="94"/>
    </row>
    <row r="1721" spans="10:10">
      <c r="J1721" s="94"/>
    </row>
    <row r="1722" spans="10:10">
      <c r="J1722" s="94"/>
    </row>
    <row r="1723" spans="10:10">
      <c r="J1723" s="94"/>
    </row>
    <row r="1724" spans="10:10">
      <c r="J1724" s="94"/>
    </row>
    <row r="1725" spans="10:10">
      <c r="J1725" s="94"/>
    </row>
    <row r="1726" spans="10:10">
      <c r="J1726" s="94"/>
    </row>
    <row r="1727" spans="10:10">
      <c r="J1727" s="94"/>
    </row>
    <row r="1728" spans="10:10">
      <c r="J1728" s="94"/>
    </row>
    <row r="1729" spans="10:10">
      <c r="J1729" s="94"/>
    </row>
    <row r="1730" spans="10:10">
      <c r="J1730" s="94"/>
    </row>
    <row r="1731" spans="10:10">
      <c r="J1731" s="94"/>
    </row>
    <row r="1732" spans="10:10">
      <c r="J1732" s="94"/>
    </row>
    <row r="1733" spans="10:10">
      <c r="J1733" s="94"/>
    </row>
    <row r="1734" spans="10:10">
      <c r="J1734" s="94"/>
    </row>
    <row r="1735" spans="10:10">
      <c r="J1735" s="94"/>
    </row>
    <row r="1736" spans="10:10">
      <c r="J1736" s="94"/>
    </row>
    <row r="1737" spans="10:10">
      <c r="J1737" s="94"/>
    </row>
    <row r="1738" spans="10:10">
      <c r="J1738" s="94"/>
    </row>
    <row r="1739" spans="10:10">
      <c r="J1739" s="94"/>
    </row>
    <row r="1740" spans="10:10">
      <c r="J1740" s="94"/>
    </row>
    <row r="1741" spans="10:10">
      <c r="J1741" s="94"/>
    </row>
    <row r="1742" spans="10:10">
      <c r="J1742" s="94"/>
    </row>
    <row r="1743" spans="10:10">
      <c r="J1743" s="94"/>
    </row>
    <row r="1744" spans="10:10">
      <c r="J1744" s="94"/>
    </row>
    <row r="1745" spans="10:10">
      <c r="J1745" s="94"/>
    </row>
    <row r="1746" spans="10:10">
      <c r="J1746" s="94"/>
    </row>
    <row r="1747" spans="10:10">
      <c r="J1747" s="94"/>
    </row>
    <row r="1748" spans="10:10">
      <c r="J1748" s="94"/>
    </row>
    <row r="1749" spans="10:10">
      <c r="J1749" s="94"/>
    </row>
    <row r="1750" spans="10:10">
      <c r="J1750" s="94"/>
    </row>
    <row r="1751" spans="10:10">
      <c r="J1751" s="94"/>
    </row>
    <row r="1752" spans="10:10">
      <c r="J1752" s="94"/>
    </row>
    <row r="1753" spans="10:10">
      <c r="J1753" s="94"/>
    </row>
    <row r="1754" spans="10:10">
      <c r="J1754" s="94"/>
    </row>
    <row r="1755" spans="10:10">
      <c r="J1755" s="94"/>
    </row>
    <row r="1756" spans="10:10">
      <c r="J1756" s="94"/>
    </row>
    <row r="1757" spans="10:10">
      <c r="J1757" s="94"/>
    </row>
    <row r="1758" spans="10:10">
      <c r="J1758" s="94"/>
    </row>
    <row r="1759" spans="10:10">
      <c r="J1759" s="94"/>
    </row>
    <row r="1760" spans="10:10">
      <c r="J1760" s="94"/>
    </row>
    <row r="1761" spans="10:10">
      <c r="J1761" s="94"/>
    </row>
    <row r="1762" spans="10:10">
      <c r="J1762" s="94"/>
    </row>
    <row r="1763" spans="10:10">
      <c r="J1763" s="94"/>
    </row>
    <row r="1764" spans="10:10">
      <c r="J1764" s="94"/>
    </row>
    <row r="1765" spans="10:10">
      <c r="J1765" s="94"/>
    </row>
    <row r="1766" spans="10:10">
      <c r="J1766" s="94"/>
    </row>
    <row r="1767" spans="10:10">
      <c r="J1767" s="94"/>
    </row>
    <row r="1768" spans="10:10">
      <c r="J1768" s="94"/>
    </row>
    <row r="1769" spans="10:10">
      <c r="J1769" s="94"/>
    </row>
    <row r="1770" spans="10:10">
      <c r="J1770" s="94"/>
    </row>
    <row r="1771" spans="10:10">
      <c r="J1771" s="94"/>
    </row>
    <row r="1772" spans="10:10">
      <c r="J1772" s="94"/>
    </row>
    <row r="1773" spans="10:10">
      <c r="J1773" s="94"/>
    </row>
    <row r="1774" spans="10:10">
      <c r="J1774" s="94"/>
    </row>
    <row r="1775" spans="10:10">
      <c r="J1775" s="94"/>
    </row>
    <row r="1776" spans="10:10">
      <c r="J1776" s="94"/>
    </row>
    <row r="1777" spans="10:10">
      <c r="J1777" s="94"/>
    </row>
    <row r="1778" spans="10:10">
      <c r="J1778" s="94"/>
    </row>
    <row r="1779" spans="10:10">
      <c r="J1779" s="94"/>
    </row>
    <row r="1780" spans="10:10">
      <c r="J1780" s="94"/>
    </row>
    <row r="1781" spans="10:10">
      <c r="J1781" s="94"/>
    </row>
    <row r="1782" spans="10:10">
      <c r="J1782" s="94"/>
    </row>
    <row r="1783" spans="10:10">
      <c r="J1783" s="94"/>
    </row>
    <row r="1784" spans="10:10">
      <c r="J1784" s="94"/>
    </row>
    <row r="1785" spans="10:10">
      <c r="J1785" s="94"/>
    </row>
    <row r="1786" spans="10:10">
      <c r="J1786" s="94"/>
    </row>
    <row r="1787" spans="10:10">
      <c r="J1787" s="94"/>
    </row>
    <row r="1788" spans="10:10">
      <c r="J1788" s="94"/>
    </row>
    <row r="1789" spans="10:10">
      <c r="J1789" s="94"/>
    </row>
    <row r="1790" spans="10:10">
      <c r="J1790" s="94"/>
    </row>
    <row r="1791" spans="10:10">
      <c r="J1791" s="94"/>
    </row>
    <row r="1792" spans="10:10">
      <c r="J1792" s="94"/>
    </row>
    <row r="1793" spans="10:10">
      <c r="J1793" s="94"/>
    </row>
    <row r="1794" spans="10:10">
      <c r="J1794" s="94"/>
    </row>
    <row r="1795" spans="10:10">
      <c r="J1795" s="94"/>
    </row>
    <row r="1796" spans="10:10">
      <c r="J1796" s="94"/>
    </row>
    <row r="1797" spans="10:10">
      <c r="J1797" s="94"/>
    </row>
    <row r="1798" spans="10:10">
      <c r="J1798" s="94"/>
    </row>
    <row r="1799" spans="10:10">
      <c r="J1799" s="94"/>
    </row>
    <row r="1800" spans="10:10">
      <c r="J1800" s="94"/>
    </row>
    <row r="1801" spans="10:10">
      <c r="J1801" s="94"/>
    </row>
    <row r="1802" spans="10:10">
      <c r="J1802" s="94"/>
    </row>
    <row r="1803" spans="10:10">
      <c r="J1803" s="94"/>
    </row>
    <row r="1804" spans="10:10">
      <c r="J1804" s="94"/>
    </row>
    <row r="1805" spans="10:10">
      <c r="J1805" s="94"/>
    </row>
    <row r="1806" spans="10:10">
      <c r="J1806" s="94"/>
    </row>
    <row r="1807" spans="10:10">
      <c r="J1807" s="94"/>
    </row>
    <row r="1808" spans="10:10">
      <c r="J1808" s="94"/>
    </row>
    <row r="1809" spans="10:10">
      <c r="J1809" s="94"/>
    </row>
    <row r="1810" spans="10:10">
      <c r="J1810" s="94"/>
    </row>
    <row r="1811" spans="10:10">
      <c r="J1811" s="94"/>
    </row>
    <row r="1812" spans="10:10">
      <c r="J1812" s="94"/>
    </row>
    <row r="1813" spans="10:10">
      <c r="J1813" s="94"/>
    </row>
    <row r="1814" spans="10:10">
      <c r="J1814" s="94"/>
    </row>
    <row r="1815" spans="10:10">
      <c r="J1815" s="94"/>
    </row>
    <row r="1816" spans="10:10">
      <c r="J1816" s="94"/>
    </row>
    <row r="1817" spans="10:10">
      <c r="J1817" s="94"/>
    </row>
    <row r="1818" spans="10:10">
      <c r="J1818" s="94"/>
    </row>
    <row r="1819" spans="10:10">
      <c r="J1819" s="94"/>
    </row>
    <row r="1820" spans="10:10">
      <c r="J1820" s="94"/>
    </row>
    <row r="1821" spans="10:10">
      <c r="J1821" s="94"/>
    </row>
    <row r="1822" spans="10:10">
      <c r="J1822" s="94"/>
    </row>
    <row r="1823" spans="10:10">
      <c r="J1823" s="94"/>
    </row>
    <row r="1824" spans="10:10">
      <c r="J1824" s="94"/>
    </row>
    <row r="1825" spans="10:10">
      <c r="J1825" s="94"/>
    </row>
    <row r="1826" spans="10:10">
      <c r="J1826" s="94"/>
    </row>
    <row r="1827" spans="10:10">
      <c r="J1827" s="94"/>
    </row>
    <row r="1828" spans="10:10">
      <c r="J1828" s="94"/>
    </row>
    <row r="1829" spans="10:10">
      <c r="J1829" s="94"/>
    </row>
    <row r="1830" spans="10:10">
      <c r="J1830" s="94"/>
    </row>
    <row r="1831" spans="10:10">
      <c r="J1831" s="94"/>
    </row>
    <row r="1832" spans="10:10">
      <c r="J1832" s="94"/>
    </row>
    <row r="1833" spans="10:10">
      <c r="J1833" s="94"/>
    </row>
    <row r="1834" spans="10:10">
      <c r="J1834" s="94"/>
    </row>
    <row r="1835" spans="10:10">
      <c r="J1835" s="94"/>
    </row>
    <row r="1836" spans="10:10">
      <c r="J1836" s="94"/>
    </row>
    <row r="1837" spans="10:10">
      <c r="J1837" s="94"/>
    </row>
    <row r="1838" spans="10:10">
      <c r="J1838" s="94"/>
    </row>
    <row r="1839" spans="10:10">
      <c r="J1839" s="94"/>
    </row>
    <row r="1840" spans="10:10">
      <c r="J1840" s="94"/>
    </row>
    <row r="1841" spans="10:10">
      <c r="J1841" s="94"/>
    </row>
    <row r="1842" spans="10:10">
      <c r="J1842" s="94"/>
    </row>
    <row r="1843" spans="10:10">
      <c r="J1843" s="94"/>
    </row>
    <row r="1844" spans="10:10">
      <c r="J1844" s="94"/>
    </row>
    <row r="1845" spans="10:10">
      <c r="J1845" s="94"/>
    </row>
    <row r="1846" spans="10:10">
      <c r="J1846" s="94"/>
    </row>
    <row r="1847" spans="10:10">
      <c r="J1847" s="94"/>
    </row>
    <row r="1848" spans="10:10">
      <c r="J1848" s="94"/>
    </row>
    <row r="1849" spans="10:10">
      <c r="J1849" s="94"/>
    </row>
    <row r="1850" spans="10:10">
      <c r="J1850" s="94"/>
    </row>
    <row r="1851" spans="10:10">
      <c r="J1851" s="94"/>
    </row>
    <row r="1852" spans="10:10">
      <c r="J1852" s="94"/>
    </row>
    <row r="1853" spans="10:10">
      <c r="J1853" s="94"/>
    </row>
    <row r="1854" spans="10:10">
      <c r="J1854" s="94"/>
    </row>
    <row r="1855" spans="10:10">
      <c r="J1855" s="94"/>
    </row>
    <row r="1856" spans="10:10">
      <c r="J1856" s="94"/>
    </row>
    <row r="1857" spans="10:10">
      <c r="J1857" s="94"/>
    </row>
    <row r="1858" spans="10:10">
      <c r="J1858" s="94"/>
    </row>
    <row r="1859" spans="10:10">
      <c r="J1859" s="94"/>
    </row>
    <row r="1860" spans="10:10">
      <c r="J1860" s="94"/>
    </row>
    <row r="1861" spans="10:10">
      <c r="J1861" s="94"/>
    </row>
    <row r="1862" spans="10:10">
      <c r="J1862" s="94"/>
    </row>
    <row r="1863" spans="10:10">
      <c r="J1863" s="94"/>
    </row>
    <row r="1864" spans="10:10">
      <c r="J1864" s="94"/>
    </row>
    <row r="1865" spans="10:10">
      <c r="J1865" s="94"/>
    </row>
    <row r="1866" spans="10:10">
      <c r="J1866" s="94"/>
    </row>
    <row r="1867" spans="10:10">
      <c r="J1867" s="94"/>
    </row>
    <row r="1868" spans="10:10">
      <c r="J1868" s="94"/>
    </row>
    <row r="1869" spans="10:10">
      <c r="J1869" s="94"/>
    </row>
    <row r="1870" spans="10:10">
      <c r="J1870" s="94"/>
    </row>
    <row r="1871" spans="10:10">
      <c r="J1871" s="94"/>
    </row>
    <row r="1872" spans="10:10">
      <c r="J1872" s="94"/>
    </row>
    <row r="1873" spans="10:10">
      <c r="J1873" s="94"/>
    </row>
    <row r="1874" spans="10:10">
      <c r="J1874" s="94"/>
    </row>
    <row r="1875" spans="10:10">
      <c r="J1875" s="94"/>
    </row>
    <row r="1876" spans="10:10">
      <c r="J1876" s="94"/>
    </row>
    <row r="1877" spans="10:10">
      <c r="J1877" s="94"/>
    </row>
    <row r="1878" spans="10:10">
      <c r="J1878" s="94"/>
    </row>
    <row r="1879" spans="10:10">
      <c r="J1879" s="94"/>
    </row>
    <row r="1880" spans="10:10">
      <c r="J1880" s="94"/>
    </row>
    <row r="1881" spans="10:10">
      <c r="J1881" s="94"/>
    </row>
    <row r="1882" spans="10:10">
      <c r="J1882" s="94"/>
    </row>
    <row r="1883" spans="10:10">
      <c r="J1883" s="94"/>
    </row>
    <row r="1884" spans="10:10">
      <c r="J1884" s="94"/>
    </row>
    <row r="1885" spans="10:10">
      <c r="J1885" s="94"/>
    </row>
    <row r="1886" spans="10:10">
      <c r="J1886" s="94"/>
    </row>
    <row r="1887" spans="10:10">
      <c r="J1887" s="94"/>
    </row>
    <row r="1888" spans="10:10">
      <c r="J1888" s="94"/>
    </row>
    <row r="1889" spans="10:10">
      <c r="J1889" s="94"/>
    </row>
    <row r="1890" spans="10:10">
      <c r="J1890" s="94"/>
    </row>
    <row r="1891" spans="10:10">
      <c r="J1891" s="94"/>
    </row>
    <row r="1892" spans="10:10">
      <c r="J1892" s="94"/>
    </row>
    <row r="1893" spans="10:10">
      <c r="J1893" s="94"/>
    </row>
    <row r="1894" spans="10:10">
      <c r="J1894" s="94"/>
    </row>
    <row r="1895" spans="10:10">
      <c r="J1895" s="94"/>
    </row>
    <row r="1896" spans="10:10">
      <c r="J1896" s="94"/>
    </row>
    <row r="1897" spans="10:10">
      <c r="J1897" s="94"/>
    </row>
    <row r="1898" spans="10:10">
      <c r="J1898" s="94"/>
    </row>
    <row r="1899" spans="10:10">
      <c r="J1899" s="94"/>
    </row>
    <row r="1900" spans="10:10">
      <c r="J1900" s="94"/>
    </row>
    <row r="1901" spans="10:10">
      <c r="J1901" s="94"/>
    </row>
    <row r="1902" spans="10:10">
      <c r="J1902" s="94"/>
    </row>
    <row r="1903" spans="10:10">
      <c r="J1903" s="94"/>
    </row>
    <row r="1904" spans="10:10">
      <c r="J1904" s="94"/>
    </row>
    <row r="1905" spans="10:10">
      <c r="J1905" s="94"/>
    </row>
    <row r="1906" spans="10:10">
      <c r="J1906" s="94"/>
    </row>
    <row r="1907" spans="10:10">
      <c r="J1907" s="94"/>
    </row>
    <row r="1908" spans="10:10">
      <c r="J1908" s="94"/>
    </row>
    <row r="1909" spans="10:10">
      <c r="J1909" s="94"/>
    </row>
    <row r="1910" spans="10:10">
      <c r="J1910" s="94"/>
    </row>
    <row r="1911" spans="10:10">
      <c r="J1911" s="94"/>
    </row>
    <row r="1912" spans="10:10">
      <c r="J1912" s="94"/>
    </row>
    <row r="1913" spans="10:10">
      <c r="J1913" s="94"/>
    </row>
    <row r="1914" spans="10:10">
      <c r="J1914" s="94"/>
    </row>
    <row r="1915" spans="10:10">
      <c r="J1915" s="94"/>
    </row>
    <row r="1916" spans="10:10">
      <c r="J1916" s="94"/>
    </row>
    <row r="1917" spans="10:10">
      <c r="J1917" s="94"/>
    </row>
    <row r="1918" spans="10:10">
      <c r="J1918" s="94"/>
    </row>
    <row r="1919" spans="10:10">
      <c r="J1919" s="94"/>
    </row>
    <row r="1920" spans="10:10">
      <c r="J1920" s="94"/>
    </row>
    <row r="1921" spans="10:10">
      <c r="J1921" s="94"/>
    </row>
    <row r="1922" spans="10:10">
      <c r="J1922" s="94"/>
    </row>
    <row r="1923" spans="10:10">
      <c r="J1923" s="94"/>
    </row>
    <row r="1924" spans="10:10">
      <c r="J1924" s="94"/>
    </row>
    <row r="1925" spans="10:10">
      <c r="J1925" s="94"/>
    </row>
    <row r="1926" spans="10:10">
      <c r="J1926" s="94"/>
    </row>
    <row r="1927" spans="10:10">
      <c r="J1927" s="94"/>
    </row>
    <row r="1928" spans="10:10">
      <c r="J1928" s="94"/>
    </row>
    <row r="1929" spans="10:10">
      <c r="J1929" s="94"/>
    </row>
    <row r="1930" spans="10:10">
      <c r="J1930" s="94"/>
    </row>
    <row r="1931" spans="10:10">
      <c r="J1931" s="94"/>
    </row>
    <row r="1932" spans="10:10">
      <c r="J1932" s="94"/>
    </row>
    <row r="1933" spans="10:10">
      <c r="J1933" s="94"/>
    </row>
    <row r="1934" spans="10:10">
      <c r="J1934" s="94"/>
    </row>
    <row r="1935" spans="10:10">
      <c r="J1935" s="94"/>
    </row>
    <row r="1936" spans="10:10">
      <c r="J1936" s="94"/>
    </row>
    <row r="1937" spans="10:10">
      <c r="J1937" s="94"/>
    </row>
    <row r="1938" spans="10:10">
      <c r="J1938" s="94"/>
    </row>
    <row r="1939" spans="10:10">
      <c r="J1939" s="94"/>
    </row>
    <row r="1940" spans="10:10">
      <c r="J1940" s="94"/>
    </row>
    <row r="1941" spans="10:10">
      <c r="J1941" s="94"/>
    </row>
    <row r="1942" spans="10:10">
      <c r="J1942" s="94"/>
    </row>
    <row r="1943" spans="10:10">
      <c r="J1943" s="94"/>
    </row>
    <row r="1944" spans="10:10">
      <c r="J1944" s="94"/>
    </row>
    <row r="1945" spans="10:10">
      <c r="J1945" s="94"/>
    </row>
    <row r="1946" spans="10:10">
      <c r="J1946" s="94"/>
    </row>
    <row r="1947" spans="10:10">
      <c r="J1947" s="94"/>
    </row>
    <row r="1948" spans="10:10">
      <c r="J1948" s="94"/>
    </row>
    <row r="1949" spans="10:10">
      <c r="J1949" s="94"/>
    </row>
    <row r="1950" spans="10:10">
      <c r="J1950" s="94"/>
    </row>
    <row r="1951" spans="10:10">
      <c r="J1951" s="94"/>
    </row>
    <row r="1952" spans="10:10">
      <c r="J1952" s="94"/>
    </row>
    <row r="1953" spans="10:10">
      <c r="J1953" s="94"/>
    </row>
    <row r="1954" spans="10:10">
      <c r="J1954" s="94"/>
    </row>
    <row r="1955" spans="10:10">
      <c r="J1955" s="94"/>
    </row>
    <row r="1956" spans="10:10">
      <c r="J1956" s="94"/>
    </row>
    <row r="1957" spans="10:10">
      <c r="J1957" s="94"/>
    </row>
    <row r="1958" spans="10:10">
      <c r="J1958" s="94"/>
    </row>
    <row r="1959" spans="10:10">
      <c r="J1959" s="94"/>
    </row>
    <row r="1960" spans="10:10">
      <c r="J1960" s="94"/>
    </row>
    <row r="1961" spans="10:10">
      <c r="J1961" s="94"/>
    </row>
    <row r="1962" spans="10:10">
      <c r="J1962" s="94"/>
    </row>
    <row r="1963" spans="10:10">
      <c r="J1963" s="94"/>
    </row>
    <row r="1964" spans="10:10">
      <c r="J1964" s="94"/>
    </row>
    <row r="1965" spans="10:10">
      <c r="J1965" s="94"/>
    </row>
    <row r="1966" spans="10:10">
      <c r="J1966" s="94"/>
    </row>
    <row r="1967" spans="10:10">
      <c r="J1967" s="94"/>
    </row>
    <row r="1968" spans="10:10">
      <c r="J1968" s="94"/>
    </row>
    <row r="1969" spans="10:10">
      <c r="J1969" s="94"/>
    </row>
    <row r="1970" spans="10:10">
      <c r="J1970" s="94"/>
    </row>
    <row r="1971" spans="10:10">
      <c r="J1971" s="94"/>
    </row>
    <row r="1972" spans="10:10">
      <c r="J1972" s="94"/>
    </row>
    <row r="1973" spans="10:10">
      <c r="J1973" s="94"/>
    </row>
    <row r="1974" spans="10:10">
      <c r="J1974" s="94"/>
    </row>
    <row r="1975" spans="10:10">
      <c r="J1975" s="94"/>
    </row>
    <row r="1976" spans="10:10">
      <c r="J1976" s="94"/>
    </row>
    <row r="1977" spans="10:10">
      <c r="J1977" s="94"/>
    </row>
    <row r="1978" spans="10:10">
      <c r="J1978" s="94"/>
    </row>
    <row r="1979" spans="10:10">
      <c r="J1979" s="94"/>
    </row>
    <row r="1980" spans="10:10">
      <c r="J1980" s="94"/>
    </row>
    <row r="1981" spans="10:10">
      <c r="J1981" s="94"/>
    </row>
    <row r="1982" spans="10:10">
      <c r="J1982" s="94"/>
    </row>
    <row r="1983" spans="10:10">
      <c r="J1983" s="94"/>
    </row>
    <row r="1984" spans="10:10">
      <c r="J1984" s="94"/>
    </row>
    <row r="1985" spans="10:10">
      <c r="J1985" s="94"/>
    </row>
    <row r="1986" spans="10:10">
      <c r="J1986" s="94"/>
    </row>
    <row r="1987" spans="10:10">
      <c r="J1987" s="94"/>
    </row>
    <row r="1988" spans="10:10">
      <c r="J1988" s="94"/>
    </row>
    <row r="1989" spans="10:10">
      <c r="J1989" s="94"/>
    </row>
    <row r="1990" spans="10:10">
      <c r="J1990" s="94"/>
    </row>
    <row r="1991" spans="10:10">
      <c r="J1991" s="94"/>
    </row>
    <row r="1992" spans="10:10">
      <c r="J1992" s="94"/>
    </row>
    <row r="1993" spans="10:10">
      <c r="J1993" s="94"/>
    </row>
    <row r="1994" spans="10:10">
      <c r="J1994" s="94"/>
    </row>
    <row r="1995" spans="10:10">
      <c r="J1995" s="94"/>
    </row>
    <row r="1996" spans="10:10">
      <c r="J1996" s="94"/>
    </row>
    <row r="1997" spans="10:10">
      <c r="J1997" s="94"/>
    </row>
    <row r="1998" spans="10:10">
      <c r="J1998" s="94"/>
    </row>
    <row r="1999" spans="10:10">
      <c r="J1999" s="94"/>
    </row>
    <row r="2000" spans="10:10">
      <c r="J2000" s="94"/>
    </row>
    <row r="2001" spans="10:10">
      <c r="J2001" s="94"/>
    </row>
    <row r="2002" spans="10:10">
      <c r="J2002" s="94"/>
    </row>
    <row r="2003" spans="10:10">
      <c r="J2003" s="94"/>
    </row>
    <row r="2004" spans="10:10">
      <c r="J2004" s="94"/>
    </row>
    <row r="2005" spans="10:10">
      <c r="J2005" s="94"/>
    </row>
    <row r="2006" spans="10:10">
      <c r="J2006" s="94"/>
    </row>
    <row r="2007" spans="10:10">
      <c r="J2007" s="94"/>
    </row>
    <row r="2008" spans="10:10">
      <c r="J2008" s="94"/>
    </row>
    <row r="2009" spans="10:10">
      <c r="J2009" s="94"/>
    </row>
    <row r="2010" spans="10:10">
      <c r="J2010" s="94"/>
    </row>
    <row r="2011" spans="10:10">
      <c r="J2011" s="94"/>
    </row>
    <row r="2012" spans="10:10">
      <c r="J2012" s="94"/>
    </row>
    <row r="2013" spans="10:10">
      <c r="J2013" s="94"/>
    </row>
    <row r="2014" spans="10:10">
      <c r="J2014" s="94"/>
    </row>
    <row r="2015" spans="10:10">
      <c r="J2015" s="94"/>
    </row>
    <row r="2016" spans="10:10">
      <c r="J2016" s="94"/>
    </row>
    <row r="2017" spans="10:10">
      <c r="J2017" s="94"/>
    </row>
    <row r="2018" spans="10:10">
      <c r="J2018" s="94"/>
    </row>
    <row r="2019" spans="10:10">
      <c r="J2019" s="94"/>
    </row>
    <row r="2020" spans="10:10">
      <c r="J2020" s="94"/>
    </row>
    <row r="2021" spans="10:10">
      <c r="J2021" s="94"/>
    </row>
    <row r="2022" spans="10:10">
      <c r="J2022" s="94"/>
    </row>
    <row r="2023" spans="10:10">
      <c r="J2023" s="94"/>
    </row>
    <row r="2024" spans="10:10">
      <c r="J2024" s="94"/>
    </row>
    <row r="2025" spans="10:10">
      <c r="J2025" s="94"/>
    </row>
    <row r="2026" spans="10:10">
      <c r="J2026" s="94"/>
    </row>
    <row r="2027" spans="10:10">
      <c r="J2027" s="94"/>
    </row>
    <row r="2028" spans="10:10">
      <c r="J2028" s="94"/>
    </row>
    <row r="2029" spans="10:10">
      <c r="J2029" s="94"/>
    </row>
    <row r="2030" spans="10:10">
      <c r="J2030" s="94"/>
    </row>
    <row r="2031" spans="10:10">
      <c r="J2031" s="94"/>
    </row>
    <row r="2032" spans="10:10">
      <c r="J2032" s="94"/>
    </row>
    <row r="2033" spans="10:10">
      <c r="J2033" s="94"/>
    </row>
    <row r="2034" spans="10:10">
      <c r="J2034" s="94"/>
    </row>
    <row r="2035" spans="10:10">
      <c r="J2035" s="94"/>
    </row>
    <row r="2036" spans="10:10">
      <c r="J2036" s="94"/>
    </row>
    <row r="2037" spans="10:10">
      <c r="J2037" s="94"/>
    </row>
    <row r="2038" spans="10:10">
      <c r="J2038" s="94"/>
    </row>
    <row r="2039" spans="10:10">
      <c r="J2039" s="94"/>
    </row>
    <row r="2040" spans="10:10">
      <c r="J2040" s="94"/>
    </row>
    <row r="2041" spans="10:10">
      <c r="J2041" s="94"/>
    </row>
    <row r="2042" spans="10:10">
      <c r="J2042" s="94"/>
    </row>
    <row r="2043" spans="10:10">
      <c r="J2043" s="94"/>
    </row>
    <row r="2044" spans="10:10">
      <c r="J2044" s="94"/>
    </row>
    <row r="2045" spans="10:10">
      <c r="J2045" s="94"/>
    </row>
    <row r="2046" spans="10:10">
      <c r="J2046" s="94"/>
    </row>
    <row r="2047" spans="10:10">
      <c r="J2047" s="94"/>
    </row>
    <row r="2048" spans="10:10">
      <c r="J2048" s="94"/>
    </row>
    <row r="2049" spans="10:10">
      <c r="J2049" s="94"/>
    </row>
    <row r="2050" spans="10:10">
      <c r="J2050" s="94"/>
    </row>
    <row r="2051" spans="10:10">
      <c r="J2051" s="94"/>
    </row>
    <row r="2052" spans="10:10">
      <c r="J2052" s="94"/>
    </row>
    <row r="2053" spans="10:10">
      <c r="J2053" s="94"/>
    </row>
    <row r="2054" spans="10:10">
      <c r="J2054" s="94"/>
    </row>
    <row r="2055" spans="10:10">
      <c r="J2055" s="94"/>
    </row>
    <row r="2056" spans="10:10">
      <c r="J2056" s="94"/>
    </row>
    <row r="2057" spans="10:10">
      <c r="J2057" s="94"/>
    </row>
    <row r="2058" spans="10:10">
      <c r="J2058" s="94"/>
    </row>
    <row r="2059" spans="10:10">
      <c r="J2059" s="94"/>
    </row>
    <row r="2060" spans="10:10">
      <c r="J2060" s="94"/>
    </row>
    <row r="2061" spans="10:10">
      <c r="J2061" s="94"/>
    </row>
    <row r="2062" spans="10:10">
      <c r="J2062" s="94"/>
    </row>
    <row r="2063" spans="10:10">
      <c r="J2063" s="94"/>
    </row>
    <row r="2064" spans="10:10">
      <c r="J2064" s="94"/>
    </row>
    <row r="2065" spans="10:10">
      <c r="J2065" s="94"/>
    </row>
    <row r="2066" spans="10:10">
      <c r="J2066" s="94"/>
    </row>
    <row r="2067" spans="10:10">
      <c r="J2067" s="94"/>
    </row>
    <row r="2068" spans="10:10">
      <c r="J2068" s="94"/>
    </row>
    <row r="2069" spans="10:10">
      <c r="J2069" s="94"/>
    </row>
    <row r="2070" spans="10:10">
      <c r="J2070" s="94"/>
    </row>
    <row r="2071" spans="10:10">
      <c r="J2071" s="94"/>
    </row>
    <row r="2072" spans="10:10">
      <c r="J2072" s="94"/>
    </row>
    <row r="2073" spans="10:10">
      <c r="J2073" s="94"/>
    </row>
    <row r="2074" spans="10:10">
      <c r="J2074" s="94"/>
    </row>
    <row r="2075" spans="10:10">
      <c r="J2075" s="94"/>
    </row>
    <row r="2076" spans="10:10">
      <c r="J2076" s="94"/>
    </row>
    <row r="2077" spans="10:10">
      <c r="J2077" s="94"/>
    </row>
    <row r="2078" spans="10:10">
      <c r="J2078" s="94"/>
    </row>
    <row r="2079" spans="10:10">
      <c r="J2079" s="94"/>
    </row>
    <row r="2080" spans="10:10">
      <c r="J2080" s="94"/>
    </row>
    <row r="2081" spans="10:10">
      <c r="J2081" s="94"/>
    </row>
    <row r="2082" spans="10:10">
      <c r="J2082" s="94"/>
    </row>
    <row r="2083" spans="10:10">
      <c r="J2083" s="94"/>
    </row>
    <row r="2084" spans="10:10">
      <c r="J2084" s="94"/>
    </row>
    <row r="2085" spans="10:10">
      <c r="J2085" s="94"/>
    </row>
    <row r="2086" spans="10:10">
      <c r="J2086" s="94"/>
    </row>
    <row r="2087" spans="10:10">
      <c r="J2087" s="94"/>
    </row>
    <row r="2088" spans="10:10">
      <c r="J2088" s="94"/>
    </row>
    <row r="2089" spans="10:10">
      <c r="J2089" s="94"/>
    </row>
    <row r="2090" spans="10:10">
      <c r="J2090" s="94"/>
    </row>
    <row r="2091" spans="10:10">
      <c r="J2091" s="94"/>
    </row>
    <row r="2092" spans="10:10">
      <c r="J2092" s="94"/>
    </row>
    <row r="2093" spans="10:10">
      <c r="J2093" s="94"/>
    </row>
    <row r="2094" spans="10:10">
      <c r="J2094" s="94"/>
    </row>
    <row r="2095" spans="10:10">
      <c r="J2095" s="94"/>
    </row>
    <row r="2096" spans="10:10">
      <c r="J2096" s="94"/>
    </row>
    <row r="2097" spans="10:10">
      <c r="J2097" s="94"/>
    </row>
    <row r="2098" spans="10:10">
      <c r="J2098" s="94"/>
    </row>
    <row r="2099" spans="10:10">
      <c r="J2099" s="94"/>
    </row>
    <row r="2100" spans="10:10">
      <c r="J2100" s="94"/>
    </row>
    <row r="2101" spans="10:10">
      <c r="J2101" s="94"/>
    </row>
    <row r="2102" spans="10:10">
      <c r="J2102" s="94"/>
    </row>
    <row r="2103" spans="10:10">
      <c r="J2103" s="94"/>
    </row>
    <row r="2104" spans="10:10">
      <c r="J2104" s="94"/>
    </row>
    <row r="2105" spans="10:10">
      <c r="J2105" s="94"/>
    </row>
    <row r="2106" spans="10:10">
      <c r="J2106" s="94"/>
    </row>
    <row r="2107" spans="10:10">
      <c r="J2107" s="94"/>
    </row>
    <row r="2108" spans="10:10">
      <c r="J2108" s="94"/>
    </row>
    <row r="2109" spans="10:10">
      <c r="J2109" s="94"/>
    </row>
    <row r="2110" spans="10:10">
      <c r="J2110" s="94"/>
    </row>
    <row r="2111" spans="10:10">
      <c r="J2111" s="94"/>
    </row>
    <row r="2112" spans="10:10">
      <c r="J2112" s="94"/>
    </row>
    <row r="2113" spans="10:10">
      <c r="J2113" s="94"/>
    </row>
    <row r="2114" spans="10:10">
      <c r="J2114" s="94"/>
    </row>
    <row r="2115" spans="10:10">
      <c r="J2115" s="94"/>
    </row>
    <row r="2116" spans="10:10">
      <c r="J2116" s="94"/>
    </row>
    <row r="2117" spans="10:10">
      <c r="J2117" s="94"/>
    </row>
    <row r="2118" spans="10:10">
      <c r="J2118" s="94"/>
    </row>
    <row r="2119" spans="10:10">
      <c r="J2119" s="94"/>
    </row>
    <row r="2120" spans="10:10">
      <c r="J2120" s="94"/>
    </row>
    <row r="2121" spans="10:10">
      <c r="J2121" s="94"/>
    </row>
    <row r="2122" spans="10:10">
      <c r="J2122" s="94"/>
    </row>
    <row r="2123" spans="10:10">
      <c r="J2123" s="94"/>
    </row>
    <row r="2124" spans="10:10">
      <c r="J2124" s="94"/>
    </row>
    <row r="2125" spans="10:10">
      <c r="J2125" s="94"/>
    </row>
    <row r="2126" spans="10:10">
      <c r="J2126" s="94"/>
    </row>
    <row r="2127" spans="10:10">
      <c r="J2127" s="94"/>
    </row>
    <row r="2128" spans="10:10">
      <c r="J2128" s="94"/>
    </row>
    <row r="2129" spans="10:10">
      <c r="J2129" s="94"/>
    </row>
    <row r="2130" spans="10:10">
      <c r="J2130" s="94"/>
    </row>
    <row r="2131" spans="10:10">
      <c r="J2131" s="94"/>
    </row>
    <row r="2132" spans="10:10">
      <c r="J2132" s="94"/>
    </row>
    <row r="2133" spans="10:10">
      <c r="J2133" s="94"/>
    </row>
    <row r="2134" spans="10:10">
      <c r="J2134" s="94"/>
    </row>
    <row r="2135" spans="10:10">
      <c r="J2135" s="94"/>
    </row>
    <row r="2136" spans="10:10">
      <c r="J2136" s="94"/>
    </row>
    <row r="2137" spans="10:10">
      <c r="J2137" s="94"/>
    </row>
    <row r="2138" spans="10:10">
      <c r="J2138" s="94"/>
    </row>
    <row r="2139" spans="10:10">
      <c r="J2139" s="94"/>
    </row>
    <row r="2140" spans="10:10">
      <c r="J2140" s="94"/>
    </row>
    <row r="2141" spans="10:10">
      <c r="J2141" s="94"/>
    </row>
    <row r="2142" spans="10:10">
      <c r="J2142" s="94"/>
    </row>
    <row r="2143" spans="10:10">
      <c r="J2143" s="94"/>
    </row>
    <row r="2144" spans="10:10">
      <c r="J2144" s="94"/>
    </row>
    <row r="2145" spans="10:10">
      <c r="J2145" s="94"/>
    </row>
    <row r="2146" spans="10:10">
      <c r="J2146" s="94"/>
    </row>
    <row r="2147" spans="10:10">
      <c r="J2147" s="94"/>
    </row>
    <row r="2148" spans="10:10">
      <c r="J2148" s="94"/>
    </row>
    <row r="2149" spans="10:10">
      <c r="J2149" s="94"/>
    </row>
    <row r="2150" spans="10:10">
      <c r="J2150" s="94"/>
    </row>
    <row r="2151" spans="10:10">
      <c r="J2151" s="94"/>
    </row>
    <row r="2152" spans="10:10">
      <c r="J2152" s="94"/>
    </row>
    <row r="2153" spans="10:10">
      <c r="J2153" s="94"/>
    </row>
    <row r="2154" spans="10:10">
      <c r="J2154" s="94"/>
    </row>
    <row r="2155" spans="10:10">
      <c r="J2155" s="94"/>
    </row>
    <row r="2156" spans="10:10">
      <c r="J2156" s="94"/>
    </row>
    <row r="2157" spans="10:10">
      <c r="J2157" s="94"/>
    </row>
    <row r="2158" spans="10:10">
      <c r="J2158" s="94"/>
    </row>
    <row r="2159" spans="10:10">
      <c r="J2159" s="94"/>
    </row>
    <row r="2160" spans="10:10">
      <c r="J2160" s="94"/>
    </row>
    <row r="2161" spans="10:10">
      <c r="J2161" s="94"/>
    </row>
    <row r="2162" spans="10:10">
      <c r="J2162" s="94"/>
    </row>
    <row r="2163" spans="10:10">
      <c r="J2163" s="94"/>
    </row>
    <row r="2164" spans="10:10">
      <c r="J2164" s="94"/>
    </row>
    <row r="2165" spans="10:10">
      <c r="J2165" s="94"/>
    </row>
    <row r="2166" spans="10:10">
      <c r="J2166" s="94"/>
    </row>
    <row r="2167" spans="10:10">
      <c r="J2167" s="94"/>
    </row>
    <row r="2168" spans="10:10">
      <c r="J2168" s="94"/>
    </row>
    <row r="2169" spans="10:10">
      <c r="J2169" s="94"/>
    </row>
    <row r="2170" spans="10:10">
      <c r="J2170" s="94"/>
    </row>
    <row r="2171" spans="10:10">
      <c r="J2171" s="94"/>
    </row>
    <row r="2172" spans="10:10">
      <c r="J2172" s="94"/>
    </row>
    <row r="2173" spans="10:10">
      <c r="J2173" s="94"/>
    </row>
    <row r="2174" spans="10:10">
      <c r="J2174" s="94"/>
    </row>
    <row r="2175" spans="10:10">
      <c r="J2175" s="94"/>
    </row>
    <row r="2176" spans="10:10">
      <c r="J2176" s="94"/>
    </row>
    <row r="2177" spans="10:10">
      <c r="J2177" s="94"/>
    </row>
    <row r="2178" spans="10:10">
      <c r="J2178" s="94"/>
    </row>
    <row r="2179" spans="10:10">
      <c r="J2179" s="94"/>
    </row>
    <row r="2180" spans="10:10">
      <c r="J2180" s="94"/>
    </row>
    <row r="2181" spans="10:10">
      <c r="J2181" s="94"/>
    </row>
    <row r="2182" spans="10:10">
      <c r="J2182" s="94"/>
    </row>
    <row r="2183" spans="10:10">
      <c r="J2183" s="94"/>
    </row>
    <row r="2184" spans="10:10">
      <c r="J2184" s="94"/>
    </row>
    <row r="2185" spans="10:10">
      <c r="J2185" s="94"/>
    </row>
    <row r="2186" spans="10:10">
      <c r="J2186" s="94"/>
    </row>
    <row r="2187" spans="10:10">
      <c r="J2187" s="94"/>
    </row>
    <row r="2188" spans="10:10">
      <c r="J2188" s="94"/>
    </row>
    <row r="2189" spans="10:10">
      <c r="J2189" s="94"/>
    </row>
    <row r="2190" spans="10:10">
      <c r="J2190" s="94"/>
    </row>
    <row r="2191" spans="10:10">
      <c r="J2191" s="94"/>
    </row>
    <row r="2192" spans="10:10">
      <c r="J2192" s="94"/>
    </row>
    <row r="2193" spans="10:10">
      <c r="J2193" s="94"/>
    </row>
    <row r="2194" spans="10:10">
      <c r="J2194" s="94"/>
    </row>
    <row r="2195" spans="10:10">
      <c r="J2195" s="94"/>
    </row>
    <row r="2196" spans="10:10">
      <c r="J2196" s="94"/>
    </row>
    <row r="2197" spans="10:10">
      <c r="J2197" s="94"/>
    </row>
    <row r="2198" spans="10:10">
      <c r="J2198" s="94"/>
    </row>
    <row r="2199" spans="10:10">
      <c r="J2199" s="94"/>
    </row>
    <row r="2200" spans="10:10">
      <c r="J2200" s="94"/>
    </row>
    <row r="2201" spans="10:10">
      <c r="J2201" s="94"/>
    </row>
    <row r="2202" spans="10:10">
      <c r="J2202" s="94"/>
    </row>
    <row r="2203" spans="10:10">
      <c r="J2203" s="94"/>
    </row>
    <row r="2204" spans="10:10">
      <c r="J2204" s="94"/>
    </row>
    <row r="2205" spans="10:10">
      <c r="J2205" s="94"/>
    </row>
    <row r="2206" spans="10:10">
      <c r="J2206" s="94"/>
    </row>
    <row r="2207" spans="10:10">
      <c r="J2207" s="94"/>
    </row>
    <row r="2208" spans="10:10">
      <c r="J2208" s="94"/>
    </row>
    <row r="2209" spans="10:10">
      <c r="J2209" s="94"/>
    </row>
    <row r="2210" spans="10:10">
      <c r="J2210" s="94"/>
    </row>
    <row r="2211" spans="10:10">
      <c r="J2211" s="94"/>
    </row>
    <row r="2212" spans="10:10">
      <c r="J2212" s="94"/>
    </row>
    <row r="2213" spans="10:10">
      <c r="J2213" s="94"/>
    </row>
    <row r="2214" spans="10:10">
      <c r="J2214" s="94"/>
    </row>
    <row r="2215" spans="10:10">
      <c r="J2215" s="94"/>
    </row>
    <row r="2216" spans="10:10">
      <c r="J2216" s="94"/>
    </row>
    <row r="2217" spans="10:10">
      <c r="J2217" s="94"/>
    </row>
    <row r="2218" spans="10:10">
      <c r="J2218" s="94"/>
    </row>
    <row r="2219" spans="10:10">
      <c r="J2219" s="94"/>
    </row>
    <row r="2220" spans="10:10">
      <c r="J2220" s="94"/>
    </row>
    <row r="2221" spans="10:10">
      <c r="J2221" s="94"/>
    </row>
    <row r="2222" spans="10:10">
      <c r="J2222" s="94"/>
    </row>
    <row r="2223" spans="10:10">
      <c r="J2223" s="94"/>
    </row>
    <row r="2224" spans="10:10">
      <c r="J2224" s="94"/>
    </row>
    <row r="2225" spans="10:10">
      <c r="J2225" s="94"/>
    </row>
    <row r="2226" spans="10:10">
      <c r="J2226" s="94"/>
    </row>
    <row r="2227" spans="10:10">
      <c r="J2227" s="94"/>
    </row>
    <row r="2228" spans="10:10">
      <c r="J2228" s="94"/>
    </row>
    <row r="2229" spans="10:10">
      <c r="J2229" s="94"/>
    </row>
    <row r="2230" spans="10:10">
      <c r="J2230" s="94"/>
    </row>
    <row r="2231" spans="10:10">
      <c r="J2231" s="94"/>
    </row>
    <row r="2232" spans="10:10">
      <c r="J2232" s="94"/>
    </row>
    <row r="2233" spans="10:10">
      <c r="J2233" s="94"/>
    </row>
    <row r="2234" spans="10:10">
      <c r="J2234" s="94"/>
    </row>
    <row r="2235" spans="10:10">
      <c r="J2235" s="94"/>
    </row>
    <row r="2236" spans="10:10">
      <c r="J2236" s="94"/>
    </row>
    <row r="2237" spans="10:10">
      <c r="J2237" s="94"/>
    </row>
    <row r="2238" spans="10:10">
      <c r="J2238" s="94"/>
    </row>
    <row r="2239" spans="10:10">
      <c r="J2239" s="94"/>
    </row>
    <row r="2240" spans="10:10">
      <c r="J2240" s="94"/>
    </row>
    <row r="2241" spans="10:10">
      <c r="J2241" s="94"/>
    </row>
    <row r="2242" spans="10:10">
      <c r="J2242" s="94"/>
    </row>
    <row r="2243" spans="10:10">
      <c r="J2243" s="94"/>
    </row>
    <row r="2244" spans="10:10">
      <c r="J2244" s="94"/>
    </row>
    <row r="2245" spans="10:10">
      <c r="J2245" s="94"/>
    </row>
    <row r="2246" spans="10:10">
      <c r="J2246" s="94"/>
    </row>
    <row r="2247" spans="10:10">
      <c r="J2247" s="94"/>
    </row>
    <row r="2248" spans="10:10">
      <c r="J2248" s="94"/>
    </row>
    <row r="2249" spans="10:10">
      <c r="J2249" s="94"/>
    </row>
    <row r="2250" spans="10:10">
      <c r="J2250" s="94"/>
    </row>
    <row r="2251" spans="10:10">
      <c r="J2251" s="94"/>
    </row>
    <row r="2252" spans="10:10">
      <c r="J2252" s="94"/>
    </row>
    <row r="2253" spans="10:10">
      <c r="J2253" s="94"/>
    </row>
    <row r="2254" spans="10:10">
      <c r="J2254" s="94"/>
    </row>
    <row r="2255" spans="10:10">
      <c r="J2255" s="94"/>
    </row>
    <row r="2256" spans="10:10">
      <c r="J2256" s="94"/>
    </row>
    <row r="2257" spans="10:10">
      <c r="J2257" s="94"/>
    </row>
    <row r="2258" spans="10:10">
      <c r="J2258" s="94"/>
    </row>
    <row r="2259" spans="10:10">
      <c r="J2259" s="94"/>
    </row>
    <row r="2260" spans="10:10">
      <c r="J2260" s="94"/>
    </row>
    <row r="2261" spans="10:10">
      <c r="J2261" s="94"/>
    </row>
    <row r="2262" spans="10:10">
      <c r="J2262" s="94"/>
    </row>
    <row r="2263" spans="10:10">
      <c r="J2263" s="94"/>
    </row>
    <row r="2264" spans="10:10">
      <c r="J2264" s="94"/>
    </row>
    <row r="2265" spans="10:10">
      <c r="J2265" s="94"/>
    </row>
    <row r="2266" spans="10:10">
      <c r="J2266" s="94"/>
    </row>
    <row r="2267" spans="10:10">
      <c r="J2267" s="94"/>
    </row>
    <row r="2268" spans="10:10">
      <c r="J2268" s="94"/>
    </row>
    <row r="2269" spans="10:10">
      <c r="J2269" s="94"/>
    </row>
    <row r="2270" spans="10:10">
      <c r="J2270" s="94"/>
    </row>
    <row r="2271" spans="10:10">
      <c r="J2271" s="94"/>
    </row>
    <row r="2272" spans="10:10">
      <c r="J2272" s="94"/>
    </row>
    <row r="2273" spans="10:10">
      <c r="J2273" s="94"/>
    </row>
    <row r="2274" spans="10:10">
      <c r="J2274" s="94"/>
    </row>
    <row r="2275" spans="10:10">
      <c r="J2275" s="94"/>
    </row>
    <row r="2276" spans="10:10">
      <c r="J2276" s="94"/>
    </row>
    <row r="2277" spans="10:10">
      <c r="J2277" s="94"/>
    </row>
    <row r="2278" spans="10:10">
      <c r="J2278" s="94"/>
    </row>
    <row r="2279" spans="10:10">
      <c r="J2279" s="94"/>
    </row>
    <row r="2280" spans="10:10">
      <c r="J2280" s="94"/>
    </row>
    <row r="2281" spans="10:10">
      <c r="J2281" s="94"/>
    </row>
    <row r="2282" spans="10:10">
      <c r="J2282" s="94"/>
    </row>
    <row r="2283" spans="10:10">
      <c r="J2283" s="94"/>
    </row>
    <row r="2284" spans="10:10">
      <c r="J2284" s="94"/>
    </row>
    <row r="2285" spans="10:10">
      <c r="J2285" s="94"/>
    </row>
    <row r="2286" spans="10:10">
      <c r="J2286" s="94"/>
    </row>
    <row r="2287" spans="10:10">
      <c r="J2287" s="94"/>
    </row>
    <row r="2288" spans="10:10">
      <c r="J2288" s="94"/>
    </row>
    <row r="2289" spans="10:10">
      <c r="J2289" s="94"/>
    </row>
    <row r="2290" spans="10:10">
      <c r="J2290" s="94"/>
    </row>
    <row r="2291" spans="10:10">
      <c r="J2291" s="94"/>
    </row>
    <row r="2292" spans="10:10">
      <c r="J2292" s="94"/>
    </row>
    <row r="2293" spans="10:10">
      <c r="J2293" s="94"/>
    </row>
    <row r="2294" spans="10:10">
      <c r="J2294" s="94"/>
    </row>
    <row r="2295" spans="10:10">
      <c r="J2295" s="94"/>
    </row>
    <row r="2296" spans="10:10">
      <c r="J2296" s="94"/>
    </row>
    <row r="2297" spans="10:10">
      <c r="J2297" s="94"/>
    </row>
    <row r="2298" spans="10:10">
      <c r="J2298" s="94"/>
    </row>
    <row r="2299" spans="10:10">
      <c r="J2299" s="94"/>
    </row>
    <row r="2300" spans="10:10">
      <c r="J2300" s="94"/>
    </row>
    <row r="2301" spans="10:10">
      <c r="J2301" s="94"/>
    </row>
    <row r="2302" spans="10:10">
      <c r="J2302" s="94"/>
    </row>
    <row r="2303" spans="10:10">
      <c r="J2303" s="94"/>
    </row>
    <row r="2304" spans="10:10">
      <c r="J2304" s="94"/>
    </row>
    <row r="2305" spans="10:10">
      <c r="J2305" s="94"/>
    </row>
    <row r="2306" spans="10:10">
      <c r="J2306" s="94"/>
    </row>
    <row r="2307" spans="10:10">
      <c r="J2307" s="94"/>
    </row>
    <row r="2308" spans="10:10">
      <c r="J2308" s="94"/>
    </row>
    <row r="2309" spans="10:10">
      <c r="J2309" s="94"/>
    </row>
    <row r="2310" spans="10:10">
      <c r="J2310" s="94"/>
    </row>
    <row r="2311" spans="10:10">
      <c r="J2311" s="94"/>
    </row>
    <row r="2312" spans="10:10">
      <c r="J2312" s="94"/>
    </row>
    <row r="2313" spans="10:10">
      <c r="J2313" s="94"/>
    </row>
    <row r="2314" spans="10:10">
      <c r="J2314" s="94"/>
    </row>
    <row r="2315" spans="10:10">
      <c r="J2315" s="94"/>
    </row>
    <row r="2316" spans="10:10">
      <c r="J2316" s="94"/>
    </row>
    <row r="2317" spans="10:10">
      <c r="J2317" s="94"/>
    </row>
    <row r="2318" spans="10:10">
      <c r="J2318" s="94"/>
    </row>
    <row r="2319" spans="10:10">
      <c r="J2319" s="94"/>
    </row>
    <row r="2320" spans="10:10">
      <c r="J2320" s="94"/>
    </row>
    <row r="2321" spans="10:10">
      <c r="J2321" s="94"/>
    </row>
    <row r="2322" spans="10:10">
      <c r="J2322" s="94"/>
    </row>
    <row r="2323" spans="10:10">
      <c r="J2323" s="94"/>
    </row>
    <row r="2324" spans="10:10">
      <c r="J2324" s="94"/>
    </row>
    <row r="2325" spans="10:10">
      <c r="J2325" s="94"/>
    </row>
    <row r="2326" spans="10:10">
      <c r="J2326" s="94"/>
    </row>
    <row r="2327" spans="10:10">
      <c r="J2327" s="94"/>
    </row>
    <row r="2328" spans="10:10">
      <c r="J2328" s="94"/>
    </row>
    <row r="2329" spans="10:10">
      <c r="J2329" s="94"/>
    </row>
    <row r="2330" spans="10:10">
      <c r="J2330" s="94"/>
    </row>
    <row r="2331" spans="10:10">
      <c r="J2331" s="94"/>
    </row>
    <row r="2332" spans="10:10">
      <c r="J2332" s="94"/>
    </row>
    <row r="2333" spans="10:10">
      <c r="J2333" s="94"/>
    </row>
    <row r="2334" spans="10:10">
      <c r="J2334" s="94"/>
    </row>
    <row r="2335" spans="10:10">
      <c r="J2335" s="94"/>
    </row>
    <row r="2336" spans="10:10">
      <c r="J2336" s="94"/>
    </row>
    <row r="2337" spans="10:10">
      <c r="J2337" s="94"/>
    </row>
    <row r="2338" spans="10:10">
      <c r="J2338" s="94"/>
    </row>
    <row r="2339" spans="10:10">
      <c r="J2339" s="94"/>
    </row>
    <row r="2340" spans="10:10">
      <c r="J2340" s="94"/>
    </row>
    <row r="2341" spans="10:10">
      <c r="J2341" s="94"/>
    </row>
    <row r="2342" spans="10:10">
      <c r="J2342" s="94"/>
    </row>
    <row r="2343" spans="10:10">
      <c r="J2343" s="94"/>
    </row>
    <row r="2344" spans="10:10">
      <c r="J2344" s="94"/>
    </row>
    <row r="2345" spans="10:10">
      <c r="J2345" s="94"/>
    </row>
    <row r="2346" spans="10:10">
      <c r="J2346" s="94"/>
    </row>
    <row r="2347" spans="10:10">
      <c r="J2347" s="94"/>
    </row>
    <row r="2348" spans="10:10">
      <c r="J2348" s="94"/>
    </row>
    <row r="2349" spans="10:10">
      <c r="J2349" s="94"/>
    </row>
    <row r="2350" spans="10:10">
      <c r="J2350" s="94"/>
    </row>
    <row r="2351" spans="10:10">
      <c r="J2351" s="94"/>
    </row>
    <row r="2352" spans="10:10">
      <c r="J2352" s="94"/>
    </row>
    <row r="2353" spans="10:10">
      <c r="J2353" s="94"/>
    </row>
    <row r="2354" spans="10:10">
      <c r="J2354" s="94"/>
    </row>
    <row r="2355" spans="10:10">
      <c r="J2355" s="94"/>
    </row>
    <row r="2356" spans="10:10">
      <c r="J2356" s="94"/>
    </row>
    <row r="2357" spans="10:10">
      <c r="J2357" s="94"/>
    </row>
    <row r="2358" spans="10:10">
      <c r="J2358" s="94"/>
    </row>
    <row r="2359" spans="10:10">
      <c r="J2359" s="94"/>
    </row>
    <row r="2360" spans="10:10">
      <c r="J2360" s="94"/>
    </row>
    <row r="2361" spans="10:10">
      <c r="J2361" s="94"/>
    </row>
    <row r="2362" spans="10:10">
      <c r="J2362" s="94"/>
    </row>
    <row r="2363" spans="10:10">
      <c r="J2363" s="94"/>
    </row>
    <row r="2364" spans="10:10">
      <c r="J2364" s="94"/>
    </row>
    <row r="2365" spans="10:10">
      <c r="J2365" s="94"/>
    </row>
    <row r="2366" spans="10:10">
      <c r="J2366" s="94"/>
    </row>
    <row r="2367" spans="10:10">
      <c r="J2367" s="94"/>
    </row>
    <row r="2368" spans="10:10">
      <c r="J2368" s="94"/>
    </row>
    <row r="2369" spans="10:10">
      <c r="J2369" s="94"/>
    </row>
    <row r="2370" spans="10:10">
      <c r="J2370" s="94"/>
    </row>
    <row r="2371" spans="10:10">
      <c r="J2371" s="94"/>
    </row>
    <row r="2372" spans="10:10">
      <c r="J2372" s="94"/>
    </row>
    <row r="2373" spans="10:10">
      <c r="J2373" s="94"/>
    </row>
    <row r="2374" spans="10:10">
      <c r="J2374" s="94"/>
    </row>
    <row r="2375" spans="10:10">
      <c r="J2375" s="94"/>
    </row>
    <row r="2376" spans="10:10">
      <c r="J2376" s="94"/>
    </row>
    <row r="2377" spans="10:10">
      <c r="J2377" s="94"/>
    </row>
    <row r="2378" spans="10:10">
      <c r="J2378" s="94"/>
    </row>
    <row r="2379" spans="10:10">
      <c r="J2379" s="94"/>
    </row>
    <row r="2380" spans="10:10">
      <c r="J2380" s="94"/>
    </row>
    <row r="2381" spans="10:10">
      <c r="J2381" s="94"/>
    </row>
    <row r="2382" spans="10:10">
      <c r="J2382" s="94"/>
    </row>
    <row r="2383" spans="10:10">
      <c r="J2383" s="94"/>
    </row>
    <row r="2384" spans="10:10">
      <c r="J2384" s="94"/>
    </row>
    <row r="2385" spans="10:10">
      <c r="J2385" s="94"/>
    </row>
    <row r="2386" spans="10:10">
      <c r="J2386" s="94"/>
    </row>
    <row r="2387" spans="10:10">
      <c r="J2387" s="94"/>
    </row>
    <row r="2388" spans="10:10">
      <c r="J2388" s="94"/>
    </row>
    <row r="2389" spans="10:10">
      <c r="J2389" s="94"/>
    </row>
    <row r="2390" spans="10:10">
      <c r="J2390" s="94"/>
    </row>
    <row r="2391" spans="10:10">
      <c r="J2391" s="94"/>
    </row>
    <row r="2392" spans="10:10">
      <c r="J2392" s="94"/>
    </row>
    <row r="2393" spans="10:10">
      <c r="J2393" s="94"/>
    </row>
    <row r="2394" spans="10:10">
      <c r="J2394" s="94"/>
    </row>
    <row r="2395" spans="10:10">
      <c r="J2395" s="94"/>
    </row>
    <row r="2396" spans="10:10">
      <c r="J2396" s="94"/>
    </row>
    <row r="2397" spans="10:10">
      <c r="J2397" s="94"/>
    </row>
    <row r="2398" spans="10:10">
      <c r="J2398" s="94"/>
    </row>
    <row r="2399" spans="10:10">
      <c r="J2399" s="94"/>
    </row>
    <row r="2400" spans="10:10">
      <c r="J2400" s="94"/>
    </row>
    <row r="2401" spans="10:10">
      <c r="J2401" s="94"/>
    </row>
    <row r="2402" spans="10:10">
      <c r="J2402" s="94"/>
    </row>
    <row r="2403" spans="10:10">
      <c r="J2403" s="94"/>
    </row>
    <row r="2404" spans="10:10">
      <c r="J2404" s="94"/>
    </row>
    <row r="2405" spans="10:10">
      <c r="J2405" s="94"/>
    </row>
    <row r="2406" spans="10:10">
      <c r="J2406" s="94"/>
    </row>
    <row r="2407" spans="10:10">
      <c r="J2407" s="94"/>
    </row>
    <row r="2408" spans="10:10">
      <c r="J2408" s="94"/>
    </row>
    <row r="2409" spans="10:10">
      <c r="J2409" s="94"/>
    </row>
    <row r="2410" spans="10:10">
      <c r="J2410" s="94"/>
    </row>
    <row r="2411" spans="10:10">
      <c r="J2411" s="94"/>
    </row>
    <row r="2412" spans="10:10">
      <c r="J2412" s="94"/>
    </row>
    <row r="2413" spans="10:10">
      <c r="J2413" s="94"/>
    </row>
    <row r="2414" spans="10:10">
      <c r="J2414" s="94"/>
    </row>
    <row r="2415" spans="10:10">
      <c r="J2415" s="94"/>
    </row>
    <row r="2416" spans="10:10">
      <c r="J2416" s="94"/>
    </row>
    <row r="2417" spans="10:10">
      <c r="J2417" s="94"/>
    </row>
    <row r="2418" spans="10:10">
      <c r="J2418" s="94"/>
    </row>
    <row r="2419" spans="10:10">
      <c r="J2419" s="94"/>
    </row>
    <row r="2420" spans="10:10">
      <c r="J2420" s="94"/>
    </row>
    <row r="2421" spans="10:10">
      <c r="J2421" s="94"/>
    </row>
    <row r="2422" spans="10:10">
      <c r="J2422" s="94"/>
    </row>
    <row r="2423" spans="10:10">
      <c r="J2423" s="94"/>
    </row>
    <row r="2424" spans="10:10">
      <c r="J2424" s="94"/>
    </row>
    <row r="2425" spans="10:10">
      <c r="J2425" s="94"/>
    </row>
    <row r="2426" spans="10:10">
      <c r="J2426" s="94"/>
    </row>
    <row r="2427" spans="10:10">
      <c r="J2427" s="94"/>
    </row>
    <row r="2428" spans="10:10">
      <c r="J2428" s="94"/>
    </row>
    <row r="2429" spans="10:10">
      <c r="J2429" s="94"/>
    </row>
    <row r="2430" spans="10:10">
      <c r="J2430" s="94"/>
    </row>
    <row r="2431" spans="10:10">
      <c r="J2431" s="94"/>
    </row>
    <row r="2432" spans="10:10">
      <c r="J2432" s="94"/>
    </row>
    <row r="2433" spans="10:10">
      <c r="J2433" s="94"/>
    </row>
    <row r="2434" spans="10:10">
      <c r="J2434" s="94"/>
    </row>
    <row r="2435" spans="10:10">
      <c r="J2435" s="94"/>
    </row>
    <row r="2436" spans="10:10">
      <c r="J2436" s="94"/>
    </row>
    <row r="2437" spans="10:10">
      <c r="J2437" s="94"/>
    </row>
    <row r="2438" spans="10:10">
      <c r="J2438" s="94"/>
    </row>
    <row r="2439" spans="10:10">
      <c r="J2439" s="94"/>
    </row>
    <row r="2440" spans="10:10">
      <c r="J2440" s="94"/>
    </row>
    <row r="2441" spans="10:10">
      <c r="J2441" s="94"/>
    </row>
    <row r="2442" spans="10:10">
      <c r="J2442" s="94"/>
    </row>
    <row r="2443" spans="10:10">
      <c r="J2443" s="94"/>
    </row>
    <row r="2444" spans="10:10">
      <c r="J2444" s="94"/>
    </row>
    <row r="2445" spans="10:10">
      <c r="J2445" s="94"/>
    </row>
    <row r="2446" spans="10:10">
      <c r="J2446" s="94"/>
    </row>
    <row r="2447" spans="10:10">
      <c r="J2447" s="94"/>
    </row>
    <row r="2448" spans="10:10">
      <c r="J2448" s="94"/>
    </row>
    <row r="2449" spans="10:10">
      <c r="J2449" s="94"/>
    </row>
    <row r="2450" spans="10:10">
      <c r="J2450" s="94"/>
    </row>
    <row r="2451" spans="10:10">
      <c r="J2451" s="94"/>
    </row>
    <row r="2452" spans="10:10">
      <c r="J2452" s="94"/>
    </row>
    <row r="2453" spans="10:10">
      <c r="J2453" s="94"/>
    </row>
    <row r="2454" spans="10:10">
      <c r="J2454" s="94"/>
    </row>
    <row r="2455" spans="10:10">
      <c r="J2455" s="94"/>
    </row>
    <row r="2456" spans="10:10">
      <c r="J2456" s="94"/>
    </row>
    <row r="2457" spans="10:10">
      <c r="J2457" s="94"/>
    </row>
    <row r="2458" spans="10:10">
      <c r="J2458" s="94"/>
    </row>
    <row r="2459" spans="10:10">
      <c r="J2459" s="94"/>
    </row>
    <row r="2460" spans="10:10">
      <c r="J2460" s="94"/>
    </row>
    <row r="2461" spans="10:10">
      <c r="J2461" s="94"/>
    </row>
    <row r="2462" spans="10:10">
      <c r="J2462" s="94"/>
    </row>
    <row r="2463" spans="10:10">
      <c r="J2463" s="94"/>
    </row>
    <row r="2464" spans="10:10">
      <c r="J2464" s="94"/>
    </row>
    <row r="2465" spans="10:10">
      <c r="J2465" s="94"/>
    </row>
    <row r="2466" spans="10:10">
      <c r="J2466" s="94"/>
    </row>
    <row r="2467" spans="10:10">
      <c r="J2467" s="94"/>
    </row>
    <row r="2468" spans="10:10">
      <c r="J2468" s="94"/>
    </row>
    <row r="2469" spans="10:10">
      <c r="J2469" s="94"/>
    </row>
    <row r="2470" spans="10:10">
      <c r="J2470" s="94"/>
    </row>
    <row r="2471" spans="10:10">
      <c r="J2471" s="94"/>
    </row>
    <row r="2472" spans="10:10">
      <c r="J2472" s="94"/>
    </row>
    <row r="2473" spans="10:10">
      <c r="J2473" s="94"/>
    </row>
    <row r="2474" spans="10:10">
      <c r="J2474" s="94"/>
    </row>
    <row r="2475" spans="10:10">
      <c r="J2475" s="94"/>
    </row>
    <row r="2476" spans="10:10">
      <c r="J2476" s="94"/>
    </row>
    <row r="2477" spans="10:10">
      <c r="J2477" s="94"/>
    </row>
    <row r="2478" spans="10:10">
      <c r="J2478" s="94"/>
    </row>
    <row r="2479" spans="10:10">
      <c r="J2479" s="94"/>
    </row>
    <row r="2480" spans="10:10">
      <c r="J2480" s="94"/>
    </row>
    <row r="2481" spans="10:10">
      <c r="J2481" s="94"/>
    </row>
    <row r="2482" spans="10:10">
      <c r="J2482" s="94"/>
    </row>
    <row r="2483" spans="10:10">
      <c r="J2483" s="94"/>
    </row>
    <row r="2484" spans="10:10">
      <c r="J2484" s="94"/>
    </row>
    <row r="2485" spans="10:10">
      <c r="J2485" s="94"/>
    </row>
    <row r="2486" spans="10:10">
      <c r="J2486" s="94"/>
    </row>
    <row r="2487" spans="10:10">
      <c r="J2487" s="94"/>
    </row>
    <row r="2488" spans="10:10">
      <c r="J2488" s="94"/>
    </row>
    <row r="2489" spans="10:10">
      <c r="J2489" s="94"/>
    </row>
    <row r="2490" spans="10:10">
      <c r="J2490" s="94"/>
    </row>
    <row r="2491" spans="10:10">
      <c r="J2491" s="94"/>
    </row>
    <row r="2492" spans="10:10">
      <c r="J2492" s="94"/>
    </row>
    <row r="2493" spans="10:10">
      <c r="J2493" s="94"/>
    </row>
    <row r="2494" spans="10:10">
      <c r="J2494" s="94"/>
    </row>
    <row r="2495" spans="10:10">
      <c r="J2495" s="94"/>
    </row>
    <row r="2496" spans="10:10">
      <c r="J2496" s="94"/>
    </row>
    <row r="2497" spans="10:10">
      <c r="J2497" s="94"/>
    </row>
    <row r="2498" spans="10:10">
      <c r="J2498" s="94"/>
    </row>
    <row r="2499" spans="10:10">
      <c r="J2499" s="94"/>
    </row>
    <row r="2500" spans="10:10">
      <c r="J2500" s="94"/>
    </row>
    <row r="2501" spans="10:10">
      <c r="J2501" s="94"/>
    </row>
    <row r="2502" spans="10:10">
      <c r="J2502" s="94"/>
    </row>
    <row r="2503" spans="10:10">
      <c r="J2503" s="94"/>
    </row>
    <row r="2504" spans="10:10">
      <c r="J2504" s="94"/>
    </row>
    <row r="2505" spans="10:10">
      <c r="J2505" s="94"/>
    </row>
    <row r="2506" spans="10:10">
      <c r="J2506" s="94"/>
    </row>
    <row r="2507" spans="10:10">
      <c r="J2507" s="94"/>
    </row>
    <row r="2508" spans="10:10">
      <c r="J2508" s="94"/>
    </row>
    <row r="2509" spans="10:10">
      <c r="J2509" s="94"/>
    </row>
    <row r="2510" spans="10:10">
      <c r="J2510" s="94"/>
    </row>
    <row r="2511" spans="10:10">
      <c r="J2511" s="94"/>
    </row>
    <row r="2512" spans="10:10">
      <c r="J2512" s="94"/>
    </row>
    <row r="2513" spans="10:10">
      <c r="J2513" s="94"/>
    </row>
    <row r="2514" spans="10:10">
      <c r="J2514" s="94"/>
    </row>
    <row r="2515" spans="10:10">
      <c r="J2515" s="94"/>
    </row>
    <row r="2516" spans="10:10">
      <c r="J2516" s="94"/>
    </row>
    <row r="2517" spans="10:10">
      <c r="J2517" s="94"/>
    </row>
    <row r="2518" spans="10:10">
      <c r="J2518" s="94"/>
    </row>
    <row r="2519" spans="10:10">
      <c r="J2519" s="94"/>
    </row>
    <row r="2520" spans="10:10">
      <c r="J2520" s="94"/>
    </row>
    <row r="2521" spans="10:10">
      <c r="J2521" s="94"/>
    </row>
    <row r="2522" spans="10:10">
      <c r="J2522" s="94"/>
    </row>
    <row r="2523" spans="10:10">
      <c r="J2523" s="94"/>
    </row>
    <row r="2524" spans="10:10">
      <c r="J2524" s="94"/>
    </row>
    <row r="2525" spans="10:10">
      <c r="J2525" s="94"/>
    </row>
    <row r="2526" spans="10:10">
      <c r="J2526" s="94"/>
    </row>
    <row r="2527" spans="10:10">
      <c r="J2527" s="94"/>
    </row>
    <row r="2528" spans="10:10">
      <c r="J2528" s="94"/>
    </row>
    <row r="2529" spans="10:10">
      <c r="J2529" s="94"/>
    </row>
    <row r="2530" spans="10:10">
      <c r="J2530" s="94"/>
    </row>
    <row r="2531" spans="10:10">
      <c r="J2531" s="94"/>
    </row>
    <row r="2532" spans="10:10">
      <c r="J2532" s="94"/>
    </row>
    <row r="2533" spans="10:10">
      <c r="J2533" s="94"/>
    </row>
    <row r="2534" spans="10:10">
      <c r="J2534" s="94"/>
    </row>
    <row r="2535" spans="10:10">
      <c r="J2535" s="94"/>
    </row>
    <row r="2536" spans="10:10">
      <c r="J2536" s="94"/>
    </row>
    <row r="2537" spans="10:10">
      <c r="J2537" s="94"/>
    </row>
    <row r="2538" spans="10:10">
      <c r="J2538" s="94"/>
    </row>
    <row r="2539" spans="10:10">
      <c r="J2539" s="94"/>
    </row>
    <row r="2540" spans="10:10">
      <c r="J2540" s="94"/>
    </row>
    <row r="2541" spans="10:10">
      <c r="J2541" s="94"/>
    </row>
    <row r="2542" spans="10:10">
      <c r="J2542" s="94"/>
    </row>
    <row r="2543" spans="10:10">
      <c r="J2543" s="94"/>
    </row>
    <row r="2544" spans="10:10">
      <c r="J2544" s="94"/>
    </row>
    <row r="2545" spans="10:10">
      <c r="J2545" s="94"/>
    </row>
    <row r="2546" spans="10:10">
      <c r="J2546" s="94"/>
    </row>
    <row r="2547" spans="10:10">
      <c r="J2547" s="94"/>
    </row>
    <row r="2548" spans="10:10">
      <c r="J2548" s="94"/>
    </row>
    <row r="2549" spans="10:10">
      <c r="J2549" s="94"/>
    </row>
    <row r="2550" spans="10:10">
      <c r="J2550" s="94"/>
    </row>
    <row r="2551" spans="10:10">
      <c r="J2551" s="94"/>
    </row>
    <row r="2552" spans="10:10">
      <c r="J2552" s="94"/>
    </row>
    <row r="2553" spans="10:10">
      <c r="J2553" s="94"/>
    </row>
    <row r="2554" spans="10:10">
      <c r="J2554" s="94"/>
    </row>
    <row r="2555" spans="10:10">
      <c r="J2555" s="94"/>
    </row>
    <row r="2556" spans="10:10">
      <c r="J2556" s="94"/>
    </row>
    <row r="2557" spans="10:10">
      <c r="J2557" s="94"/>
    </row>
    <row r="2558" spans="10:10">
      <c r="J2558" s="94"/>
    </row>
    <row r="2559" spans="10:10">
      <c r="J2559" s="94"/>
    </row>
    <row r="2560" spans="10:10">
      <c r="J2560" s="94"/>
    </row>
    <row r="2561" spans="10:10">
      <c r="J2561" s="94"/>
    </row>
    <row r="2562" spans="10:10">
      <c r="J2562" s="94"/>
    </row>
    <row r="2563" spans="10:10">
      <c r="J2563" s="94"/>
    </row>
    <row r="2564" spans="10:10">
      <c r="J2564" s="94"/>
    </row>
    <row r="2565" spans="10:10">
      <c r="J2565" s="94"/>
    </row>
    <row r="2566" spans="10:10">
      <c r="J2566" s="94"/>
    </row>
    <row r="2567" spans="10:10">
      <c r="J2567" s="94"/>
    </row>
    <row r="2568" spans="10:10">
      <c r="J2568" s="94"/>
    </row>
    <row r="2569" spans="10:10">
      <c r="J2569" s="94"/>
    </row>
    <row r="2570" spans="10:10">
      <c r="J2570" s="94"/>
    </row>
    <row r="2571" spans="10:10">
      <c r="J2571" s="94"/>
    </row>
    <row r="2572" spans="10:10">
      <c r="J2572" s="94"/>
    </row>
    <row r="2573" spans="10:10">
      <c r="J2573" s="94"/>
    </row>
    <row r="2574" spans="10:10">
      <c r="J2574" s="94"/>
    </row>
    <row r="2575" spans="10:10">
      <c r="J2575" s="94"/>
    </row>
    <row r="2576" spans="10:10">
      <c r="J2576" s="94"/>
    </row>
    <row r="2577" spans="10:10">
      <c r="J2577" s="94"/>
    </row>
    <row r="2578" spans="10:10">
      <c r="J2578" s="94"/>
    </row>
    <row r="2579" spans="10:10">
      <c r="J2579" s="94"/>
    </row>
    <row r="2580" spans="10:10">
      <c r="J2580" s="94"/>
    </row>
    <row r="2581" spans="10:10">
      <c r="J2581" s="94"/>
    </row>
    <row r="2582" spans="10:10">
      <c r="J2582" s="94"/>
    </row>
    <row r="2583" spans="10:10">
      <c r="J2583" s="94"/>
    </row>
    <row r="2584" spans="10:10">
      <c r="J2584" s="94"/>
    </row>
    <row r="2585" spans="10:10">
      <c r="J2585" s="94"/>
    </row>
    <row r="2586" spans="10:10">
      <c r="J2586" s="94"/>
    </row>
    <row r="2587" spans="10:10">
      <c r="J2587" s="94"/>
    </row>
    <row r="2588" spans="10:10">
      <c r="J2588" s="94"/>
    </row>
    <row r="2589" spans="10:10">
      <c r="J2589" s="94"/>
    </row>
    <row r="2590" spans="10:10">
      <c r="J2590" s="94"/>
    </row>
    <row r="2591" spans="10:10">
      <c r="J2591" s="94"/>
    </row>
    <row r="2592" spans="10:10">
      <c r="J2592" s="94"/>
    </row>
    <row r="2593" spans="10:10">
      <c r="J2593" s="94"/>
    </row>
    <row r="2594" spans="10:10">
      <c r="J2594" s="94"/>
    </row>
    <row r="2595" spans="10:10">
      <c r="J2595" s="94"/>
    </row>
    <row r="2596" spans="10:10">
      <c r="J2596" s="94"/>
    </row>
    <row r="2597" spans="10:10">
      <c r="J2597" s="94"/>
    </row>
    <row r="2598" spans="10:10">
      <c r="J2598" s="94"/>
    </row>
    <row r="2599" spans="10:10">
      <c r="J2599" s="94"/>
    </row>
    <row r="2600" spans="10:10">
      <c r="J2600" s="94"/>
    </row>
    <row r="2601" spans="10:10">
      <c r="J2601" s="94"/>
    </row>
    <row r="2602" spans="10:10">
      <c r="J2602" s="94"/>
    </row>
    <row r="2603" spans="10:10">
      <c r="J2603" s="94"/>
    </row>
    <row r="2604" spans="10:10">
      <c r="J2604" s="94"/>
    </row>
    <row r="2605" spans="10:10">
      <c r="J2605" s="94"/>
    </row>
    <row r="2606" spans="10:10">
      <c r="J2606" s="94"/>
    </row>
    <row r="2607" spans="10:10">
      <c r="J2607" s="94"/>
    </row>
    <row r="2608" spans="10:10">
      <c r="J2608" s="94"/>
    </row>
    <row r="2609" spans="10:10">
      <c r="J2609" s="94"/>
    </row>
    <row r="2610" spans="10:10">
      <c r="J2610" s="94"/>
    </row>
    <row r="2611" spans="10:10">
      <c r="J2611" s="94"/>
    </row>
    <row r="2612" spans="10:10">
      <c r="J2612" s="94"/>
    </row>
    <row r="2613" spans="10:10">
      <c r="J2613" s="94"/>
    </row>
    <row r="2614" spans="10:10">
      <c r="J2614" s="94"/>
    </row>
    <row r="2615" spans="10:10">
      <c r="J2615" s="94"/>
    </row>
    <row r="2616" spans="10:10">
      <c r="J2616" s="94"/>
    </row>
    <row r="2617" spans="10:10">
      <c r="J2617" s="94"/>
    </row>
    <row r="2618" spans="10:10">
      <c r="J2618" s="94"/>
    </row>
    <row r="2619" spans="10:10">
      <c r="J2619" s="94"/>
    </row>
    <row r="2620" spans="10:10">
      <c r="J2620" s="94"/>
    </row>
    <row r="2621" spans="10:10">
      <c r="J2621" s="94"/>
    </row>
    <row r="2622" spans="10:10">
      <c r="J2622" s="94"/>
    </row>
    <row r="2623" spans="10:10">
      <c r="J2623" s="94"/>
    </row>
    <row r="2624" spans="10:10">
      <c r="J2624" s="94"/>
    </row>
    <row r="2625" spans="10:10">
      <c r="J2625" s="94"/>
    </row>
    <row r="2626" spans="10:10">
      <c r="J2626" s="94"/>
    </row>
    <row r="2627" spans="10:10">
      <c r="J2627" s="94"/>
    </row>
    <row r="2628" spans="10:10">
      <c r="J2628" s="94"/>
    </row>
    <row r="2629" spans="10:10">
      <c r="J2629" s="94"/>
    </row>
    <row r="2630" spans="10:10">
      <c r="J2630" s="94"/>
    </row>
    <row r="2631" spans="10:10">
      <c r="J2631" s="94"/>
    </row>
    <row r="2632" spans="10:10">
      <c r="J2632" s="94"/>
    </row>
    <row r="2633" spans="10:10">
      <c r="J2633" s="94"/>
    </row>
    <row r="2634" spans="10:10">
      <c r="J2634" s="94"/>
    </row>
    <row r="2635" spans="10:10">
      <c r="J2635" s="94"/>
    </row>
    <row r="2636" spans="10:10">
      <c r="J2636" s="94"/>
    </row>
    <row r="2637" spans="10:10">
      <c r="J2637" s="94"/>
    </row>
    <row r="2638" spans="10:10">
      <c r="J2638" s="94"/>
    </row>
    <row r="2639" spans="10:10">
      <c r="J2639" s="94"/>
    </row>
    <row r="2640" spans="10:10">
      <c r="J2640" s="94"/>
    </row>
    <row r="2641" spans="10:10">
      <c r="J2641" s="94"/>
    </row>
    <row r="2642" spans="10:10">
      <c r="J2642" s="94"/>
    </row>
    <row r="2643" spans="10:10">
      <c r="J2643" s="94"/>
    </row>
    <row r="2644" spans="10:10">
      <c r="J2644" s="94"/>
    </row>
    <row r="2645" spans="10:10">
      <c r="J2645" s="94"/>
    </row>
    <row r="2646" spans="10:10">
      <c r="J2646" s="94"/>
    </row>
    <row r="2647" spans="10:10">
      <c r="J2647" s="94"/>
    </row>
    <row r="2648" spans="10:10">
      <c r="J2648" s="94"/>
    </row>
    <row r="2649" spans="10:10">
      <c r="J2649" s="94"/>
    </row>
    <row r="2650" spans="10:10">
      <c r="J2650" s="94"/>
    </row>
    <row r="2651" spans="10:10">
      <c r="J2651" s="94"/>
    </row>
    <row r="2652" spans="10:10">
      <c r="J2652" s="94"/>
    </row>
    <row r="2653" spans="10:10">
      <c r="J2653" s="94"/>
    </row>
    <row r="2654" spans="10:10">
      <c r="J2654" s="94"/>
    </row>
    <row r="2655" spans="10:10">
      <c r="J2655" s="94"/>
    </row>
    <row r="2656" spans="10:10">
      <c r="J2656" s="94"/>
    </row>
    <row r="2657" spans="10:10">
      <c r="J2657" s="94"/>
    </row>
    <row r="2658" spans="10:10">
      <c r="J2658" s="94"/>
    </row>
    <row r="2659" spans="10:10">
      <c r="J2659" s="94"/>
    </row>
    <row r="2660" spans="10:10">
      <c r="J2660" s="94"/>
    </row>
    <row r="2661" spans="10:10">
      <c r="J2661" s="94"/>
    </row>
    <row r="2662" spans="10:10">
      <c r="J2662" s="94"/>
    </row>
    <row r="2663" spans="10:10">
      <c r="J2663" s="94"/>
    </row>
    <row r="2664" spans="10:10">
      <c r="J2664" s="94"/>
    </row>
    <row r="2665" spans="10:10">
      <c r="J2665" s="94"/>
    </row>
    <row r="2666" spans="10:10">
      <c r="J2666" s="94"/>
    </row>
    <row r="2667" spans="10:10">
      <c r="J2667" s="94"/>
    </row>
    <row r="2668" spans="10:10">
      <c r="J2668" s="94"/>
    </row>
    <row r="2669" spans="10:10">
      <c r="J2669" s="94"/>
    </row>
    <row r="2670" spans="10:10">
      <c r="J2670" s="94"/>
    </row>
    <row r="2671" spans="10:10">
      <c r="J2671" s="94"/>
    </row>
    <row r="2672" spans="10:10">
      <c r="J2672" s="94"/>
    </row>
    <row r="2673" spans="10:10">
      <c r="J2673" s="94"/>
    </row>
    <row r="2674" spans="10:10">
      <c r="J2674" s="94"/>
    </row>
    <row r="2675" spans="10:10">
      <c r="J2675" s="94"/>
    </row>
    <row r="2676" spans="10:10">
      <c r="J2676" s="94"/>
    </row>
    <row r="2677" spans="10:10">
      <c r="J2677" s="94"/>
    </row>
    <row r="2678" spans="10:10">
      <c r="J2678" s="94"/>
    </row>
    <row r="2679" spans="10:10">
      <c r="J2679" s="94"/>
    </row>
    <row r="2680" spans="10:10">
      <c r="J2680" s="94"/>
    </row>
    <row r="2681" spans="10:10">
      <c r="J2681" s="94"/>
    </row>
    <row r="2682" spans="10:10">
      <c r="J2682" s="94"/>
    </row>
    <row r="2683" spans="10:10">
      <c r="J2683" s="94"/>
    </row>
    <row r="2684" spans="10:10">
      <c r="J2684" s="94"/>
    </row>
    <row r="2685" spans="10:10">
      <c r="J2685" s="94"/>
    </row>
    <row r="2686" spans="10:10">
      <c r="J2686" s="94"/>
    </row>
    <row r="2687" spans="10:10">
      <c r="J2687" s="94"/>
    </row>
    <row r="2688" spans="10:10">
      <c r="J2688" s="94"/>
    </row>
    <row r="2689" spans="10:10">
      <c r="J2689" s="94"/>
    </row>
    <row r="2690" spans="10:10">
      <c r="J2690" s="94"/>
    </row>
    <row r="2691" spans="10:10">
      <c r="J2691" s="94"/>
    </row>
    <row r="2692" spans="10:10">
      <c r="J2692" s="94"/>
    </row>
    <row r="2693" spans="10:10">
      <c r="J2693" s="94"/>
    </row>
    <row r="2694" spans="10:10">
      <c r="J2694" s="94"/>
    </row>
    <row r="2695" spans="10:10">
      <c r="J2695" s="94"/>
    </row>
    <row r="2696" spans="10:10">
      <c r="J2696" s="94"/>
    </row>
    <row r="2697" spans="10:10">
      <c r="J2697" s="94"/>
    </row>
    <row r="2698" spans="10:10">
      <c r="J2698" s="94"/>
    </row>
    <row r="2699" spans="10:10">
      <c r="J2699" s="94"/>
    </row>
    <row r="2700" spans="10:10">
      <c r="J2700" s="94"/>
    </row>
    <row r="2701" spans="10:10">
      <c r="J2701" s="94"/>
    </row>
    <row r="2702" spans="10:10">
      <c r="J2702" s="94"/>
    </row>
    <row r="2703" spans="10:10">
      <c r="J2703" s="94"/>
    </row>
    <row r="2704" spans="10:10">
      <c r="J2704" s="94"/>
    </row>
    <row r="2705" spans="10:10">
      <c r="J2705" s="94"/>
    </row>
    <row r="2706" spans="10:10">
      <c r="J2706" s="94"/>
    </row>
    <row r="2707" spans="10:10">
      <c r="J2707" s="94"/>
    </row>
    <row r="2708" spans="10:10">
      <c r="J2708" s="94"/>
    </row>
    <row r="2709" spans="10:10">
      <c r="J2709" s="94"/>
    </row>
    <row r="2710" spans="10:10">
      <c r="J2710" s="94"/>
    </row>
    <row r="2711" spans="10:10">
      <c r="J2711" s="94"/>
    </row>
    <row r="2712" spans="10:10">
      <c r="J2712" s="94"/>
    </row>
    <row r="2713" spans="10:10">
      <c r="J2713" s="94"/>
    </row>
    <row r="2714" spans="10:10">
      <c r="J2714" s="94"/>
    </row>
    <row r="2715" spans="10:10">
      <c r="J2715" s="94"/>
    </row>
    <row r="2716" spans="10:10">
      <c r="J2716" s="94"/>
    </row>
    <row r="2717" spans="10:10">
      <c r="J2717" s="94"/>
    </row>
    <row r="2718" spans="10:10">
      <c r="J2718" s="94"/>
    </row>
    <row r="2719" spans="10:10">
      <c r="J2719" s="94"/>
    </row>
    <row r="2720" spans="10:10">
      <c r="J2720" s="94"/>
    </row>
    <row r="2721" spans="10:10">
      <c r="J2721" s="94"/>
    </row>
    <row r="2722" spans="10:10">
      <c r="J2722" s="94"/>
    </row>
    <row r="2723" spans="10:10">
      <c r="J2723" s="94"/>
    </row>
    <row r="2724" spans="10:10">
      <c r="J2724" s="94"/>
    </row>
    <row r="2725" spans="10:10">
      <c r="J2725" s="94"/>
    </row>
    <row r="2726" spans="10:10">
      <c r="J2726" s="94"/>
    </row>
    <row r="2727" spans="10:10">
      <c r="J2727" s="94"/>
    </row>
    <row r="2728" spans="10:10">
      <c r="J2728" s="94"/>
    </row>
    <row r="2729" spans="10:10">
      <c r="J2729" s="94"/>
    </row>
    <row r="2730" spans="10:10">
      <c r="J2730" s="94"/>
    </row>
    <row r="2731" spans="10:10">
      <c r="J2731" s="94"/>
    </row>
    <row r="2732" spans="10:10">
      <c r="J2732" s="94"/>
    </row>
    <row r="2733" spans="10:10">
      <c r="J2733" s="94"/>
    </row>
    <row r="2734" spans="10:10">
      <c r="J2734" s="94"/>
    </row>
    <row r="2735" spans="10:10">
      <c r="J2735" s="94"/>
    </row>
    <row r="2736" spans="10:10">
      <c r="J2736" s="94"/>
    </row>
    <row r="2737" spans="10:10">
      <c r="J2737" s="94"/>
    </row>
    <row r="2738" spans="10:10">
      <c r="J2738" s="94"/>
    </row>
    <row r="2739" spans="10:10">
      <c r="J2739" s="94"/>
    </row>
    <row r="2740" spans="10:10">
      <c r="J2740" s="94"/>
    </row>
    <row r="2741" spans="10:10">
      <c r="J2741" s="94"/>
    </row>
    <row r="2742" spans="10:10">
      <c r="J2742" s="94"/>
    </row>
    <row r="2743" spans="10:10">
      <c r="J2743" s="94"/>
    </row>
    <row r="2744" spans="10:10">
      <c r="J2744" s="94"/>
    </row>
    <row r="2745" spans="10:10">
      <c r="J2745" s="94"/>
    </row>
    <row r="2746" spans="10:10">
      <c r="J2746" s="94"/>
    </row>
    <row r="2747" spans="10:10">
      <c r="J2747" s="94"/>
    </row>
    <row r="2748" spans="10:10">
      <c r="J2748" s="94"/>
    </row>
    <row r="2749" spans="10:10">
      <c r="J2749" s="94"/>
    </row>
    <row r="2750" spans="10:10">
      <c r="J2750" s="94"/>
    </row>
    <row r="2751" spans="10:10">
      <c r="J2751" s="94"/>
    </row>
    <row r="2752" spans="10:10">
      <c r="J2752" s="94"/>
    </row>
    <row r="2753" spans="10:10">
      <c r="J2753" s="94"/>
    </row>
    <row r="2754" spans="10:10">
      <c r="J2754" s="94"/>
    </row>
    <row r="2755" spans="10:10">
      <c r="J2755" s="94"/>
    </row>
    <row r="2756" spans="10:10">
      <c r="J2756" s="94"/>
    </row>
    <row r="2757" spans="10:10">
      <c r="J2757" s="94"/>
    </row>
    <row r="2758" spans="10:10">
      <c r="J2758" s="94"/>
    </row>
    <row r="2759" spans="10:10">
      <c r="J2759" s="94"/>
    </row>
    <row r="2760" spans="10:10">
      <c r="J2760" s="94"/>
    </row>
    <row r="2761" spans="10:10">
      <c r="J2761" s="94"/>
    </row>
    <row r="2762" spans="10:10">
      <c r="J2762" s="94"/>
    </row>
    <row r="2763" spans="10:10">
      <c r="J2763" s="94"/>
    </row>
    <row r="2764" spans="10:10">
      <c r="J2764" s="94"/>
    </row>
    <row r="2765" spans="10:10">
      <c r="J2765" s="94"/>
    </row>
    <row r="2766" spans="10:10">
      <c r="J2766" s="94"/>
    </row>
    <row r="2767" spans="10:10">
      <c r="J2767" s="94"/>
    </row>
    <row r="2768" spans="10:10">
      <c r="J2768" s="94"/>
    </row>
    <row r="2769" spans="10:10">
      <c r="J2769" s="94"/>
    </row>
    <row r="2770" spans="10:10">
      <c r="J2770" s="94"/>
    </row>
    <row r="2771" spans="10:10">
      <c r="J2771" s="94"/>
    </row>
    <row r="2772" spans="10:10">
      <c r="J2772" s="94"/>
    </row>
    <row r="2773" spans="10:10">
      <c r="J2773" s="94"/>
    </row>
    <row r="2774" spans="10:10">
      <c r="J2774" s="94"/>
    </row>
    <row r="2775" spans="10:10">
      <c r="J2775" s="94"/>
    </row>
    <row r="2776" spans="10:10">
      <c r="J2776" s="94"/>
    </row>
    <row r="2777" spans="10:10">
      <c r="J2777" s="94"/>
    </row>
    <row r="2778" spans="10:10">
      <c r="J2778" s="94"/>
    </row>
    <row r="2779" spans="10:10">
      <c r="J2779" s="94"/>
    </row>
    <row r="2780" spans="10:10">
      <c r="J2780" s="94"/>
    </row>
    <row r="2781" spans="10:10">
      <c r="J2781" s="94"/>
    </row>
    <row r="2782" spans="10:10">
      <c r="J2782" s="94"/>
    </row>
    <row r="2783" spans="10:10">
      <c r="J2783" s="94"/>
    </row>
    <row r="2784" spans="10:10">
      <c r="J2784" s="94"/>
    </row>
    <row r="2785" spans="10:10">
      <c r="J2785" s="94"/>
    </row>
    <row r="2786" spans="10:10">
      <c r="J2786" s="94"/>
    </row>
    <row r="2787" spans="10:10">
      <c r="J2787" s="94"/>
    </row>
    <row r="2788" spans="10:10">
      <c r="J2788" s="94"/>
    </row>
    <row r="2789" spans="10:10">
      <c r="J2789" s="94"/>
    </row>
    <row r="2790" spans="10:10">
      <c r="J2790" s="94"/>
    </row>
    <row r="2791" spans="10:10">
      <c r="J2791" s="94"/>
    </row>
    <row r="2792" spans="10:10">
      <c r="J2792" s="94"/>
    </row>
    <row r="2793" spans="10:10">
      <c r="J2793" s="94"/>
    </row>
    <row r="2794" spans="10:10">
      <c r="J2794" s="94"/>
    </row>
    <row r="2795" spans="10:10">
      <c r="J2795" s="94"/>
    </row>
    <row r="2796" spans="10:10">
      <c r="J2796" s="94"/>
    </row>
    <row r="2797" spans="10:10">
      <c r="J2797" s="94"/>
    </row>
    <row r="2798" spans="10:10">
      <c r="J2798" s="94"/>
    </row>
    <row r="2799" spans="10:10">
      <c r="J2799" s="94"/>
    </row>
    <row r="2800" spans="10:10">
      <c r="J2800" s="94"/>
    </row>
    <row r="2801" spans="10:10">
      <c r="J2801" s="94"/>
    </row>
    <row r="2802" spans="10:10">
      <c r="J2802" s="94"/>
    </row>
    <row r="2803" spans="10:10">
      <c r="J2803" s="94"/>
    </row>
    <row r="2804" spans="10:10">
      <c r="J2804" s="94"/>
    </row>
    <row r="2805" spans="10:10">
      <c r="J2805" s="94"/>
    </row>
    <row r="2806" spans="10:10">
      <c r="J2806" s="94"/>
    </row>
    <row r="2807" spans="10:10">
      <c r="J2807" s="94"/>
    </row>
    <row r="2808" spans="10:10">
      <c r="J2808" s="94"/>
    </row>
    <row r="2809" spans="10:10">
      <c r="J2809" s="94"/>
    </row>
    <row r="2810" spans="10:10">
      <c r="J2810" s="94"/>
    </row>
    <row r="2811" spans="10:10">
      <c r="J2811" s="94"/>
    </row>
    <row r="2812" spans="10:10">
      <c r="J2812" s="94"/>
    </row>
    <row r="2813" spans="10:10">
      <c r="J2813" s="94"/>
    </row>
    <row r="2814" spans="10:10">
      <c r="J2814" s="94"/>
    </row>
    <row r="2815" spans="10:10">
      <c r="J2815" s="94"/>
    </row>
    <row r="2816" spans="10:10">
      <c r="J2816" s="94"/>
    </row>
    <row r="2817" spans="10:10">
      <c r="J2817" s="94"/>
    </row>
    <row r="2818" spans="10:10">
      <c r="J2818" s="94"/>
    </row>
    <row r="2819" spans="10:10">
      <c r="J2819" s="94"/>
    </row>
    <row r="2820" spans="10:10">
      <c r="J2820" s="94"/>
    </row>
    <row r="2821" spans="10:10">
      <c r="J2821" s="94"/>
    </row>
    <row r="2822" spans="10:10">
      <c r="J2822" s="94"/>
    </row>
    <row r="2823" spans="10:10">
      <c r="J2823" s="94"/>
    </row>
    <row r="2824" spans="10:10">
      <c r="J2824" s="94"/>
    </row>
    <row r="2825" spans="10:10">
      <c r="J2825" s="94"/>
    </row>
    <row r="2826" spans="10:10">
      <c r="J2826" s="94"/>
    </row>
    <row r="2827" spans="10:10">
      <c r="J2827" s="94"/>
    </row>
    <row r="2828" spans="10:10">
      <c r="J2828" s="94"/>
    </row>
    <row r="2829" spans="10:10">
      <c r="J2829" s="94"/>
    </row>
    <row r="2830" spans="10:10">
      <c r="J2830" s="94"/>
    </row>
    <row r="2831" spans="10:10">
      <c r="J2831" s="94"/>
    </row>
    <row r="2832" spans="10:10">
      <c r="J2832" s="94"/>
    </row>
    <row r="2833" spans="10:10">
      <c r="J2833" s="94"/>
    </row>
    <row r="2834" spans="10:10">
      <c r="J2834" s="94"/>
    </row>
    <row r="2835" spans="10:10">
      <c r="J2835" s="94"/>
    </row>
    <row r="2836" spans="10:10">
      <c r="J2836" s="94"/>
    </row>
    <row r="2837" spans="10:10">
      <c r="J2837" s="94"/>
    </row>
    <row r="2838" spans="10:10">
      <c r="J2838" s="94"/>
    </row>
    <row r="2839" spans="10:10">
      <c r="J2839" s="94"/>
    </row>
    <row r="2840" spans="10:10">
      <c r="J2840" s="94"/>
    </row>
    <row r="2841" spans="10:10">
      <c r="J2841" s="94"/>
    </row>
    <row r="2842" spans="10:10">
      <c r="J2842" s="94"/>
    </row>
    <row r="2843" spans="10:10">
      <c r="J2843" s="94"/>
    </row>
    <row r="2844" spans="10:10">
      <c r="J2844" s="94"/>
    </row>
    <row r="2845" spans="10:10">
      <c r="J2845" s="94"/>
    </row>
    <row r="2846" spans="10:10">
      <c r="J2846" s="94"/>
    </row>
    <row r="2847" spans="10:10">
      <c r="J2847" s="94"/>
    </row>
    <row r="2848" spans="10:10">
      <c r="J2848" s="94"/>
    </row>
    <row r="2849" spans="10:10">
      <c r="J2849" s="94"/>
    </row>
    <row r="2850" spans="10:10">
      <c r="J2850" s="94"/>
    </row>
    <row r="2851" spans="10:10">
      <c r="J2851" s="94"/>
    </row>
    <row r="2852" spans="10:10">
      <c r="J2852" s="94"/>
    </row>
    <row r="2853" spans="10:10">
      <c r="J2853" s="94"/>
    </row>
    <row r="2854" spans="10:10">
      <c r="J2854" s="94"/>
    </row>
    <row r="2855" spans="10:10">
      <c r="J2855" s="94"/>
    </row>
    <row r="2856" spans="10:10">
      <c r="J2856" s="94"/>
    </row>
    <row r="2857" spans="10:10">
      <c r="J2857" s="94"/>
    </row>
    <row r="2858" spans="10:10">
      <c r="J2858" s="94"/>
    </row>
    <row r="2859" spans="10:10">
      <c r="J2859" s="94"/>
    </row>
    <row r="2860" spans="10:10">
      <c r="J2860" s="94"/>
    </row>
    <row r="2861" spans="10:10">
      <c r="J2861" s="94"/>
    </row>
    <row r="2862" spans="10:10">
      <c r="J2862" s="94"/>
    </row>
    <row r="2863" spans="10:10">
      <c r="J2863" s="94"/>
    </row>
    <row r="2864" spans="10:10">
      <c r="J2864" s="94"/>
    </row>
    <row r="2865" spans="10:10">
      <c r="J2865" s="94"/>
    </row>
    <row r="2866" spans="10:10">
      <c r="J2866" s="94"/>
    </row>
    <row r="2867" spans="10:10">
      <c r="J2867" s="94"/>
    </row>
    <row r="2868" spans="10:10">
      <c r="J2868" s="94"/>
    </row>
    <row r="2869" spans="10:10">
      <c r="J2869" s="94"/>
    </row>
    <row r="2870" spans="10:10">
      <c r="J2870" s="94"/>
    </row>
    <row r="2871" spans="10:10">
      <c r="J2871" s="94"/>
    </row>
    <row r="2872" spans="10:10">
      <c r="J2872" s="94"/>
    </row>
    <row r="2873" spans="10:10">
      <c r="J2873" s="94"/>
    </row>
    <row r="2874" spans="10:10">
      <c r="J2874" s="94"/>
    </row>
    <row r="2875" spans="10:10">
      <c r="J2875" s="94"/>
    </row>
    <row r="2876" spans="10:10">
      <c r="J2876" s="94"/>
    </row>
    <row r="2877" spans="10:10">
      <c r="J2877" s="94"/>
    </row>
    <row r="2878" spans="10:10">
      <c r="J2878" s="94"/>
    </row>
    <row r="2879" spans="10:10">
      <c r="J2879" s="94"/>
    </row>
    <row r="2880" spans="10:10">
      <c r="J2880" s="94"/>
    </row>
    <row r="2881" spans="10:10">
      <c r="J2881" s="94"/>
    </row>
    <row r="2882" spans="10:10">
      <c r="J2882" s="94"/>
    </row>
    <row r="2883" spans="10:10">
      <c r="J2883" s="94"/>
    </row>
    <row r="2884" spans="10:10">
      <c r="J2884" s="94"/>
    </row>
    <row r="2885" spans="10:10">
      <c r="J2885" s="94"/>
    </row>
    <row r="2886" spans="10:10">
      <c r="J2886" s="94"/>
    </row>
    <row r="2887" spans="10:10">
      <c r="J2887" s="94"/>
    </row>
    <row r="2888" spans="10:10">
      <c r="J2888" s="94"/>
    </row>
    <row r="2889" spans="10:10">
      <c r="J2889" s="94"/>
    </row>
    <row r="2890" spans="10:10">
      <c r="J2890" s="94"/>
    </row>
    <row r="2891" spans="10:10">
      <c r="J2891" s="94"/>
    </row>
    <row r="2892" spans="10:10">
      <c r="J2892" s="94"/>
    </row>
    <row r="2893" spans="10:10">
      <c r="J2893" s="94"/>
    </row>
    <row r="2894" spans="10:10">
      <c r="J2894" s="94"/>
    </row>
    <row r="2895" spans="10:10">
      <c r="J2895" s="94"/>
    </row>
    <row r="2896" spans="10:10">
      <c r="J2896" s="94"/>
    </row>
    <row r="2897" spans="10:10">
      <c r="J2897" s="94"/>
    </row>
    <row r="2898" spans="10:10">
      <c r="J2898" s="94"/>
    </row>
    <row r="2899" spans="10:10">
      <c r="J2899" s="94"/>
    </row>
    <row r="2900" spans="10:10">
      <c r="J2900" s="94"/>
    </row>
    <row r="2901" spans="10:10">
      <c r="J2901" s="94"/>
    </row>
    <row r="2902" spans="10:10">
      <c r="J2902" s="94"/>
    </row>
    <row r="2903" spans="10:10">
      <c r="J2903" s="94"/>
    </row>
    <row r="2904" spans="10:10">
      <c r="J2904" s="94"/>
    </row>
    <row r="2905" spans="10:10">
      <c r="J2905" s="94"/>
    </row>
    <row r="2906" spans="10:10">
      <c r="J2906" s="94"/>
    </row>
    <row r="2907" spans="10:10">
      <c r="J2907" s="94"/>
    </row>
    <row r="2908" spans="10:10">
      <c r="J2908" s="94"/>
    </row>
    <row r="2909" spans="10:10">
      <c r="J2909" s="94"/>
    </row>
    <row r="2910" spans="10:10">
      <c r="J2910" s="94"/>
    </row>
    <row r="2911" spans="10:10">
      <c r="J2911" s="94"/>
    </row>
    <row r="2912" spans="10:10">
      <c r="J2912" s="94"/>
    </row>
    <row r="2913" spans="10:10">
      <c r="J2913" s="94"/>
    </row>
    <row r="2914" spans="10:10">
      <c r="J2914" s="94"/>
    </row>
    <row r="2915" spans="10:10">
      <c r="J2915" s="94"/>
    </row>
    <row r="2916" spans="10:10">
      <c r="J2916" s="94"/>
    </row>
    <row r="2917" spans="10:10">
      <c r="J2917" s="94"/>
    </row>
    <row r="2918" spans="10:10">
      <c r="J2918" s="94"/>
    </row>
    <row r="2919" spans="10:10">
      <c r="J2919" s="94"/>
    </row>
    <row r="2920" spans="10:10">
      <c r="J2920" s="94"/>
    </row>
    <row r="2921" spans="10:10">
      <c r="J2921" s="94"/>
    </row>
    <row r="2922" spans="10:10">
      <c r="J2922" s="94"/>
    </row>
    <row r="2923" spans="10:10">
      <c r="J2923" s="94"/>
    </row>
    <row r="2924" spans="10:10">
      <c r="J2924" s="94"/>
    </row>
    <row r="2925" spans="10:10">
      <c r="J2925" s="94"/>
    </row>
    <row r="2926" spans="10:10">
      <c r="J2926" s="94"/>
    </row>
    <row r="2927" spans="10:10">
      <c r="J2927" s="94"/>
    </row>
    <row r="2928" spans="10:10">
      <c r="J2928" s="94"/>
    </row>
    <row r="2929" spans="10:10">
      <c r="J2929" s="94"/>
    </row>
    <row r="2930" spans="10:10">
      <c r="J2930" s="94"/>
    </row>
    <row r="2931" spans="10:10">
      <c r="J2931" s="94"/>
    </row>
    <row r="2932" spans="10:10">
      <c r="J2932" s="94"/>
    </row>
    <row r="2933" spans="10:10">
      <c r="J2933" s="94"/>
    </row>
    <row r="2934" spans="10:10">
      <c r="J2934" s="94"/>
    </row>
    <row r="2935" spans="10:10">
      <c r="J2935" s="94"/>
    </row>
    <row r="2936" spans="10:10">
      <c r="J2936" s="94"/>
    </row>
    <row r="2937" spans="10:10">
      <c r="J2937" s="94"/>
    </row>
    <row r="2938" spans="10:10">
      <c r="J2938" s="94"/>
    </row>
    <row r="2939" spans="10:10">
      <c r="J2939" s="94"/>
    </row>
    <row r="2940" spans="10:10">
      <c r="J2940" s="94"/>
    </row>
    <row r="2941" spans="10:10">
      <c r="J2941" s="94"/>
    </row>
    <row r="2942" spans="10:10">
      <c r="J2942" s="94"/>
    </row>
    <row r="2943" spans="10:10">
      <c r="J2943" s="94"/>
    </row>
    <row r="2944" spans="10:10">
      <c r="J2944" s="94"/>
    </row>
    <row r="2945" spans="10:10">
      <c r="J2945" s="94"/>
    </row>
    <row r="2946" spans="10:10">
      <c r="J2946" s="94"/>
    </row>
    <row r="2947" spans="10:10">
      <c r="J2947" s="94"/>
    </row>
    <row r="2948" spans="10:10">
      <c r="J2948" s="94"/>
    </row>
    <row r="2949" spans="10:10">
      <c r="J2949" s="94"/>
    </row>
    <row r="2950" spans="10:10">
      <c r="J2950" s="94"/>
    </row>
    <row r="2951" spans="10:10">
      <c r="J2951" s="94"/>
    </row>
    <row r="2952" spans="10:10">
      <c r="J2952" s="94"/>
    </row>
    <row r="2953" spans="10:10">
      <c r="J2953" s="94"/>
    </row>
    <row r="2954" spans="10:10">
      <c r="J2954" s="94"/>
    </row>
    <row r="2955" spans="10:10">
      <c r="J2955" s="94"/>
    </row>
    <row r="2956" spans="10:10">
      <c r="J2956" s="94"/>
    </row>
    <row r="2957" spans="10:10">
      <c r="J2957" s="94"/>
    </row>
    <row r="2958" spans="10:10">
      <c r="J2958" s="94"/>
    </row>
    <row r="2959" spans="10:10">
      <c r="J2959" s="94"/>
    </row>
    <row r="2960" spans="10:10">
      <c r="J2960" s="94"/>
    </row>
    <row r="2961" spans="10:10">
      <c r="J2961" s="94"/>
    </row>
    <row r="2962" spans="10:10">
      <c r="J2962" s="94"/>
    </row>
    <row r="2963" spans="10:10">
      <c r="J2963" s="94"/>
    </row>
    <row r="2964" spans="10:10">
      <c r="J2964" s="94"/>
    </row>
    <row r="2965" spans="10:10">
      <c r="J2965" s="94"/>
    </row>
    <row r="2966" spans="10:10">
      <c r="J2966" s="94"/>
    </row>
    <row r="2967" spans="10:10">
      <c r="J2967" s="94"/>
    </row>
    <row r="2968" spans="10:10">
      <c r="J2968" s="94"/>
    </row>
    <row r="2969" spans="10:10">
      <c r="J2969" s="94"/>
    </row>
    <row r="2970" spans="10:10">
      <c r="J2970" s="94"/>
    </row>
    <row r="2971" spans="10:10">
      <c r="J2971" s="94"/>
    </row>
    <row r="2972" spans="10:10">
      <c r="J2972" s="94"/>
    </row>
    <row r="2973" spans="10:10">
      <c r="J2973" s="94"/>
    </row>
    <row r="2974" spans="10:10">
      <c r="J2974" s="94"/>
    </row>
    <row r="2975" spans="10:10">
      <c r="J2975" s="94"/>
    </row>
    <row r="2976" spans="10:10">
      <c r="J2976" s="94"/>
    </row>
    <row r="2977" spans="10:10">
      <c r="J2977" s="94"/>
    </row>
    <row r="2978" spans="10:10">
      <c r="J2978" s="94"/>
    </row>
    <row r="2979" spans="10:10">
      <c r="J2979" s="94"/>
    </row>
    <row r="2980" spans="10:10">
      <c r="J2980" s="94"/>
    </row>
    <row r="2981" spans="10:10">
      <c r="J2981" s="94"/>
    </row>
    <row r="2982" spans="10:10">
      <c r="J2982" s="94"/>
    </row>
    <row r="2983" spans="10:10">
      <c r="J2983" s="94"/>
    </row>
    <row r="2984" spans="10:10">
      <c r="J2984" s="94"/>
    </row>
    <row r="2985" spans="10:10">
      <c r="J2985" s="94"/>
    </row>
    <row r="2986" spans="10:10">
      <c r="J2986" s="94"/>
    </row>
    <row r="2987" spans="10:10">
      <c r="J2987" s="94"/>
    </row>
    <row r="2988" spans="10:10">
      <c r="J2988" s="94"/>
    </row>
    <row r="2989" spans="10:10">
      <c r="J2989" s="94"/>
    </row>
    <row r="2990" spans="10:10">
      <c r="J2990" s="94"/>
    </row>
    <row r="2991" spans="10:10">
      <c r="J2991" s="94"/>
    </row>
    <row r="2992" spans="10:10">
      <c r="J2992" s="94"/>
    </row>
    <row r="2993" spans="10:10">
      <c r="J2993" s="94"/>
    </row>
    <row r="2994" spans="10:10">
      <c r="J2994" s="94"/>
    </row>
    <row r="2995" spans="10:10">
      <c r="J2995" s="94"/>
    </row>
    <row r="2996" spans="10:10">
      <c r="J2996" s="94"/>
    </row>
    <row r="2997" spans="10:10">
      <c r="J2997" s="94"/>
    </row>
    <row r="2998" spans="10:10">
      <c r="J2998" s="94"/>
    </row>
    <row r="2999" spans="10:10">
      <c r="J2999" s="94"/>
    </row>
    <row r="3000" spans="10:10">
      <c r="J3000" s="94"/>
    </row>
    <row r="3001" spans="10:10">
      <c r="J3001" s="94"/>
    </row>
    <row r="3002" spans="10:10">
      <c r="J3002" s="94"/>
    </row>
    <row r="3003" spans="10:10">
      <c r="J3003" s="94"/>
    </row>
    <row r="3004" spans="10:10">
      <c r="J3004" s="94"/>
    </row>
    <row r="3005" spans="10:10">
      <c r="J3005" s="94"/>
    </row>
    <row r="3006" spans="10:10">
      <c r="J3006" s="94"/>
    </row>
    <row r="3007" spans="10:10">
      <c r="J3007" s="94"/>
    </row>
    <row r="3008" spans="10:10">
      <c r="J3008" s="94"/>
    </row>
  </sheetData>
  <autoFilter ref="A1:AI1593" xr:uid="{00000000-0001-0000-0000-000000000000}"/>
  <phoneticPr fontId="20" type="noConversion"/>
  <conditionalFormatting sqref="A1:B2 C1:XFD1189 B3:B1366 A3:A1394 C1190:N1190 P1190:XFD1190 C1191:Q1229 S1191:XFD1251 C1230:O1232 Q1230:Q1232 C1233:Q1237 C1238:O1239 Q1238:Q1239 C1240:Q1255 S1252:AH1253 AI1252:XFD1265 S1254:Y1254 AA1254:AH1254 S1255:AH1265 C1256:O1263 Q1256:Q1263 Q1264:R1264 C1264:N1272 O1264:O1274 Q1265:Q1321 S1266:XFD1332 D1272:D1274 C1273:C1274 E1273:N1274 C1275:O1321 C1322:Q1325 C1326:O1332 Q1326:Q1332 C1333:XFD1346 C1347:O1347 Q1347:XFD1347 C1348:XFD1353 C1354:Q1354 S1354:XFD1354 C1355:XFD1355 C1356:O1356 Q1356:XFD1356 C1357:XFD1358 C1359:O1360 Q1359:XFD1360 C1361:XFD1361 C1362:O1362 Q1362:XFD1362 C1363:XFD1366 B1367:XFD1367 B1368:O1368 Q1368 S1368:XFD1368 B1369:Q1369 S1369:AH1369 AI1369:XFD1394 B1370:O1370 Q1370:AH1370 B1371:AH1371 B1372:O1372 Q1372:AH1372 B1373:AH1375 C1376:AH1376 B1376:B1381 C1377:O1378 Q1377:AH1378 C1379:AH1379 C1380:Q1380 S1380:AH1380 C1381:O1381 Q1381:AH1384 B1382:O1384 B1385:Q1385 S1385:AH1385 B1386:AH1386 B1387:Q1387 S1387:AH1387 B1388:O1389 Q1388:AH1389 B1390:AH1390 B1391:O1391 Q1391:AH1391 B1392:AH1392 B1393:O1394 Q1393:AH1394 A1395:O1396 Q1395:XFD1396 A1397:Q1397 S1397:XFD1397 A1398:O1400 Q1398:XFD1400 A1401:Q1401 S1401:XFD1402 Q1402:R1402 A1402:O1404 Q1403:XFD1404 A1405:Q1409 S1405:XFD1481 A1410:O1411 Q1410:Q1411 A1412:Q1412 A1413:O1413 Q1413 A1414:Q1418 A1419:O1420 Q1419:Q1420 A1421:Q1422 A1423:O1423 A1424:Q1424 A1425:O1425 A1426:Q1430 A1431:O1431 A1432:Q1433 A1434:O1434 A1435:Q1440 A1441:O1443 A1444:Q1444 A1445:O1447 A1448:Q1449 A1450:O1450 A1451:Q1452 A1453:B1453 I1453:Q1453 A1454:O1469 A1470:Q1470 A1471:O1471 A1472:Q1472 A1473:O1477 M1478:O1478 M1479:P1484 S1482:AA1486 AB1482:XFD1489 A1485:N1577 P1487:AA1489 P1490:XFD1490 S1491:XFD1545 Q1524:Q1565 P1525:P1565 T1546:U1546 V1546:XFD1547 S1547:U1547 P1566:Q1581 A1578:C1580 E1578:N1580 E1579:XFD1579 A1581:N1581 A1582:Q1582 A1583:N1583 P1583:Q1584 E1584:N1584 E1585:Q1585 A1596:XFD1048576 P1586:Q1595 A1584:C1595 E1586:N1595 S1548:XFD1595">
    <cfRule type="cellIs" dxfId="115" priority="296" operator="equal">
      <formula>"Arrêt du train"</formula>
    </cfRule>
    <cfRule type="cellIs" dxfId="114" priority="295" operator="equal">
      <formula>"Ralentissement du train"</formula>
    </cfRule>
  </conditionalFormatting>
  <conditionalFormatting sqref="A1478:L1484">
    <cfRule type="cellIs" dxfId="113" priority="110" operator="equal">
      <formula>"Arrêt du train"</formula>
    </cfRule>
    <cfRule type="cellIs" dxfId="112" priority="109" operator="equal">
      <formula>"Ralentissement du train"</formula>
    </cfRule>
  </conditionalFormatting>
  <conditionalFormatting sqref="O1502:O1503">
    <cfRule type="cellIs" dxfId="111" priority="47" operator="equal">
      <formula>"Ralentissement du train"</formula>
    </cfRule>
    <cfRule type="cellIs" dxfId="110" priority="48" operator="equal">
      <formula>"Arrêt du train"</formula>
    </cfRule>
  </conditionalFormatting>
  <conditionalFormatting sqref="O1513">
    <cfRule type="cellIs" dxfId="109" priority="29" operator="equal">
      <formula>"Ralentissement du train"</formula>
    </cfRule>
    <cfRule type="cellIs" dxfId="108" priority="30" operator="equal">
      <formula>"Arrêt du train"</formula>
    </cfRule>
  </conditionalFormatting>
  <conditionalFormatting sqref="P1457:P1458 P1460:P1461 P1465:P1466 P1469">
    <cfRule type="cellIs" dxfId="107" priority="177" operator="equal">
      <formula>"Ralentissement du train"</formula>
    </cfRule>
    <cfRule type="cellIs" dxfId="106" priority="178" operator="equal">
      <formula>"Arrêt du train"</formula>
    </cfRule>
  </conditionalFormatting>
  <conditionalFormatting sqref="P1474:P1477">
    <cfRule type="cellIs" dxfId="105" priority="169" operator="equal">
      <formula>"Ralentissement du train"</formula>
    </cfRule>
    <cfRule type="cellIs" dxfId="104" priority="170" operator="equal">
      <formula>"Arrêt du train"</formula>
    </cfRule>
  </conditionalFormatting>
  <conditionalFormatting sqref="P290:Q290">
    <cfRule type="containsText" dxfId="103" priority="426" operator="containsText" text="à fournir">
      <formula>NOT(ISERROR(SEARCH("à fournir",P290)))</formula>
    </cfRule>
    <cfRule type="beginsWith" dxfId="102" priority="427" operator="beginsWith" text="traces">
      <formula>LEFT(P290,LEN("traces"))="traces"</formula>
    </cfRule>
    <cfRule type="containsText" dxfId="101" priority="456" operator="containsText" text="fait">
      <formula>NOT(ISERROR(SEARCH("fait",P290)))</formula>
    </cfRule>
  </conditionalFormatting>
  <conditionalFormatting sqref="P294:Q300 P445:Q445 P448:Q448 P451:Q458">
    <cfRule type="containsText" dxfId="100" priority="301" operator="containsText" text="fait">
      <formula>NOT(ISERROR(SEARCH("fait",P294)))</formula>
    </cfRule>
    <cfRule type="containsText" dxfId="99" priority="300" operator="containsText" text="à fournir">
      <formula>NOT(ISERROR(SEARCH("à fournir",P294)))</formula>
    </cfRule>
    <cfRule type="beginsWith" dxfId="98" priority="299" operator="beginsWith" text="traces">
      <formula>LEFT(P294,LEN("traces"))="traces"</formula>
    </cfRule>
  </conditionalFormatting>
  <conditionalFormatting sqref="P427:Q429 P431:Q431 P433:Q433 P437:Q437 P439:Q441 P460:Q464 P466:Q466 P469:Q469 P471:Q471 P478:Q478 P481:Q482 P485:Q485 P488:Q489 P491:Q495 P498:Q510 P522:Q522 P526:Q526 P528:Q532 P534:Q548 P550:Q559 P561:Q561 P563:Q564 P566:Q575 P577:Q582 P584:Q585 P587:Q597 P599:Q608 P610:Q611 P613:Q613 P615:Q616 P618:Q625 P627:Q629 P631:Q631 P633:Q658 Q143:Q281">
    <cfRule type="containsText" dxfId="97" priority="436" operator="containsText" text="fait">
      <formula>NOT(ISERROR(SEARCH("fait",P143)))</formula>
    </cfRule>
  </conditionalFormatting>
  <conditionalFormatting sqref="P427:Q429 P431:Q431 P433:Q433 P437:Q437 P439:Q441 P460:Q464 P466:Q466 P469:Q469 P471:Q471 P478:Q478 P481:Q482 P485:Q485 P488:Q489 P491:Q495 P498:Q510 P522:Q522 P526:Q526 P528:Q532 P534:Q548 P550:Q559 P561:Q561 P563:Q564 P566:Q575 P577:Q582 P584:Q585 P587:Q597 P599:Q608 P610:Q611 P613:Q613 P615:Q616 P618:Q625 P627:Q629 P631:Q631 P633:Q658">
    <cfRule type="beginsWith" dxfId="96" priority="434" operator="beginsWith" text="traces">
      <formula>LEFT(P427,LEN("traces"))="traces"</formula>
    </cfRule>
    <cfRule type="containsText" dxfId="95" priority="435" operator="containsText" text="à fournir">
      <formula>NOT(ISERROR(SEARCH("à fournir",P427)))</formula>
    </cfRule>
  </conditionalFormatting>
  <conditionalFormatting sqref="P1485:Q1486">
    <cfRule type="cellIs" dxfId="94" priority="79" operator="equal">
      <formula>"Ralentissement du train"</formula>
    </cfRule>
    <cfRule type="cellIs" dxfId="93" priority="80" operator="equal">
      <formula>"Arrêt du train"</formula>
    </cfRule>
  </conditionalFormatting>
  <conditionalFormatting sqref="P1491:Q1500">
    <cfRule type="cellIs" dxfId="92" priority="59" operator="equal">
      <formula>"Ralentissement du train"</formula>
    </cfRule>
    <cfRule type="cellIs" dxfId="91" priority="60" operator="equal">
      <formula>"Arrêt du train"</formula>
    </cfRule>
  </conditionalFormatting>
  <conditionalFormatting sqref="P1502:Q1523">
    <cfRule type="cellIs" dxfId="90" priority="19" operator="equal">
      <formula>"Ralentissement du train"</formula>
    </cfRule>
    <cfRule type="cellIs" dxfId="89" priority="20" operator="equal">
      <formula>"Arrêt du train"</formula>
    </cfRule>
  </conditionalFormatting>
  <conditionalFormatting sqref="P1501:R1501">
    <cfRule type="cellIs" dxfId="88" priority="51" operator="equal">
      <formula>"Ralentissement du train"</formula>
    </cfRule>
    <cfRule type="cellIs" dxfId="87" priority="52" operator="equal">
      <formula>"Arrêt du train"</formula>
    </cfRule>
  </conditionalFormatting>
  <conditionalFormatting sqref="Q3:Q142 P302:Q310 P312:Q330 P332:Q334 P338:Q338 P342:Q342 P344:Q347 P350:Q350 P352:Q352 P355:Q356 P361:Q361 P369:Q370 P372:Q380 P382:Q382 P384:Q394 P396:Q396 P398:Q400 P402:Q402 P407:Q409 P412:Q413 P415:Q418 P422:Q425 R491:R549 P512:Q519 R572:R727">
    <cfRule type="containsText" dxfId="86" priority="454" operator="containsText" text="fait">
      <formula>NOT(ISERROR(SEARCH("fait",P3)))</formula>
    </cfRule>
  </conditionalFormatting>
  <conditionalFormatting sqref="Q3:Q281 P302:Q310 P312:Q330 P332:Q334 P338:Q338 P342:Q342 P344:Q347 P350:Q350 P352:Q352 P355:Q356 P361:Q361 P369:Q370 P372:Q380 P382:Q382 P384:Q394 P396:Q396 P398:Q400 P402:Q402 P407:Q409 P412:Q413 P415:Q418 P422:Q425 P512:Q519">
    <cfRule type="beginsWith" dxfId="85" priority="430" operator="beginsWith" text="traces">
      <formula>LEFT(P3,LEN("traces"))="traces"</formula>
    </cfRule>
  </conditionalFormatting>
  <conditionalFormatting sqref="Q143:Q281">
    <cfRule type="containsText" dxfId="84" priority="429" operator="containsText" text="à fournir">
      <formula>NOT(ISERROR(SEARCH("à fournir",Q143)))</formula>
    </cfRule>
  </conditionalFormatting>
  <conditionalFormatting sqref="Q1455:Q1469 Q1471">
    <cfRule type="cellIs" dxfId="83" priority="179" operator="equal">
      <formula>"Ralentissement du train"</formula>
    </cfRule>
    <cfRule type="cellIs" dxfId="82" priority="180" operator="equal">
      <formula>"Arrêt du train"</formula>
    </cfRule>
  </conditionalFormatting>
  <conditionalFormatting sqref="Q1473:Q1484">
    <cfRule type="cellIs" dxfId="81" priority="117" operator="equal">
      <formula>"Ralentissement du train"</formula>
    </cfRule>
    <cfRule type="cellIs" dxfId="80" priority="118" operator="equal">
      <formula>"Arrêt du train"</formula>
    </cfRule>
  </conditionalFormatting>
  <conditionalFormatting sqref="Q1425:R1425">
    <cfRule type="cellIs" dxfId="79" priority="234" operator="equal">
      <formula>"Arrêt du train"</formula>
    </cfRule>
    <cfRule type="cellIs" dxfId="78" priority="233" operator="equal">
      <formula>"Ralentissement du train"</formula>
    </cfRule>
  </conditionalFormatting>
  <conditionalFormatting sqref="Q1431:R1431">
    <cfRule type="cellIs" dxfId="77" priority="231" operator="equal">
      <formula>"Ralentissement du train"</formula>
    </cfRule>
    <cfRule type="cellIs" dxfId="76" priority="232" operator="equal">
      <formula>"Arrêt du train"</formula>
    </cfRule>
  </conditionalFormatting>
  <conditionalFormatting sqref="Q1434:R1434">
    <cfRule type="cellIs" dxfId="75" priority="230" operator="equal">
      <formula>"Arrêt du train"</formula>
    </cfRule>
    <cfRule type="cellIs" dxfId="74" priority="229" operator="equal">
      <formula>"Ralentissement du train"</formula>
    </cfRule>
  </conditionalFormatting>
  <conditionalFormatting sqref="Q1441:R1443 Q1445:R1447">
    <cfRule type="cellIs" dxfId="73" priority="228" operator="equal">
      <formula>"Arrêt du train"</formula>
    </cfRule>
    <cfRule type="cellIs" dxfId="72" priority="227" operator="equal">
      <formula>"Ralentissement du train"</formula>
    </cfRule>
  </conditionalFormatting>
  <conditionalFormatting sqref="Q1450:R1450">
    <cfRule type="cellIs" dxfId="71" priority="225" operator="equal">
      <formula>"Ralentissement du train"</formula>
    </cfRule>
    <cfRule type="cellIs" dxfId="70" priority="226" operator="equal">
      <formula>"Arrêt du train"</formula>
    </cfRule>
  </conditionalFormatting>
  <conditionalFormatting sqref="Q1454:R1454">
    <cfRule type="cellIs" dxfId="69" priority="224" operator="equal">
      <formula>"Arrêt du train"</formula>
    </cfRule>
    <cfRule type="cellIs" dxfId="68" priority="223" operator="equal">
      <formula>"Ralentissement du train"</formula>
    </cfRule>
  </conditionalFormatting>
  <conditionalFormatting sqref="R491:R549 R572:R727 Q3:Q142 P302:Q310 P312:Q330 P332:Q334 P338:Q338 P342:Q342 P344:Q347 P350:Q350 P352:Q352 P355:Q356 P361:Q361 P369:Q370 P372:Q380 P382:Q382 P384:Q394 P396:Q396 P398:Q400 P402:Q402 P407:Q409 P412:Q413 P415:Q418 P422:Q425 P512:Q519">
    <cfRule type="containsText" dxfId="67" priority="453" operator="containsText" text="à fournir">
      <formula>NOT(ISERROR(SEARCH("à fournir",P3)))</formula>
    </cfRule>
  </conditionalFormatting>
  <conditionalFormatting sqref="R491:R549 R572:R727">
    <cfRule type="beginsWith" dxfId="66" priority="452" operator="beginsWith" text="traces">
      <formula>LEFT(R491,LEN("traces"))="traces"</formula>
    </cfRule>
  </conditionalFormatting>
  <conditionalFormatting sqref="R563">
    <cfRule type="beginsWith" dxfId="65" priority="302" operator="beginsWith" text="traces">
      <formula>LEFT(R563,LEN("traces"))="traces"</formula>
    </cfRule>
    <cfRule type="containsText" dxfId="64" priority="303" operator="containsText" text="à fournir">
      <formula>NOT(ISERROR(SEARCH("à fournir",R563)))</formula>
    </cfRule>
    <cfRule type="containsText" dxfId="63" priority="304" operator="containsText" text="fait">
      <formula>NOT(ISERROR(SEARCH("fait",R563)))</formula>
    </cfRule>
  </conditionalFormatting>
  <conditionalFormatting sqref="R1310">
    <cfRule type="cellIs" dxfId="62" priority="293" operator="equal">
      <formula>"Ralentissement du train"</formula>
    </cfRule>
    <cfRule type="cellIs" dxfId="61" priority="294" operator="equal">
      <formula>"Arrêt du train"</formula>
    </cfRule>
  </conditionalFormatting>
  <conditionalFormatting sqref="R1313">
    <cfRule type="cellIs" dxfId="60" priority="283" operator="equal">
      <formula>"Ralentissement du train"</formula>
    </cfRule>
    <cfRule type="cellIs" dxfId="59" priority="284" operator="equal">
      <formula>"Arrêt du train"</formula>
    </cfRule>
  </conditionalFormatting>
  <conditionalFormatting sqref="R1406">
    <cfRule type="cellIs" dxfId="58" priority="275" operator="equal">
      <formula>"Ralentissement du train"</formula>
    </cfRule>
    <cfRule type="cellIs" dxfId="57" priority="276" operator="equal">
      <formula>"Arrêt du train"</formula>
    </cfRule>
  </conditionalFormatting>
  <conditionalFormatting sqref="R1410:R1413">
    <cfRule type="cellIs" dxfId="56" priority="249" operator="equal">
      <formula>"Ralentissement du train"</formula>
    </cfRule>
    <cfRule type="cellIs" dxfId="55" priority="250" operator="equal">
      <formula>"Arrêt du train"</formula>
    </cfRule>
  </conditionalFormatting>
  <conditionalFormatting sqref="R1415:R1416">
    <cfRule type="cellIs" dxfId="54" priority="243" operator="equal">
      <formula>"Ralentissement du train"</formula>
    </cfRule>
    <cfRule type="cellIs" dxfId="53" priority="244" operator="equal">
      <formula>"Arrêt du train"</formula>
    </cfRule>
  </conditionalFormatting>
  <conditionalFormatting sqref="R1418:R1421 Q1423:R1423">
    <cfRule type="cellIs" dxfId="52" priority="241" operator="equal">
      <formula>"Ralentissement du train"</formula>
    </cfRule>
    <cfRule type="cellIs" dxfId="51" priority="242" operator="equal">
      <formula>"Arrêt du train"</formula>
    </cfRule>
  </conditionalFormatting>
  <conditionalFormatting sqref="R1455">
    <cfRule type="cellIs" dxfId="50" priority="220" operator="equal">
      <formula>"Arrêt du train"</formula>
    </cfRule>
    <cfRule type="cellIs" dxfId="49" priority="219" operator="equal">
      <formula>"Ralentissement du train"</formula>
    </cfRule>
  </conditionalFormatting>
  <conditionalFormatting sqref="R1493">
    <cfRule type="cellIs" dxfId="48" priority="56" operator="equal">
      <formula>"Arrêt du train"</formula>
    </cfRule>
    <cfRule type="cellIs" dxfId="47" priority="55" operator="equal">
      <formula>"Ralentissement du train"</formula>
    </cfRule>
  </conditionalFormatting>
  <conditionalFormatting sqref="R1498">
    <cfRule type="cellIs" dxfId="46" priority="57" operator="equal">
      <formula>"Ralentissement du train"</formula>
    </cfRule>
    <cfRule type="cellIs" dxfId="45" priority="58" operator="equal">
      <formula>"Arrêt du train"</formula>
    </cfRule>
  </conditionalFormatting>
  <conditionalFormatting sqref="R1504">
    <cfRule type="cellIs" dxfId="44" priority="42" operator="equal">
      <formula>"Arrêt du train"</formula>
    </cfRule>
    <cfRule type="cellIs" dxfId="43" priority="41" operator="equal">
      <formula>"Ralentissement du train"</formula>
    </cfRule>
  </conditionalFormatting>
  <conditionalFormatting sqref="R1511">
    <cfRule type="cellIs" dxfId="42" priority="35" operator="equal">
      <formula>"Ralentissement du train"</formula>
    </cfRule>
    <cfRule type="cellIs" dxfId="41" priority="36" operator="equal">
      <formula>"Arrêt du train"</formula>
    </cfRule>
  </conditionalFormatting>
  <conditionalFormatting sqref="R1528">
    <cfRule type="cellIs" dxfId="40" priority="9" operator="equal">
      <formula>"Ralentissement du train"</formula>
    </cfRule>
    <cfRule type="cellIs" dxfId="39" priority="10" operator="equal">
      <formula>"Arrêt du train"</formula>
    </cfRule>
  </conditionalFormatting>
  <conditionalFormatting sqref="R1532">
    <cfRule type="cellIs" dxfId="38" priority="6" operator="equal">
      <formula>"Arrêt du train"</formula>
    </cfRule>
    <cfRule type="cellIs" dxfId="37" priority="5" operator="equal">
      <formula>"Ralentissement du train"</formula>
    </cfRule>
  </conditionalFormatting>
  <dataValidations count="5">
    <dataValidation type="list" allowBlank="1" showInputMessage="1" showErrorMessage="1" sqref="F236:F239" xr:uid="{00000000-0002-0000-0000-000000000000}">
      <formula1>INDIRECT(E238)</formula1>
    </dataValidation>
    <dataValidation type="list" allowBlank="1" showInputMessage="1" showErrorMessage="1" sqref="J147:J262 J3:J142" xr:uid="{00000000-0002-0000-0000-000001000000}">
      <formula1>Parcours</formula1>
    </dataValidation>
    <dataValidation type="list" errorStyle="warning" allowBlank="1" showInputMessage="1" showErrorMessage="1" error="Contributeur non prévu." sqref="AG1:AG2" xr:uid="{00000000-0002-0000-0000-000002000000}">
      <formula1>#REF!</formula1>
    </dataValidation>
    <dataValidation type="list" allowBlank="1" showInputMessage="1" showErrorMessage="1" error="Numéro de rame erronée" sqref="F1:F2" xr:uid="{00000000-0002-0000-0000-000003000000}">
      <formula1>#REF!</formula1>
    </dataValidation>
    <dataValidation type="time" allowBlank="1" showInputMessage="1" showErrorMessage="1" error="Merci de saisir l'heure du début d'incident en resepctant le formation hh:mm" prompt="Heure du début d'incident" sqref="D332:D334" xr:uid="{00000000-0002-0000-0000-000004000000}">
      <formula1>0</formula1>
      <formula2>0.999305555555556</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5000000}">
          <x14:formula1>
            <xm:f>Liste!$S$2:$S$14</xm:f>
          </x14:formula1>
          <xm:sqref>AA322:AA327 AA335:AA336</xm:sqref>
        </x14:dataValidation>
        <x14:dataValidation type="list" allowBlank="1" showInputMessage="1" showErrorMessage="1" xr:uid="{00000000-0002-0000-0000-000006000000}">
          <x14:formula1>
            <xm:f>Liste!$T$2:$T$3</xm:f>
          </x14:formula1>
          <xm:sqref>G326:G328 G330:G459 G461:G979 G984:G1199 G1201:G1216</xm:sqref>
        </x14:dataValidation>
        <x14:dataValidation type="list" allowBlank="1" showInputMessage="1" showErrorMessage="1" xr:uid="{00000000-0002-0000-0000-000007000000}">
          <x14:formula1>
            <xm:f>Liste!$Q$14:$Q$15</xm:f>
          </x14:formula1>
          <xm:sqref>J326:J328 J330:J332 I763:I807 I840:I846 I978:I979 I1431:I1438 I1440:I1459 I1482:I1489 I1524 J334:J1048576</xm:sqref>
        </x14:dataValidation>
        <x14:dataValidation type="list" showInputMessage="1" showErrorMessage="1" xr:uid="{00000000-0002-0000-0000-000008000000}">
          <x14:formula1>
            <xm:f>Liste!$S$2:$S$20</xm:f>
          </x14:formula1>
          <xm:sqref>AA328:AA334 AA337:AA459 AA461:AA985 AA987:AA1332 AA1366:AA1388 AA1400:AA1401 AA1406 AA1408:AA1415 AA1417:AA1428 AA1430 AA1432:AA1438 AA1440:AA1467 AA1469:AA1595</xm:sqref>
        </x14:dataValidation>
        <x14:dataValidation type="list" allowBlank="1" showInputMessage="1" showErrorMessage="1" xr:uid="{00000000-0002-0000-0000-000009000000}">
          <x14:formula1>
            <xm:f>Liste!$Q$2:$Q$13</xm:f>
          </x14:formula1>
          <xm:sqref>F326:F394 F397:F459 F462:F562 F568:F616 F623:F794 F799:F916 F918:F979 F984:F1061 F1065:F1199 F1201:F1216</xm:sqref>
        </x14:dataValidation>
        <x14:dataValidation type="list" showInputMessage="1" showErrorMessage="1" xr:uid="{00000000-0002-0000-0000-00000A000000}">
          <x14:formula1>
            <xm:f>Liste!$R$2:$R$8</xm:f>
          </x14:formula1>
          <xm:sqref>P707:Q708 P992:Q998 P988:Q990 P980:Q986 Q690:Q702 P3:P702 P710:Q710 P715:Q715 Q3:Q4 Q6 Q9:Q12 Q14:Q46 Q48:Q54 Q57:Q144 Q146 Q148:Q157 Q159 Q161:Q170 Q172:Q173 Q176:Q180 Q187:Q220 Q222:Q238 Q240:Q242 Q244:Q263 Q265:Q269 Q272:Q280 Q282:Q284 Q288:Q291 Q293:Q300 Q302:Q336 Q338 Q342:Q356 Q358:Q361 Q364:Q365 Q367 Q369:Q370 Q372:Q382 Q384:Q394 Q396:Q402 Q407:Q409 Q412:Q413 Q415:Q418 Q422:Q425 Q427:Q429 Q431:Q435 Q437:Q445 Q447:Q448 Q450:Q458 Q460:Q466 Q468:Q469 Q471 Q474 Q476:Q478 Q481:Q482 Q485:Q486 Q488:Q489 Q491:Q495 Q498:Q510 Q512:Q519 Q522:Q526 Q528:Q532 Q534:Q564 Q566:Q582 Q584:Q585 Q587:Q613 Q615:Q616 Q618:Q629 Q631 Q633:Q654 Q656 Q658:Q670 Q672:Q686 Q688 Q1200 P1426:P1430 Q1329 P1322:P1325 Q1331:Q1367 P1363:P1367 Q1378 Q1233 P1457:P1458 P1373:P1376 P1432:P1433 P1436:P1440 P1444 P1449 P1333:P1346 P1348:P1355 P1357:P1358 P1361 Q1369:Q1376 P1369 P1371 P1379:P1380 P1385:P1387 P1390 P1392 P1397 P1401 P1405:P1409 P1412 P1414:P1418 P1421:P1422 P1424 P1460:P1461 P1465:P1466 P1469:P1470 P1472 P1474:P1477 P1479:P1481 Q1380:Q1484 P1490:P1523 Q1486:Q1533 Q1535 P1525:P1048576 Q1537:Q1048576</xm:sqref>
        </x14:dataValidation>
        <x14:dataValidation type="list" allowBlank="1" showInputMessage="1" showErrorMessage="1" xr:uid="{00000000-0002-0000-0000-00000B000000}">
          <x14:formula1>
            <xm:f>Liste!$U$2:$U$4</xm:f>
          </x14:formula1>
          <xm:sqref>X326:X1199 X1201:X1332</xm:sqref>
        </x14:dataValidation>
        <x14:dataValidation type="list" showInputMessage="1" showErrorMessage="1" xr:uid="{00000000-0002-0000-0000-00000C000000}">
          <x14:formula1>
            <xm:f>Liste!$V$2:$V$3</xm:f>
          </x14:formula1>
          <xm:sqref>N3:N1048576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D179E-A851-4DBD-9C4E-DE9321BA2872}">
  <sheetPr>
    <tabColor rgb="FFFFFF00"/>
  </sheetPr>
  <dimension ref="A1:AX44"/>
  <sheetViews>
    <sheetView zoomScale="80" zoomScaleNormal="90" workbookViewId="0">
      <pane ySplit="1" topLeftCell="A42" activePane="bottomLeft" state="frozen"/>
      <selection pane="bottomLeft" activeCell="K42" sqref="K42:K43"/>
      <selection activeCell="D1" sqref="D1"/>
    </sheetView>
  </sheetViews>
  <sheetFormatPr defaultColWidth="8.7109375" defaultRowHeight="15"/>
  <cols>
    <col min="1" max="1" width="14.42578125" style="1" bestFit="1" customWidth="1"/>
    <col min="2" max="2" width="18" style="1" bestFit="1" customWidth="1"/>
    <col min="3" max="3" width="11.5703125" style="1" bestFit="1" customWidth="1"/>
    <col min="4" max="4" width="12.42578125" style="1" bestFit="1" customWidth="1"/>
    <col min="5" max="5" width="14.140625" style="1" bestFit="1" customWidth="1"/>
    <col min="6" max="6" width="12.140625" style="1" bestFit="1" customWidth="1"/>
    <col min="7" max="7" width="19.140625" style="1" bestFit="1" customWidth="1"/>
    <col min="8" max="8" width="13.42578125" style="1" bestFit="1" customWidth="1"/>
    <col min="9" max="9" width="11.7109375" style="1" bestFit="1" customWidth="1"/>
    <col min="10" max="10" width="17.7109375" style="1" bestFit="1" customWidth="1"/>
    <col min="11" max="11" width="55" style="1" customWidth="1"/>
    <col min="12" max="12" width="39.140625" style="1" customWidth="1"/>
    <col min="13" max="13" width="26.85546875" style="1" customWidth="1"/>
    <col min="14" max="16384" width="8.7109375" style="1"/>
  </cols>
  <sheetData>
    <row r="1" spans="1:13">
      <c r="A1" s="154" t="s">
        <v>0</v>
      </c>
      <c r="B1" s="154" t="s">
        <v>3289</v>
      </c>
      <c r="C1" s="155" t="s">
        <v>2</v>
      </c>
      <c r="D1" s="156" t="s">
        <v>3</v>
      </c>
      <c r="E1" s="157" t="s">
        <v>4</v>
      </c>
      <c r="F1" s="158" t="s">
        <v>5</v>
      </c>
      <c r="G1" s="192" t="s">
        <v>6</v>
      </c>
      <c r="H1" s="158" t="s">
        <v>9</v>
      </c>
      <c r="I1" s="159" t="s">
        <v>10</v>
      </c>
      <c r="J1" s="159" t="s">
        <v>13</v>
      </c>
      <c r="K1" s="158" t="s">
        <v>3290</v>
      </c>
      <c r="L1" s="158" t="s">
        <v>3291</v>
      </c>
      <c r="M1" s="158" t="s">
        <v>17</v>
      </c>
    </row>
    <row r="2" spans="1:13" ht="45">
      <c r="A2" s="89">
        <v>1</v>
      </c>
      <c r="B2" s="91">
        <f t="shared" ref="B2:B29" si="0">WEEKNUM(C2,15)</f>
        <v>16</v>
      </c>
      <c r="C2" s="98">
        <v>45761</v>
      </c>
      <c r="D2" s="99">
        <v>0.84305555555555556</v>
      </c>
      <c r="E2" s="89">
        <v>2054</v>
      </c>
      <c r="F2" s="91">
        <v>1202</v>
      </c>
      <c r="G2" s="94" t="s">
        <v>34</v>
      </c>
      <c r="H2" s="94" t="s">
        <v>35</v>
      </c>
      <c r="I2" s="89">
        <v>91.2</v>
      </c>
      <c r="J2" s="96" t="s">
        <v>58</v>
      </c>
      <c r="K2" s="89" t="s">
        <v>3292</v>
      </c>
      <c r="L2" s="89" t="s">
        <v>3293</v>
      </c>
      <c r="M2" s="100" t="s">
        <v>3294</v>
      </c>
    </row>
    <row r="3" spans="1:13" ht="60">
      <c r="A3" s="89">
        <v>2</v>
      </c>
      <c r="B3" s="91">
        <f t="shared" si="0"/>
        <v>17</v>
      </c>
      <c r="C3" s="101">
        <v>45770</v>
      </c>
      <c r="D3" s="102">
        <v>0.6333333333333333</v>
      </c>
      <c r="E3" s="103">
        <v>1037</v>
      </c>
      <c r="F3" s="103">
        <v>1207</v>
      </c>
      <c r="G3" s="94" t="s">
        <v>71</v>
      </c>
      <c r="H3" s="89" t="s">
        <v>72</v>
      </c>
      <c r="I3" s="89">
        <v>20.2</v>
      </c>
      <c r="J3" s="96" t="s">
        <v>58</v>
      </c>
      <c r="K3" s="103" t="s">
        <v>3295</v>
      </c>
      <c r="L3" s="100" t="s">
        <v>3296</v>
      </c>
      <c r="M3" s="100" t="s">
        <v>3297</v>
      </c>
    </row>
    <row r="4" spans="1:13" ht="45">
      <c r="A4" s="89">
        <v>3</v>
      </c>
      <c r="B4" s="91">
        <f t="shared" si="0"/>
        <v>17</v>
      </c>
      <c r="C4" s="101">
        <v>45771</v>
      </c>
      <c r="D4" s="102" t="s">
        <v>3298</v>
      </c>
      <c r="E4" s="103">
        <v>2038</v>
      </c>
      <c r="F4" s="103">
        <v>1208</v>
      </c>
      <c r="G4" s="89" t="s">
        <v>34</v>
      </c>
      <c r="H4" s="94" t="s">
        <v>35</v>
      </c>
      <c r="I4" s="89" t="s">
        <v>3299</v>
      </c>
      <c r="J4" s="96" t="s">
        <v>58</v>
      </c>
      <c r="K4" s="89" t="s">
        <v>3295</v>
      </c>
      <c r="L4" s="89" t="s">
        <v>3293</v>
      </c>
      <c r="M4" s="100" t="s">
        <v>3300</v>
      </c>
    </row>
    <row r="5" spans="1:13" ht="90">
      <c r="A5" s="89">
        <v>4</v>
      </c>
      <c r="B5" s="91">
        <f t="shared" si="0"/>
        <v>21</v>
      </c>
      <c r="C5" s="101">
        <v>45794</v>
      </c>
      <c r="D5" s="102" t="s">
        <v>3301</v>
      </c>
      <c r="E5" s="103">
        <v>1013</v>
      </c>
      <c r="F5" s="103">
        <v>1205</v>
      </c>
      <c r="G5" s="94" t="s">
        <v>71</v>
      </c>
      <c r="H5" s="89" t="s">
        <v>72</v>
      </c>
      <c r="I5" s="89">
        <v>123.7</v>
      </c>
      <c r="J5" s="96" t="s">
        <v>58</v>
      </c>
      <c r="K5" s="89" t="s">
        <v>3302</v>
      </c>
      <c r="L5" s="89" t="s">
        <v>3293</v>
      </c>
      <c r="M5" s="100" t="s">
        <v>3303</v>
      </c>
    </row>
    <row r="6" spans="1:13" ht="90">
      <c r="A6" s="89">
        <v>5</v>
      </c>
      <c r="B6" s="91">
        <f t="shared" si="0"/>
        <v>21</v>
      </c>
      <c r="C6" s="101">
        <v>45796</v>
      </c>
      <c r="D6" s="102" t="s">
        <v>3304</v>
      </c>
      <c r="E6" s="103" t="s">
        <v>3305</v>
      </c>
      <c r="F6" s="103" t="s">
        <v>3306</v>
      </c>
      <c r="G6" s="89" t="s">
        <v>34</v>
      </c>
      <c r="H6" s="94" t="s">
        <v>35</v>
      </c>
      <c r="I6" s="100" t="s">
        <v>3307</v>
      </c>
      <c r="J6" s="96" t="s">
        <v>58</v>
      </c>
      <c r="K6" s="89" t="s">
        <v>3302</v>
      </c>
      <c r="L6" s="89" t="s">
        <v>3293</v>
      </c>
      <c r="M6" s="100" t="s">
        <v>3303</v>
      </c>
    </row>
    <row r="7" spans="1:13" ht="90">
      <c r="A7" s="89">
        <v>6</v>
      </c>
      <c r="B7" s="91">
        <f t="shared" si="0"/>
        <v>21</v>
      </c>
      <c r="C7" s="101">
        <v>45798</v>
      </c>
      <c r="D7" s="102" t="s">
        <v>3308</v>
      </c>
      <c r="E7" s="103">
        <v>2034</v>
      </c>
      <c r="F7" s="103">
        <v>1204</v>
      </c>
      <c r="G7" s="89" t="s">
        <v>34</v>
      </c>
      <c r="H7" s="94" t="s">
        <v>35</v>
      </c>
      <c r="I7" s="100">
        <v>114.9</v>
      </c>
      <c r="J7" s="96" t="s">
        <v>58</v>
      </c>
      <c r="K7" s="89" t="s">
        <v>3302</v>
      </c>
      <c r="L7" s="89" t="s">
        <v>3293</v>
      </c>
      <c r="M7" s="100" t="s">
        <v>3303</v>
      </c>
    </row>
    <row r="8" spans="1:13" ht="45">
      <c r="A8" s="89">
        <v>7</v>
      </c>
      <c r="B8" s="91">
        <f t="shared" si="0"/>
        <v>22</v>
      </c>
      <c r="C8" s="98">
        <v>45802</v>
      </c>
      <c r="D8" s="89" t="s">
        <v>3309</v>
      </c>
      <c r="E8" s="89">
        <v>2042</v>
      </c>
      <c r="F8" s="89">
        <v>1207</v>
      </c>
      <c r="G8" s="89" t="s">
        <v>34</v>
      </c>
      <c r="H8" s="94" t="s">
        <v>35</v>
      </c>
      <c r="I8" s="89">
        <v>121.3</v>
      </c>
      <c r="J8" s="96" t="s">
        <v>58</v>
      </c>
      <c r="K8" s="89" t="s">
        <v>3310</v>
      </c>
      <c r="L8" s="89" t="s">
        <v>3293</v>
      </c>
      <c r="M8" s="100" t="s">
        <v>3311</v>
      </c>
    </row>
    <row r="9" spans="1:13" ht="45">
      <c r="A9" s="89">
        <v>8</v>
      </c>
      <c r="B9" s="91">
        <f t="shared" si="0"/>
        <v>22</v>
      </c>
      <c r="C9" s="146" t="s">
        <v>3312</v>
      </c>
      <c r="D9" s="89" t="s">
        <v>3313</v>
      </c>
      <c r="E9" s="89">
        <v>1009</v>
      </c>
      <c r="F9" s="89">
        <v>1208</v>
      </c>
      <c r="G9" s="89" t="s">
        <v>71</v>
      </c>
      <c r="H9" s="94" t="s">
        <v>72</v>
      </c>
      <c r="I9" s="89">
        <v>121.3</v>
      </c>
      <c r="J9" s="96" t="s">
        <v>58</v>
      </c>
      <c r="K9" s="89" t="s">
        <v>3310</v>
      </c>
      <c r="L9" s="89" t="s">
        <v>3293</v>
      </c>
      <c r="M9" s="100" t="s">
        <v>3314</v>
      </c>
    </row>
    <row r="10" spans="1:13" ht="45">
      <c r="A10" s="89">
        <v>9</v>
      </c>
      <c r="B10" s="91">
        <f t="shared" si="0"/>
        <v>22</v>
      </c>
      <c r="C10" s="146" t="s">
        <v>3312</v>
      </c>
      <c r="D10" s="100" t="s">
        <v>3315</v>
      </c>
      <c r="E10" s="89">
        <v>2042</v>
      </c>
      <c r="F10" s="89">
        <v>1203</v>
      </c>
      <c r="G10" s="89" t="s">
        <v>34</v>
      </c>
      <c r="H10" s="94" t="s">
        <v>35</v>
      </c>
      <c r="I10" s="100" t="s">
        <v>3316</v>
      </c>
      <c r="J10" s="96" t="s">
        <v>58</v>
      </c>
      <c r="K10" s="89" t="s">
        <v>3310</v>
      </c>
      <c r="L10" s="89" t="s">
        <v>3293</v>
      </c>
      <c r="M10" s="100" t="s">
        <v>3311</v>
      </c>
    </row>
    <row r="11" spans="1:13" ht="45">
      <c r="A11" s="89">
        <v>10</v>
      </c>
      <c r="B11" s="91">
        <f t="shared" si="0"/>
        <v>22</v>
      </c>
      <c r="C11" s="146" t="s">
        <v>3312</v>
      </c>
      <c r="D11" s="100" t="s">
        <v>3317</v>
      </c>
      <c r="E11" s="89">
        <v>2046</v>
      </c>
      <c r="F11" s="89">
        <v>1208</v>
      </c>
      <c r="G11" s="89" t="s">
        <v>34</v>
      </c>
      <c r="H11" s="94" t="s">
        <v>35</v>
      </c>
      <c r="I11" s="100" t="s">
        <v>3316</v>
      </c>
      <c r="J11" s="96" t="s">
        <v>58</v>
      </c>
      <c r="K11" s="89" t="s">
        <v>3310</v>
      </c>
      <c r="L11" s="89" t="s">
        <v>3293</v>
      </c>
      <c r="M11" s="100" t="s">
        <v>3314</v>
      </c>
    </row>
    <row r="12" spans="1:13" ht="30">
      <c r="A12" s="89">
        <v>11</v>
      </c>
      <c r="B12" s="91">
        <f t="shared" si="0"/>
        <v>22</v>
      </c>
      <c r="C12" s="146" t="s">
        <v>3318</v>
      </c>
      <c r="D12" s="100" t="s">
        <v>3319</v>
      </c>
      <c r="E12" s="89">
        <v>2050</v>
      </c>
      <c r="F12" s="89">
        <v>1208</v>
      </c>
      <c r="G12" s="89" t="s">
        <v>34</v>
      </c>
      <c r="H12" s="94" t="s">
        <v>35</v>
      </c>
      <c r="I12" s="100" t="s">
        <v>3320</v>
      </c>
      <c r="J12" s="96" t="s">
        <v>58</v>
      </c>
      <c r="K12" s="89" t="s">
        <v>3310</v>
      </c>
      <c r="L12" s="89" t="s">
        <v>3293</v>
      </c>
      <c r="M12" s="100" t="s">
        <v>3321</v>
      </c>
    </row>
    <row r="13" spans="1:13" ht="45">
      <c r="A13" s="89">
        <v>12</v>
      </c>
      <c r="B13" s="91">
        <f t="shared" si="0"/>
        <v>23</v>
      </c>
      <c r="C13" s="98">
        <v>45809</v>
      </c>
      <c r="D13" s="100" t="s">
        <v>3322</v>
      </c>
      <c r="E13" s="89">
        <v>2022</v>
      </c>
      <c r="F13" s="89">
        <v>1203</v>
      </c>
      <c r="G13" s="89" t="s">
        <v>34</v>
      </c>
      <c r="H13" s="94" t="s">
        <v>35</v>
      </c>
      <c r="I13" s="100" t="s">
        <v>3323</v>
      </c>
      <c r="J13" s="96" t="s">
        <v>58</v>
      </c>
      <c r="K13" s="89" t="s">
        <v>3324</v>
      </c>
      <c r="L13" s="100" t="s">
        <v>3325</v>
      </c>
      <c r="M13" s="100" t="s">
        <v>3326</v>
      </c>
    </row>
    <row r="14" spans="1:13" ht="75">
      <c r="A14" s="89">
        <v>13</v>
      </c>
      <c r="B14" s="91">
        <f t="shared" si="0"/>
        <v>25</v>
      </c>
      <c r="C14" s="170">
        <v>45823</v>
      </c>
      <c r="D14" s="171" t="s">
        <v>3327</v>
      </c>
      <c r="E14" s="171">
        <v>2054</v>
      </c>
      <c r="F14" s="171">
        <v>1208</v>
      </c>
      <c r="G14" s="171" t="s">
        <v>34</v>
      </c>
      <c r="H14" s="94" t="s">
        <v>35</v>
      </c>
      <c r="I14" s="171" t="s">
        <v>3328</v>
      </c>
      <c r="J14" s="172" t="s">
        <v>58</v>
      </c>
      <c r="K14" s="173" t="s">
        <v>3329</v>
      </c>
      <c r="L14" s="147" t="s">
        <v>3330</v>
      </c>
      <c r="M14" s="147" t="s">
        <v>3331</v>
      </c>
    </row>
    <row r="15" spans="1:13" ht="45">
      <c r="A15" s="89">
        <v>14</v>
      </c>
      <c r="B15" s="91">
        <f t="shared" si="0"/>
        <v>27</v>
      </c>
      <c r="C15" s="98">
        <v>45837</v>
      </c>
      <c r="D15" s="100" t="s">
        <v>3332</v>
      </c>
      <c r="E15" s="100" t="s">
        <v>3333</v>
      </c>
      <c r="F15" s="100" t="s">
        <v>3334</v>
      </c>
      <c r="G15" s="89" t="s">
        <v>34</v>
      </c>
      <c r="H15" s="94" t="s">
        <v>35</v>
      </c>
      <c r="I15" s="100" t="s">
        <v>3335</v>
      </c>
      <c r="J15" s="96" t="s">
        <v>58</v>
      </c>
      <c r="K15" s="89" t="s">
        <v>3310</v>
      </c>
      <c r="L15" s="89" t="s">
        <v>3293</v>
      </c>
      <c r="M15" s="281" t="s">
        <v>3336</v>
      </c>
    </row>
    <row r="16" spans="1:13" ht="30">
      <c r="A16" s="89">
        <v>15</v>
      </c>
      <c r="B16" s="91">
        <f t="shared" si="0"/>
        <v>27</v>
      </c>
      <c r="C16" s="98">
        <v>45838</v>
      </c>
      <c r="D16" s="100" t="s">
        <v>3337</v>
      </c>
      <c r="E16" s="89">
        <v>2038</v>
      </c>
      <c r="F16" s="89">
        <v>1201</v>
      </c>
      <c r="G16" s="89" t="s">
        <v>34</v>
      </c>
      <c r="H16" s="94" t="s">
        <v>35</v>
      </c>
      <c r="I16" s="100" t="s">
        <v>3338</v>
      </c>
      <c r="J16" s="96" t="s">
        <v>58</v>
      </c>
      <c r="K16" s="89" t="s">
        <v>3310</v>
      </c>
      <c r="L16" s="89" t="s">
        <v>3293</v>
      </c>
      <c r="M16" s="281"/>
    </row>
    <row r="17" spans="1:50" ht="60">
      <c r="A17" s="89">
        <v>16</v>
      </c>
      <c r="B17" s="91">
        <f t="shared" si="0"/>
        <v>27</v>
      </c>
      <c r="C17" s="98">
        <v>45838</v>
      </c>
      <c r="D17" s="100" t="s">
        <v>3339</v>
      </c>
      <c r="E17" s="100" t="s">
        <v>3340</v>
      </c>
      <c r="F17" s="100" t="s">
        <v>3341</v>
      </c>
      <c r="G17" s="89" t="s">
        <v>34</v>
      </c>
      <c r="H17" s="94" t="s">
        <v>35</v>
      </c>
      <c r="I17" s="100" t="s">
        <v>3342</v>
      </c>
      <c r="J17" s="96" t="s">
        <v>58</v>
      </c>
      <c r="K17" s="89" t="s">
        <v>3343</v>
      </c>
      <c r="L17" s="100" t="s">
        <v>3344</v>
      </c>
      <c r="M17" s="100" t="s">
        <v>3345</v>
      </c>
    </row>
    <row r="18" spans="1:50" ht="90">
      <c r="A18" s="89">
        <v>17</v>
      </c>
      <c r="B18" s="91">
        <f t="shared" si="0"/>
        <v>28</v>
      </c>
      <c r="C18" s="98">
        <v>45845</v>
      </c>
      <c r="D18" s="89" t="s">
        <v>3346</v>
      </c>
      <c r="E18" s="89">
        <v>2050</v>
      </c>
      <c r="F18" s="89">
        <v>1210</v>
      </c>
      <c r="G18" s="89" t="s">
        <v>34</v>
      </c>
      <c r="H18" s="94" t="s">
        <v>35</v>
      </c>
      <c r="I18" s="100" t="s">
        <v>3347</v>
      </c>
      <c r="J18" s="96" t="s">
        <v>58</v>
      </c>
      <c r="K18" s="89" t="s">
        <v>3310</v>
      </c>
      <c r="L18" s="100" t="s">
        <v>3348</v>
      </c>
      <c r="M18" s="100" t="s">
        <v>3349</v>
      </c>
    </row>
    <row r="19" spans="1:50" ht="45">
      <c r="A19" s="89">
        <v>18</v>
      </c>
      <c r="B19" s="91">
        <f t="shared" si="0"/>
        <v>29</v>
      </c>
      <c r="C19" s="98">
        <v>45852</v>
      </c>
      <c r="D19" s="89" t="s">
        <v>3350</v>
      </c>
      <c r="E19" s="89">
        <v>2042</v>
      </c>
      <c r="F19" s="89">
        <v>1206</v>
      </c>
      <c r="G19" s="89" t="s">
        <v>34</v>
      </c>
      <c r="H19" s="94" t="s">
        <v>35</v>
      </c>
      <c r="I19" s="100" t="s">
        <v>3351</v>
      </c>
      <c r="J19" s="96" t="s">
        <v>58</v>
      </c>
      <c r="K19" s="89" t="s">
        <v>3310</v>
      </c>
      <c r="L19" s="100" t="s">
        <v>3352</v>
      </c>
      <c r="M19" s="100" t="s">
        <v>3353</v>
      </c>
    </row>
    <row r="20" spans="1:50" ht="30">
      <c r="A20" s="89">
        <v>19</v>
      </c>
      <c r="B20" s="91">
        <f t="shared" si="0"/>
        <v>34</v>
      </c>
      <c r="C20" s="98">
        <v>45888</v>
      </c>
      <c r="D20" s="89" t="s">
        <v>3354</v>
      </c>
      <c r="E20" s="89">
        <v>2046</v>
      </c>
      <c r="F20" s="89"/>
      <c r="G20" s="89" t="s">
        <v>34</v>
      </c>
      <c r="H20" s="94" t="s">
        <v>35</v>
      </c>
      <c r="I20" s="89" t="s">
        <v>3355</v>
      </c>
      <c r="J20" s="96" t="s">
        <v>58</v>
      </c>
      <c r="K20" s="89" t="s">
        <v>3343</v>
      </c>
      <c r="L20" s="100" t="s">
        <v>3356</v>
      </c>
      <c r="M20" s="89"/>
    </row>
    <row r="21" spans="1:50" ht="30">
      <c r="A21" s="89">
        <v>20</v>
      </c>
      <c r="B21" s="91">
        <f t="shared" si="0"/>
        <v>35</v>
      </c>
      <c r="C21" s="98">
        <v>45894</v>
      </c>
      <c r="D21" s="89" t="s">
        <v>3357</v>
      </c>
      <c r="E21" s="89">
        <v>2082</v>
      </c>
      <c r="F21" s="89">
        <v>1202</v>
      </c>
      <c r="G21" s="89" t="s">
        <v>34</v>
      </c>
      <c r="H21" s="94" t="s">
        <v>35</v>
      </c>
      <c r="I21" s="89" t="s">
        <v>3358</v>
      </c>
      <c r="J21" s="96" t="s">
        <v>58</v>
      </c>
      <c r="K21" s="89" t="s">
        <v>3310</v>
      </c>
      <c r="L21" s="100" t="s">
        <v>3359</v>
      </c>
      <c r="M21" s="100" t="s">
        <v>3353</v>
      </c>
    </row>
    <row r="22" spans="1:50" ht="30.75" customHeight="1">
      <c r="A22" s="89">
        <v>21</v>
      </c>
      <c r="B22" s="91">
        <f t="shared" si="0"/>
        <v>35</v>
      </c>
      <c r="C22" s="98">
        <v>45895</v>
      </c>
      <c r="D22" s="89" t="s">
        <v>3360</v>
      </c>
      <c r="E22" s="89">
        <v>2038</v>
      </c>
      <c r="F22" s="89">
        <v>1209</v>
      </c>
      <c r="G22" s="89" t="s">
        <v>34</v>
      </c>
      <c r="H22" s="94" t="s">
        <v>35</v>
      </c>
      <c r="I22" s="89" t="s">
        <v>3361</v>
      </c>
      <c r="J22" s="96" t="s">
        <v>58</v>
      </c>
      <c r="K22" s="89" t="s">
        <v>3343</v>
      </c>
      <c r="L22" s="89" t="s">
        <v>3344</v>
      </c>
      <c r="M22" s="89"/>
    </row>
    <row r="23" spans="1:50" ht="30.75" customHeight="1">
      <c r="A23" s="89">
        <v>22</v>
      </c>
      <c r="B23" s="91">
        <f t="shared" si="0"/>
        <v>36</v>
      </c>
      <c r="C23" s="98">
        <v>45899</v>
      </c>
      <c r="D23" s="89" t="s">
        <v>3362</v>
      </c>
      <c r="E23" s="89">
        <v>2042</v>
      </c>
      <c r="F23" s="89">
        <v>1202</v>
      </c>
      <c r="G23" s="89" t="s">
        <v>34</v>
      </c>
      <c r="H23" s="94" t="s">
        <v>35</v>
      </c>
      <c r="I23" s="89" t="s">
        <v>3363</v>
      </c>
      <c r="J23" s="96" t="s">
        <v>58</v>
      </c>
      <c r="K23" s="89" t="s">
        <v>3343</v>
      </c>
      <c r="L23" s="89" t="s">
        <v>3364</v>
      </c>
      <c r="M23" s="89"/>
    </row>
    <row r="24" spans="1:50" ht="30.75" customHeight="1">
      <c r="A24" s="89">
        <v>23</v>
      </c>
      <c r="B24" s="91">
        <f t="shared" si="0"/>
        <v>36</v>
      </c>
      <c r="C24" s="98">
        <v>45900</v>
      </c>
      <c r="D24" s="89" t="s">
        <v>3365</v>
      </c>
      <c r="E24" s="89">
        <v>2022</v>
      </c>
      <c r="F24" s="89">
        <v>1207</v>
      </c>
      <c r="G24" s="89" t="s">
        <v>34</v>
      </c>
      <c r="H24" s="94" t="s">
        <v>35</v>
      </c>
      <c r="I24" s="89" t="s">
        <v>3366</v>
      </c>
      <c r="J24" s="96" t="s">
        <v>58</v>
      </c>
      <c r="K24" s="89" t="s">
        <v>3343</v>
      </c>
      <c r="L24" s="89" t="s">
        <v>3367</v>
      </c>
      <c r="M24" s="89"/>
    </row>
    <row r="25" spans="1:50" ht="30.75" customHeight="1">
      <c r="A25" s="89">
        <v>24</v>
      </c>
      <c r="B25" s="91">
        <f t="shared" si="0"/>
        <v>37</v>
      </c>
      <c r="C25" s="98">
        <v>45906</v>
      </c>
      <c r="D25" s="89" t="s">
        <v>3368</v>
      </c>
      <c r="E25" s="89">
        <v>15335</v>
      </c>
      <c r="F25" s="89">
        <v>1204</v>
      </c>
      <c r="G25" s="89" t="s">
        <v>71</v>
      </c>
      <c r="H25" s="94" t="s">
        <v>72</v>
      </c>
      <c r="I25" s="89" t="s">
        <v>3369</v>
      </c>
      <c r="J25" s="96" t="s">
        <v>58</v>
      </c>
      <c r="K25" s="89" t="s">
        <v>3343</v>
      </c>
      <c r="L25" s="89" t="s">
        <v>3370</v>
      </c>
      <c r="M25" s="89" t="s">
        <v>3371</v>
      </c>
    </row>
    <row r="26" spans="1:50" ht="105">
      <c r="A26" s="89">
        <v>25</v>
      </c>
      <c r="B26" s="91">
        <f t="shared" si="0"/>
        <v>39</v>
      </c>
      <c r="C26" s="98">
        <v>45921</v>
      </c>
      <c r="D26" s="89" t="s">
        <v>3372</v>
      </c>
      <c r="E26" s="89">
        <v>2034</v>
      </c>
      <c r="F26" s="89">
        <v>1205</v>
      </c>
      <c r="G26" s="89" t="s">
        <v>71</v>
      </c>
      <c r="H26" s="94" t="s">
        <v>72</v>
      </c>
      <c r="I26" s="89" t="s">
        <v>3373</v>
      </c>
      <c r="J26" s="96" t="s">
        <v>58</v>
      </c>
      <c r="K26" s="100" t="s">
        <v>3374</v>
      </c>
      <c r="L26" s="100" t="s">
        <v>3375</v>
      </c>
      <c r="M26" s="100" t="s">
        <v>3376</v>
      </c>
    </row>
    <row r="27" spans="1:50" ht="135">
      <c r="A27" s="89">
        <v>26</v>
      </c>
      <c r="B27" s="91">
        <f t="shared" si="0"/>
        <v>39</v>
      </c>
      <c r="C27" s="98">
        <v>45922</v>
      </c>
      <c r="D27" s="89" t="s">
        <v>3372</v>
      </c>
      <c r="E27" s="89">
        <v>1033</v>
      </c>
      <c r="F27" s="89"/>
      <c r="G27" s="89" t="s">
        <v>34</v>
      </c>
      <c r="H27" s="94" t="s">
        <v>35</v>
      </c>
      <c r="I27" s="89" t="s">
        <v>3377</v>
      </c>
      <c r="J27" s="96" t="s">
        <v>58</v>
      </c>
      <c r="K27" s="100" t="s">
        <v>3378</v>
      </c>
      <c r="L27" s="100" t="s">
        <v>3379</v>
      </c>
      <c r="M27" s="100" t="s">
        <v>3380</v>
      </c>
    </row>
    <row r="28" spans="1:50" ht="45">
      <c r="A28" s="89">
        <v>27</v>
      </c>
      <c r="B28" s="91">
        <f t="shared" si="0"/>
        <v>41</v>
      </c>
      <c r="C28" s="98">
        <v>45935</v>
      </c>
      <c r="D28" s="89" t="s">
        <v>3381</v>
      </c>
      <c r="E28" s="89">
        <v>1061</v>
      </c>
      <c r="F28" s="89">
        <v>1211</v>
      </c>
      <c r="G28" s="89" t="s">
        <v>34</v>
      </c>
      <c r="H28" s="94" t="s">
        <v>35</v>
      </c>
      <c r="I28" s="89" t="s">
        <v>3382</v>
      </c>
      <c r="J28" s="96" t="s">
        <v>58</v>
      </c>
      <c r="K28" s="100" t="s">
        <v>3383</v>
      </c>
      <c r="L28" s="100" t="s">
        <v>3384</v>
      </c>
      <c r="M28" s="100" t="s">
        <v>3385</v>
      </c>
    </row>
    <row r="29" spans="1:50" ht="30">
      <c r="A29" s="200">
        <v>28</v>
      </c>
      <c r="B29" s="214">
        <f t="shared" si="0"/>
        <v>43</v>
      </c>
      <c r="C29" s="201">
        <v>45947</v>
      </c>
      <c r="D29" s="200" t="s">
        <v>3386</v>
      </c>
      <c r="E29" s="200">
        <v>2038</v>
      </c>
      <c r="F29" s="200">
        <v>1209</v>
      </c>
      <c r="G29" s="200" t="s">
        <v>71</v>
      </c>
      <c r="H29" s="202" t="s">
        <v>72</v>
      </c>
      <c r="I29" s="200" t="s">
        <v>3387</v>
      </c>
      <c r="J29" s="215" t="s">
        <v>58</v>
      </c>
      <c r="K29" s="200" t="s">
        <v>3388</v>
      </c>
      <c r="L29" s="203" t="s">
        <v>3389</v>
      </c>
      <c r="M29" s="200"/>
    </row>
    <row r="30" spans="1:50" ht="45">
      <c r="A30" s="204">
        <v>29</v>
      </c>
      <c r="B30" s="204">
        <v>44</v>
      </c>
      <c r="C30" s="205">
        <v>45956</v>
      </c>
      <c r="D30" s="204" t="s">
        <v>3390</v>
      </c>
      <c r="E30" s="204">
        <v>15439</v>
      </c>
      <c r="F30" s="204"/>
      <c r="G30" s="200" t="s">
        <v>34</v>
      </c>
      <c r="H30" s="202" t="s">
        <v>35</v>
      </c>
      <c r="I30" s="204" t="s">
        <v>3391</v>
      </c>
      <c r="J30" s="216" t="s">
        <v>58</v>
      </c>
      <c r="K30" s="206" t="s">
        <v>3343</v>
      </c>
      <c r="L30" s="206" t="s">
        <v>3392</v>
      </c>
      <c r="M30" s="204"/>
    </row>
    <row r="31" spans="1:50" s="199" customFormat="1" ht="90">
      <c r="A31" s="204">
        <v>30</v>
      </c>
      <c r="B31" s="204">
        <v>45</v>
      </c>
      <c r="C31" s="205">
        <v>45966</v>
      </c>
      <c r="D31" s="204" t="s">
        <v>3393</v>
      </c>
      <c r="E31" s="221">
        <v>1037</v>
      </c>
      <c r="F31" s="222">
        <v>1209</v>
      </c>
      <c r="G31" s="199" t="s">
        <v>71</v>
      </c>
      <c r="H31" s="218" t="s">
        <v>72</v>
      </c>
      <c r="I31" s="217" t="s">
        <v>3394</v>
      </c>
      <c r="J31" s="219" t="s">
        <v>58</v>
      </c>
      <c r="K31" s="220" t="s">
        <v>3395</v>
      </c>
      <c r="L31" s="208" t="s">
        <v>3396</v>
      </c>
      <c r="M31" s="203" t="s">
        <v>3397</v>
      </c>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207"/>
    </row>
    <row r="32" spans="1:50" ht="30">
      <c r="A32" s="204">
        <v>31</v>
      </c>
      <c r="B32" s="204">
        <v>47</v>
      </c>
      <c r="C32" s="205">
        <v>45980</v>
      </c>
      <c r="D32" s="204" t="s">
        <v>3381</v>
      </c>
      <c r="E32" s="204">
        <v>1061</v>
      </c>
      <c r="F32" s="204">
        <v>1209</v>
      </c>
      <c r="G32" s="226" t="s">
        <v>71</v>
      </c>
      <c r="H32" s="150" t="s">
        <v>72</v>
      </c>
      <c r="I32" s="221" t="s">
        <v>3394</v>
      </c>
      <c r="J32" s="215" t="s">
        <v>58</v>
      </c>
      <c r="K32" s="203" t="s">
        <v>3383</v>
      </c>
      <c r="L32" s="227" t="s">
        <v>3398</v>
      </c>
      <c r="M32" s="204"/>
    </row>
    <row r="33" spans="1:13" ht="30">
      <c r="A33" s="199">
        <v>32</v>
      </c>
      <c r="B33" s="199">
        <v>50</v>
      </c>
      <c r="C33" s="262">
        <v>46001</v>
      </c>
      <c r="D33" s="217" t="s">
        <v>3399</v>
      </c>
      <c r="E33" s="217">
        <v>1049</v>
      </c>
      <c r="F33" s="263">
        <v>1207</v>
      </c>
      <c r="G33" s="199" t="s">
        <v>34</v>
      </c>
      <c r="H33" s="218" t="s">
        <v>35</v>
      </c>
      <c r="I33" s="217" t="s">
        <v>3400</v>
      </c>
      <c r="J33" s="219" t="s">
        <v>58</v>
      </c>
      <c r="K33" s="217" t="s">
        <v>3401</v>
      </c>
      <c r="L33" s="227" t="s">
        <v>3402</v>
      </c>
      <c r="M33" s="199"/>
    </row>
    <row r="34" spans="1:13" ht="45">
      <c r="A34" s="199">
        <v>33</v>
      </c>
      <c r="B34" s="199">
        <v>50</v>
      </c>
      <c r="C34" s="262">
        <v>46004</v>
      </c>
      <c r="D34" s="217" t="s">
        <v>3403</v>
      </c>
      <c r="E34" s="217">
        <v>1041</v>
      </c>
      <c r="F34" s="263">
        <v>1204</v>
      </c>
      <c r="G34" s="199" t="s">
        <v>34</v>
      </c>
      <c r="H34" s="218" t="s">
        <v>35</v>
      </c>
      <c r="I34" s="217" t="s">
        <v>3404</v>
      </c>
      <c r="J34" s="219" t="s">
        <v>58</v>
      </c>
      <c r="K34" s="217" t="s">
        <v>3405</v>
      </c>
      <c r="L34" s="227" t="s">
        <v>3406</v>
      </c>
      <c r="M34" s="228" t="s">
        <v>3407</v>
      </c>
    </row>
    <row r="35" spans="1:13">
      <c r="A35" s="199">
        <v>34</v>
      </c>
      <c r="B35" s="199">
        <v>51</v>
      </c>
      <c r="C35" s="262">
        <v>44182</v>
      </c>
      <c r="D35" s="217" t="s">
        <v>3408</v>
      </c>
      <c r="E35" s="217">
        <v>1061</v>
      </c>
      <c r="F35" s="263">
        <v>1205</v>
      </c>
      <c r="G35" s="199" t="s">
        <v>34</v>
      </c>
      <c r="H35" s="218" t="s">
        <v>35</v>
      </c>
      <c r="I35" s="217" t="s">
        <v>3409</v>
      </c>
      <c r="J35" s="219" t="s">
        <v>58</v>
      </c>
      <c r="K35" s="217" t="s">
        <v>3295</v>
      </c>
      <c r="L35" s="227" t="s">
        <v>3410</v>
      </c>
      <c r="M35" s="282" t="s">
        <v>3411</v>
      </c>
    </row>
    <row r="36" spans="1:13" ht="45">
      <c r="A36" s="199">
        <v>35</v>
      </c>
      <c r="B36" s="199">
        <v>51</v>
      </c>
      <c r="C36" s="262">
        <v>46009</v>
      </c>
      <c r="D36" s="217" t="s">
        <v>3412</v>
      </c>
      <c r="E36" s="217">
        <v>1001</v>
      </c>
      <c r="F36" s="263">
        <v>1201</v>
      </c>
      <c r="G36" s="199" t="s">
        <v>34</v>
      </c>
      <c r="H36" s="218" t="s">
        <v>35</v>
      </c>
      <c r="I36" s="217" t="s">
        <v>3413</v>
      </c>
      <c r="J36" s="219" t="s">
        <v>58</v>
      </c>
      <c r="K36" s="217" t="s">
        <v>3295</v>
      </c>
      <c r="L36" s="227" t="s">
        <v>3414</v>
      </c>
      <c r="M36" s="283"/>
    </row>
    <row r="37" spans="1:13" ht="45">
      <c r="A37" s="199">
        <v>36</v>
      </c>
      <c r="B37" s="199">
        <v>51</v>
      </c>
      <c r="C37" s="262">
        <v>46009</v>
      </c>
      <c r="D37" s="217" t="s">
        <v>3415</v>
      </c>
      <c r="E37" s="217">
        <v>1005</v>
      </c>
      <c r="F37" s="263">
        <v>1210</v>
      </c>
      <c r="G37" s="199" t="s">
        <v>34</v>
      </c>
      <c r="H37" s="218" t="s">
        <v>35</v>
      </c>
      <c r="I37" s="217" t="s">
        <v>3416</v>
      </c>
      <c r="J37" s="219" t="s">
        <v>58</v>
      </c>
      <c r="K37" s="217" t="s">
        <v>3295</v>
      </c>
      <c r="L37" s="227" t="s">
        <v>3417</v>
      </c>
      <c r="M37" s="283"/>
    </row>
    <row r="38" spans="1:13" ht="45">
      <c r="A38" s="204">
        <v>37</v>
      </c>
      <c r="B38" s="204">
        <v>51</v>
      </c>
      <c r="C38" s="264">
        <v>46009</v>
      </c>
      <c r="D38" s="221" t="s">
        <v>3418</v>
      </c>
      <c r="E38" s="221">
        <v>1009</v>
      </c>
      <c r="F38" s="222">
        <v>1206</v>
      </c>
      <c r="G38" s="204" t="s">
        <v>34</v>
      </c>
      <c r="H38" s="150" t="s">
        <v>35</v>
      </c>
      <c r="I38" s="221" t="s">
        <v>3413</v>
      </c>
      <c r="J38" s="219" t="s">
        <v>58</v>
      </c>
      <c r="K38" s="217" t="s">
        <v>3295</v>
      </c>
      <c r="L38" s="208" t="s">
        <v>3417</v>
      </c>
      <c r="M38" s="283"/>
    </row>
    <row r="39" spans="1:13">
      <c r="A39" s="199">
        <v>38</v>
      </c>
      <c r="B39" s="199">
        <v>52</v>
      </c>
      <c r="C39" s="229">
        <v>46016</v>
      </c>
      <c r="D39" s="199" t="s">
        <v>3419</v>
      </c>
      <c r="E39" s="199">
        <v>2042</v>
      </c>
      <c r="F39" s="199">
        <v>1203</v>
      </c>
      <c r="G39" s="199" t="s">
        <v>71</v>
      </c>
      <c r="H39" s="265" t="s">
        <v>72</v>
      </c>
      <c r="I39" s="199" t="s">
        <v>3420</v>
      </c>
      <c r="J39" s="266" t="s">
        <v>58</v>
      </c>
      <c r="K39" s="217" t="s">
        <v>3295</v>
      </c>
      <c r="L39" s="267" t="s">
        <v>3410</v>
      </c>
      <c r="M39" s="284" t="s">
        <v>3411</v>
      </c>
    </row>
    <row r="40" spans="1:13" ht="30">
      <c r="A40" s="199">
        <v>39</v>
      </c>
      <c r="B40" s="199">
        <v>52</v>
      </c>
      <c r="C40" s="229">
        <v>46016</v>
      </c>
      <c r="D40" s="199" t="s">
        <v>3421</v>
      </c>
      <c r="E40" s="199">
        <v>2046</v>
      </c>
      <c r="F40" s="199">
        <v>1201</v>
      </c>
      <c r="G40" s="199" t="s">
        <v>71</v>
      </c>
      <c r="H40" s="265" t="s">
        <v>72</v>
      </c>
      <c r="I40" s="199" t="s">
        <v>3422</v>
      </c>
      <c r="J40" s="266" t="s">
        <v>58</v>
      </c>
      <c r="K40" s="217" t="s">
        <v>3295</v>
      </c>
      <c r="L40" s="267" t="s">
        <v>3423</v>
      </c>
      <c r="M40" s="284"/>
    </row>
    <row r="41" spans="1:13" ht="45">
      <c r="A41" s="199">
        <v>40</v>
      </c>
      <c r="B41" s="204">
        <v>52</v>
      </c>
      <c r="C41" s="205">
        <v>46016</v>
      </c>
      <c r="D41" s="204" t="s">
        <v>3424</v>
      </c>
      <c r="E41" s="204">
        <v>2050</v>
      </c>
      <c r="F41" s="204">
        <v>1204</v>
      </c>
      <c r="G41" s="204" t="s">
        <v>71</v>
      </c>
      <c r="H41" s="269" t="s">
        <v>72</v>
      </c>
      <c r="I41" s="204" t="s">
        <v>3425</v>
      </c>
      <c r="J41" s="266" t="s">
        <v>58</v>
      </c>
      <c r="K41" s="271" t="s">
        <v>3295</v>
      </c>
      <c r="L41" s="208" t="s">
        <v>3426</v>
      </c>
      <c r="M41" s="285"/>
    </row>
    <row r="42" spans="1:13" ht="30">
      <c r="A42" s="268">
        <v>41</v>
      </c>
      <c r="B42" s="199">
        <v>5</v>
      </c>
      <c r="C42" s="229">
        <v>46054</v>
      </c>
      <c r="D42" s="199" t="s">
        <v>3427</v>
      </c>
      <c r="E42" s="199"/>
      <c r="F42" s="199">
        <v>1021</v>
      </c>
      <c r="G42" s="199" t="s">
        <v>34</v>
      </c>
      <c r="H42" s="265" t="s">
        <v>35</v>
      </c>
      <c r="I42" s="199" t="s">
        <v>3428</v>
      </c>
      <c r="J42" s="270" t="s">
        <v>58</v>
      </c>
      <c r="K42" s="217" t="s">
        <v>3429</v>
      </c>
      <c r="L42" s="272" t="s">
        <v>3430</v>
      </c>
      <c r="M42" s="282" t="s">
        <v>3431</v>
      </c>
    </row>
    <row r="43" spans="1:13" ht="30">
      <c r="A43" s="274">
        <v>42</v>
      </c>
      <c r="B43" s="204">
        <v>5</v>
      </c>
      <c r="C43" s="205">
        <v>46054</v>
      </c>
      <c r="D43" s="204" t="s">
        <v>3432</v>
      </c>
      <c r="E43" s="204"/>
      <c r="F43" s="204">
        <v>2022</v>
      </c>
      <c r="G43" s="204" t="s">
        <v>71</v>
      </c>
      <c r="H43" s="269" t="s">
        <v>72</v>
      </c>
      <c r="I43" s="204" t="s">
        <v>3428</v>
      </c>
      <c r="J43" s="275" t="s">
        <v>58</v>
      </c>
      <c r="K43" s="221" t="s">
        <v>3433</v>
      </c>
      <c r="L43" s="276" t="s">
        <v>3434</v>
      </c>
      <c r="M43" s="283"/>
    </row>
    <row r="44" spans="1:13">
      <c r="A44" s="199">
        <v>43</v>
      </c>
      <c r="B44" s="199">
        <v>6</v>
      </c>
      <c r="C44" s="229">
        <v>46059</v>
      </c>
      <c r="D44" s="199" t="s">
        <v>3435</v>
      </c>
      <c r="E44" s="199">
        <v>1017</v>
      </c>
      <c r="F44" s="199">
        <v>1211</v>
      </c>
      <c r="G44" s="199" t="s">
        <v>34</v>
      </c>
      <c r="H44" s="277" t="s">
        <v>35</v>
      </c>
      <c r="I44" s="199" t="s">
        <v>3436</v>
      </c>
      <c r="J44" s="278" t="s">
        <v>58</v>
      </c>
      <c r="K44" s="279" t="s">
        <v>3437</v>
      </c>
      <c r="L44" s="279" t="s">
        <v>3438</v>
      </c>
      <c r="M44" s="199"/>
    </row>
  </sheetData>
  <mergeCells count="4">
    <mergeCell ref="M15:M16"/>
    <mergeCell ref="M35:M38"/>
    <mergeCell ref="M39:M41"/>
    <mergeCell ref="M42:M43"/>
  </mergeCells>
  <phoneticPr fontId="20" type="noConversion"/>
  <conditionalFormatting sqref="A1:M1 J2:J44 H15:H44">
    <cfRule type="cellIs" dxfId="36" priority="27" operator="equal">
      <formula>"Ralentissement du train"</formula>
    </cfRule>
    <cfRule type="cellIs" dxfId="35" priority="28" operator="equal">
      <formula>"Arrêt du train"</formula>
    </cfRule>
  </conditionalFormatting>
  <conditionalFormatting sqref="B2:B29">
    <cfRule type="cellIs" dxfId="34" priority="15" operator="equal">
      <formula>"Ralentissement du train"</formula>
    </cfRule>
    <cfRule type="cellIs" dxfId="33" priority="16" operator="equal">
      <formula>"Arrêt du train"</formula>
    </cfRule>
  </conditionalFormatting>
  <conditionalFormatting sqref="F2:H2">
    <cfRule type="cellIs" dxfId="32" priority="23" operator="equal">
      <formula>"Ralentissement du train"</formula>
    </cfRule>
    <cfRule type="cellIs" dxfId="31" priority="24" operator="equal">
      <formula>"Arrêt du train"</formula>
    </cfRule>
  </conditionalFormatting>
  <conditionalFormatting sqref="G3">
    <cfRule type="cellIs" dxfId="30" priority="19" operator="equal">
      <formula>"Ralentissement du train"</formula>
    </cfRule>
    <cfRule type="cellIs" dxfId="29" priority="20" operator="equal">
      <formula>"Arrêt du train"</formula>
    </cfRule>
  </conditionalFormatting>
  <conditionalFormatting sqref="G5">
    <cfRule type="cellIs" dxfId="28" priority="17" operator="equal">
      <formula>"Ralentissement du train"</formula>
    </cfRule>
    <cfRule type="cellIs" dxfId="27" priority="18" operator="equal">
      <formula>"Arrêt du train"</formula>
    </cfRule>
  </conditionalFormatting>
  <conditionalFormatting sqref="H4">
    <cfRule type="cellIs" dxfId="26" priority="21" operator="equal">
      <formula>"Ralentissement du train"</formula>
    </cfRule>
    <cfRule type="cellIs" dxfId="25" priority="22" operator="equal">
      <formula>"Arrêt du train"</formula>
    </cfRule>
  </conditionalFormatting>
  <conditionalFormatting sqref="H6:H7">
    <cfRule type="cellIs" dxfId="24" priority="11" operator="equal">
      <formula>"Ralentissement du train"</formula>
    </cfRule>
    <cfRule type="cellIs" dxfId="23" priority="12" operator="equal">
      <formula>"Arrêt du train"</formula>
    </cfRule>
  </conditionalFormatting>
  <conditionalFormatting sqref="H13">
    <cfRule type="cellIs" dxfId="22" priority="7" operator="equal">
      <formula>"Ralentissement du train"</formula>
    </cfRule>
    <cfRule type="cellIs" dxfId="21" priority="8" operator="equal">
      <formula>"Arrêt du train"</formula>
    </cfRule>
  </conditionalFormatting>
  <dataValidations disablePrompts="1" count="1">
    <dataValidation type="list" allowBlank="1" showInputMessage="1" showErrorMessage="1" error="Numéro de rame erronée" sqref="F1" xr:uid="{1A6AE988-7C5D-443D-9403-69D67281357D}">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CE003549-046B-4465-BA09-7D66F7CFA439}">
          <x14:formula1>
            <xm:f>Liste!$Q$14:$Q$15</xm:f>
          </x14:formula1>
          <xm:sqref>H2 H4</xm:sqref>
        </x14:dataValidation>
        <x14:dataValidation type="list" allowBlank="1" showInputMessage="1" showErrorMessage="1" xr:uid="{3256CA9B-4378-483A-9397-55C88DF7AF24}">
          <x14:formula1>
            <xm:f>Liste!$Q$2:$Q$13</xm:f>
          </x14:formula1>
          <xm:sqref>F2</xm:sqref>
        </x14:dataValidation>
        <x14:dataValidation type="list" showInputMessage="1" showErrorMessage="1" xr:uid="{034D1947-5A06-4FF3-9EC7-1FB651030081}">
          <x14:formula1>
            <xm:f>Liste!$V$2:$V$3</xm:f>
          </x14:formula1>
          <xm:sqref>J2:J4</xm:sqref>
        </x14:dataValidation>
        <x14:dataValidation type="list" allowBlank="1" showInputMessage="1" showErrorMessage="1" xr:uid="{3BCAF004-A91B-4520-B159-67F856E151F7}">
          <x14:formula1>
            <xm:f>Liste!$T$2:$T$3</xm:f>
          </x14:formula1>
          <xm:sqref>G2:G3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7"/>
  <sheetViews>
    <sheetView topLeftCell="K1" workbookViewId="0">
      <selection activeCell="O16" sqref="O16"/>
    </sheetView>
  </sheetViews>
  <sheetFormatPr defaultColWidth="11.85546875" defaultRowHeight="14.25"/>
  <cols>
    <col min="1" max="2" width="11.85546875" style="3"/>
    <col min="3" max="3" width="16.140625" style="3" bestFit="1" customWidth="1"/>
    <col min="4" max="6" width="11.85546875" style="3"/>
    <col min="7" max="8" width="13.5703125" style="3" customWidth="1"/>
    <col min="9" max="9" width="16" style="3" customWidth="1"/>
    <col min="10" max="10" width="11.85546875" style="3" bestFit="1" customWidth="1"/>
    <col min="11" max="11" width="13.5703125" style="3" bestFit="1" customWidth="1"/>
    <col min="12" max="12" width="13.28515625" style="3" bestFit="1" customWidth="1"/>
    <col min="13" max="13" width="11.85546875" style="3"/>
    <col min="14" max="14" width="16.28515625" style="3" customWidth="1"/>
    <col min="15" max="15" width="18.42578125" style="3" customWidth="1"/>
    <col min="16" max="16" width="11.85546875" style="3"/>
    <col min="17" max="17" width="21.140625" style="3" customWidth="1"/>
    <col min="18" max="18" width="20.7109375" style="3" customWidth="1"/>
    <col min="19" max="19" width="23.7109375" style="3" bestFit="1" customWidth="1"/>
    <col min="20" max="16384" width="11.85546875" style="3"/>
  </cols>
  <sheetData>
    <row r="1" spans="1:22" ht="15">
      <c r="A1" s="52" t="s">
        <v>3439</v>
      </c>
      <c r="B1" s="52" t="s">
        <v>5</v>
      </c>
      <c r="C1" s="52" t="s">
        <v>3440</v>
      </c>
      <c r="E1" s="10" t="s">
        <v>3441</v>
      </c>
      <c r="G1" s="10" t="s">
        <v>3442</v>
      </c>
      <c r="L1" s="52" t="s">
        <v>3443</v>
      </c>
      <c r="M1" s="53" t="s">
        <v>3444</v>
      </c>
      <c r="N1" s="54" t="s">
        <v>3445</v>
      </c>
      <c r="O1" s="52" t="s">
        <v>3446</v>
      </c>
      <c r="Q1" s="3" t="s">
        <v>5</v>
      </c>
      <c r="R1" s="3" t="s">
        <v>3447</v>
      </c>
      <c r="V1" s="3" t="s">
        <v>3448</v>
      </c>
    </row>
    <row r="2" spans="1:22" ht="14.1" customHeight="1">
      <c r="A2" s="7" t="s">
        <v>531</v>
      </c>
      <c r="B2" s="54">
        <v>1201</v>
      </c>
      <c r="C2" s="54" t="s">
        <v>3449</v>
      </c>
      <c r="E2" s="4" t="s">
        <v>34</v>
      </c>
      <c r="G2" s="3" t="s">
        <v>35</v>
      </c>
      <c r="H2" s="286" t="s">
        <v>35</v>
      </c>
      <c r="I2" s="3" t="s">
        <v>3450</v>
      </c>
      <c r="L2" s="9">
        <v>2.2599999999999998</v>
      </c>
      <c r="M2" s="9">
        <v>3.69</v>
      </c>
      <c r="N2" s="51" t="str">
        <f t="shared" ref="N2:N34" si="0">L2&amp;" - "&amp;M2</f>
        <v>2,26 - 3,69</v>
      </c>
      <c r="O2" s="8" t="s">
        <v>3451</v>
      </c>
      <c r="Q2" s="3">
        <v>1201</v>
      </c>
      <c r="R2" s="3" t="s">
        <v>39</v>
      </c>
      <c r="S2" s="3" t="s">
        <v>745</v>
      </c>
      <c r="T2" s="3" t="s">
        <v>34</v>
      </c>
      <c r="U2" s="3" t="s">
        <v>98</v>
      </c>
      <c r="V2" s="33" t="s">
        <v>37</v>
      </c>
    </row>
    <row r="3" spans="1:22" ht="14.1" customHeight="1">
      <c r="A3" s="7" t="s">
        <v>105</v>
      </c>
      <c r="B3" s="54">
        <v>1202</v>
      </c>
      <c r="C3" s="54" t="s">
        <v>3452</v>
      </c>
      <c r="E3" s="4" t="s">
        <v>71</v>
      </c>
      <c r="G3" s="3" t="s">
        <v>72</v>
      </c>
      <c r="H3" s="286"/>
      <c r="I3" s="3" t="s">
        <v>3453</v>
      </c>
      <c r="L3" s="55">
        <v>3.6909999999999998</v>
      </c>
      <c r="M3" s="55">
        <v>9.641</v>
      </c>
      <c r="N3" s="51" t="str">
        <f t="shared" si="0"/>
        <v>3,691 - 9,641</v>
      </c>
      <c r="O3" s="51" t="s">
        <v>790</v>
      </c>
      <c r="Q3" s="3">
        <v>1202</v>
      </c>
      <c r="R3" s="3" t="s">
        <v>47</v>
      </c>
      <c r="S3" s="3" t="s">
        <v>754</v>
      </c>
      <c r="T3" s="3" t="s">
        <v>71</v>
      </c>
      <c r="U3" s="3" t="s">
        <v>400</v>
      </c>
      <c r="V3" s="38" t="s">
        <v>58</v>
      </c>
    </row>
    <row r="4" spans="1:22" ht="14.1" customHeight="1">
      <c r="A4" s="7" t="s">
        <v>3454</v>
      </c>
      <c r="B4" s="54">
        <v>1203</v>
      </c>
      <c r="C4" s="54" t="s">
        <v>3455</v>
      </c>
      <c r="H4" s="286"/>
      <c r="I4" s="3" t="s">
        <v>3456</v>
      </c>
      <c r="L4" s="55">
        <v>9.6419999999999995</v>
      </c>
      <c r="M4" s="55">
        <v>17.457000000000001</v>
      </c>
      <c r="N4" s="51" t="str">
        <f t="shared" si="0"/>
        <v>9,642 - 17,457</v>
      </c>
      <c r="O4" s="51" t="s">
        <v>413</v>
      </c>
      <c r="Q4" s="3">
        <v>1203</v>
      </c>
      <c r="R4" s="3" t="s">
        <v>54</v>
      </c>
      <c r="S4" s="3" t="s">
        <v>757</v>
      </c>
      <c r="U4" s="3" t="s">
        <v>52</v>
      </c>
    </row>
    <row r="5" spans="1:22" ht="14.1" customHeight="1">
      <c r="A5" s="7" t="s">
        <v>2853</v>
      </c>
      <c r="B5" s="54">
        <v>1204</v>
      </c>
      <c r="C5" s="54" t="s">
        <v>3457</v>
      </c>
      <c r="H5" s="286"/>
      <c r="I5" s="3" t="s">
        <v>3458</v>
      </c>
      <c r="L5" s="55">
        <v>17.457999999999998</v>
      </c>
      <c r="M5" s="55">
        <v>23.556999999999999</v>
      </c>
      <c r="N5" s="51" t="str">
        <f t="shared" si="0"/>
        <v>17,458 - 23,557</v>
      </c>
      <c r="O5" s="51" t="s">
        <v>3459</v>
      </c>
      <c r="Q5" s="3">
        <v>1204</v>
      </c>
      <c r="R5" s="3" t="s">
        <v>105</v>
      </c>
      <c r="S5" s="3" t="s">
        <v>772</v>
      </c>
    </row>
    <row r="6" spans="1:22" ht="14.1" customHeight="1">
      <c r="A6" s="7" t="s">
        <v>3460</v>
      </c>
      <c r="B6" s="54">
        <v>1205</v>
      </c>
      <c r="C6" s="54" t="s">
        <v>3461</v>
      </c>
      <c r="H6" s="286"/>
      <c r="I6" s="3" t="s">
        <v>3462</v>
      </c>
      <c r="L6" s="55">
        <v>23.558</v>
      </c>
      <c r="M6" s="55">
        <v>29.849</v>
      </c>
      <c r="N6" s="51" t="str">
        <f t="shared" si="0"/>
        <v>23,558 - 29,849</v>
      </c>
      <c r="O6" s="51" t="s">
        <v>3463</v>
      </c>
      <c r="Q6" s="3">
        <v>1205</v>
      </c>
      <c r="R6" s="3" t="s">
        <v>3464</v>
      </c>
      <c r="S6" s="3" t="s">
        <v>793</v>
      </c>
    </row>
    <row r="7" spans="1:22" ht="14.1" customHeight="1">
      <c r="A7" s="7" t="s">
        <v>3465</v>
      </c>
      <c r="B7" s="54">
        <v>1206</v>
      </c>
      <c r="C7" s="54" t="s">
        <v>3466</v>
      </c>
      <c r="H7" s="286"/>
      <c r="I7" s="3" t="s">
        <v>3467</v>
      </c>
      <c r="L7" s="55">
        <v>29.85</v>
      </c>
      <c r="M7" s="55">
        <v>36.337000000000003</v>
      </c>
      <c r="N7" s="51" t="str">
        <f t="shared" si="0"/>
        <v>29,85 - 36,337</v>
      </c>
      <c r="O7" s="51" t="s">
        <v>3468</v>
      </c>
      <c r="Q7" s="3">
        <v>1206</v>
      </c>
      <c r="R7" s="3" t="s">
        <v>150</v>
      </c>
      <c r="S7" s="3" t="s">
        <v>778</v>
      </c>
    </row>
    <row r="8" spans="1:22" ht="14.1" customHeight="1">
      <c r="A8" s="7" t="s">
        <v>3469</v>
      </c>
      <c r="B8" s="54">
        <v>1207</v>
      </c>
      <c r="C8" s="54" t="s">
        <v>3470</v>
      </c>
      <c r="H8" s="286"/>
      <c r="I8" s="3" t="s">
        <v>3471</v>
      </c>
      <c r="L8" s="55">
        <v>36.338000000000001</v>
      </c>
      <c r="M8" s="55">
        <v>43.036999999999999</v>
      </c>
      <c r="N8" s="51" t="str">
        <f t="shared" si="0"/>
        <v>36,338 - 43,037</v>
      </c>
      <c r="O8" s="51" t="s">
        <v>3472</v>
      </c>
      <c r="Q8" s="3">
        <v>1207</v>
      </c>
      <c r="R8" s="3" t="s">
        <v>3176</v>
      </c>
      <c r="S8" s="3" t="s">
        <v>1342</v>
      </c>
    </row>
    <row r="9" spans="1:22" ht="14.1" customHeight="1">
      <c r="A9" s="7" t="s">
        <v>3473</v>
      </c>
      <c r="B9" s="54">
        <v>1208</v>
      </c>
      <c r="C9" s="54" t="s">
        <v>3474</v>
      </c>
      <c r="H9" s="286"/>
      <c r="I9" s="3" t="s">
        <v>3475</v>
      </c>
      <c r="L9" s="55">
        <v>43.037999999999997</v>
      </c>
      <c r="M9" s="55">
        <v>49.317999999999998</v>
      </c>
      <c r="N9" s="51" t="str">
        <f t="shared" si="0"/>
        <v>43,038 - 49,318</v>
      </c>
      <c r="O9" s="51" t="s">
        <v>1298</v>
      </c>
      <c r="Q9" s="3">
        <v>1208</v>
      </c>
      <c r="S9" s="3" t="s">
        <v>810</v>
      </c>
    </row>
    <row r="10" spans="1:22" ht="14.1" customHeight="1">
      <c r="A10" s="54" t="s">
        <v>118</v>
      </c>
      <c r="B10" s="54">
        <v>1209</v>
      </c>
      <c r="C10" s="6" t="s">
        <v>3476</v>
      </c>
      <c r="H10" s="286"/>
      <c r="I10" s="3" t="s">
        <v>3477</v>
      </c>
      <c r="L10" s="55">
        <v>49.319000000000003</v>
      </c>
      <c r="M10" s="55">
        <v>55.173999999999999</v>
      </c>
      <c r="N10" s="51" t="str">
        <f t="shared" si="0"/>
        <v>49,319 - 55,174</v>
      </c>
      <c r="O10" s="51" t="s">
        <v>3478</v>
      </c>
      <c r="Q10" s="3">
        <v>1209</v>
      </c>
      <c r="S10" s="3" t="s">
        <v>1118</v>
      </c>
    </row>
    <row r="11" spans="1:22" ht="14.1" customHeight="1">
      <c r="B11" s="54">
        <v>1210</v>
      </c>
      <c r="C11" s="54" t="s">
        <v>3479</v>
      </c>
      <c r="H11" s="286"/>
      <c r="I11" s="3" t="s">
        <v>3480</v>
      </c>
      <c r="L11" s="55">
        <v>55.174999999999997</v>
      </c>
      <c r="M11" s="55">
        <v>60.162999999999997</v>
      </c>
      <c r="N11" s="51" t="str">
        <f t="shared" si="0"/>
        <v>55,175 - 60,163</v>
      </c>
      <c r="O11" s="51" t="s">
        <v>3481</v>
      </c>
      <c r="Q11" s="3">
        <v>1210</v>
      </c>
      <c r="S11" s="3" t="s">
        <v>1183</v>
      </c>
    </row>
    <row r="12" spans="1:22" ht="14.1" customHeight="1">
      <c r="A12" s="4"/>
      <c r="B12" s="54">
        <v>1211</v>
      </c>
      <c r="C12" s="4"/>
      <c r="H12" s="286"/>
      <c r="I12" s="3" t="s">
        <v>3482</v>
      </c>
      <c r="L12" s="55">
        <v>60.164000000000001</v>
      </c>
      <c r="M12" s="55">
        <v>66.628</v>
      </c>
      <c r="N12" s="51" t="str">
        <f t="shared" si="0"/>
        <v>60,164 - 66,628</v>
      </c>
      <c r="O12" s="51" t="s">
        <v>3483</v>
      </c>
      <c r="Q12" s="3">
        <v>1211</v>
      </c>
      <c r="S12" s="3" t="s">
        <v>959</v>
      </c>
    </row>
    <row r="13" spans="1:22" ht="14.1" customHeight="1">
      <c r="A13" s="4"/>
      <c r="B13" s="54">
        <v>1212</v>
      </c>
      <c r="H13" s="286"/>
      <c r="I13" s="3" t="s">
        <v>3484</v>
      </c>
      <c r="L13" s="55">
        <v>66.629000000000005</v>
      </c>
      <c r="M13" s="55">
        <v>71.311000000000007</v>
      </c>
      <c r="N13" s="51" t="str">
        <f t="shared" si="0"/>
        <v>66,629 - 71,311</v>
      </c>
      <c r="O13" s="51" t="s">
        <v>2820</v>
      </c>
      <c r="Q13" s="3">
        <v>1212</v>
      </c>
      <c r="S13" s="3" t="s">
        <v>1295</v>
      </c>
    </row>
    <row r="14" spans="1:22" ht="14.1" customHeight="1">
      <c r="A14" s="4"/>
      <c r="B14" s="5"/>
      <c r="C14" s="4"/>
      <c r="H14" s="286"/>
      <c r="I14" s="3" t="s">
        <v>3485</v>
      </c>
      <c r="L14" s="55">
        <v>71.311999999999998</v>
      </c>
      <c r="M14" s="55">
        <v>76.474000000000004</v>
      </c>
      <c r="N14" s="51" t="str">
        <f t="shared" si="0"/>
        <v>71,312 - 76,474</v>
      </c>
      <c r="O14" s="51" t="s">
        <v>419</v>
      </c>
      <c r="Q14" s="3" t="s">
        <v>35</v>
      </c>
      <c r="S14" s="3" t="s">
        <v>802</v>
      </c>
    </row>
    <row r="15" spans="1:22" ht="15">
      <c r="A15" s="4"/>
      <c r="B15" s="4"/>
      <c r="C15" s="4"/>
      <c r="H15" s="286"/>
      <c r="I15" s="3" t="s">
        <v>3486</v>
      </c>
      <c r="L15" s="55">
        <v>76.474999999999994</v>
      </c>
      <c r="M15" s="55">
        <v>80.727999999999994</v>
      </c>
      <c r="N15" s="51" t="str">
        <f t="shared" si="0"/>
        <v>76,475 - 80,728</v>
      </c>
      <c r="O15" s="51" t="s">
        <v>3487</v>
      </c>
      <c r="Q15" s="3" t="s">
        <v>72</v>
      </c>
      <c r="S15" s="3" t="s">
        <v>3096</v>
      </c>
    </row>
    <row r="16" spans="1:22" ht="15">
      <c r="H16" s="286"/>
      <c r="I16" s="3" t="s">
        <v>3488</v>
      </c>
      <c r="L16" s="55">
        <v>80.728999999999999</v>
      </c>
      <c r="M16" s="55">
        <v>85.772000000000006</v>
      </c>
      <c r="N16" s="51" t="str">
        <f t="shared" si="0"/>
        <v>80,729 - 85,772</v>
      </c>
      <c r="O16" s="51" t="s">
        <v>3489</v>
      </c>
      <c r="S16" s="3" t="s">
        <v>3127</v>
      </c>
    </row>
    <row r="17" spans="8:15" ht="14.45" customHeight="1">
      <c r="H17" s="286"/>
      <c r="I17" s="3" t="s">
        <v>3490</v>
      </c>
      <c r="L17" s="55">
        <v>85.772999999999996</v>
      </c>
      <c r="M17" s="55">
        <v>92.59</v>
      </c>
      <c r="N17" s="51" t="str">
        <f>L17&amp;" - "&amp;M17</f>
        <v>85,773 - 92,59</v>
      </c>
      <c r="O17" s="51" t="s">
        <v>804</v>
      </c>
    </row>
    <row r="18" spans="8:15" ht="14.1" customHeight="1">
      <c r="H18" s="286"/>
      <c r="I18" s="3" t="s">
        <v>3491</v>
      </c>
      <c r="L18" s="55">
        <v>92.590999999999994</v>
      </c>
      <c r="M18" s="55">
        <v>99.59</v>
      </c>
      <c r="N18" s="51" t="str">
        <f t="shared" si="0"/>
        <v>92,591 - 99,59</v>
      </c>
      <c r="O18" s="51" t="s">
        <v>794</v>
      </c>
    </row>
    <row r="19" spans="8:15" ht="14.1" customHeight="1">
      <c r="H19" s="286"/>
      <c r="I19" s="3" t="s">
        <v>3492</v>
      </c>
      <c r="L19" s="55">
        <v>99.590999999999994</v>
      </c>
      <c r="M19" s="55">
        <v>105.34699999999999</v>
      </c>
      <c r="N19" s="51" t="str">
        <f t="shared" si="0"/>
        <v>99,591 - 105,347</v>
      </c>
      <c r="O19" s="51" t="s">
        <v>3493</v>
      </c>
    </row>
    <row r="20" spans="8:15" ht="14.1" customHeight="1">
      <c r="H20" s="286" t="s">
        <v>72</v>
      </c>
      <c r="I20" s="3" t="s">
        <v>3494</v>
      </c>
      <c r="L20" s="55">
        <v>105.348</v>
      </c>
      <c r="M20" s="55">
        <v>111.452</v>
      </c>
      <c r="N20" s="51" t="str">
        <f t="shared" si="0"/>
        <v>105,348 - 111,452</v>
      </c>
      <c r="O20" s="51" t="s">
        <v>1308</v>
      </c>
    </row>
    <row r="21" spans="8:15" ht="14.1" customHeight="1">
      <c r="H21" s="286"/>
      <c r="I21" s="3" t="s">
        <v>3495</v>
      </c>
      <c r="L21" s="55">
        <v>111.453</v>
      </c>
      <c r="M21" s="55">
        <v>118.92</v>
      </c>
      <c r="N21" s="51" t="str">
        <f t="shared" si="0"/>
        <v>111,453 - 118,92</v>
      </c>
      <c r="O21" s="51" t="s">
        <v>416</v>
      </c>
    </row>
    <row r="22" spans="8:15" ht="14.1" customHeight="1">
      <c r="H22" s="286"/>
      <c r="I22" s="3" t="s">
        <v>3496</v>
      </c>
      <c r="L22" s="55">
        <v>118.92100000000001</v>
      </c>
      <c r="M22" s="55">
        <v>124.35</v>
      </c>
      <c r="N22" s="51" t="str">
        <f t="shared" si="0"/>
        <v>118,921 - 124,35</v>
      </c>
      <c r="O22" s="51" t="s">
        <v>3497</v>
      </c>
    </row>
    <row r="23" spans="8:15" ht="14.1" customHeight="1">
      <c r="H23" s="286"/>
      <c r="I23" s="3" t="s">
        <v>3498</v>
      </c>
      <c r="L23" s="55">
        <v>124.351</v>
      </c>
      <c r="M23" s="55">
        <v>128.97</v>
      </c>
      <c r="N23" s="51" t="str">
        <f t="shared" si="0"/>
        <v>124,351 - 128,97</v>
      </c>
      <c r="O23" s="51" t="s">
        <v>3499</v>
      </c>
    </row>
    <row r="24" spans="8:15" ht="14.1" customHeight="1">
      <c r="H24" s="286"/>
      <c r="I24" s="3" t="s">
        <v>3500</v>
      </c>
      <c r="L24" s="55">
        <v>128.971</v>
      </c>
      <c r="M24" s="55">
        <v>136.64699999999999</v>
      </c>
      <c r="N24" s="51" t="str">
        <f t="shared" si="0"/>
        <v>128,971 - 136,647</v>
      </c>
      <c r="O24" s="51" t="s">
        <v>1314</v>
      </c>
    </row>
    <row r="25" spans="8:15" ht="14.1" customHeight="1">
      <c r="H25" s="286"/>
      <c r="I25" s="3" t="s">
        <v>3501</v>
      </c>
      <c r="L25" s="55">
        <v>136.648</v>
      </c>
      <c r="M25" s="55">
        <v>143.22</v>
      </c>
      <c r="N25" s="51" t="str">
        <f t="shared" si="0"/>
        <v>136,648 - 143,22</v>
      </c>
      <c r="O25" s="51" t="s">
        <v>3502</v>
      </c>
    </row>
    <row r="26" spans="8:15" ht="14.1" customHeight="1">
      <c r="H26" s="286"/>
      <c r="I26" s="3" t="s">
        <v>3503</v>
      </c>
      <c r="L26" s="55">
        <v>143.221</v>
      </c>
      <c r="M26" s="55">
        <v>151.02000000000001</v>
      </c>
      <c r="N26" s="51" t="str">
        <f t="shared" si="0"/>
        <v>143,221 - 151,02</v>
      </c>
      <c r="O26" s="51" t="s">
        <v>760</v>
      </c>
    </row>
    <row r="27" spans="8:15" ht="14.1" customHeight="1">
      <c r="H27" s="286"/>
      <c r="I27" s="3" t="s">
        <v>3504</v>
      </c>
      <c r="L27" s="55">
        <v>151.02099999999999</v>
      </c>
      <c r="M27" s="55">
        <v>157.53</v>
      </c>
      <c r="N27" s="51" t="str">
        <f t="shared" si="0"/>
        <v>151,021 - 157,53</v>
      </c>
      <c r="O27" s="51" t="s">
        <v>1889</v>
      </c>
    </row>
    <row r="28" spans="8:15" ht="14.1" customHeight="1">
      <c r="H28" s="286"/>
      <c r="I28" s="3" t="s">
        <v>3505</v>
      </c>
      <c r="L28" s="55">
        <v>157.53100000000001</v>
      </c>
      <c r="M28" s="55">
        <v>163.42400000000001</v>
      </c>
      <c r="N28" s="51" t="str">
        <f t="shared" si="0"/>
        <v>157,531 - 163,424</v>
      </c>
      <c r="O28" s="51" t="s">
        <v>3506</v>
      </c>
    </row>
    <row r="29" spans="8:15" ht="14.1" customHeight="1">
      <c r="H29" s="286"/>
      <c r="I29" s="3" t="s">
        <v>3507</v>
      </c>
      <c r="L29" s="55">
        <v>163.42500000000001</v>
      </c>
      <c r="M29" s="55">
        <v>168.75</v>
      </c>
      <c r="N29" s="51" t="str">
        <f t="shared" si="0"/>
        <v>163,425 - 168,75</v>
      </c>
      <c r="O29" s="51" t="s">
        <v>3508</v>
      </c>
    </row>
    <row r="30" spans="8:15" ht="15">
      <c r="H30" s="286"/>
      <c r="I30" s="3" t="s">
        <v>3509</v>
      </c>
      <c r="L30" s="55">
        <v>168.751</v>
      </c>
      <c r="M30" s="55">
        <v>174.54</v>
      </c>
      <c r="N30" s="51" t="str">
        <f t="shared" si="0"/>
        <v>168,751 - 174,54</v>
      </c>
      <c r="O30" s="51" t="s">
        <v>3510</v>
      </c>
    </row>
    <row r="31" spans="8:15" ht="15">
      <c r="H31" s="286"/>
      <c r="I31" s="3" t="s">
        <v>3511</v>
      </c>
      <c r="L31" s="55">
        <v>174.541</v>
      </c>
      <c r="M31" s="55">
        <v>182.85</v>
      </c>
      <c r="N31" s="51" t="str">
        <f t="shared" si="0"/>
        <v>174,541 - 182,85</v>
      </c>
      <c r="O31" s="51" t="s">
        <v>3512</v>
      </c>
    </row>
    <row r="32" spans="8:15" ht="15">
      <c r="H32" s="286"/>
      <c r="I32" s="3" t="s">
        <v>3513</v>
      </c>
      <c r="L32" s="55">
        <v>182.851</v>
      </c>
      <c r="M32" s="55">
        <v>185.07</v>
      </c>
      <c r="N32" s="51" t="str">
        <f t="shared" si="0"/>
        <v>182,851 - 185,07</v>
      </c>
      <c r="O32" s="51" t="s">
        <v>3514</v>
      </c>
    </row>
    <row r="33" spans="8:15" ht="15">
      <c r="H33" s="286"/>
      <c r="I33" s="3" t="s">
        <v>3515</v>
      </c>
      <c r="L33" s="55">
        <v>185.071</v>
      </c>
      <c r="M33" s="55">
        <v>187.232</v>
      </c>
      <c r="N33" s="51" t="str">
        <f t="shared" si="0"/>
        <v>185,071 - 187,232</v>
      </c>
      <c r="O33" s="51" t="s">
        <v>1321</v>
      </c>
    </row>
    <row r="34" spans="8:15" ht="15">
      <c r="H34" s="286"/>
      <c r="I34" s="3" t="s">
        <v>3516</v>
      </c>
      <c r="L34" s="55">
        <v>187.233</v>
      </c>
      <c r="M34" s="56"/>
      <c r="N34" s="51" t="str">
        <f t="shared" si="0"/>
        <v xml:space="preserve">187,233 - </v>
      </c>
      <c r="O34" s="51" t="s">
        <v>3100</v>
      </c>
    </row>
    <row r="35" spans="8:15">
      <c r="H35" s="286"/>
      <c r="I35" s="3" t="s">
        <v>3517</v>
      </c>
    </row>
    <row r="36" spans="8:15">
      <c r="H36" s="286"/>
      <c r="I36" s="3" t="s">
        <v>3518</v>
      </c>
    </row>
    <row r="37" spans="8:15">
      <c r="H37" s="286"/>
      <c r="I37" s="3" t="s">
        <v>3519</v>
      </c>
    </row>
  </sheetData>
  <mergeCells count="2">
    <mergeCell ref="H20:H37"/>
    <mergeCell ref="H2:H19"/>
  </mergeCells>
  <dataValidations disablePrompts="1" count="1">
    <dataValidation type="list" allowBlank="1" showInputMessage="1" showErrorMessage="1" sqref="Q16:Q18" xr:uid="{00000000-0002-0000-0300-000000000000}">
      <formula1>Intervalle</formula1>
    </dataValidation>
  </dataValidations>
  <pageMargins left="0.7" right="0.7" top="0.75" bottom="0.75" header="0.3" footer="0.3"/>
  <pageSetup paperSize="9" orientation="portrait" r:id="rId1"/>
  <headerFooter>
    <oddFooter>&amp;C&amp;1#&amp;"Calibri"&amp;10&amp;K000000Interne SIANA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82"/>
  <sheetViews>
    <sheetView topLeftCell="A76" zoomScale="63" zoomScaleNormal="100" workbookViewId="0">
      <selection activeCell="B82" sqref="B82"/>
    </sheetView>
  </sheetViews>
  <sheetFormatPr defaultColWidth="13.42578125" defaultRowHeight="14.25" customHeight="1"/>
  <cols>
    <col min="1" max="1" width="8.28515625" style="3" bestFit="1" customWidth="1"/>
    <col min="2" max="2" width="12" style="3" bestFit="1" customWidth="1"/>
    <col min="3" max="3" width="9.140625" style="3" bestFit="1" customWidth="1"/>
    <col min="4" max="4" width="7.85546875" style="3" bestFit="1" customWidth="1"/>
    <col min="5" max="5" width="6" style="3" bestFit="1" customWidth="1"/>
    <col min="6" max="6" width="13" style="3" bestFit="1" customWidth="1"/>
    <col min="7" max="7" width="6.42578125" style="3" bestFit="1" customWidth="1"/>
    <col min="8" max="8" width="12" style="3" bestFit="1" customWidth="1"/>
    <col min="9" max="9" width="9.42578125" style="3" bestFit="1" customWidth="1"/>
    <col min="10" max="10" width="13.5703125" style="3" bestFit="1" customWidth="1"/>
    <col min="11" max="11" width="12.140625" style="3" bestFit="1" customWidth="1"/>
    <col min="12" max="12" width="58.85546875" style="3" bestFit="1" customWidth="1"/>
    <col min="13" max="13" width="28.28515625" style="3" bestFit="1" customWidth="1"/>
    <col min="14" max="14" width="18.28515625" style="3" bestFit="1" customWidth="1"/>
    <col min="15" max="15" width="12" style="3" bestFit="1" customWidth="1"/>
    <col min="16" max="16" width="16.42578125" style="3" bestFit="1" customWidth="1"/>
    <col min="17" max="17" width="18" style="3" bestFit="1" customWidth="1"/>
    <col min="18" max="18" width="12" style="3" bestFit="1" customWidth="1"/>
    <col min="19" max="19" width="21.28515625" style="3" bestFit="1" customWidth="1"/>
    <col min="20" max="20" width="25" style="3" bestFit="1" customWidth="1"/>
    <col min="21" max="21" width="20.5703125" style="3" bestFit="1" customWidth="1"/>
    <col min="22" max="22" width="17.5703125" style="3" bestFit="1" customWidth="1"/>
    <col min="23" max="23" width="17.42578125" style="3" bestFit="1" customWidth="1"/>
    <col min="24" max="24" width="14" style="3" bestFit="1" customWidth="1"/>
    <col min="25" max="25" width="20.140625" style="3" bestFit="1" customWidth="1"/>
    <col min="26" max="26" width="12.140625" style="3" bestFit="1" customWidth="1"/>
    <col min="27" max="27" width="5.85546875" style="3" bestFit="1" customWidth="1"/>
    <col min="28" max="28" width="7" style="3" bestFit="1" customWidth="1"/>
    <col min="29" max="29" width="16.85546875" style="3" bestFit="1" customWidth="1"/>
    <col min="30" max="30" width="10.140625" style="3" bestFit="1" customWidth="1"/>
    <col min="31" max="31" width="9" style="3" bestFit="1" customWidth="1"/>
    <col min="32" max="32" width="13.28515625" style="3" bestFit="1" customWidth="1"/>
    <col min="33" max="33" width="6.28515625" style="3" bestFit="1" customWidth="1"/>
    <col min="34" max="34" width="9" style="3" bestFit="1" customWidth="1"/>
    <col min="35" max="16384" width="13.42578125" style="3"/>
  </cols>
  <sheetData>
    <row r="1" spans="1:34" s="15" customFormat="1" ht="59.25" customHeight="1">
      <c r="A1" s="25" t="s">
        <v>0</v>
      </c>
      <c r="B1" s="24" t="s">
        <v>2</v>
      </c>
      <c r="C1" s="24" t="s">
        <v>3</v>
      </c>
      <c r="D1" s="23" t="s">
        <v>4</v>
      </c>
      <c r="E1" s="17" t="s">
        <v>5</v>
      </c>
      <c r="F1" s="17" t="s">
        <v>6</v>
      </c>
      <c r="G1" s="22" t="s">
        <v>7</v>
      </c>
      <c r="H1" s="17" t="s">
        <v>9</v>
      </c>
      <c r="I1" s="20" t="s">
        <v>10</v>
      </c>
      <c r="J1" s="20" t="s">
        <v>11</v>
      </c>
      <c r="K1" s="21" t="s">
        <v>3520</v>
      </c>
      <c r="L1" s="20" t="s">
        <v>13</v>
      </c>
      <c r="M1" s="17" t="s">
        <v>14</v>
      </c>
      <c r="N1" s="17" t="s">
        <v>16</v>
      </c>
      <c r="O1" s="17" t="s">
        <v>3521</v>
      </c>
      <c r="P1" s="17" t="s">
        <v>3522</v>
      </c>
      <c r="Q1" s="17" t="s">
        <v>3523</v>
      </c>
      <c r="R1" s="17" t="s">
        <v>3524</v>
      </c>
      <c r="S1" s="17" t="s">
        <v>17</v>
      </c>
      <c r="T1" s="19" t="s">
        <v>18</v>
      </c>
      <c r="U1" s="19" t="s">
        <v>19</v>
      </c>
      <c r="V1" s="19" t="s">
        <v>20</v>
      </c>
      <c r="W1" s="19" t="s">
        <v>21</v>
      </c>
      <c r="X1" s="19" t="s">
        <v>22</v>
      </c>
      <c r="Y1" s="19" t="s">
        <v>24</v>
      </c>
      <c r="Z1" s="19" t="s">
        <v>25</v>
      </c>
      <c r="AA1" s="18" t="s">
        <v>27</v>
      </c>
      <c r="AB1" s="18" t="s">
        <v>28</v>
      </c>
      <c r="AC1" s="18" t="s">
        <v>29</v>
      </c>
      <c r="AD1" s="18" t="s">
        <v>30</v>
      </c>
      <c r="AE1" s="18" t="s">
        <v>31</v>
      </c>
      <c r="AF1" s="18" t="s">
        <v>3525</v>
      </c>
      <c r="AG1" s="17" t="s">
        <v>32</v>
      </c>
      <c r="AH1" s="16" t="s">
        <v>33</v>
      </c>
    </row>
    <row r="2" spans="1:34" s="14" customFormat="1" ht="48.75" customHeight="1">
      <c r="A2" s="57">
        <v>1</v>
      </c>
      <c r="B2" s="58">
        <v>45304</v>
      </c>
      <c r="C2" s="59">
        <v>0.64374999999999993</v>
      </c>
      <c r="D2" s="60">
        <v>2037</v>
      </c>
      <c r="E2" s="60">
        <v>1203</v>
      </c>
      <c r="F2" s="60" t="s">
        <v>34</v>
      </c>
      <c r="G2" s="60">
        <v>1024</v>
      </c>
      <c r="H2" s="60" t="s">
        <v>35</v>
      </c>
      <c r="I2" s="60">
        <v>104</v>
      </c>
      <c r="J2" s="61" t="str">
        <f>VLOOKUP(I2,Liste!$L$2:$O$34,4,1)</f>
        <v>GSMR_18/19</v>
      </c>
      <c r="K2" s="60">
        <v>14</v>
      </c>
      <c r="L2" s="62" t="s">
        <v>3526</v>
      </c>
      <c r="M2" s="63" t="s">
        <v>3527</v>
      </c>
      <c r="N2" s="64"/>
      <c r="O2" s="65" t="s">
        <v>3528</v>
      </c>
      <c r="P2" s="65" t="s">
        <v>3528</v>
      </c>
      <c r="Q2" s="65" t="s">
        <v>3529</v>
      </c>
      <c r="R2" s="65" t="s">
        <v>3529</v>
      </c>
      <c r="S2" s="64"/>
      <c r="T2" s="66"/>
      <c r="U2" s="64"/>
      <c r="V2" s="64"/>
      <c r="W2" s="64"/>
      <c r="X2" s="64"/>
      <c r="Y2" s="64"/>
      <c r="Z2" s="67"/>
      <c r="AC2" s="3"/>
    </row>
    <row r="3" spans="1:34" ht="42.75" customHeight="1">
      <c r="A3" s="57">
        <v>2</v>
      </c>
      <c r="B3" s="58">
        <v>45328</v>
      </c>
      <c r="C3" s="59">
        <v>0.5180555555555556</v>
      </c>
      <c r="D3" s="60">
        <v>2025</v>
      </c>
      <c r="E3" s="60">
        <v>1204</v>
      </c>
      <c r="F3" s="60" t="s">
        <v>34</v>
      </c>
      <c r="G3" s="60"/>
      <c r="H3" s="60" t="s">
        <v>35</v>
      </c>
      <c r="I3" s="60">
        <v>99.18</v>
      </c>
      <c r="J3" s="61" t="str">
        <f>VLOOKUP(I3,Liste!$L$2:$O$34,4,1)</f>
        <v>GSMR_17/18</v>
      </c>
      <c r="K3" s="60">
        <v>13</v>
      </c>
      <c r="L3" s="62" t="s">
        <v>3530</v>
      </c>
      <c r="M3" s="63" t="s">
        <v>3527</v>
      </c>
      <c r="N3" s="64"/>
      <c r="O3" s="65" t="s">
        <v>3528</v>
      </c>
      <c r="P3" s="65" t="s">
        <v>3528</v>
      </c>
      <c r="Q3" s="65"/>
      <c r="R3" s="65" t="s">
        <v>3528</v>
      </c>
      <c r="S3" s="64"/>
      <c r="T3" s="66"/>
      <c r="U3" s="64"/>
      <c r="V3" s="64"/>
      <c r="W3" s="64"/>
      <c r="X3" s="64"/>
      <c r="Y3" s="64"/>
      <c r="Z3" s="67"/>
    </row>
    <row r="4" spans="1:34" s="14" customFormat="1" ht="36">
      <c r="A4" s="57">
        <v>3</v>
      </c>
      <c r="B4" s="58">
        <v>45327</v>
      </c>
      <c r="C4" s="68">
        <v>0.8611805555555555</v>
      </c>
      <c r="D4" s="60">
        <v>1053</v>
      </c>
      <c r="E4" s="60">
        <v>1207</v>
      </c>
      <c r="F4" s="60" t="s">
        <v>71</v>
      </c>
      <c r="G4" s="60">
        <v>1008</v>
      </c>
      <c r="H4" s="60" t="s">
        <v>72</v>
      </c>
      <c r="I4" s="60">
        <v>119.867</v>
      </c>
      <c r="J4" s="61" t="str">
        <f>VLOOKUP(I4,Liste!$L$2:$O$34,4,1)</f>
        <v>GSMR_21/22</v>
      </c>
      <c r="K4" s="60">
        <v>1</v>
      </c>
      <c r="L4" s="62" t="s">
        <v>3531</v>
      </c>
      <c r="M4" s="63" t="s">
        <v>3532</v>
      </c>
      <c r="N4" s="69"/>
      <c r="O4" s="65" t="s">
        <v>3528</v>
      </c>
      <c r="P4" s="65" t="s">
        <v>3528</v>
      </c>
      <c r="Q4" s="65" t="s">
        <v>3529</v>
      </c>
      <c r="R4" s="65" t="s">
        <v>3528</v>
      </c>
      <c r="S4" s="64"/>
      <c r="T4" s="65" t="s">
        <v>268</v>
      </c>
      <c r="U4" s="60" t="s">
        <v>69</v>
      </c>
      <c r="V4" s="65" t="s">
        <v>120</v>
      </c>
      <c r="W4" s="70"/>
      <c r="X4" s="70" t="s">
        <v>51</v>
      </c>
      <c r="Y4" s="65" t="s">
        <v>45</v>
      </c>
      <c r="Z4" s="67"/>
      <c r="AC4" s="3"/>
    </row>
    <row r="5" spans="1:34" s="14" customFormat="1" ht="36">
      <c r="A5" s="57">
        <v>4</v>
      </c>
      <c r="B5" s="58">
        <v>45332</v>
      </c>
      <c r="C5" s="68">
        <v>0.34011574074074075</v>
      </c>
      <c r="D5" s="60">
        <v>2009</v>
      </c>
      <c r="E5" s="60">
        <v>1203</v>
      </c>
      <c r="F5" s="60" t="s">
        <v>34</v>
      </c>
      <c r="G5" s="60">
        <v>1025</v>
      </c>
      <c r="H5" s="60" t="s">
        <v>35</v>
      </c>
      <c r="I5" s="60">
        <v>17.59</v>
      </c>
      <c r="J5" s="61" t="str">
        <f>VLOOKUP(I5,Liste!$L$2:$O$34,4,1)</f>
        <v>GSMR_04/05</v>
      </c>
      <c r="K5" s="60"/>
      <c r="L5" s="71"/>
      <c r="M5" s="63" t="s">
        <v>3533</v>
      </c>
      <c r="N5" s="69"/>
      <c r="O5" s="69"/>
      <c r="P5" s="65" t="s">
        <v>3528</v>
      </c>
      <c r="Q5" s="65" t="s">
        <v>3528</v>
      </c>
      <c r="R5" s="65"/>
      <c r="S5" s="64"/>
      <c r="T5" s="64"/>
      <c r="U5" s="65" t="s">
        <v>222</v>
      </c>
      <c r="V5" s="60" t="s">
        <v>101</v>
      </c>
      <c r="W5" s="65" t="s">
        <v>108</v>
      </c>
      <c r="X5" s="70" t="s">
        <v>51</v>
      </c>
      <c r="Y5" s="65" t="s">
        <v>45</v>
      </c>
      <c r="Z5" s="67"/>
      <c r="AC5" s="3"/>
    </row>
    <row r="6" spans="1:34" s="14" customFormat="1" ht="42.75" customHeight="1">
      <c r="A6" s="57">
        <v>66</v>
      </c>
      <c r="B6" s="72">
        <v>45342</v>
      </c>
      <c r="C6" s="68">
        <v>0.46150462962962963</v>
      </c>
      <c r="D6" s="60">
        <v>2021</v>
      </c>
      <c r="E6" s="60">
        <v>1208</v>
      </c>
      <c r="F6" s="60" t="s">
        <v>34</v>
      </c>
      <c r="G6" s="60">
        <v>1037</v>
      </c>
      <c r="H6" s="60" t="s">
        <v>35</v>
      </c>
      <c r="I6" s="60">
        <v>5.73</v>
      </c>
      <c r="J6" s="61" t="str">
        <f>VLOOKUP(I6,Liste!$L$2:$O$34,4,1)</f>
        <v>GSMR_02/03</v>
      </c>
      <c r="K6" s="60"/>
      <c r="L6" s="62" t="s">
        <v>3534</v>
      </c>
      <c r="M6" s="63" t="s">
        <v>3535</v>
      </c>
      <c r="N6" s="69" t="s">
        <v>3536</v>
      </c>
      <c r="O6" s="69"/>
      <c r="P6" s="65" t="s">
        <v>3528</v>
      </c>
      <c r="Q6" s="65" t="s">
        <v>3528</v>
      </c>
      <c r="R6" s="65" t="s">
        <v>3528</v>
      </c>
      <c r="S6" s="64"/>
      <c r="T6" s="64"/>
      <c r="U6" s="73"/>
      <c r="V6" s="74"/>
      <c r="W6" s="73"/>
      <c r="X6" s="69"/>
      <c r="Y6" s="65" t="s">
        <v>45</v>
      </c>
      <c r="Z6" s="67"/>
      <c r="AC6" s="3"/>
    </row>
    <row r="7" spans="1:34" s="14" customFormat="1" ht="51.75" customHeight="1">
      <c r="A7" s="57">
        <v>67</v>
      </c>
      <c r="B7" s="72">
        <v>45342</v>
      </c>
      <c r="C7" s="68">
        <v>0.50359953703703708</v>
      </c>
      <c r="D7" s="60">
        <v>2025</v>
      </c>
      <c r="E7" s="60">
        <v>1211</v>
      </c>
      <c r="F7" s="60" t="s">
        <v>34</v>
      </c>
      <c r="G7" s="60">
        <v>1029</v>
      </c>
      <c r="H7" s="60" t="s">
        <v>35</v>
      </c>
      <c r="I7" s="60">
        <v>4.7069999999999999</v>
      </c>
      <c r="J7" s="61" t="str">
        <f>VLOOKUP(I7,Liste!$L$2:$O$34,4,1)</f>
        <v>GSMR_02/03</v>
      </c>
      <c r="K7" s="60"/>
      <c r="L7" s="62" t="s">
        <v>3534</v>
      </c>
      <c r="M7" s="63" t="s">
        <v>3535</v>
      </c>
      <c r="N7" s="69"/>
      <c r="O7" s="69"/>
      <c r="P7" s="65" t="s">
        <v>3528</v>
      </c>
      <c r="Q7" s="65" t="s">
        <v>3528</v>
      </c>
      <c r="R7" s="65" t="s">
        <v>3528</v>
      </c>
      <c r="S7" s="64"/>
      <c r="T7" s="64"/>
      <c r="U7" s="73"/>
      <c r="V7" s="74"/>
      <c r="W7" s="73"/>
      <c r="X7" s="69"/>
      <c r="Y7" s="65" t="s">
        <v>45</v>
      </c>
      <c r="Z7" s="67"/>
      <c r="AC7" s="3"/>
    </row>
    <row r="8" spans="1:34" s="13" customFormat="1" ht="77.25" customHeight="1">
      <c r="A8" s="57">
        <v>68</v>
      </c>
      <c r="B8" s="75">
        <v>45369</v>
      </c>
      <c r="C8" s="68">
        <v>0.75326388888888884</v>
      </c>
      <c r="D8" s="60"/>
      <c r="E8" s="60">
        <v>1206</v>
      </c>
      <c r="F8" s="60" t="s">
        <v>71</v>
      </c>
      <c r="G8" s="60">
        <v>1040</v>
      </c>
      <c r="H8" s="60" t="s">
        <v>72</v>
      </c>
      <c r="I8" s="61">
        <v>7.3209999999999997</v>
      </c>
      <c r="J8" s="61" t="str">
        <f>VLOOKUP(I8,Liste!$L$2:$O$34,4,1)</f>
        <v>GSMR_02/03</v>
      </c>
      <c r="K8" s="60"/>
      <c r="L8" s="76" t="s">
        <v>3537</v>
      </c>
      <c r="M8" s="70" t="s">
        <v>327</v>
      </c>
      <c r="N8" s="69"/>
      <c r="O8" s="69"/>
      <c r="P8" s="65" t="s">
        <v>3528</v>
      </c>
      <c r="Q8" s="65" t="s">
        <v>3528</v>
      </c>
      <c r="R8" s="65" t="s">
        <v>3528</v>
      </c>
      <c r="S8" s="64"/>
      <c r="T8" s="65" t="s">
        <v>328</v>
      </c>
      <c r="U8" s="60" t="s">
        <v>56</v>
      </c>
      <c r="V8" s="65" t="s">
        <v>82</v>
      </c>
      <c r="W8" s="70" t="s">
        <v>51</v>
      </c>
      <c r="X8" s="70" t="s">
        <v>51</v>
      </c>
      <c r="Y8" s="65" t="s">
        <v>45</v>
      </c>
      <c r="Z8" s="67"/>
      <c r="AC8" s="3"/>
    </row>
    <row r="9" spans="1:34" ht="24">
      <c r="A9" s="57">
        <v>117</v>
      </c>
      <c r="B9" s="72">
        <v>45381</v>
      </c>
      <c r="C9" s="77">
        <v>0.37819444444444444</v>
      </c>
      <c r="D9" s="74">
        <v>2013</v>
      </c>
      <c r="E9" s="74">
        <v>1209</v>
      </c>
      <c r="F9" s="74" t="s">
        <v>34</v>
      </c>
      <c r="G9" s="74">
        <v>7208</v>
      </c>
      <c r="H9" s="74" t="s">
        <v>35</v>
      </c>
      <c r="I9" s="78">
        <v>4.7069999999999999</v>
      </c>
      <c r="J9" s="78" t="s">
        <v>790</v>
      </c>
      <c r="K9" s="60"/>
      <c r="L9" s="76" t="s">
        <v>3538</v>
      </c>
      <c r="M9" s="69"/>
      <c r="N9" s="69" t="s">
        <v>3454</v>
      </c>
      <c r="O9" s="73" t="s">
        <v>3528</v>
      </c>
      <c r="P9" s="73" t="s">
        <v>3528</v>
      </c>
      <c r="Q9" s="73" t="s">
        <v>3528</v>
      </c>
      <c r="R9" s="73" t="s">
        <v>3528</v>
      </c>
      <c r="S9" s="79" t="s">
        <v>351</v>
      </c>
      <c r="T9" s="73" t="s">
        <v>352</v>
      </c>
      <c r="U9" s="74" t="s">
        <v>93</v>
      </c>
      <c r="V9" s="73" t="s">
        <v>120</v>
      </c>
      <c r="W9" s="69" t="s">
        <v>51</v>
      </c>
      <c r="X9" s="69" t="s">
        <v>51</v>
      </c>
      <c r="Y9" s="65" t="s">
        <v>45</v>
      </c>
      <c r="Z9" s="67"/>
      <c r="AA9" s="12"/>
      <c r="AB9" s="12"/>
      <c r="AD9" s="12"/>
      <c r="AE9" s="12"/>
      <c r="AF9" s="12"/>
      <c r="AG9" s="12"/>
      <c r="AH9" s="12"/>
    </row>
    <row r="10" spans="1:34" ht="24">
      <c r="A10" s="57">
        <v>129</v>
      </c>
      <c r="B10" s="58">
        <v>45389</v>
      </c>
      <c r="C10" s="68">
        <v>0.64518518518518519</v>
      </c>
      <c r="D10" s="60">
        <v>2037</v>
      </c>
      <c r="E10" s="60">
        <v>1211</v>
      </c>
      <c r="F10" s="60" t="s">
        <v>34</v>
      </c>
      <c r="G10" s="60">
        <v>1028</v>
      </c>
      <c r="H10" s="60" t="s">
        <v>35</v>
      </c>
      <c r="I10" s="61">
        <v>92.561000000000007</v>
      </c>
      <c r="J10" s="61" t="s">
        <v>804</v>
      </c>
      <c r="K10" s="60">
        <v>4</v>
      </c>
      <c r="L10" s="76" t="s">
        <v>3537</v>
      </c>
      <c r="M10" s="69"/>
      <c r="N10" s="69" t="s">
        <v>39</v>
      </c>
      <c r="O10" s="65" t="s">
        <v>3528</v>
      </c>
      <c r="P10" s="65" t="s">
        <v>3528</v>
      </c>
      <c r="Q10" s="65" t="s">
        <v>3528</v>
      </c>
      <c r="R10" s="65" t="s">
        <v>3528</v>
      </c>
      <c r="S10" s="80"/>
      <c r="T10" s="65" t="s">
        <v>282</v>
      </c>
      <c r="U10" s="60" t="s">
        <v>69</v>
      </c>
      <c r="V10" s="65" t="s">
        <v>166</v>
      </c>
      <c r="W10" s="70" t="s">
        <v>51</v>
      </c>
      <c r="X10" s="70" t="s">
        <v>51</v>
      </c>
      <c r="Y10" s="65" t="s">
        <v>45</v>
      </c>
      <c r="Z10" s="67"/>
      <c r="AA10" s="11"/>
      <c r="AB10" s="11"/>
      <c r="AD10" s="11"/>
      <c r="AE10" s="11"/>
      <c r="AF10" s="11"/>
      <c r="AG10" s="11"/>
      <c r="AH10" s="11"/>
    </row>
    <row r="11" spans="1:34" ht="24">
      <c r="A11" s="57">
        <v>130</v>
      </c>
      <c r="B11" s="58">
        <v>45390</v>
      </c>
      <c r="C11" s="68">
        <v>0.58732638888888888</v>
      </c>
      <c r="D11" s="60">
        <v>1025</v>
      </c>
      <c r="E11" s="60">
        <v>1209</v>
      </c>
      <c r="F11" s="60" t="s">
        <v>71</v>
      </c>
      <c r="G11" s="60">
        <v>1033</v>
      </c>
      <c r="H11" s="60" t="s">
        <v>72</v>
      </c>
      <c r="I11" s="61">
        <v>7.3209999999999997</v>
      </c>
      <c r="J11" s="61" t="s">
        <v>790</v>
      </c>
      <c r="K11" s="60">
        <v>5</v>
      </c>
      <c r="L11" s="76" t="s">
        <v>3538</v>
      </c>
      <c r="M11" s="69"/>
      <c r="N11" s="69" t="s">
        <v>3454</v>
      </c>
      <c r="O11" s="69"/>
      <c r="P11" s="65" t="s">
        <v>3528</v>
      </c>
      <c r="Q11" s="65" t="s">
        <v>3528</v>
      </c>
      <c r="R11" s="65" t="s">
        <v>3528</v>
      </c>
      <c r="S11" s="80" t="s">
        <v>385</v>
      </c>
      <c r="T11" s="65" t="s">
        <v>386</v>
      </c>
      <c r="U11" s="60" t="s">
        <v>93</v>
      </c>
      <c r="V11" s="65" t="s">
        <v>387</v>
      </c>
      <c r="W11" s="70" t="s">
        <v>51</v>
      </c>
      <c r="X11" s="70" t="s">
        <v>51</v>
      </c>
      <c r="Y11" s="65" t="s">
        <v>146</v>
      </c>
      <c r="Z11" s="67"/>
      <c r="AA11" s="11"/>
      <c r="AB11" s="11"/>
      <c r="AD11" s="11"/>
      <c r="AE11" s="11"/>
      <c r="AF11" s="11"/>
      <c r="AG11" s="11"/>
      <c r="AH11" s="11"/>
    </row>
    <row r="12" spans="1:34" ht="24">
      <c r="A12" s="57">
        <v>140</v>
      </c>
      <c r="B12" s="58">
        <v>45396</v>
      </c>
      <c r="C12" s="68">
        <v>0.30340277777777774</v>
      </c>
      <c r="D12" s="81">
        <v>10075</v>
      </c>
      <c r="E12" s="60">
        <v>1201</v>
      </c>
      <c r="F12" s="60" t="s">
        <v>71</v>
      </c>
      <c r="G12" s="60">
        <v>1025</v>
      </c>
      <c r="H12" s="60" t="s">
        <v>72</v>
      </c>
      <c r="I12" s="61">
        <v>125.206</v>
      </c>
      <c r="J12" s="61" t="s">
        <v>3499</v>
      </c>
      <c r="K12" s="60"/>
      <c r="L12" s="76" t="s">
        <v>3539</v>
      </c>
      <c r="M12" s="69"/>
      <c r="N12" s="69" t="s">
        <v>3540</v>
      </c>
      <c r="O12" s="69"/>
      <c r="P12" s="65" t="s">
        <v>3528</v>
      </c>
      <c r="Q12" s="65" t="s">
        <v>3528</v>
      </c>
      <c r="R12" s="65" t="s">
        <v>3528</v>
      </c>
      <c r="S12" s="80" t="s">
        <v>3541</v>
      </c>
      <c r="T12" s="65" t="s">
        <v>411</v>
      </c>
      <c r="U12" s="60" t="s">
        <v>69</v>
      </c>
      <c r="V12" s="65" t="s">
        <v>50</v>
      </c>
      <c r="W12" s="70" t="s">
        <v>51</v>
      </c>
      <c r="X12" s="70" t="s">
        <v>51</v>
      </c>
      <c r="Y12" s="65" t="s">
        <v>45</v>
      </c>
      <c r="Z12" s="67"/>
      <c r="AA12" s="11"/>
      <c r="AB12" s="11"/>
      <c r="AD12" s="11"/>
      <c r="AE12" s="11"/>
      <c r="AF12" s="11"/>
      <c r="AG12" s="11"/>
      <c r="AH12" s="11"/>
    </row>
    <row r="13" spans="1:34" ht="24">
      <c r="A13" s="57">
        <v>149</v>
      </c>
      <c r="B13" s="58">
        <v>45403</v>
      </c>
      <c r="C13" s="68">
        <v>0.63822916666666674</v>
      </c>
      <c r="D13" s="81">
        <v>2037</v>
      </c>
      <c r="E13" s="60">
        <v>1203</v>
      </c>
      <c r="F13" s="60" t="s">
        <v>34</v>
      </c>
      <c r="G13" s="60">
        <v>1025</v>
      </c>
      <c r="H13" s="60" t="s">
        <v>35</v>
      </c>
      <c r="I13" s="61">
        <v>56.555</v>
      </c>
      <c r="J13" s="61" t="s">
        <v>3481</v>
      </c>
      <c r="K13" s="60" t="s">
        <v>426</v>
      </c>
      <c r="L13" s="76" t="s">
        <v>3542</v>
      </c>
      <c r="M13" s="69"/>
      <c r="N13" s="69" t="s">
        <v>39</v>
      </c>
      <c r="O13" s="69"/>
      <c r="P13" s="65" t="s">
        <v>3528</v>
      </c>
      <c r="Q13" s="65" t="s">
        <v>3528</v>
      </c>
      <c r="R13" s="65" t="s">
        <v>3528</v>
      </c>
      <c r="S13" s="80" t="s">
        <v>194</v>
      </c>
      <c r="T13" s="65" t="s">
        <v>434</v>
      </c>
      <c r="U13" s="60" t="s">
        <v>116</v>
      </c>
      <c r="V13" s="65" t="s">
        <v>408</v>
      </c>
      <c r="W13" s="70" t="s">
        <v>51</v>
      </c>
      <c r="X13" s="70" t="s">
        <v>51</v>
      </c>
      <c r="Y13" s="65" t="s">
        <v>45</v>
      </c>
      <c r="Z13" s="67"/>
      <c r="AA13" s="11"/>
      <c r="AB13" s="11"/>
      <c r="AD13" s="11"/>
      <c r="AE13" s="11"/>
      <c r="AF13" s="11"/>
      <c r="AG13" s="11"/>
      <c r="AH13" s="11"/>
    </row>
    <row r="14" spans="1:34" ht="24">
      <c r="A14" s="57">
        <v>151</v>
      </c>
      <c r="B14" s="58">
        <v>45405</v>
      </c>
      <c r="C14" s="68">
        <v>0.5404282407407407</v>
      </c>
      <c r="D14" s="81">
        <v>1021</v>
      </c>
      <c r="E14" s="60">
        <v>1208</v>
      </c>
      <c r="F14" s="60" t="s">
        <v>71</v>
      </c>
      <c r="G14" s="60">
        <v>1045</v>
      </c>
      <c r="H14" s="60" t="s">
        <v>72</v>
      </c>
      <c r="I14" s="61">
        <v>35.015999999999998</v>
      </c>
      <c r="J14" s="61" t="s">
        <v>3468</v>
      </c>
      <c r="K14" s="60" t="s">
        <v>426</v>
      </c>
      <c r="L14" s="76" t="s">
        <v>3543</v>
      </c>
      <c r="M14" s="69"/>
      <c r="N14" s="69" t="s">
        <v>39</v>
      </c>
      <c r="O14" s="65"/>
      <c r="P14" s="65" t="s">
        <v>3528</v>
      </c>
      <c r="Q14" s="65" t="s">
        <v>3528</v>
      </c>
      <c r="R14" s="65" t="s">
        <v>3528</v>
      </c>
      <c r="S14" s="80" t="s">
        <v>194</v>
      </c>
      <c r="T14" s="65" t="s">
        <v>438</v>
      </c>
      <c r="U14" s="60" t="s">
        <v>78</v>
      </c>
      <c r="V14" s="65" t="s">
        <v>205</v>
      </c>
      <c r="W14" s="70" t="s">
        <v>51</v>
      </c>
      <c r="X14" s="70" t="s">
        <v>51</v>
      </c>
      <c r="Y14" s="65" t="s">
        <v>45</v>
      </c>
      <c r="Z14" s="67"/>
      <c r="AA14" s="11"/>
      <c r="AB14" s="11"/>
      <c r="AD14" s="11"/>
      <c r="AE14" s="11"/>
      <c r="AF14" s="11"/>
      <c r="AG14" s="11"/>
      <c r="AH14" s="11"/>
    </row>
    <row r="15" spans="1:34" ht="24">
      <c r="A15" s="57">
        <v>153</v>
      </c>
      <c r="B15" s="58">
        <v>45406</v>
      </c>
      <c r="C15" s="68">
        <v>0.4135300925925926</v>
      </c>
      <c r="D15" s="81">
        <v>1009</v>
      </c>
      <c r="E15" s="60">
        <v>1205</v>
      </c>
      <c r="F15" s="60" t="s">
        <v>71</v>
      </c>
      <c r="G15" s="60">
        <v>1035</v>
      </c>
      <c r="H15" s="60" t="s">
        <v>72</v>
      </c>
      <c r="I15" s="61">
        <v>78.155000000000001</v>
      </c>
      <c r="J15" s="61" t="s">
        <v>3487</v>
      </c>
      <c r="K15" s="60" t="s">
        <v>426</v>
      </c>
      <c r="L15" s="76" t="s">
        <v>3543</v>
      </c>
      <c r="M15" s="69"/>
      <c r="N15" s="69" t="s">
        <v>39</v>
      </c>
      <c r="O15" s="69"/>
      <c r="P15" s="65" t="s">
        <v>3528</v>
      </c>
      <c r="Q15" s="65" t="s">
        <v>3528</v>
      </c>
      <c r="R15" s="65" t="s">
        <v>3528</v>
      </c>
      <c r="S15" s="80" t="s">
        <v>194</v>
      </c>
      <c r="T15" s="65" t="s">
        <v>391</v>
      </c>
      <c r="U15" s="60" t="s">
        <v>69</v>
      </c>
      <c r="V15" s="65" t="s">
        <v>230</v>
      </c>
      <c r="W15" s="70" t="s">
        <v>51</v>
      </c>
      <c r="X15" s="70" t="s">
        <v>51</v>
      </c>
      <c r="Y15" s="65" t="s">
        <v>45</v>
      </c>
      <c r="Z15" s="67"/>
      <c r="AA15" s="11"/>
      <c r="AB15" s="11"/>
      <c r="AD15" s="11"/>
      <c r="AE15" s="11"/>
      <c r="AF15" s="11"/>
      <c r="AG15" s="11"/>
      <c r="AH15" s="11"/>
    </row>
    <row r="16" spans="1:34" ht="24">
      <c r="A16" s="57">
        <v>157</v>
      </c>
      <c r="B16" s="58">
        <v>45407</v>
      </c>
      <c r="C16" s="68">
        <v>0.58671296296296294</v>
      </c>
      <c r="D16" s="81">
        <v>1025</v>
      </c>
      <c r="E16" s="60">
        <v>1208</v>
      </c>
      <c r="F16" s="60" t="s">
        <v>71</v>
      </c>
      <c r="G16" s="60">
        <v>1044</v>
      </c>
      <c r="H16" s="60" t="s">
        <v>72</v>
      </c>
      <c r="I16" s="61">
        <v>7.3209999999999997</v>
      </c>
      <c r="J16" s="61" t="s">
        <v>790</v>
      </c>
      <c r="K16" s="60">
        <v>4</v>
      </c>
      <c r="L16" s="76" t="s">
        <v>3542</v>
      </c>
      <c r="M16" s="69"/>
      <c r="N16" s="69" t="s">
        <v>3544</v>
      </c>
      <c r="O16" s="69"/>
      <c r="P16" s="65" t="s">
        <v>3528</v>
      </c>
      <c r="Q16" s="65" t="s">
        <v>3528</v>
      </c>
      <c r="R16" s="65" t="s">
        <v>3528</v>
      </c>
      <c r="S16" s="80" t="s">
        <v>428</v>
      </c>
      <c r="T16" s="65" t="s">
        <v>74</v>
      </c>
      <c r="U16" s="60" t="s">
        <v>56</v>
      </c>
      <c r="V16" s="65" t="s">
        <v>449</v>
      </c>
      <c r="W16" s="70" t="s">
        <v>51</v>
      </c>
      <c r="X16" s="70" t="s">
        <v>51</v>
      </c>
      <c r="Y16" s="65" t="s">
        <v>45</v>
      </c>
      <c r="Z16" s="67"/>
      <c r="AA16" s="11"/>
      <c r="AB16" s="11"/>
      <c r="AD16" s="11"/>
      <c r="AE16" s="11"/>
      <c r="AF16" s="11"/>
      <c r="AG16" s="11"/>
      <c r="AH16" s="11"/>
    </row>
    <row r="17" spans="1:35" ht="24">
      <c r="A17" s="57">
        <v>159</v>
      </c>
      <c r="B17" s="58">
        <v>45407</v>
      </c>
      <c r="C17" s="68">
        <v>0.83627314814814813</v>
      </c>
      <c r="D17" s="81">
        <v>1049</v>
      </c>
      <c r="E17" s="60">
        <v>1209</v>
      </c>
      <c r="F17" s="60" t="s">
        <v>71</v>
      </c>
      <c r="G17" s="60">
        <v>1033</v>
      </c>
      <c r="H17" s="60" t="s">
        <v>72</v>
      </c>
      <c r="I17" s="61">
        <v>7.3209999999999997</v>
      </c>
      <c r="J17" s="61" t="s">
        <v>790</v>
      </c>
      <c r="K17" s="60">
        <v>4</v>
      </c>
      <c r="L17" s="76" t="s">
        <v>3542</v>
      </c>
      <c r="M17" s="69"/>
      <c r="N17" s="69" t="s">
        <v>3544</v>
      </c>
      <c r="O17" s="69"/>
      <c r="P17" s="82" t="s">
        <v>3528</v>
      </c>
      <c r="Q17" s="82" t="s">
        <v>3528</v>
      </c>
      <c r="R17" s="82" t="s">
        <v>3528</v>
      </c>
      <c r="S17" s="80" t="s">
        <v>428</v>
      </c>
      <c r="T17" s="73" t="s">
        <v>452</v>
      </c>
      <c r="U17" s="74" t="s">
        <v>56</v>
      </c>
      <c r="V17" s="73" t="s">
        <v>339</v>
      </c>
      <c r="W17" s="69" t="s">
        <v>51</v>
      </c>
      <c r="X17" s="69" t="s">
        <v>51</v>
      </c>
      <c r="Y17" s="73" t="s">
        <v>45</v>
      </c>
      <c r="Z17" s="67"/>
      <c r="AA17" s="12"/>
      <c r="AB17" s="12"/>
      <c r="AC17" s="27"/>
      <c r="AD17" s="12"/>
      <c r="AE17" s="12"/>
      <c r="AF17" s="12"/>
      <c r="AG17" s="12"/>
      <c r="AH17" s="12"/>
      <c r="AI17" s="27"/>
    </row>
    <row r="18" spans="1:35" ht="24">
      <c r="A18" s="57">
        <v>161</v>
      </c>
      <c r="B18" s="58">
        <v>45408</v>
      </c>
      <c r="C18" s="68">
        <v>0.90276620370370375</v>
      </c>
      <c r="D18" s="81">
        <v>1058</v>
      </c>
      <c r="E18" s="60">
        <v>1202</v>
      </c>
      <c r="F18" s="60" t="s">
        <v>71</v>
      </c>
      <c r="G18" s="60">
        <v>1023</v>
      </c>
      <c r="H18" s="60" t="s">
        <v>72</v>
      </c>
      <c r="I18" s="61">
        <v>143.11199999999999</v>
      </c>
      <c r="J18" s="61" t="s">
        <v>3502</v>
      </c>
      <c r="K18" s="60"/>
      <c r="L18" s="76" t="s">
        <v>3542</v>
      </c>
      <c r="M18" s="69"/>
      <c r="N18" s="69" t="s">
        <v>39</v>
      </c>
      <c r="O18" s="69"/>
      <c r="P18" s="82" t="s">
        <v>3528</v>
      </c>
      <c r="Q18" s="82" t="s">
        <v>3528</v>
      </c>
      <c r="R18" s="82" t="s">
        <v>3528</v>
      </c>
      <c r="S18" s="80" t="s">
        <v>194</v>
      </c>
      <c r="T18" s="73" t="s">
        <v>456</v>
      </c>
      <c r="U18" s="74" t="s">
        <v>78</v>
      </c>
      <c r="V18" s="73" t="s">
        <v>90</v>
      </c>
      <c r="W18" s="69" t="s">
        <v>51</v>
      </c>
      <c r="X18" s="69" t="s">
        <v>51</v>
      </c>
      <c r="Y18" s="73" t="s">
        <v>45</v>
      </c>
      <c r="Z18" s="67"/>
      <c r="AA18" s="11"/>
      <c r="AB18" s="11"/>
      <c r="AD18" s="11"/>
      <c r="AE18" s="11"/>
      <c r="AF18" s="11"/>
      <c r="AG18" s="11"/>
      <c r="AH18" s="11"/>
    </row>
    <row r="19" spans="1:35" ht="24">
      <c r="A19" s="57">
        <v>176</v>
      </c>
      <c r="B19" s="58">
        <v>45418</v>
      </c>
      <c r="C19" s="68">
        <v>0.72407407407407398</v>
      </c>
      <c r="D19" s="81">
        <v>2045</v>
      </c>
      <c r="E19" s="74">
        <v>1205</v>
      </c>
      <c r="F19" s="74" t="s">
        <v>34</v>
      </c>
      <c r="G19" s="60">
        <v>7217</v>
      </c>
      <c r="H19" s="60" t="s">
        <v>35</v>
      </c>
      <c r="I19" s="61">
        <v>79.281999999999996</v>
      </c>
      <c r="J19" s="61" t="s">
        <v>3487</v>
      </c>
      <c r="K19" s="60"/>
      <c r="L19" s="76" t="s">
        <v>3542</v>
      </c>
      <c r="M19" s="69"/>
      <c r="N19" s="69" t="s">
        <v>39</v>
      </c>
      <c r="O19" s="69"/>
      <c r="P19" s="82" t="s">
        <v>3528</v>
      </c>
      <c r="Q19" s="82" t="s">
        <v>3528</v>
      </c>
      <c r="R19" s="82" t="s">
        <v>3528</v>
      </c>
      <c r="S19" s="80" t="s">
        <v>486</v>
      </c>
      <c r="T19" s="73" t="s">
        <v>258</v>
      </c>
      <c r="U19" s="74" t="s">
        <v>69</v>
      </c>
      <c r="V19" s="73" t="s">
        <v>108</v>
      </c>
      <c r="W19" s="69" t="s">
        <v>51</v>
      </c>
      <c r="X19" s="69" t="s">
        <v>43</v>
      </c>
      <c r="Y19" s="73" t="s">
        <v>45</v>
      </c>
      <c r="Z19" s="67"/>
      <c r="AA19" s="11"/>
      <c r="AB19" s="11"/>
      <c r="AD19" s="11"/>
      <c r="AE19" s="11"/>
      <c r="AF19" s="11"/>
      <c r="AG19" s="11"/>
      <c r="AH19" s="11"/>
    </row>
    <row r="20" spans="1:35" ht="24">
      <c r="A20" s="57">
        <v>177</v>
      </c>
      <c r="B20" s="58">
        <v>45419</v>
      </c>
      <c r="C20" s="68">
        <v>0.25769675925925922</v>
      </c>
      <c r="D20" s="81">
        <v>1081</v>
      </c>
      <c r="E20" s="74">
        <v>1203</v>
      </c>
      <c r="F20" s="74" t="s">
        <v>71</v>
      </c>
      <c r="G20" s="60">
        <v>1027</v>
      </c>
      <c r="H20" s="60" t="s">
        <v>72</v>
      </c>
      <c r="I20" s="61">
        <v>151.35</v>
      </c>
      <c r="J20" s="61" t="s">
        <v>1889</v>
      </c>
      <c r="K20" s="60"/>
      <c r="L20" s="76" t="s">
        <v>3542</v>
      </c>
      <c r="M20" s="69"/>
      <c r="N20" s="69" t="s">
        <v>39</v>
      </c>
      <c r="O20" s="69"/>
      <c r="P20" s="82" t="s">
        <v>3528</v>
      </c>
      <c r="Q20" s="82" t="s">
        <v>3528</v>
      </c>
      <c r="R20" s="82" t="s">
        <v>3528</v>
      </c>
      <c r="S20" s="80" t="s">
        <v>475</v>
      </c>
      <c r="T20" s="73" t="s">
        <v>229</v>
      </c>
      <c r="U20" s="74" t="s">
        <v>69</v>
      </c>
      <c r="V20" s="73" t="s">
        <v>120</v>
      </c>
      <c r="W20" s="69" t="s">
        <v>51</v>
      </c>
      <c r="X20" s="69" t="s">
        <v>51</v>
      </c>
      <c r="Y20" s="73" t="s">
        <v>45</v>
      </c>
      <c r="Z20" s="67"/>
      <c r="AA20" s="11"/>
      <c r="AB20" s="11"/>
      <c r="AD20" s="11"/>
      <c r="AE20" s="11"/>
      <c r="AF20" s="11"/>
      <c r="AG20" s="11"/>
      <c r="AH20" s="11"/>
    </row>
    <row r="21" spans="1:35" ht="24">
      <c r="A21" s="57">
        <v>182</v>
      </c>
      <c r="B21" s="58">
        <v>45420</v>
      </c>
      <c r="C21" s="68">
        <v>0.96346064814814814</v>
      </c>
      <c r="D21" s="81">
        <v>1053</v>
      </c>
      <c r="E21" s="74">
        <v>1201</v>
      </c>
      <c r="F21" s="74" t="s">
        <v>71</v>
      </c>
      <c r="G21" s="60">
        <v>1060</v>
      </c>
      <c r="H21" s="60" t="s">
        <v>72</v>
      </c>
      <c r="I21" s="61">
        <v>7.3209999999999997</v>
      </c>
      <c r="J21" s="61" t="s">
        <v>790</v>
      </c>
      <c r="K21" s="60"/>
      <c r="L21" s="76" t="s">
        <v>3542</v>
      </c>
      <c r="M21" s="69"/>
      <c r="N21" s="69" t="s">
        <v>3544</v>
      </c>
      <c r="O21" s="69"/>
      <c r="P21" s="82" t="s">
        <v>3528</v>
      </c>
      <c r="Q21" s="82" t="s">
        <v>3528</v>
      </c>
      <c r="R21" s="82" t="s">
        <v>3528</v>
      </c>
      <c r="S21" s="80" t="s">
        <v>475</v>
      </c>
      <c r="T21" s="73" t="s">
        <v>495</v>
      </c>
      <c r="U21" s="74" t="s">
        <v>56</v>
      </c>
      <c r="V21" s="73" t="s">
        <v>408</v>
      </c>
      <c r="W21" s="69" t="s">
        <v>51</v>
      </c>
      <c r="X21" s="69" t="s">
        <v>51</v>
      </c>
      <c r="Y21" s="73" t="s">
        <v>45</v>
      </c>
      <c r="Z21" s="67"/>
      <c r="AA21" s="11"/>
      <c r="AB21" s="11"/>
      <c r="AD21" s="11"/>
      <c r="AE21" s="11"/>
      <c r="AF21" s="11"/>
      <c r="AG21" s="11"/>
      <c r="AH21" s="11"/>
    </row>
    <row r="22" spans="1:35" ht="24">
      <c r="A22" s="57">
        <v>185</v>
      </c>
      <c r="B22" s="58">
        <v>45421</v>
      </c>
      <c r="C22" s="68">
        <v>0.87877314814814822</v>
      </c>
      <c r="D22" s="81">
        <v>2061</v>
      </c>
      <c r="E22" s="74">
        <v>1207</v>
      </c>
      <c r="F22" s="74" t="s">
        <v>34</v>
      </c>
      <c r="G22" s="60">
        <v>1046</v>
      </c>
      <c r="H22" s="60" t="s">
        <v>35</v>
      </c>
      <c r="I22" s="61">
        <v>6.13</v>
      </c>
      <c r="J22" s="61" t="s">
        <v>790</v>
      </c>
      <c r="K22" s="60"/>
      <c r="L22" s="76" t="s">
        <v>3542</v>
      </c>
      <c r="M22" s="69"/>
      <c r="N22" s="69" t="s">
        <v>3544</v>
      </c>
      <c r="O22" s="69"/>
      <c r="P22" s="82" t="s">
        <v>3528</v>
      </c>
      <c r="Q22" s="82" t="s">
        <v>3528</v>
      </c>
      <c r="R22" s="82" t="s">
        <v>3528</v>
      </c>
      <c r="S22" s="80" t="s">
        <v>475</v>
      </c>
      <c r="T22" s="73" t="s">
        <v>499</v>
      </c>
      <c r="U22" s="74" t="s">
        <v>56</v>
      </c>
      <c r="V22" s="73" t="s">
        <v>183</v>
      </c>
      <c r="W22" s="69" t="s">
        <v>51</v>
      </c>
      <c r="X22" s="69" t="s">
        <v>51</v>
      </c>
      <c r="Y22" s="73" t="s">
        <v>45</v>
      </c>
      <c r="Z22" s="67"/>
      <c r="AA22" s="11"/>
      <c r="AB22" s="11"/>
      <c r="AD22" s="11"/>
      <c r="AE22" s="11"/>
      <c r="AF22" s="11"/>
      <c r="AG22" s="11"/>
      <c r="AH22" s="11"/>
    </row>
    <row r="23" spans="1:35" ht="36">
      <c r="A23" s="57">
        <v>187</v>
      </c>
      <c r="B23" s="58">
        <v>45423</v>
      </c>
      <c r="C23" s="68">
        <v>0.31611111111111112</v>
      </c>
      <c r="D23" s="81">
        <v>2005</v>
      </c>
      <c r="E23" s="74">
        <v>1211</v>
      </c>
      <c r="F23" s="74" t="s">
        <v>34</v>
      </c>
      <c r="G23" s="60">
        <v>1029</v>
      </c>
      <c r="H23" s="60" t="s">
        <v>35</v>
      </c>
      <c r="I23" s="61">
        <v>144.32599999999999</v>
      </c>
      <c r="J23" s="61" t="s">
        <v>760</v>
      </c>
      <c r="K23" s="60"/>
      <c r="L23" s="76" t="s">
        <v>3542</v>
      </c>
      <c r="M23" s="69"/>
      <c r="N23" s="69" t="s">
        <v>39</v>
      </c>
      <c r="O23" s="69"/>
      <c r="P23" s="82" t="s">
        <v>3528</v>
      </c>
      <c r="Q23" s="82" t="s">
        <v>3528</v>
      </c>
      <c r="R23" s="82" t="s">
        <v>3528</v>
      </c>
      <c r="S23" s="80" t="s">
        <v>502</v>
      </c>
      <c r="T23" s="73" t="s">
        <v>100</v>
      </c>
      <c r="U23" s="74" t="s">
        <v>69</v>
      </c>
      <c r="V23" s="73" t="s">
        <v>97</v>
      </c>
      <c r="W23" s="69" t="s">
        <v>51</v>
      </c>
      <c r="X23" s="69" t="s">
        <v>51</v>
      </c>
      <c r="Y23" s="73" t="s">
        <v>45</v>
      </c>
      <c r="Z23" s="67"/>
      <c r="AA23" s="11"/>
      <c r="AB23" s="11"/>
      <c r="AD23" s="11"/>
      <c r="AE23" s="11"/>
      <c r="AF23" s="11"/>
      <c r="AG23" s="11"/>
      <c r="AH23" s="11"/>
    </row>
    <row r="24" spans="1:35" ht="36">
      <c r="A24" s="57">
        <v>189</v>
      </c>
      <c r="B24" s="58">
        <v>45423</v>
      </c>
      <c r="C24" s="68">
        <v>0.58097222222222222</v>
      </c>
      <c r="D24" s="81">
        <v>1025</v>
      </c>
      <c r="E24" s="74">
        <v>1205</v>
      </c>
      <c r="F24" s="74" t="s">
        <v>71</v>
      </c>
      <c r="G24" s="60">
        <v>1034</v>
      </c>
      <c r="H24" s="60" t="s">
        <v>72</v>
      </c>
      <c r="I24" s="61">
        <v>74.712999999999994</v>
      </c>
      <c r="J24" s="61" t="s">
        <v>419</v>
      </c>
      <c r="K24" s="60"/>
      <c r="L24" s="76" t="s">
        <v>3542</v>
      </c>
      <c r="M24" s="69"/>
      <c r="N24" s="69" t="s">
        <v>39</v>
      </c>
      <c r="O24" s="69"/>
      <c r="P24" s="82" t="s">
        <v>3528</v>
      </c>
      <c r="Q24" s="82" t="s">
        <v>3528</v>
      </c>
      <c r="R24" s="82" t="s">
        <v>3528</v>
      </c>
      <c r="S24" s="80" t="s">
        <v>502</v>
      </c>
      <c r="T24" s="73" t="s">
        <v>507</v>
      </c>
      <c r="U24" s="74" t="s">
        <v>69</v>
      </c>
      <c r="V24" s="73" t="s">
        <v>250</v>
      </c>
      <c r="W24" s="69" t="s">
        <v>51</v>
      </c>
      <c r="X24" s="69" t="s">
        <v>51</v>
      </c>
      <c r="Y24" s="73" t="s">
        <v>227</v>
      </c>
      <c r="Z24" s="67"/>
      <c r="AA24" s="11"/>
      <c r="AB24" s="11"/>
      <c r="AD24" s="11"/>
      <c r="AE24" s="11"/>
      <c r="AF24" s="11"/>
      <c r="AG24" s="11"/>
      <c r="AH24" s="11"/>
    </row>
    <row r="25" spans="1:35" ht="36">
      <c r="A25" s="57">
        <v>190</v>
      </c>
      <c r="B25" s="58">
        <v>45423</v>
      </c>
      <c r="C25" s="68">
        <v>0.69042824074074083</v>
      </c>
      <c r="D25" s="81">
        <v>1037</v>
      </c>
      <c r="E25" s="74">
        <v>1202</v>
      </c>
      <c r="F25" s="74" t="s">
        <v>71</v>
      </c>
      <c r="G25" s="60">
        <v>1022</v>
      </c>
      <c r="H25" s="60" t="s">
        <v>72</v>
      </c>
      <c r="I25" s="61">
        <v>153.68600000000001</v>
      </c>
      <c r="J25" s="61" t="s">
        <v>1889</v>
      </c>
      <c r="K25" s="60">
        <v>6</v>
      </c>
      <c r="L25" s="76" t="s">
        <v>3542</v>
      </c>
      <c r="M25" s="69"/>
      <c r="N25" s="69" t="s">
        <v>39</v>
      </c>
      <c r="O25" s="69"/>
      <c r="P25" s="82" t="s">
        <v>3528</v>
      </c>
      <c r="Q25" s="82" t="s">
        <v>3528</v>
      </c>
      <c r="R25" s="82" t="s">
        <v>3528</v>
      </c>
      <c r="S25" s="80" t="s">
        <v>502</v>
      </c>
      <c r="T25" s="73" t="s">
        <v>175</v>
      </c>
      <c r="U25" s="74" t="s">
        <v>116</v>
      </c>
      <c r="V25" s="73" t="s">
        <v>85</v>
      </c>
      <c r="W25" s="69" t="s">
        <v>43</v>
      </c>
      <c r="X25" s="69" t="s">
        <v>51</v>
      </c>
      <c r="Y25" s="73" t="s">
        <v>45</v>
      </c>
      <c r="Z25" s="67"/>
      <c r="AA25" s="11"/>
      <c r="AB25" s="11"/>
      <c r="AD25" s="11"/>
      <c r="AE25" s="11"/>
      <c r="AF25" s="11"/>
      <c r="AG25" s="11"/>
      <c r="AH25" s="11"/>
    </row>
    <row r="26" spans="1:35" ht="36">
      <c r="A26" s="57">
        <v>194</v>
      </c>
      <c r="B26" s="58">
        <v>45424</v>
      </c>
      <c r="C26" s="68">
        <v>0.79530092592592594</v>
      </c>
      <c r="D26" s="81">
        <v>2053</v>
      </c>
      <c r="E26" s="74">
        <v>1207</v>
      </c>
      <c r="F26" s="74" t="s">
        <v>34</v>
      </c>
      <c r="G26" s="60">
        <v>1047</v>
      </c>
      <c r="H26" s="60" t="s">
        <v>35</v>
      </c>
      <c r="I26" s="78">
        <v>6.13</v>
      </c>
      <c r="J26" s="61" t="s">
        <v>790</v>
      </c>
      <c r="K26" s="60"/>
      <c r="L26" s="76" t="s">
        <v>3542</v>
      </c>
      <c r="M26" s="69"/>
      <c r="N26" s="69" t="s">
        <v>39</v>
      </c>
      <c r="O26" s="69"/>
      <c r="P26" s="82" t="s">
        <v>3528</v>
      </c>
      <c r="Q26" s="82" t="s">
        <v>3528</v>
      </c>
      <c r="R26" s="82" t="s">
        <v>3528</v>
      </c>
      <c r="S26" s="80" t="s">
        <v>502</v>
      </c>
      <c r="T26" s="73" t="s">
        <v>516</v>
      </c>
      <c r="U26" s="74" t="s">
        <v>56</v>
      </c>
      <c r="V26" s="73" t="s">
        <v>82</v>
      </c>
      <c r="W26" s="69" t="s">
        <v>51</v>
      </c>
      <c r="X26" s="69" t="s">
        <v>51</v>
      </c>
      <c r="Y26" s="73" t="s">
        <v>45</v>
      </c>
      <c r="Z26" s="67"/>
      <c r="AA26" s="11"/>
      <c r="AB26" s="11"/>
      <c r="AD26" s="11"/>
      <c r="AE26" s="11"/>
      <c r="AF26" s="11"/>
      <c r="AG26" s="11"/>
      <c r="AH26" s="11"/>
    </row>
    <row r="27" spans="1:35" ht="36">
      <c r="A27" s="57">
        <v>212</v>
      </c>
      <c r="B27" s="58">
        <v>45435</v>
      </c>
      <c r="C27" s="68">
        <v>0.67003472222222227</v>
      </c>
      <c r="D27" s="81">
        <v>2041</v>
      </c>
      <c r="E27" s="74">
        <v>1207</v>
      </c>
      <c r="F27" s="74" t="s">
        <v>34</v>
      </c>
      <c r="G27" s="60">
        <v>1046</v>
      </c>
      <c r="H27" s="60" t="s">
        <v>35</v>
      </c>
      <c r="I27" s="78">
        <v>6.13</v>
      </c>
      <c r="J27" s="61" t="s">
        <v>790</v>
      </c>
      <c r="K27" s="60"/>
      <c r="L27" s="76" t="s">
        <v>3545</v>
      </c>
      <c r="M27" s="69"/>
      <c r="N27" s="69" t="s">
        <v>531</v>
      </c>
      <c r="O27" s="69"/>
      <c r="P27" s="82" t="s">
        <v>3528</v>
      </c>
      <c r="Q27" s="82" t="s">
        <v>3528</v>
      </c>
      <c r="R27" s="82" t="s">
        <v>3528</v>
      </c>
      <c r="S27" s="80" t="s">
        <v>502</v>
      </c>
      <c r="T27" s="73" t="s">
        <v>548</v>
      </c>
      <c r="U27" s="74" t="s">
        <v>78</v>
      </c>
      <c r="V27" s="73" t="s">
        <v>425</v>
      </c>
      <c r="W27" s="69" t="s">
        <v>43</v>
      </c>
      <c r="X27" s="69" t="s">
        <v>51</v>
      </c>
      <c r="Y27" s="73" t="s">
        <v>45</v>
      </c>
      <c r="Z27" s="67"/>
    </row>
    <row r="28" spans="1:35" ht="36">
      <c r="A28" s="57">
        <v>221</v>
      </c>
      <c r="B28" s="58">
        <v>45439.677314814813</v>
      </c>
      <c r="C28" s="68">
        <v>0.67731481481481481</v>
      </c>
      <c r="D28" s="60">
        <v>2041</v>
      </c>
      <c r="E28" s="60">
        <v>1202</v>
      </c>
      <c r="F28" s="60" t="s">
        <v>34</v>
      </c>
      <c r="G28" s="60">
        <v>1043</v>
      </c>
      <c r="H28" s="60" t="s">
        <v>35</v>
      </c>
      <c r="I28" s="60">
        <v>48.426000000000002</v>
      </c>
      <c r="J28" s="61" t="s">
        <v>1298</v>
      </c>
      <c r="K28" s="60">
        <v>6</v>
      </c>
      <c r="L28" s="76" t="s">
        <v>3545</v>
      </c>
      <c r="M28" s="69"/>
      <c r="N28" s="69" t="s">
        <v>531</v>
      </c>
      <c r="O28" s="69"/>
      <c r="P28" s="82" t="s">
        <v>3528</v>
      </c>
      <c r="Q28" s="82" t="s">
        <v>3528</v>
      </c>
      <c r="R28" s="82" t="s">
        <v>3528</v>
      </c>
      <c r="S28" s="80" t="s">
        <v>502</v>
      </c>
      <c r="T28" s="73" t="s">
        <v>529</v>
      </c>
      <c r="U28" s="74" t="s">
        <v>69</v>
      </c>
      <c r="V28" s="73" t="s">
        <v>387</v>
      </c>
      <c r="W28" s="69" t="s">
        <v>51</v>
      </c>
      <c r="X28" s="69" t="s">
        <v>51</v>
      </c>
      <c r="Y28" s="69" t="s">
        <v>45</v>
      </c>
      <c r="Z28" s="67"/>
    </row>
    <row r="29" spans="1:35" ht="36">
      <c r="A29" s="57">
        <v>228</v>
      </c>
      <c r="B29" s="58">
        <v>45440.838125000002</v>
      </c>
      <c r="C29" s="68">
        <v>0.8381249999999999</v>
      </c>
      <c r="D29" s="60">
        <v>1049</v>
      </c>
      <c r="E29" s="60">
        <v>1202</v>
      </c>
      <c r="F29" s="60" t="s">
        <v>71</v>
      </c>
      <c r="G29" s="60">
        <v>1023</v>
      </c>
      <c r="H29" s="60" t="s">
        <v>72</v>
      </c>
      <c r="I29" s="60">
        <v>25.91</v>
      </c>
      <c r="J29" s="61" t="s">
        <v>3463</v>
      </c>
      <c r="K29" s="60">
        <v>1</v>
      </c>
      <c r="L29" s="76" t="s">
        <v>3545</v>
      </c>
      <c r="M29" s="69"/>
      <c r="N29" s="69" t="s">
        <v>531</v>
      </c>
      <c r="O29" s="69"/>
      <c r="P29" s="82" t="s">
        <v>3528</v>
      </c>
      <c r="Q29" s="82" t="s">
        <v>3528</v>
      </c>
      <c r="R29" s="82" t="s">
        <v>3528</v>
      </c>
      <c r="S29" s="80" t="s">
        <v>502</v>
      </c>
      <c r="T29" s="73" t="s">
        <v>577</v>
      </c>
      <c r="U29" s="74" t="s">
        <v>56</v>
      </c>
      <c r="V29" s="73" t="s">
        <v>578</v>
      </c>
      <c r="W29" s="69" t="s">
        <v>51</v>
      </c>
      <c r="X29" s="69" t="s">
        <v>51</v>
      </c>
      <c r="Y29" s="69" t="s">
        <v>45</v>
      </c>
      <c r="Z29" s="67"/>
    </row>
    <row r="30" spans="1:35" ht="36">
      <c r="A30" s="57">
        <v>233</v>
      </c>
      <c r="B30" s="72">
        <v>45441.794930555552</v>
      </c>
      <c r="C30" s="77">
        <v>0.79493055555555558</v>
      </c>
      <c r="D30" s="74"/>
      <c r="E30" s="74">
        <v>1209</v>
      </c>
      <c r="F30" s="74" t="s">
        <v>71</v>
      </c>
      <c r="G30" s="74">
        <v>1033</v>
      </c>
      <c r="H30" s="74" t="s">
        <v>72</v>
      </c>
      <c r="I30" s="74">
        <v>7.3209999999999997</v>
      </c>
      <c r="J30" s="78" t="s">
        <v>790</v>
      </c>
      <c r="K30" s="74">
        <v>11</v>
      </c>
      <c r="L30" s="83" t="s">
        <v>3545</v>
      </c>
      <c r="M30" s="69"/>
      <c r="N30" s="69" t="s">
        <v>531</v>
      </c>
      <c r="O30" s="69"/>
      <c r="P30" s="73" t="s">
        <v>3528</v>
      </c>
      <c r="Q30" s="73" t="s">
        <v>3528</v>
      </c>
      <c r="R30" s="73" t="s">
        <v>3528</v>
      </c>
      <c r="S30" s="79" t="s">
        <v>502</v>
      </c>
      <c r="T30" s="73" t="s">
        <v>495</v>
      </c>
      <c r="U30" s="74" t="s">
        <v>56</v>
      </c>
      <c r="V30" s="73" t="s">
        <v>408</v>
      </c>
      <c r="W30" s="69" t="s">
        <v>51</v>
      </c>
      <c r="X30" s="69" t="s">
        <v>51</v>
      </c>
      <c r="Y30" s="69" t="s">
        <v>45</v>
      </c>
      <c r="Z30" s="67"/>
    </row>
    <row r="31" spans="1:35" ht="36">
      <c r="A31" s="57">
        <v>235</v>
      </c>
      <c r="B31" s="58">
        <v>45442.936736111114</v>
      </c>
      <c r="C31" s="68">
        <v>0.39341435185185186</v>
      </c>
      <c r="D31" s="60">
        <v>2013</v>
      </c>
      <c r="E31" s="60">
        <v>1201</v>
      </c>
      <c r="F31" s="60" t="s">
        <v>34</v>
      </c>
      <c r="G31" s="60">
        <v>7198</v>
      </c>
      <c r="H31" s="60" t="s">
        <v>35</v>
      </c>
      <c r="I31" s="60">
        <v>97.619</v>
      </c>
      <c r="J31" s="61" t="s">
        <v>794</v>
      </c>
      <c r="K31" s="60"/>
      <c r="L31" s="76" t="s">
        <v>3545</v>
      </c>
      <c r="M31" s="69"/>
      <c r="N31" s="69" t="s">
        <v>531</v>
      </c>
      <c r="O31" s="69"/>
      <c r="P31" s="82" t="s">
        <v>3528</v>
      </c>
      <c r="Q31" s="82" t="s">
        <v>3528</v>
      </c>
      <c r="R31" s="82" t="s">
        <v>3528</v>
      </c>
      <c r="S31" s="80" t="s">
        <v>502</v>
      </c>
      <c r="T31" s="69" t="s">
        <v>588</v>
      </c>
      <c r="U31" s="74" t="s">
        <v>69</v>
      </c>
      <c r="V31" s="73" t="s">
        <v>120</v>
      </c>
      <c r="W31" s="69" t="s">
        <v>51</v>
      </c>
      <c r="X31" s="69" t="s">
        <v>51</v>
      </c>
      <c r="Y31" s="69" t="s">
        <v>45</v>
      </c>
      <c r="Z31" s="67"/>
    </row>
    <row r="32" spans="1:35" ht="36">
      <c r="A32" s="57" t="s">
        <v>3546</v>
      </c>
      <c r="B32" s="58">
        <v>45442.936736111114</v>
      </c>
      <c r="C32" s="68">
        <v>0.5426157407407407</v>
      </c>
      <c r="D32" s="60">
        <v>1021</v>
      </c>
      <c r="E32" s="60">
        <v>1204</v>
      </c>
      <c r="F32" s="60" t="s">
        <v>71</v>
      </c>
      <c r="G32" s="60">
        <v>1031</v>
      </c>
      <c r="H32" s="60" t="s">
        <v>72</v>
      </c>
      <c r="I32" s="60">
        <v>17.59</v>
      </c>
      <c r="J32" s="61" t="s">
        <v>3459</v>
      </c>
      <c r="K32" s="60">
        <v>3</v>
      </c>
      <c r="L32" s="76" t="s">
        <v>3545</v>
      </c>
      <c r="M32" s="69"/>
      <c r="N32" s="69" t="s">
        <v>2602</v>
      </c>
      <c r="O32" s="69"/>
      <c r="P32" s="82" t="s">
        <v>3528</v>
      </c>
      <c r="Q32" s="82" t="s">
        <v>3528</v>
      </c>
      <c r="R32" s="82" t="s">
        <v>3528</v>
      </c>
      <c r="S32" s="69" t="s">
        <v>563</v>
      </c>
      <c r="T32" s="69" t="s">
        <v>244</v>
      </c>
      <c r="U32" s="74" t="s">
        <v>69</v>
      </c>
      <c r="V32" s="73" t="s">
        <v>183</v>
      </c>
      <c r="W32" s="69" t="s">
        <v>51</v>
      </c>
      <c r="X32" s="69" t="s">
        <v>51</v>
      </c>
      <c r="Y32" s="69" t="s">
        <v>45</v>
      </c>
      <c r="Z32" s="67"/>
    </row>
    <row r="33" spans="1:36" ht="36">
      <c r="A33" s="57">
        <v>239</v>
      </c>
      <c r="B33" s="72">
        <v>45442.936736111114</v>
      </c>
      <c r="C33" s="77">
        <v>0.87877314814814822</v>
      </c>
      <c r="D33" s="74">
        <v>2061</v>
      </c>
      <c r="E33" s="74">
        <v>1211</v>
      </c>
      <c r="F33" s="74" t="s">
        <v>34</v>
      </c>
      <c r="G33" s="74">
        <v>1028</v>
      </c>
      <c r="H33" s="74" t="s">
        <v>35</v>
      </c>
      <c r="I33" s="74">
        <v>6.13</v>
      </c>
      <c r="J33" s="78" t="s">
        <v>790</v>
      </c>
      <c r="K33" s="74">
        <v>1</v>
      </c>
      <c r="L33" s="83" t="s">
        <v>3545</v>
      </c>
      <c r="M33" s="69"/>
      <c r="N33" s="69" t="s">
        <v>531</v>
      </c>
      <c r="O33" s="69"/>
      <c r="P33" s="73" t="s">
        <v>3528</v>
      </c>
      <c r="Q33" s="73" t="s">
        <v>3528</v>
      </c>
      <c r="R33" s="73" t="s">
        <v>3528</v>
      </c>
      <c r="S33" s="79" t="s">
        <v>502</v>
      </c>
      <c r="T33" s="69" t="s">
        <v>543</v>
      </c>
      <c r="U33" s="74" t="s">
        <v>209</v>
      </c>
      <c r="V33" s="73" t="s">
        <v>108</v>
      </c>
      <c r="W33" s="69" t="s">
        <v>51</v>
      </c>
      <c r="X33" s="69" t="s">
        <v>51</v>
      </c>
      <c r="Y33" s="69" t="s">
        <v>45</v>
      </c>
      <c r="Z33" s="67"/>
    </row>
    <row r="34" spans="1:36" ht="24">
      <c r="A34" s="57">
        <v>242</v>
      </c>
      <c r="B34" s="72">
        <v>45444</v>
      </c>
      <c r="C34" s="77">
        <v>0.55820601851851859</v>
      </c>
      <c r="D34" s="74">
        <v>1025</v>
      </c>
      <c r="E34" s="74">
        <v>1208</v>
      </c>
      <c r="F34" s="74" t="s">
        <v>71</v>
      </c>
      <c r="G34" s="74">
        <v>1044</v>
      </c>
      <c r="H34" s="74" t="s">
        <v>72</v>
      </c>
      <c r="I34" s="74">
        <v>133.69999999999999</v>
      </c>
      <c r="J34" s="78" t="s">
        <v>1314</v>
      </c>
      <c r="K34" s="74">
        <v>5</v>
      </c>
      <c r="L34" s="83" t="s">
        <v>3545</v>
      </c>
      <c r="M34" s="69"/>
      <c r="N34" s="69"/>
      <c r="O34" s="69"/>
      <c r="P34" s="73" t="s">
        <v>3528</v>
      </c>
      <c r="Q34" s="73" t="s">
        <v>3528</v>
      </c>
      <c r="R34" s="73" t="s">
        <v>3528</v>
      </c>
      <c r="S34" s="79"/>
      <c r="T34" s="69" t="s">
        <v>600</v>
      </c>
      <c r="U34" s="74" t="s">
        <v>56</v>
      </c>
      <c r="V34" s="73" t="s">
        <v>85</v>
      </c>
      <c r="W34" s="69" t="s">
        <v>51</v>
      </c>
      <c r="X34" s="69" t="s">
        <v>51</v>
      </c>
      <c r="Y34" s="69" t="s">
        <v>45</v>
      </c>
      <c r="Z34" s="67"/>
    </row>
    <row r="35" spans="1:36" ht="24">
      <c r="A35" s="57">
        <v>243</v>
      </c>
      <c r="B35" s="72">
        <v>45444</v>
      </c>
      <c r="C35" s="77">
        <v>0.71216435185185178</v>
      </c>
      <c r="D35" s="74">
        <v>2045</v>
      </c>
      <c r="E35" s="74">
        <v>1201</v>
      </c>
      <c r="F35" s="74" t="s">
        <v>34</v>
      </c>
      <c r="G35" s="74">
        <v>7206</v>
      </c>
      <c r="H35" s="74" t="s">
        <v>35</v>
      </c>
      <c r="I35" s="74">
        <v>6.13</v>
      </c>
      <c r="J35" s="78" t="s">
        <v>790</v>
      </c>
      <c r="K35" s="74"/>
      <c r="L35" s="83" t="s">
        <v>3545</v>
      </c>
      <c r="M35" s="69"/>
      <c r="N35" s="69"/>
      <c r="O35" s="69"/>
      <c r="P35" s="73" t="s">
        <v>3528</v>
      </c>
      <c r="Q35" s="73" t="s">
        <v>3528</v>
      </c>
      <c r="R35" s="73" t="s">
        <v>3528</v>
      </c>
      <c r="S35" s="79"/>
      <c r="T35" s="69" t="s">
        <v>548</v>
      </c>
      <c r="U35" s="74" t="s">
        <v>56</v>
      </c>
      <c r="V35" s="73" t="s">
        <v>387</v>
      </c>
      <c r="W35" s="69" t="s">
        <v>43</v>
      </c>
      <c r="X35" s="69" t="s">
        <v>51</v>
      </c>
      <c r="Y35" s="69" t="s">
        <v>45</v>
      </c>
      <c r="Z35" s="67"/>
    </row>
    <row r="36" spans="1:36" ht="24">
      <c r="A36" s="57">
        <v>250</v>
      </c>
      <c r="B36" s="72">
        <v>45446</v>
      </c>
      <c r="C36" s="77">
        <v>0.79491898148148143</v>
      </c>
      <c r="D36" s="74">
        <v>2053</v>
      </c>
      <c r="E36" s="74">
        <v>1201</v>
      </c>
      <c r="F36" s="74" t="s">
        <v>34</v>
      </c>
      <c r="G36" s="74">
        <v>1045</v>
      </c>
      <c r="H36" s="74" t="s">
        <v>35</v>
      </c>
      <c r="I36" s="74">
        <v>6.13</v>
      </c>
      <c r="J36" s="78" t="s">
        <v>790</v>
      </c>
      <c r="K36" s="74">
        <v>1</v>
      </c>
      <c r="L36" s="83" t="s">
        <v>3545</v>
      </c>
      <c r="M36" s="69"/>
      <c r="N36" s="69"/>
      <c r="O36" s="69"/>
      <c r="P36" s="73" t="s">
        <v>3528</v>
      </c>
      <c r="Q36" s="73" t="s">
        <v>3528</v>
      </c>
      <c r="R36" s="73" t="s">
        <v>3528</v>
      </c>
      <c r="S36" s="79"/>
      <c r="T36" s="69" t="s">
        <v>552</v>
      </c>
      <c r="U36" s="74" t="s">
        <v>209</v>
      </c>
      <c r="V36" s="73" t="s">
        <v>183</v>
      </c>
      <c r="W36" s="69" t="s">
        <v>51</v>
      </c>
      <c r="X36" s="69" t="s">
        <v>51</v>
      </c>
      <c r="Y36" s="69" t="s">
        <v>45</v>
      </c>
      <c r="Z36" s="67"/>
    </row>
    <row r="37" spans="1:36" ht="24">
      <c r="A37" s="57">
        <v>253</v>
      </c>
      <c r="B37" s="72">
        <v>45447</v>
      </c>
      <c r="C37" s="77">
        <v>0.96151620370370372</v>
      </c>
      <c r="D37" s="74">
        <v>1061</v>
      </c>
      <c r="E37" s="74">
        <v>1207</v>
      </c>
      <c r="F37" s="74" t="s">
        <v>71</v>
      </c>
      <c r="G37" s="74">
        <v>1007</v>
      </c>
      <c r="H37" s="74" t="s">
        <v>72</v>
      </c>
      <c r="I37" s="74">
        <v>7.3209999999999997</v>
      </c>
      <c r="J37" s="78" t="s">
        <v>790</v>
      </c>
      <c r="K37" s="74">
        <v>1</v>
      </c>
      <c r="L37" s="83" t="s">
        <v>3545</v>
      </c>
      <c r="M37" s="69"/>
      <c r="N37" s="69"/>
      <c r="O37" s="69"/>
      <c r="P37" s="73" t="s">
        <v>3528</v>
      </c>
      <c r="Q37" s="73" t="s">
        <v>3528</v>
      </c>
      <c r="R37" s="73" t="s">
        <v>3528</v>
      </c>
      <c r="S37" s="79"/>
      <c r="T37" s="69" t="s">
        <v>495</v>
      </c>
      <c r="U37" s="74" t="s">
        <v>56</v>
      </c>
      <c r="V37" s="73" t="s">
        <v>108</v>
      </c>
      <c r="W37" s="69" t="s">
        <v>51</v>
      </c>
      <c r="X37" s="69" t="s">
        <v>51</v>
      </c>
      <c r="Y37" s="69" t="s">
        <v>45</v>
      </c>
      <c r="Z37" s="67"/>
    </row>
    <row r="38" spans="1:36" s="11" customFormat="1" ht="36">
      <c r="A38" s="57">
        <v>257</v>
      </c>
      <c r="B38" s="72">
        <v>45452</v>
      </c>
      <c r="C38" s="77">
        <v>0.66559027777777779</v>
      </c>
      <c r="D38" s="74">
        <v>1034</v>
      </c>
      <c r="E38" s="74">
        <v>1211</v>
      </c>
      <c r="F38" s="74" t="s">
        <v>71</v>
      </c>
      <c r="G38" s="74">
        <v>3062</v>
      </c>
      <c r="H38" s="74" t="s">
        <v>72</v>
      </c>
      <c r="I38" s="74">
        <v>26.739000000000001</v>
      </c>
      <c r="J38" s="78" t="s">
        <v>3463</v>
      </c>
      <c r="K38" s="74"/>
      <c r="L38" s="83" t="s">
        <v>3545</v>
      </c>
      <c r="M38" s="70" t="s">
        <v>616</v>
      </c>
      <c r="N38" s="69" t="s">
        <v>39</v>
      </c>
      <c r="O38" s="69"/>
      <c r="P38" s="73" t="s">
        <v>3528</v>
      </c>
      <c r="Q38" s="73" t="s">
        <v>3528</v>
      </c>
      <c r="R38" s="73" t="s">
        <v>3547</v>
      </c>
      <c r="S38" s="79" t="s">
        <v>597</v>
      </c>
      <c r="T38" s="69" t="s">
        <v>273</v>
      </c>
      <c r="U38" s="74" t="s">
        <v>69</v>
      </c>
      <c r="V38" s="73" t="s">
        <v>120</v>
      </c>
      <c r="W38" s="69" t="s">
        <v>51</v>
      </c>
      <c r="X38" s="69" t="s">
        <v>51</v>
      </c>
      <c r="Y38" s="69" t="s">
        <v>45</v>
      </c>
      <c r="Z38" s="12"/>
      <c r="AC38" s="3"/>
    </row>
    <row r="39" spans="1:36" s="11" customFormat="1" ht="36">
      <c r="A39" s="57">
        <v>259</v>
      </c>
      <c r="B39" s="72">
        <v>45453</v>
      </c>
      <c r="C39" s="77">
        <v>0.83270833333333327</v>
      </c>
      <c r="D39" s="74">
        <v>1049</v>
      </c>
      <c r="E39" s="74">
        <v>1209</v>
      </c>
      <c r="F39" s="74" t="s">
        <v>71</v>
      </c>
      <c r="G39" s="74">
        <v>1033</v>
      </c>
      <c r="H39" s="74" t="s">
        <v>72</v>
      </c>
      <c r="I39" s="74">
        <v>31.350999999999999</v>
      </c>
      <c r="J39" s="78" t="s">
        <v>3468</v>
      </c>
      <c r="K39" s="74"/>
      <c r="L39" s="83" t="s">
        <v>3545</v>
      </c>
      <c r="M39" s="70" t="s">
        <v>616</v>
      </c>
      <c r="N39" s="69" t="s">
        <v>39</v>
      </c>
      <c r="O39" s="69"/>
      <c r="P39" s="73" t="s">
        <v>3528</v>
      </c>
      <c r="Q39" s="73" t="s">
        <v>3528</v>
      </c>
      <c r="R39" s="73" t="s">
        <v>3547</v>
      </c>
      <c r="S39" s="79" t="s">
        <v>597</v>
      </c>
      <c r="T39" s="69" t="s">
        <v>273</v>
      </c>
      <c r="U39" s="74" t="s">
        <v>69</v>
      </c>
      <c r="V39" s="73" t="s">
        <v>120</v>
      </c>
      <c r="W39" s="69" t="s">
        <v>51</v>
      </c>
      <c r="X39" s="69" t="s">
        <v>51</v>
      </c>
      <c r="Y39" s="69" t="s">
        <v>227</v>
      </c>
      <c r="AC39" s="3"/>
    </row>
    <row r="40" spans="1:36" ht="48">
      <c r="A40" s="57">
        <v>261</v>
      </c>
      <c r="B40" s="72">
        <v>45454</v>
      </c>
      <c r="C40" s="77" t="s">
        <v>3548</v>
      </c>
      <c r="D40" s="74" t="s">
        <v>3549</v>
      </c>
      <c r="E40" s="74" t="s">
        <v>3550</v>
      </c>
      <c r="F40" s="74" t="s">
        <v>34</v>
      </c>
      <c r="G40" s="74">
        <v>7198</v>
      </c>
      <c r="H40" s="74" t="s">
        <v>35</v>
      </c>
      <c r="I40" s="74">
        <v>78.155000000000001</v>
      </c>
      <c r="J40" s="78" t="s">
        <v>3487</v>
      </c>
      <c r="K40" s="74"/>
      <c r="L40" s="83" t="s">
        <v>3551</v>
      </c>
      <c r="M40" s="70" t="s">
        <v>617</v>
      </c>
      <c r="N40" s="69" t="s">
        <v>39</v>
      </c>
      <c r="O40" s="69"/>
      <c r="P40" s="73" t="s">
        <v>3528</v>
      </c>
      <c r="Q40" s="73" t="s">
        <v>3528</v>
      </c>
      <c r="R40" s="73" t="s">
        <v>3547</v>
      </c>
      <c r="S40" s="79" t="s">
        <v>597</v>
      </c>
      <c r="T40" s="69" t="s">
        <v>618</v>
      </c>
      <c r="U40" s="74" t="s">
        <v>69</v>
      </c>
      <c r="V40" s="73" t="s">
        <v>57</v>
      </c>
      <c r="W40" s="69" t="s">
        <v>51</v>
      </c>
      <c r="X40" s="69" t="s">
        <v>51</v>
      </c>
      <c r="Y40" s="69" t="s">
        <v>227</v>
      </c>
      <c r="AB40" s="11"/>
      <c r="AC40" s="11"/>
      <c r="AD40" s="11"/>
      <c r="AE40" s="11"/>
      <c r="AF40" s="11"/>
      <c r="AG40" s="11"/>
      <c r="AH40" s="11"/>
    </row>
    <row r="41" spans="1:36" ht="36">
      <c r="A41" s="57">
        <v>263</v>
      </c>
      <c r="B41" s="84">
        <v>45454</v>
      </c>
      <c r="C41" s="77">
        <v>0.50494212962962959</v>
      </c>
      <c r="D41" s="74">
        <v>1017</v>
      </c>
      <c r="E41" s="85">
        <v>1201</v>
      </c>
      <c r="F41" s="74" t="s">
        <v>71</v>
      </c>
      <c r="G41" s="74" t="s">
        <v>3552</v>
      </c>
      <c r="H41" s="74" t="s">
        <v>72</v>
      </c>
      <c r="I41" s="85">
        <v>7.3209999999999997</v>
      </c>
      <c r="J41" s="78" t="s">
        <v>790</v>
      </c>
      <c r="K41" s="74"/>
      <c r="L41" s="83" t="s">
        <v>3551</v>
      </c>
      <c r="M41" s="70" t="s">
        <v>623</v>
      </c>
      <c r="N41" s="69" t="s">
        <v>39</v>
      </c>
      <c r="O41" s="69"/>
      <c r="P41" s="73" t="s">
        <v>3528</v>
      </c>
      <c r="Q41" s="73" t="s">
        <v>3528</v>
      </c>
      <c r="R41" s="73" t="s">
        <v>3547</v>
      </c>
      <c r="S41" s="79" t="s">
        <v>597</v>
      </c>
      <c r="T41" s="69" t="s">
        <v>624</v>
      </c>
      <c r="U41" s="74" t="s">
        <v>56</v>
      </c>
      <c r="V41" s="73" t="s">
        <v>75</v>
      </c>
      <c r="W41" s="69" t="s">
        <v>51</v>
      </c>
      <c r="X41" s="69" t="s">
        <v>51</v>
      </c>
      <c r="Y41" s="69" t="s">
        <v>622</v>
      </c>
      <c r="AB41" s="11"/>
      <c r="AD41" s="11"/>
      <c r="AE41" s="11"/>
      <c r="AF41" s="11"/>
      <c r="AG41" s="11"/>
      <c r="AH41" s="11"/>
    </row>
    <row r="42" spans="1:36" s="11" customFormat="1" ht="48">
      <c r="A42" s="57">
        <v>266</v>
      </c>
      <c r="B42" s="84">
        <v>45456</v>
      </c>
      <c r="C42" s="77">
        <v>0.79769675925925931</v>
      </c>
      <c r="D42" s="74">
        <v>1045</v>
      </c>
      <c r="E42" s="85">
        <v>1210</v>
      </c>
      <c r="F42" s="74" t="s">
        <v>71</v>
      </c>
      <c r="G42" s="74">
        <v>1020</v>
      </c>
      <c r="H42" s="74" t="s">
        <v>72</v>
      </c>
      <c r="I42" s="85">
        <v>7.3209999999999997</v>
      </c>
      <c r="J42" s="78" t="s">
        <v>790</v>
      </c>
      <c r="K42" s="74">
        <v>1</v>
      </c>
      <c r="L42" s="83" t="s">
        <v>3553</v>
      </c>
      <c r="M42" s="69" t="s">
        <v>627</v>
      </c>
      <c r="N42" s="69" t="s">
        <v>39</v>
      </c>
      <c r="O42" s="73"/>
      <c r="P42" s="73"/>
      <c r="Q42" s="73"/>
      <c r="R42" s="73"/>
      <c r="S42" s="79" t="s">
        <v>597</v>
      </c>
      <c r="T42" s="69" t="s">
        <v>624</v>
      </c>
      <c r="U42" s="74" t="s">
        <v>56</v>
      </c>
      <c r="V42" s="73" t="s">
        <v>125</v>
      </c>
      <c r="W42" s="69" t="s">
        <v>51</v>
      </c>
      <c r="X42" s="69" t="s">
        <v>51</v>
      </c>
      <c r="Y42" s="69" t="s">
        <v>622</v>
      </c>
    </row>
    <row r="43" spans="1:36" customFormat="1" ht="36">
      <c r="A43" s="86">
        <v>267</v>
      </c>
      <c r="B43" s="87">
        <v>45457</v>
      </c>
      <c r="C43" s="45">
        <v>0.67115740740740737</v>
      </c>
      <c r="D43" s="36">
        <v>1034</v>
      </c>
      <c r="E43" s="43">
        <v>1209</v>
      </c>
      <c r="F43" s="36" t="s">
        <v>71</v>
      </c>
      <c r="G43" s="36">
        <v>1032</v>
      </c>
      <c r="H43" s="36" t="s">
        <v>72</v>
      </c>
      <c r="I43" s="43">
        <v>7.3209999999999997</v>
      </c>
      <c r="J43" s="40" t="str">
        <f>VLOOKUP(I43,Liste!$L$2:$O$34,4,1)</f>
        <v>GSMR_02/03</v>
      </c>
      <c r="K43" s="44">
        <v>1</v>
      </c>
      <c r="L43" s="88" t="s">
        <v>3553</v>
      </c>
      <c r="M43" s="35" t="s">
        <v>628</v>
      </c>
      <c r="N43" s="37" t="s">
        <v>39</v>
      </c>
      <c r="O43" s="36" t="s">
        <v>3528</v>
      </c>
      <c r="P43" s="36" t="s">
        <v>3528</v>
      </c>
      <c r="Q43" s="36" t="s">
        <v>3547</v>
      </c>
      <c r="R43" s="36" t="s">
        <v>3528</v>
      </c>
      <c r="S43" s="42" t="s">
        <v>597</v>
      </c>
      <c r="T43" s="37" t="s">
        <v>624</v>
      </c>
      <c r="U43" s="36" t="s">
        <v>56</v>
      </c>
      <c r="V43" s="36" t="s">
        <v>408</v>
      </c>
      <c r="W43" s="37" t="s">
        <v>51</v>
      </c>
      <c r="X43" s="37" t="s">
        <v>51</v>
      </c>
      <c r="Y43" s="69" t="s">
        <v>622</v>
      </c>
      <c r="Z43" s="11"/>
      <c r="AA43" s="11"/>
      <c r="AB43" s="11"/>
      <c r="AC43" s="11"/>
      <c r="AD43" s="11"/>
      <c r="AE43" s="11"/>
      <c r="AF43" s="11"/>
      <c r="AG43" s="11"/>
      <c r="AH43" s="11"/>
    </row>
    <row r="44" spans="1:36" customFormat="1" ht="48">
      <c r="A44" s="86">
        <v>270</v>
      </c>
      <c r="B44" s="87">
        <v>45460</v>
      </c>
      <c r="C44" s="45">
        <v>0.96180555555555547</v>
      </c>
      <c r="D44" s="36">
        <v>1062</v>
      </c>
      <c r="E44" s="43">
        <v>1205</v>
      </c>
      <c r="F44" s="36" t="s">
        <v>71</v>
      </c>
      <c r="G44" s="36">
        <v>1034</v>
      </c>
      <c r="H44" s="36" t="s">
        <v>72</v>
      </c>
      <c r="I44" s="43">
        <v>7.3209999999999997</v>
      </c>
      <c r="J44" s="40" t="str">
        <f>VLOOKUP(I44,Liste!$L$2:$O$34,4,1)</f>
        <v>GSMR_02/03</v>
      </c>
      <c r="K44" s="37">
        <v>1</v>
      </c>
      <c r="L44" s="88" t="s">
        <v>3545</v>
      </c>
      <c r="M44" s="34" t="s">
        <v>634</v>
      </c>
      <c r="N44" s="37" t="s">
        <v>39</v>
      </c>
      <c r="O44" s="36" t="s">
        <v>3528</v>
      </c>
      <c r="P44" s="36" t="s">
        <v>3528</v>
      </c>
      <c r="Q44" s="36" t="s">
        <v>3547</v>
      </c>
      <c r="R44" s="36" t="s">
        <v>3528</v>
      </c>
      <c r="S44" s="42" t="s">
        <v>597</v>
      </c>
      <c r="T44" s="37" t="s">
        <v>495</v>
      </c>
      <c r="U44" s="36" t="s">
        <v>56</v>
      </c>
      <c r="V44" s="36" t="s">
        <v>82</v>
      </c>
      <c r="W44" s="37" t="s">
        <v>51</v>
      </c>
      <c r="X44" s="37" t="s">
        <v>51</v>
      </c>
      <c r="Y44" s="69" t="s">
        <v>622</v>
      </c>
      <c r="Z44" s="11"/>
      <c r="AA44" s="11"/>
      <c r="AB44" s="11"/>
      <c r="AC44" s="11"/>
      <c r="AD44" s="11"/>
      <c r="AE44" s="11"/>
      <c r="AF44" s="11"/>
      <c r="AG44" s="11"/>
      <c r="AH44" s="11"/>
    </row>
    <row r="45" spans="1:36" customFormat="1" ht="48">
      <c r="A45" s="86">
        <v>272</v>
      </c>
      <c r="B45" s="87">
        <v>45461</v>
      </c>
      <c r="C45" s="45">
        <v>0.79618055555555556</v>
      </c>
      <c r="D45" s="36">
        <v>1045</v>
      </c>
      <c r="E45" s="43">
        <v>1210</v>
      </c>
      <c r="F45" s="36" t="s">
        <v>71</v>
      </c>
      <c r="G45" s="36">
        <v>1020</v>
      </c>
      <c r="H45" s="36" t="s">
        <v>72</v>
      </c>
      <c r="I45" s="43" t="s">
        <v>3554</v>
      </c>
      <c r="J45" s="36" t="s">
        <v>790</v>
      </c>
      <c r="K45" s="37">
        <v>1</v>
      </c>
      <c r="L45" s="88" t="s">
        <v>3545</v>
      </c>
      <c r="M45" s="34" t="s">
        <v>636</v>
      </c>
      <c r="N45" s="37" t="s">
        <v>39</v>
      </c>
      <c r="O45" s="36" t="s">
        <v>3528</v>
      </c>
      <c r="P45" s="36" t="s">
        <v>3528</v>
      </c>
      <c r="Q45" s="36" t="s">
        <v>3547</v>
      </c>
      <c r="R45" s="36" t="s">
        <v>3528</v>
      </c>
      <c r="S45" s="42" t="s">
        <v>597</v>
      </c>
      <c r="T45" s="39" t="s">
        <v>637</v>
      </c>
      <c r="U45" s="36" t="s">
        <v>69</v>
      </c>
      <c r="V45" s="36" t="s">
        <v>197</v>
      </c>
      <c r="W45" s="37" t="s">
        <v>51</v>
      </c>
      <c r="X45" s="37" t="s">
        <v>51</v>
      </c>
      <c r="Y45" s="69" t="s">
        <v>622</v>
      </c>
      <c r="Z45" s="11"/>
      <c r="AA45" s="11"/>
      <c r="AB45" s="11"/>
      <c r="AC45" s="11"/>
      <c r="AD45" s="11"/>
      <c r="AE45" s="11"/>
      <c r="AF45" s="11"/>
      <c r="AG45" s="11"/>
      <c r="AH45" s="11"/>
    </row>
    <row r="46" spans="1:36" customFormat="1" ht="48">
      <c r="A46" s="86">
        <v>273</v>
      </c>
      <c r="B46" s="87">
        <v>45461</v>
      </c>
      <c r="C46" s="45">
        <v>0.87798611111111102</v>
      </c>
      <c r="D46" s="36">
        <v>1053</v>
      </c>
      <c r="E46" s="43">
        <v>1202</v>
      </c>
      <c r="F46" s="36" t="s">
        <v>71</v>
      </c>
      <c r="G46" s="36">
        <v>1022</v>
      </c>
      <c r="H46" s="36" t="s">
        <v>72</v>
      </c>
      <c r="I46" s="43" t="s">
        <v>3554</v>
      </c>
      <c r="J46" s="36" t="s">
        <v>790</v>
      </c>
      <c r="K46" s="37">
        <v>1</v>
      </c>
      <c r="L46" s="88" t="s">
        <v>3545</v>
      </c>
      <c r="M46" s="34" t="s">
        <v>638</v>
      </c>
      <c r="N46" s="37" t="s">
        <v>39</v>
      </c>
      <c r="O46" s="36" t="s">
        <v>3528</v>
      </c>
      <c r="P46" s="36" t="s">
        <v>3528</v>
      </c>
      <c r="Q46" s="36" t="s">
        <v>3547</v>
      </c>
      <c r="R46" s="36" t="s">
        <v>3528</v>
      </c>
      <c r="S46" s="42" t="s">
        <v>597</v>
      </c>
      <c r="T46" s="35" t="s">
        <v>495</v>
      </c>
      <c r="U46" s="36" t="s">
        <v>56</v>
      </c>
      <c r="V46" s="36" t="s">
        <v>125</v>
      </c>
      <c r="W46" s="37" t="s">
        <v>51</v>
      </c>
      <c r="X46" s="37" t="s">
        <v>51</v>
      </c>
      <c r="Y46" s="69" t="s">
        <v>622</v>
      </c>
      <c r="Z46" s="11"/>
      <c r="AA46" s="11"/>
      <c r="AB46" s="11"/>
      <c r="AC46" s="11"/>
      <c r="AD46" s="11"/>
      <c r="AE46" s="11"/>
      <c r="AF46" s="11"/>
      <c r="AG46" s="11"/>
      <c r="AH46" s="11"/>
    </row>
    <row r="47" spans="1:36" ht="48">
      <c r="A47" s="86">
        <v>277</v>
      </c>
      <c r="B47" s="87">
        <v>45465</v>
      </c>
      <c r="C47" s="45">
        <v>0.50446759259259255</v>
      </c>
      <c r="D47" s="36">
        <v>1017</v>
      </c>
      <c r="E47" s="43">
        <v>1207</v>
      </c>
      <c r="F47" s="36" t="s">
        <v>3555</v>
      </c>
      <c r="G47" s="36">
        <v>1007</v>
      </c>
      <c r="H47" s="36" t="s">
        <v>72</v>
      </c>
      <c r="I47" s="43">
        <v>7.3209999999999997</v>
      </c>
      <c r="J47" s="36" t="s">
        <v>3556</v>
      </c>
      <c r="K47" s="37">
        <v>1</v>
      </c>
      <c r="L47" s="88" t="s">
        <v>3545</v>
      </c>
      <c r="M47" s="34" t="s">
        <v>647</v>
      </c>
      <c r="N47" s="37" t="s">
        <v>39</v>
      </c>
      <c r="O47" s="36" t="s">
        <v>3528</v>
      </c>
      <c r="P47" s="36" t="s">
        <v>3528</v>
      </c>
      <c r="Q47" s="36" t="s">
        <v>3547</v>
      </c>
      <c r="R47" s="36" t="s">
        <v>3528</v>
      </c>
      <c r="S47" s="42" t="s">
        <v>597</v>
      </c>
      <c r="T47" s="39" t="s">
        <v>637</v>
      </c>
      <c r="U47" s="36" t="s">
        <v>56</v>
      </c>
      <c r="V47" s="36" t="s">
        <v>648</v>
      </c>
      <c r="W47" s="37" t="s">
        <v>51</v>
      </c>
      <c r="X47" s="37" t="s">
        <v>51</v>
      </c>
      <c r="Y47" s="69" t="s">
        <v>622</v>
      </c>
      <c r="Z47" s="11"/>
      <c r="AA47" s="11"/>
      <c r="AB47" s="11"/>
      <c r="AC47" s="11"/>
      <c r="AD47" s="11"/>
      <c r="AE47" s="11"/>
      <c r="AF47" s="11"/>
      <c r="AG47" s="11"/>
      <c r="AH47" s="11"/>
    </row>
    <row r="48" spans="1:36" ht="48">
      <c r="A48" s="86">
        <v>288</v>
      </c>
      <c r="B48" s="87">
        <v>45468</v>
      </c>
      <c r="C48" s="45">
        <v>0.961400462962963</v>
      </c>
      <c r="D48" s="36">
        <v>1061</v>
      </c>
      <c r="E48" s="43">
        <v>1209</v>
      </c>
      <c r="F48" s="36" t="s">
        <v>3555</v>
      </c>
      <c r="G48" s="36">
        <v>1033</v>
      </c>
      <c r="H48" s="36" t="s">
        <v>72</v>
      </c>
      <c r="I48" s="43">
        <v>13.712999999999999</v>
      </c>
      <c r="J48" s="36" t="s">
        <v>3557</v>
      </c>
      <c r="K48" s="37">
        <v>1</v>
      </c>
      <c r="L48" s="88" t="s">
        <v>3545</v>
      </c>
      <c r="M48" s="34" t="s">
        <v>676</v>
      </c>
      <c r="N48" s="36"/>
      <c r="O48" s="36" t="s">
        <v>3528</v>
      </c>
      <c r="P48" s="36" t="s">
        <v>3528</v>
      </c>
      <c r="Q48" s="36" t="s">
        <v>3547</v>
      </c>
      <c r="R48" s="36" t="s">
        <v>3528</v>
      </c>
      <c r="S48" s="42"/>
      <c r="T48" s="39" t="s">
        <v>3558</v>
      </c>
      <c r="U48" s="36" t="s">
        <v>56</v>
      </c>
      <c r="V48" s="36" t="s">
        <v>166</v>
      </c>
      <c r="W48" s="37" t="s">
        <v>51</v>
      </c>
      <c r="X48" s="37" t="s">
        <v>51</v>
      </c>
      <c r="Y48" s="69" t="s">
        <v>622</v>
      </c>
      <c r="Z48" s="11"/>
      <c r="AA48" s="11"/>
      <c r="AB48" s="11"/>
      <c r="AC48" s="11"/>
      <c r="AD48" s="11"/>
      <c r="AE48" s="11"/>
      <c r="AF48" s="11"/>
      <c r="AG48" s="11"/>
      <c r="AH48" s="11"/>
      <c r="AI48" s="11"/>
      <c r="AJ48" s="11"/>
    </row>
    <row r="49" spans="1:36" ht="48">
      <c r="A49" s="86">
        <v>293</v>
      </c>
      <c r="B49" s="87">
        <v>45470</v>
      </c>
      <c r="C49" s="41">
        <v>0.8790162037037037</v>
      </c>
      <c r="D49" s="36">
        <v>2061</v>
      </c>
      <c r="E49" s="43">
        <v>1207</v>
      </c>
      <c r="F49" s="36" t="s">
        <v>34</v>
      </c>
      <c r="G49" s="36">
        <v>1046</v>
      </c>
      <c r="H49" s="36" t="s">
        <v>35</v>
      </c>
      <c r="I49" s="47">
        <v>6.13</v>
      </c>
      <c r="J49" s="26" t="str">
        <f>VLOOKUP(I49,Liste!$L$2:$O$34,4,1)</f>
        <v>GSMR_02/03</v>
      </c>
      <c r="K49" s="37">
        <v>1</v>
      </c>
      <c r="L49" s="88" t="s">
        <v>3545</v>
      </c>
      <c r="M49" s="34" t="s">
        <v>689</v>
      </c>
      <c r="N49" s="37" t="s">
        <v>39</v>
      </c>
      <c r="O49" s="36" t="s">
        <v>3528</v>
      </c>
      <c r="P49" s="36" t="s">
        <v>3528</v>
      </c>
      <c r="Q49" s="36" t="s">
        <v>3547</v>
      </c>
      <c r="R49" s="36" t="s">
        <v>3528</v>
      </c>
      <c r="S49" s="42"/>
      <c r="T49" s="39" t="s">
        <v>690</v>
      </c>
      <c r="U49" s="36" t="s">
        <v>56</v>
      </c>
      <c r="V49" s="36" t="s">
        <v>183</v>
      </c>
      <c r="W49" s="37" t="s">
        <v>51</v>
      </c>
      <c r="X49" s="37" t="s">
        <v>51</v>
      </c>
      <c r="Y49" s="69" t="s">
        <v>622</v>
      </c>
      <c r="Z49" s="11"/>
      <c r="AA49" s="11"/>
      <c r="AB49" s="11"/>
      <c r="AC49" s="11"/>
      <c r="AD49" s="11"/>
      <c r="AE49" s="11"/>
      <c r="AF49" s="11"/>
      <c r="AG49" s="11"/>
      <c r="AH49" s="11"/>
      <c r="AI49" s="11"/>
      <c r="AJ49" s="11"/>
    </row>
    <row r="50" spans="1:36" ht="48">
      <c r="A50" s="86">
        <v>297</v>
      </c>
      <c r="B50" s="87">
        <v>45471</v>
      </c>
      <c r="C50" s="41">
        <v>0.36813657407407407</v>
      </c>
      <c r="D50" s="36">
        <v>1006</v>
      </c>
      <c r="E50" s="43">
        <v>1207</v>
      </c>
      <c r="F50" s="32" t="s">
        <v>71</v>
      </c>
      <c r="G50" s="36">
        <v>1007</v>
      </c>
      <c r="H50" s="36" t="s">
        <v>72</v>
      </c>
      <c r="I50" s="47">
        <v>7.3209999999999997</v>
      </c>
      <c r="J50" s="40" t="str">
        <f>VLOOKUP(I50,Liste!$L$2:$O$34,4,1)</f>
        <v>GSMR_02/03</v>
      </c>
      <c r="K50" s="37">
        <v>1</v>
      </c>
      <c r="L50" s="88" t="s">
        <v>3545</v>
      </c>
      <c r="M50" s="34" t="s">
        <v>697</v>
      </c>
      <c r="N50" s="36" t="s">
        <v>39</v>
      </c>
      <c r="O50" s="36" t="s">
        <v>3528</v>
      </c>
      <c r="P50" s="36" t="s">
        <v>3528</v>
      </c>
      <c r="Q50" s="36" t="s">
        <v>3547</v>
      </c>
      <c r="R50" s="36" t="s">
        <v>3528</v>
      </c>
      <c r="S50" s="48" t="s">
        <v>597</v>
      </c>
      <c r="T50" s="39" t="s">
        <v>698</v>
      </c>
      <c r="U50" s="36" t="s">
        <v>56</v>
      </c>
      <c r="V50" s="36" t="s">
        <v>250</v>
      </c>
      <c r="W50" s="36" t="s">
        <v>51</v>
      </c>
      <c r="X50" s="37" t="s">
        <v>51</v>
      </c>
      <c r="Y50" s="35" t="s">
        <v>622</v>
      </c>
      <c r="Z50" s="11"/>
      <c r="AA50" s="11"/>
      <c r="AB50" s="11"/>
      <c r="AC50" s="11"/>
      <c r="AD50" s="11"/>
      <c r="AE50" s="11"/>
      <c r="AF50" s="11"/>
      <c r="AG50" s="11"/>
      <c r="AH50" s="11"/>
      <c r="AI50" s="11"/>
      <c r="AJ50" s="11"/>
    </row>
    <row r="51" spans="1:36" ht="48">
      <c r="A51" s="86">
        <v>298</v>
      </c>
      <c r="B51" s="87">
        <v>45471</v>
      </c>
      <c r="C51" s="41">
        <v>0.32097222222222221</v>
      </c>
      <c r="D51" s="36">
        <v>1025</v>
      </c>
      <c r="E51" s="43">
        <v>1209</v>
      </c>
      <c r="F51" s="32" t="s">
        <v>71</v>
      </c>
      <c r="G51" s="36">
        <v>1033</v>
      </c>
      <c r="H51" s="36" t="s">
        <v>72</v>
      </c>
      <c r="I51" s="47">
        <v>7.3209999999999997</v>
      </c>
      <c r="J51" s="40" t="str">
        <f>VLOOKUP(I51,Liste!$L$2:$O$34,4,1)</f>
        <v>GSMR_02/03</v>
      </c>
      <c r="K51" s="37">
        <v>1</v>
      </c>
      <c r="L51" s="88" t="s">
        <v>3545</v>
      </c>
      <c r="M51" s="34" t="s">
        <v>699</v>
      </c>
      <c r="N51" s="36" t="s">
        <v>39</v>
      </c>
      <c r="O51" s="36" t="s">
        <v>3528</v>
      </c>
      <c r="P51" s="36" t="s">
        <v>3528</v>
      </c>
      <c r="Q51" s="36" t="s">
        <v>3547</v>
      </c>
      <c r="R51" s="36" t="s">
        <v>3528</v>
      </c>
      <c r="S51" s="48" t="s">
        <v>597</v>
      </c>
      <c r="T51" s="39" t="s">
        <v>700</v>
      </c>
      <c r="U51" s="36" t="s">
        <v>69</v>
      </c>
      <c r="V51" s="36" t="s">
        <v>137</v>
      </c>
      <c r="W51" s="36" t="s">
        <v>51</v>
      </c>
      <c r="X51" s="37" t="s">
        <v>51</v>
      </c>
      <c r="Y51" s="35" t="s">
        <v>622</v>
      </c>
      <c r="Z51" s="11"/>
      <c r="AA51" s="11"/>
      <c r="AB51" s="11"/>
      <c r="AC51" s="11"/>
      <c r="AD51" s="11"/>
      <c r="AE51" s="11"/>
      <c r="AF51" s="11"/>
      <c r="AG51" s="11"/>
      <c r="AH51" s="11"/>
      <c r="AI51" s="11"/>
      <c r="AJ51" s="11"/>
    </row>
    <row r="52" spans="1:36" ht="48">
      <c r="A52" s="86">
        <v>299</v>
      </c>
      <c r="B52" s="87">
        <v>45471</v>
      </c>
      <c r="C52" s="41">
        <v>0.85013888888888889</v>
      </c>
      <c r="D52" s="36">
        <v>1053</v>
      </c>
      <c r="E52" s="43">
        <v>1209</v>
      </c>
      <c r="F52" s="32" t="s">
        <v>71</v>
      </c>
      <c r="G52" s="36">
        <v>1033</v>
      </c>
      <c r="H52" s="36" t="s">
        <v>72</v>
      </c>
      <c r="I52" s="43">
        <v>200.542</v>
      </c>
      <c r="J52" s="40" t="str">
        <f>VLOOKUP(I52,Liste!$L$2:$O$34,4,1)</f>
        <v>GSMR_33/RAC</v>
      </c>
      <c r="K52" s="37">
        <v>1</v>
      </c>
      <c r="L52" s="88" t="s">
        <v>3545</v>
      </c>
      <c r="M52" s="34" t="s">
        <v>701</v>
      </c>
      <c r="N52" s="36" t="s">
        <v>54</v>
      </c>
      <c r="O52" s="36" t="s">
        <v>3528</v>
      </c>
      <c r="P52" s="36" t="s">
        <v>3528</v>
      </c>
      <c r="Q52" s="36" t="s">
        <v>3547</v>
      </c>
      <c r="R52" s="36" t="s">
        <v>3528</v>
      </c>
      <c r="S52" s="48" t="s">
        <v>597</v>
      </c>
      <c r="T52" s="39" t="s">
        <v>702</v>
      </c>
      <c r="U52" s="36" t="s">
        <v>56</v>
      </c>
      <c r="V52" s="36" t="s">
        <v>97</v>
      </c>
      <c r="W52" s="36" t="s">
        <v>51</v>
      </c>
      <c r="X52" s="37" t="s">
        <v>51</v>
      </c>
      <c r="Y52" s="35" t="s">
        <v>622</v>
      </c>
      <c r="Z52" s="11"/>
      <c r="AA52" s="11"/>
      <c r="AB52" s="11"/>
      <c r="AC52" s="11"/>
      <c r="AD52" s="11"/>
      <c r="AE52" s="11"/>
      <c r="AF52" s="11"/>
      <c r="AG52" s="11"/>
      <c r="AH52" s="11"/>
      <c r="AI52" s="11"/>
      <c r="AJ52" s="11"/>
    </row>
    <row r="53" spans="1:36" ht="48">
      <c r="A53" s="86">
        <v>300</v>
      </c>
      <c r="B53" s="87">
        <v>45472</v>
      </c>
      <c r="C53" s="41">
        <v>0.29690972222222223</v>
      </c>
      <c r="D53" s="36">
        <v>2005</v>
      </c>
      <c r="E53" s="43">
        <v>1202</v>
      </c>
      <c r="F53" s="36" t="s">
        <v>34</v>
      </c>
      <c r="G53" s="36">
        <v>1043</v>
      </c>
      <c r="H53" s="36" t="s">
        <v>35</v>
      </c>
      <c r="I53" s="43">
        <v>9.0299999999999994</v>
      </c>
      <c r="J53" s="40" t="str">
        <f>VLOOKUP(I53,Liste!$L$2:$O$34,4,1)</f>
        <v>GSMR_02/03</v>
      </c>
      <c r="K53" s="37">
        <v>1</v>
      </c>
      <c r="L53" s="88" t="s">
        <v>3545</v>
      </c>
      <c r="M53" s="34" t="s">
        <v>703</v>
      </c>
      <c r="N53" s="36" t="s">
        <v>39</v>
      </c>
      <c r="O53" s="36" t="s">
        <v>3528</v>
      </c>
      <c r="P53" s="36" t="s">
        <v>3528</v>
      </c>
      <c r="Q53" s="36" t="s">
        <v>3547</v>
      </c>
      <c r="R53" s="36" t="s">
        <v>3528</v>
      </c>
      <c r="S53" s="48" t="s">
        <v>597</v>
      </c>
      <c r="T53" s="39" t="s">
        <v>704</v>
      </c>
      <c r="U53" s="36" t="s">
        <v>69</v>
      </c>
      <c r="V53" s="36" t="s">
        <v>120</v>
      </c>
      <c r="W53" s="36" t="s">
        <v>51</v>
      </c>
      <c r="X53" s="37" t="s">
        <v>51</v>
      </c>
      <c r="Y53" s="35" t="s">
        <v>622</v>
      </c>
      <c r="Z53" s="11"/>
      <c r="AA53" s="11"/>
      <c r="AB53" s="11"/>
      <c r="AC53" s="11"/>
      <c r="AD53" s="11"/>
      <c r="AE53" s="11"/>
      <c r="AF53" s="11"/>
      <c r="AG53" s="11"/>
      <c r="AH53" s="11"/>
      <c r="AI53" s="11"/>
      <c r="AJ53" s="11"/>
    </row>
    <row r="54" spans="1:36" ht="48">
      <c r="A54" s="86">
        <v>301</v>
      </c>
      <c r="B54" s="87">
        <v>45472</v>
      </c>
      <c r="C54" s="41">
        <v>0.33675925925925926</v>
      </c>
      <c r="D54" s="36">
        <v>2009</v>
      </c>
      <c r="E54" s="43">
        <v>1205</v>
      </c>
      <c r="F54" s="36" t="s">
        <v>34</v>
      </c>
      <c r="G54" s="36">
        <v>7218</v>
      </c>
      <c r="H54" s="36" t="s">
        <v>35</v>
      </c>
      <c r="I54" s="47">
        <v>6.13</v>
      </c>
      <c r="J54" s="40" t="str">
        <f>VLOOKUP(I54,Liste!$L$2:$O$34,4,1)</f>
        <v>GSMR_02/03</v>
      </c>
      <c r="K54" s="37">
        <v>1</v>
      </c>
      <c r="L54" s="88" t="s">
        <v>3545</v>
      </c>
      <c r="M54" s="34" t="s">
        <v>705</v>
      </c>
      <c r="N54" s="36" t="s">
        <v>39</v>
      </c>
      <c r="O54" s="36" t="s">
        <v>3528</v>
      </c>
      <c r="P54" s="36" t="s">
        <v>3528</v>
      </c>
      <c r="Q54" s="36" t="s">
        <v>3547</v>
      </c>
      <c r="R54" s="36" t="s">
        <v>3528</v>
      </c>
      <c r="S54" s="48" t="s">
        <v>597</v>
      </c>
      <c r="T54" s="39" t="s">
        <v>706</v>
      </c>
      <c r="U54" s="36" t="s">
        <v>78</v>
      </c>
      <c r="V54" s="36" t="s">
        <v>230</v>
      </c>
      <c r="W54" s="36" t="s">
        <v>51</v>
      </c>
      <c r="X54" s="37" t="s">
        <v>51</v>
      </c>
      <c r="Y54" s="35" t="s">
        <v>622</v>
      </c>
      <c r="Z54" s="11"/>
      <c r="AA54" s="11"/>
      <c r="AB54" s="11"/>
      <c r="AC54" s="11"/>
      <c r="AD54" s="11"/>
      <c r="AE54" s="11"/>
      <c r="AF54" s="11"/>
      <c r="AG54" s="11"/>
      <c r="AH54" s="11"/>
      <c r="AI54" s="11"/>
      <c r="AJ54" s="11"/>
    </row>
    <row r="55" spans="1:36" ht="48">
      <c r="A55" s="86">
        <v>303</v>
      </c>
      <c r="B55" s="87">
        <v>45472</v>
      </c>
      <c r="C55" s="41">
        <v>0.50362268518518516</v>
      </c>
      <c r="D55" s="36">
        <v>2025</v>
      </c>
      <c r="E55" s="43">
        <v>1210</v>
      </c>
      <c r="F55" s="36" t="s">
        <v>34</v>
      </c>
      <c r="G55" s="36">
        <v>1048</v>
      </c>
      <c r="H55" s="36" t="s">
        <v>35</v>
      </c>
      <c r="I55" s="47">
        <v>6.13</v>
      </c>
      <c r="J55" s="40" t="str">
        <f>VLOOKUP(I55,Liste!$L$2:$O$34,4,1)</f>
        <v>GSMR_02/03</v>
      </c>
      <c r="K55" s="37">
        <v>1</v>
      </c>
      <c r="L55" s="88" t="s">
        <v>3545</v>
      </c>
      <c r="M55" s="34" t="s">
        <v>709</v>
      </c>
      <c r="N55" s="36" t="s">
        <v>39</v>
      </c>
      <c r="O55" s="36" t="s">
        <v>3528</v>
      </c>
      <c r="P55" s="36" t="s">
        <v>3528</v>
      </c>
      <c r="Q55" s="36" t="s">
        <v>3547</v>
      </c>
      <c r="R55" s="36" t="s">
        <v>3528</v>
      </c>
      <c r="S55" s="48" t="s">
        <v>597</v>
      </c>
      <c r="T55" s="39" t="s">
        <v>710</v>
      </c>
      <c r="U55" s="36" t="s">
        <v>56</v>
      </c>
      <c r="V55" s="36" t="s">
        <v>137</v>
      </c>
      <c r="W55" s="36" t="s">
        <v>51</v>
      </c>
      <c r="X55" s="37" t="s">
        <v>51</v>
      </c>
      <c r="Y55" s="35" t="s">
        <v>622</v>
      </c>
      <c r="Z55" s="11"/>
      <c r="AA55" s="11"/>
      <c r="AB55" s="11"/>
      <c r="AC55" s="11"/>
      <c r="AD55" s="11"/>
      <c r="AE55" s="11"/>
      <c r="AF55" s="11"/>
      <c r="AG55" s="11"/>
      <c r="AH55" s="11"/>
      <c r="AI55" s="11"/>
      <c r="AJ55" s="11"/>
    </row>
    <row r="56" spans="1:36" ht="48">
      <c r="A56" s="86">
        <v>310</v>
      </c>
      <c r="B56" s="87">
        <v>45473</v>
      </c>
      <c r="C56" s="41">
        <v>0.54464120370370372</v>
      </c>
      <c r="D56" s="36">
        <v>1021</v>
      </c>
      <c r="E56" s="43">
        <v>1207</v>
      </c>
      <c r="F56" s="32" t="s">
        <v>71</v>
      </c>
      <c r="G56" s="36">
        <v>1007</v>
      </c>
      <c r="H56" s="36" t="s">
        <v>72</v>
      </c>
      <c r="I56" s="47">
        <v>7.3209999999999997</v>
      </c>
      <c r="J56" s="40" t="str">
        <f>VLOOKUP(I56,Liste!$L$2:$O$34,4,1)</f>
        <v>GSMR_02/03</v>
      </c>
      <c r="K56" s="37">
        <v>1</v>
      </c>
      <c r="L56" s="88" t="s">
        <v>3545</v>
      </c>
      <c r="M56" s="34" t="s">
        <v>725</v>
      </c>
      <c r="N56" s="36" t="s">
        <v>39</v>
      </c>
      <c r="O56" s="36" t="s">
        <v>3528</v>
      </c>
      <c r="P56" s="36" t="s">
        <v>3528</v>
      </c>
      <c r="Q56" s="36" t="s">
        <v>3547</v>
      </c>
      <c r="R56" s="36" t="s">
        <v>3528</v>
      </c>
      <c r="S56" s="48" t="s">
        <v>597</v>
      </c>
      <c r="T56" s="39" t="s">
        <v>726</v>
      </c>
      <c r="U56" s="36" t="s">
        <v>56</v>
      </c>
      <c r="V56" s="36" t="s">
        <v>75</v>
      </c>
      <c r="W56" s="36" t="s">
        <v>51</v>
      </c>
      <c r="X56" s="37" t="s">
        <v>51</v>
      </c>
      <c r="Y56" s="35" t="s">
        <v>727</v>
      </c>
      <c r="Z56" s="11"/>
      <c r="AA56" s="11"/>
      <c r="AB56" s="11"/>
      <c r="AC56" s="11"/>
      <c r="AD56" s="11"/>
      <c r="AE56" s="11"/>
      <c r="AF56" s="11"/>
      <c r="AG56" s="11"/>
      <c r="AH56" s="11"/>
      <c r="AI56" s="11"/>
      <c r="AJ56" s="11"/>
    </row>
    <row r="57" spans="1:36" ht="48">
      <c r="A57" s="86">
        <v>317</v>
      </c>
      <c r="B57" s="87">
        <v>45474</v>
      </c>
      <c r="C57" s="41">
        <v>0.79098379629629634</v>
      </c>
      <c r="D57" s="36">
        <v>1045</v>
      </c>
      <c r="E57" s="43">
        <v>1209</v>
      </c>
      <c r="F57" s="36" t="s">
        <v>71</v>
      </c>
      <c r="G57" s="36">
        <v>1033</v>
      </c>
      <c r="H57" s="36" t="s">
        <v>72</v>
      </c>
      <c r="I57" s="43">
        <v>36.558</v>
      </c>
      <c r="J57" s="40" t="str">
        <f>VLOOKUP(I57,Liste!$L$2:$O$34,4,1)</f>
        <v>GSMR_07/08</v>
      </c>
      <c r="K57" s="37">
        <v>1</v>
      </c>
      <c r="L57" s="88" t="s">
        <v>3545</v>
      </c>
      <c r="M57" s="34" t="s">
        <v>737</v>
      </c>
      <c r="N57" s="36" t="s">
        <v>39</v>
      </c>
      <c r="O57" s="36" t="s">
        <v>3528</v>
      </c>
      <c r="P57" s="36" t="s">
        <v>3528</v>
      </c>
      <c r="Q57" s="36" t="s">
        <v>3547</v>
      </c>
      <c r="R57" s="36" t="s">
        <v>3528</v>
      </c>
      <c r="S57" s="48" t="s">
        <v>597</v>
      </c>
      <c r="T57" s="39" t="s">
        <v>738</v>
      </c>
      <c r="U57" s="36" t="s">
        <v>41</v>
      </c>
      <c r="V57" s="36" t="s">
        <v>102</v>
      </c>
      <c r="W57" s="36" t="s">
        <v>51</v>
      </c>
      <c r="X57" s="37" t="s">
        <v>51</v>
      </c>
      <c r="Y57" s="35" t="s">
        <v>721</v>
      </c>
      <c r="Z57" s="11"/>
      <c r="AA57" s="11"/>
      <c r="AB57" s="11"/>
      <c r="AC57" s="11"/>
      <c r="AD57" s="11"/>
      <c r="AE57" s="11"/>
      <c r="AF57" s="11"/>
      <c r="AG57" s="11"/>
      <c r="AH57" s="11"/>
      <c r="AI57" s="11"/>
      <c r="AJ57" s="11"/>
    </row>
    <row r="58" spans="1:36" ht="48">
      <c r="A58" s="86">
        <v>318</v>
      </c>
      <c r="B58" s="87">
        <v>45474</v>
      </c>
      <c r="C58" s="41">
        <v>0.83673611111111112</v>
      </c>
      <c r="D58" s="36">
        <v>2057</v>
      </c>
      <c r="E58" s="43">
        <v>1209</v>
      </c>
      <c r="F58" s="36" t="s">
        <v>34</v>
      </c>
      <c r="G58" s="36">
        <v>7208</v>
      </c>
      <c r="H58" s="36" t="s">
        <v>35</v>
      </c>
      <c r="I58" s="47">
        <v>6.13</v>
      </c>
      <c r="J58" s="40" t="str">
        <f>VLOOKUP(I58,Liste!$L$2:$O$34,4,1)</f>
        <v>GSMR_02/03</v>
      </c>
      <c r="K58" s="37">
        <v>1</v>
      </c>
      <c r="L58" s="88" t="s">
        <v>3545</v>
      </c>
      <c r="M58" s="34" t="s">
        <v>739</v>
      </c>
      <c r="N58" s="36" t="s">
        <v>39</v>
      </c>
      <c r="O58" s="36" t="s">
        <v>3528</v>
      </c>
      <c r="P58" s="36" t="s">
        <v>3528</v>
      </c>
      <c r="Q58" s="36" t="s">
        <v>3547</v>
      </c>
      <c r="R58" s="36" t="s">
        <v>3528</v>
      </c>
      <c r="S58" s="48" t="s">
        <v>597</v>
      </c>
      <c r="T58" s="39" t="s">
        <v>736</v>
      </c>
      <c r="U58" s="36" t="s">
        <v>56</v>
      </c>
      <c r="V58" s="36" t="s">
        <v>183</v>
      </c>
      <c r="W58" s="36" t="s">
        <v>51</v>
      </c>
      <c r="X58" s="37" t="s">
        <v>51</v>
      </c>
      <c r="Y58" s="35" t="s">
        <v>622</v>
      </c>
      <c r="Z58" s="11"/>
      <c r="AA58" s="11"/>
      <c r="AB58" s="11"/>
      <c r="AC58" s="11"/>
      <c r="AD58" s="11"/>
      <c r="AE58" s="11"/>
      <c r="AF58" s="11"/>
      <c r="AG58" s="11"/>
      <c r="AH58" s="11"/>
      <c r="AI58" s="11"/>
      <c r="AJ58" s="11"/>
    </row>
    <row r="59" spans="1:36" ht="48">
      <c r="A59" s="86">
        <v>319</v>
      </c>
      <c r="B59" s="87">
        <v>45474</v>
      </c>
      <c r="C59" s="41">
        <v>0.84208333333333329</v>
      </c>
      <c r="D59" s="36">
        <v>2057</v>
      </c>
      <c r="E59" s="43">
        <v>1209</v>
      </c>
      <c r="F59" s="36" t="s">
        <v>34</v>
      </c>
      <c r="G59" s="36">
        <v>1058</v>
      </c>
      <c r="H59" s="36" t="s">
        <v>35</v>
      </c>
      <c r="I59" s="43">
        <v>21.55</v>
      </c>
      <c r="J59" s="40" t="str">
        <f>VLOOKUP(I59,Liste!$L$2:$O$34,4,1)</f>
        <v>GSMR_04/05</v>
      </c>
      <c r="K59" s="37">
        <v>1</v>
      </c>
      <c r="L59" s="88" t="s">
        <v>3545</v>
      </c>
      <c r="M59" s="34" t="s">
        <v>740</v>
      </c>
      <c r="N59" s="36" t="s">
        <v>3176</v>
      </c>
      <c r="O59" s="36" t="s">
        <v>3528</v>
      </c>
      <c r="P59" s="36" t="s">
        <v>3528</v>
      </c>
      <c r="Q59" s="36" t="s">
        <v>3547</v>
      </c>
      <c r="R59" s="36" t="s">
        <v>3528</v>
      </c>
      <c r="S59" s="49" t="s">
        <v>741</v>
      </c>
      <c r="T59" s="39" t="s">
        <v>742</v>
      </c>
      <c r="U59" s="36" t="s">
        <v>69</v>
      </c>
      <c r="V59" s="36" t="s">
        <v>85</v>
      </c>
      <c r="W59" s="36" t="s">
        <v>51</v>
      </c>
      <c r="X59" s="37" t="s">
        <v>51</v>
      </c>
      <c r="Y59" s="35" t="s">
        <v>622</v>
      </c>
      <c r="Z59" s="11"/>
      <c r="AA59" s="11"/>
      <c r="AB59" s="11"/>
      <c r="AC59" s="11"/>
      <c r="AD59" s="11"/>
      <c r="AE59" s="11"/>
      <c r="AF59" s="11"/>
      <c r="AG59" s="11"/>
      <c r="AH59" s="11"/>
      <c r="AI59" s="11"/>
      <c r="AJ59" s="11"/>
    </row>
    <row r="60" spans="1:36" ht="48">
      <c r="A60" s="86">
        <v>320</v>
      </c>
      <c r="B60" s="87">
        <v>45475</v>
      </c>
      <c r="C60" s="41">
        <v>0.38093749999999998</v>
      </c>
      <c r="D60" s="36">
        <v>2013</v>
      </c>
      <c r="E60" s="43">
        <v>1206</v>
      </c>
      <c r="F60" s="36" t="s">
        <v>34</v>
      </c>
      <c r="G60" s="36">
        <v>1055</v>
      </c>
      <c r="H60" s="36" t="s">
        <v>35</v>
      </c>
      <c r="I60" s="43">
        <v>13.712999999999999</v>
      </c>
      <c r="J60" s="40" t="str">
        <f>VLOOKUP(I60,Liste!$L$2:$O$34,4,1)</f>
        <v>GSMR_03/04</v>
      </c>
      <c r="K60" s="37">
        <v>1</v>
      </c>
      <c r="L60" s="88" t="s">
        <v>3545</v>
      </c>
      <c r="M60" s="34" t="s">
        <v>743</v>
      </c>
      <c r="N60" s="36" t="s">
        <v>3176</v>
      </c>
      <c r="O60" s="36" t="s">
        <v>3528</v>
      </c>
      <c r="P60" s="36" t="s">
        <v>3528</v>
      </c>
      <c r="Q60" s="36" t="s">
        <v>3547</v>
      </c>
      <c r="R60" s="36" t="s">
        <v>3528</v>
      </c>
      <c r="S60" s="48" t="s">
        <v>692</v>
      </c>
      <c r="T60" s="39" t="s">
        <v>744</v>
      </c>
      <c r="U60" s="36" t="s">
        <v>101</v>
      </c>
      <c r="V60" s="36" t="s">
        <v>125</v>
      </c>
      <c r="W60" s="36" t="s">
        <v>51</v>
      </c>
      <c r="X60" s="37" t="s">
        <v>51</v>
      </c>
      <c r="Y60" s="35" t="s">
        <v>622</v>
      </c>
      <c r="Z60" s="11"/>
      <c r="AA60" s="11"/>
      <c r="AB60" s="11"/>
      <c r="AC60" s="11"/>
      <c r="AD60" s="11"/>
      <c r="AE60" s="11"/>
      <c r="AF60" s="11"/>
      <c r="AG60" s="11"/>
      <c r="AH60" s="11"/>
      <c r="AI60" s="11"/>
      <c r="AJ60" s="11"/>
    </row>
    <row r="61" spans="1:36" ht="48">
      <c r="A61" s="86">
        <v>321</v>
      </c>
      <c r="B61" s="87">
        <v>45475</v>
      </c>
      <c r="C61" s="41">
        <v>0.39247685185185183</v>
      </c>
      <c r="D61" s="36">
        <v>2013</v>
      </c>
      <c r="E61" s="43">
        <v>1206</v>
      </c>
      <c r="F61" s="36" t="s">
        <v>34</v>
      </c>
      <c r="G61" s="36">
        <v>1055</v>
      </c>
      <c r="H61" s="36" t="s">
        <v>35</v>
      </c>
      <c r="I61" s="43">
        <v>44.47</v>
      </c>
      <c r="J61" s="40" t="str">
        <f>VLOOKUP(I61,Liste!$L$2:$O$34,4,1)</f>
        <v>GSMR_08/09</v>
      </c>
      <c r="K61" s="37">
        <v>1</v>
      </c>
      <c r="L61" s="88" t="s">
        <v>3545</v>
      </c>
      <c r="M61" s="34" t="s">
        <v>746</v>
      </c>
      <c r="N61" s="36" t="s">
        <v>127</v>
      </c>
      <c r="O61" s="36" t="s">
        <v>3528</v>
      </c>
      <c r="P61" s="36" t="s">
        <v>3528</v>
      </c>
      <c r="Q61" s="36" t="s">
        <v>3547</v>
      </c>
      <c r="R61" s="36" t="s">
        <v>3528</v>
      </c>
      <c r="S61" s="49" t="s">
        <v>747</v>
      </c>
      <c r="T61" s="39" t="s">
        <v>748</v>
      </c>
      <c r="U61" s="36" t="s">
        <v>41</v>
      </c>
      <c r="V61" s="36" t="s">
        <v>42</v>
      </c>
      <c r="W61" s="36" t="s">
        <v>51</v>
      </c>
      <c r="X61" s="37" t="s">
        <v>51</v>
      </c>
      <c r="Y61" s="35" t="s">
        <v>622</v>
      </c>
      <c r="Z61" s="11"/>
      <c r="AA61" s="11"/>
      <c r="AB61" s="11"/>
      <c r="AC61" s="11"/>
      <c r="AD61" s="11"/>
      <c r="AE61" s="11"/>
      <c r="AF61" s="11"/>
      <c r="AG61" s="11"/>
      <c r="AH61" s="11"/>
      <c r="AI61" s="11"/>
      <c r="AJ61" s="11"/>
    </row>
    <row r="62" spans="1:36" ht="48">
      <c r="A62" s="86">
        <v>324</v>
      </c>
      <c r="B62" s="87">
        <v>45475</v>
      </c>
      <c r="C62" s="41">
        <v>0.87827546296296299</v>
      </c>
      <c r="D62" s="36">
        <v>2061</v>
      </c>
      <c r="E62" s="43">
        <v>1207</v>
      </c>
      <c r="F62" s="36" t="s">
        <v>34</v>
      </c>
      <c r="G62" s="36">
        <v>1046</v>
      </c>
      <c r="H62" s="36" t="s">
        <v>35</v>
      </c>
      <c r="I62" s="47">
        <v>6.13</v>
      </c>
      <c r="J62" s="40" t="str">
        <f>VLOOKUP(I62,Liste!$L$2:$O$34,4,1)</f>
        <v>GSMR_02/03</v>
      </c>
      <c r="K62" s="37">
        <v>1</v>
      </c>
      <c r="L62" s="88" t="s">
        <v>3545</v>
      </c>
      <c r="M62" s="34" t="s">
        <v>753</v>
      </c>
      <c r="N62" s="36" t="s">
        <v>39</v>
      </c>
      <c r="O62" s="36" t="s">
        <v>3528</v>
      </c>
      <c r="P62" s="36" t="s">
        <v>3528</v>
      </c>
      <c r="Q62" s="36" t="s">
        <v>3547</v>
      </c>
      <c r="R62" s="36" t="s">
        <v>3528</v>
      </c>
      <c r="S62" s="48" t="s">
        <v>597</v>
      </c>
      <c r="T62" s="39" t="s">
        <v>750</v>
      </c>
      <c r="U62" s="36" t="s">
        <v>41</v>
      </c>
      <c r="V62" s="36" t="s">
        <v>197</v>
      </c>
      <c r="W62" s="36" t="s">
        <v>51</v>
      </c>
      <c r="X62" s="37" t="s">
        <v>51</v>
      </c>
      <c r="Y62" s="35" t="s">
        <v>727</v>
      </c>
      <c r="Z62" s="11"/>
      <c r="AA62" s="11"/>
      <c r="AB62" s="11"/>
      <c r="AC62" s="11"/>
      <c r="AD62" s="11"/>
      <c r="AE62" s="11"/>
      <c r="AF62" s="11"/>
      <c r="AG62" s="11"/>
      <c r="AH62" s="11"/>
      <c r="AI62" s="11"/>
      <c r="AJ62" s="11"/>
    </row>
    <row r="63" spans="1:36" ht="84">
      <c r="A63" s="86">
        <v>326</v>
      </c>
      <c r="B63" s="87">
        <v>45477</v>
      </c>
      <c r="C63" s="41">
        <v>0.50392361111111106</v>
      </c>
      <c r="D63" s="36">
        <v>2025</v>
      </c>
      <c r="E63" s="43">
        <v>1210</v>
      </c>
      <c r="F63" s="36" t="s">
        <v>34</v>
      </c>
      <c r="G63" s="36">
        <v>1048</v>
      </c>
      <c r="H63" s="36" t="s">
        <v>35</v>
      </c>
      <c r="I63" s="47">
        <v>6.13</v>
      </c>
      <c r="J63" s="40" t="str">
        <f>VLOOKUP(I63,Liste!$L$2:$O$34,4,1)</f>
        <v>GSMR_02/03</v>
      </c>
      <c r="K63" s="37">
        <v>1</v>
      </c>
      <c r="L63" s="88" t="s">
        <v>3545</v>
      </c>
      <c r="M63" s="34" t="s">
        <v>758</v>
      </c>
      <c r="N63" s="36" t="s">
        <v>39</v>
      </c>
      <c r="O63" s="36" t="s">
        <v>3528</v>
      </c>
      <c r="P63" s="36" t="s">
        <v>3528</v>
      </c>
      <c r="Q63" s="36" t="s">
        <v>3547</v>
      </c>
      <c r="R63" s="36" t="s">
        <v>3528</v>
      </c>
      <c r="S63" s="48" t="s">
        <v>597</v>
      </c>
      <c r="T63" s="39" t="s">
        <v>750</v>
      </c>
      <c r="U63" s="36" t="s">
        <v>56</v>
      </c>
      <c r="V63" s="36" t="s">
        <v>387</v>
      </c>
      <c r="W63" s="36" t="s">
        <v>43</v>
      </c>
      <c r="X63" s="37" t="s">
        <v>51</v>
      </c>
      <c r="Y63" s="35" t="s">
        <v>727</v>
      </c>
      <c r="Z63" s="11"/>
      <c r="AA63" s="11"/>
      <c r="AB63" s="11"/>
      <c r="AC63" s="11"/>
      <c r="AD63" s="11"/>
      <c r="AE63" s="11"/>
      <c r="AF63" s="11"/>
      <c r="AG63" s="11"/>
      <c r="AH63" s="11"/>
      <c r="AI63" s="11"/>
      <c r="AJ63" s="11"/>
    </row>
    <row r="64" spans="1:36" ht="48">
      <c r="A64" s="86">
        <v>328</v>
      </c>
      <c r="B64" s="87">
        <v>45477</v>
      </c>
      <c r="C64" s="41">
        <v>0.83707175925925925</v>
      </c>
      <c r="D64" s="36">
        <v>2057</v>
      </c>
      <c r="E64" s="43">
        <v>1207</v>
      </c>
      <c r="F64" s="36" t="s">
        <v>34</v>
      </c>
      <c r="G64" s="36">
        <v>1046</v>
      </c>
      <c r="H64" s="36" t="s">
        <v>35</v>
      </c>
      <c r="I64" s="47">
        <v>6.13</v>
      </c>
      <c r="J64" s="40" t="str">
        <f>VLOOKUP(I64,Liste!$L$2:$O$34,4,1)</f>
        <v>GSMR_02/03</v>
      </c>
      <c r="K64" s="37">
        <v>1</v>
      </c>
      <c r="L64" s="88" t="s">
        <v>3545</v>
      </c>
      <c r="M64" s="34" t="s">
        <v>763</v>
      </c>
      <c r="N64" s="36" t="s">
        <v>39</v>
      </c>
      <c r="O64" s="36" t="s">
        <v>3528</v>
      </c>
      <c r="P64" s="36" t="s">
        <v>3528</v>
      </c>
      <c r="Q64" s="36" t="s">
        <v>3547</v>
      </c>
      <c r="R64" s="36" t="s">
        <v>3528</v>
      </c>
      <c r="S64" s="48" t="s">
        <v>597</v>
      </c>
      <c r="T64" s="39" t="s">
        <v>736</v>
      </c>
      <c r="U64" s="36" t="s">
        <v>56</v>
      </c>
      <c r="V64" s="36" t="s">
        <v>183</v>
      </c>
      <c r="W64" s="36" t="s">
        <v>43</v>
      </c>
      <c r="X64" s="37" t="s">
        <v>51</v>
      </c>
      <c r="Y64" s="35" t="s">
        <v>622</v>
      </c>
      <c r="Z64" s="11"/>
      <c r="AA64" s="11"/>
      <c r="AB64" s="11"/>
      <c r="AC64" s="11"/>
      <c r="AD64" s="11"/>
      <c r="AE64" s="11"/>
      <c r="AF64" s="11"/>
      <c r="AG64" s="11"/>
      <c r="AH64" s="11"/>
      <c r="AI64" s="11"/>
      <c r="AJ64" s="11"/>
    </row>
    <row r="65" spans="1:36" ht="48">
      <c r="A65" s="86">
        <v>332</v>
      </c>
      <c r="B65" s="87">
        <v>45478</v>
      </c>
      <c r="C65" s="41">
        <v>0.87851851851851848</v>
      </c>
      <c r="D65" s="36">
        <v>2061</v>
      </c>
      <c r="E65" s="43">
        <v>1205</v>
      </c>
      <c r="F65" s="36" t="s">
        <v>34</v>
      </c>
      <c r="G65" s="36">
        <v>7217</v>
      </c>
      <c r="H65" s="36" t="s">
        <v>35</v>
      </c>
      <c r="I65" s="47">
        <v>6.13</v>
      </c>
      <c r="J65" s="40" t="str">
        <f>VLOOKUP(I65,Liste!$L$2:$O$34,4,1)</f>
        <v>GSMR_02/03</v>
      </c>
      <c r="K65" s="37">
        <v>1</v>
      </c>
      <c r="L65" s="88" t="s">
        <v>3545</v>
      </c>
      <c r="M65" s="34" t="s">
        <v>773</v>
      </c>
      <c r="N65" s="36" t="s">
        <v>39</v>
      </c>
      <c r="O65" s="36" t="s">
        <v>3528</v>
      </c>
      <c r="P65" s="36" t="s">
        <v>3528</v>
      </c>
      <c r="Q65" s="36" t="s">
        <v>3547</v>
      </c>
      <c r="R65" s="36" t="s">
        <v>3528</v>
      </c>
      <c r="S65" s="35" t="s">
        <v>768</v>
      </c>
      <c r="T65" s="39" t="s">
        <v>771</v>
      </c>
      <c r="U65" s="36" t="s">
        <v>56</v>
      </c>
      <c r="V65" s="36" t="s">
        <v>57</v>
      </c>
      <c r="W65" s="36" t="s">
        <v>43</v>
      </c>
      <c r="X65" s="37" t="s">
        <v>51</v>
      </c>
      <c r="Y65" s="35" t="s">
        <v>622</v>
      </c>
      <c r="Z65" s="11"/>
      <c r="AA65" s="11"/>
      <c r="AB65" s="11"/>
      <c r="AC65" s="11"/>
      <c r="AD65" s="11"/>
      <c r="AE65" s="11"/>
      <c r="AF65" s="11"/>
      <c r="AG65" s="11"/>
      <c r="AH65" s="11"/>
      <c r="AI65" s="11"/>
      <c r="AJ65" s="11"/>
    </row>
    <row r="66" spans="1:36" ht="60">
      <c r="A66" s="86">
        <v>336</v>
      </c>
      <c r="B66" s="87">
        <v>45480</v>
      </c>
      <c r="C66" s="41">
        <v>0.92087962962962966</v>
      </c>
      <c r="D66" s="36">
        <v>10081</v>
      </c>
      <c r="E66" s="43">
        <v>1205</v>
      </c>
      <c r="F66" s="36" t="s">
        <v>34</v>
      </c>
      <c r="G66" s="36">
        <v>7217</v>
      </c>
      <c r="H66" s="36" t="s">
        <v>35</v>
      </c>
      <c r="I66" s="47">
        <v>6.13</v>
      </c>
      <c r="J66" s="40" t="str">
        <f>VLOOKUP(I66,Liste!$L$2:$O$34,4,1)</f>
        <v>GSMR_02/03</v>
      </c>
      <c r="K66" s="37">
        <v>1</v>
      </c>
      <c r="L66" s="88" t="s">
        <v>3545</v>
      </c>
      <c r="M66" s="34" t="s">
        <v>782</v>
      </c>
      <c r="N66" s="36" t="s">
        <v>39</v>
      </c>
      <c r="O66" s="36" t="s">
        <v>3528</v>
      </c>
      <c r="P66" s="36" t="s">
        <v>3528</v>
      </c>
      <c r="Q66" s="36" t="s">
        <v>3547</v>
      </c>
      <c r="R66" s="36" t="s">
        <v>3528</v>
      </c>
      <c r="S66" s="35" t="s">
        <v>768</v>
      </c>
      <c r="T66" s="39" t="s">
        <v>783</v>
      </c>
      <c r="U66" s="36" t="s">
        <v>116</v>
      </c>
      <c r="V66" s="36" t="s">
        <v>183</v>
      </c>
      <c r="W66" s="36" t="s">
        <v>43</v>
      </c>
      <c r="X66" s="37" t="s">
        <v>51</v>
      </c>
      <c r="Y66" s="35" t="s">
        <v>622</v>
      </c>
      <c r="Z66" s="11"/>
      <c r="AA66" s="11"/>
      <c r="AB66" s="11"/>
      <c r="AC66" s="11"/>
      <c r="AD66" s="11"/>
      <c r="AE66" s="11"/>
      <c r="AF66" s="11"/>
      <c r="AG66" s="11"/>
      <c r="AH66" s="11"/>
      <c r="AI66" s="11"/>
      <c r="AJ66" s="11"/>
    </row>
    <row r="67" spans="1:36" ht="48">
      <c r="A67" s="86">
        <v>337</v>
      </c>
      <c r="B67" s="87">
        <v>45481</v>
      </c>
      <c r="C67" s="50">
        <v>0.35288194444444443</v>
      </c>
      <c r="D67" s="36">
        <v>2009</v>
      </c>
      <c r="E67" s="43">
        <v>1208</v>
      </c>
      <c r="F67" s="36" t="s">
        <v>34</v>
      </c>
      <c r="G67" s="36">
        <v>1036</v>
      </c>
      <c r="H67" s="36" t="s">
        <v>35</v>
      </c>
      <c r="I67" s="43">
        <v>109.5</v>
      </c>
      <c r="J67" s="40" t="str">
        <f>VLOOKUP(I67,Liste!$L$2:$O$34,4,1)</f>
        <v>GSMR_19/20</v>
      </c>
      <c r="K67" s="37">
        <v>1</v>
      </c>
      <c r="L67" s="88" t="s">
        <v>3545</v>
      </c>
      <c r="M67" s="35" t="s">
        <v>784</v>
      </c>
      <c r="N67" s="36" t="s">
        <v>54</v>
      </c>
      <c r="O67" s="36" t="s">
        <v>3528</v>
      </c>
      <c r="P67" s="36" t="s">
        <v>3528</v>
      </c>
      <c r="Q67" s="36" t="s">
        <v>3547</v>
      </c>
      <c r="R67" s="36" t="s">
        <v>3528</v>
      </c>
      <c r="S67" s="35" t="s">
        <v>780</v>
      </c>
      <c r="T67" s="42" t="s">
        <v>785</v>
      </c>
      <c r="U67" s="36" t="s">
        <v>56</v>
      </c>
      <c r="V67" s="36" t="s">
        <v>97</v>
      </c>
      <c r="W67" s="36" t="s">
        <v>51</v>
      </c>
      <c r="X67" s="37" t="s">
        <v>51</v>
      </c>
      <c r="Y67" s="35" t="s">
        <v>622</v>
      </c>
      <c r="Z67" s="11"/>
      <c r="AA67" s="11"/>
      <c r="AB67" s="11"/>
      <c r="AC67" s="11"/>
      <c r="AD67" s="11"/>
      <c r="AE67" s="11"/>
      <c r="AF67" s="11"/>
      <c r="AG67" s="11"/>
      <c r="AH67" s="11"/>
      <c r="AI67" s="11"/>
      <c r="AJ67" s="11"/>
    </row>
    <row r="68" spans="1:36" ht="48">
      <c r="A68" s="86">
        <v>343</v>
      </c>
      <c r="B68" s="87">
        <v>45482</v>
      </c>
      <c r="C68" s="41">
        <v>0.71174768518518516</v>
      </c>
      <c r="D68" s="36">
        <v>2045</v>
      </c>
      <c r="E68" s="43">
        <v>1201</v>
      </c>
      <c r="F68" s="36" t="s">
        <v>34</v>
      </c>
      <c r="G68" s="36">
        <v>7206</v>
      </c>
      <c r="H68" s="36" t="s">
        <v>35</v>
      </c>
      <c r="I68" s="47">
        <v>6.13</v>
      </c>
      <c r="J68" s="40" t="s">
        <v>790</v>
      </c>
      <c r="K68" s="37">
        <v>1</v>
      </c>
      <c r="L68" s="88" t="s">
        <v>3545</v>
      </c>
      <c r="M68" s="34" t="s">
        <v>800</v>
      </c>
      <c r="N68" s="36" t="s">
        <v>39</v>
      </c>
      <c r="O68" s="36" t="s">
        <v>3528</v>
      </c>
      <c r="P68" s="36" t="s">
        <v>3528</v>
      </c>
      <c r="Q68" s="36" t="s">
        <v>3547</v>
      </c>
      <c r="R68" s="36" t="s">
        <v>3528</v>
      </c>
      <c r="S68" s="35" t="s">
        <v>768</v>
      </c>
      <c r="T68" s="39" t="s">
        <v>750</v>
      </c>
      <c r="U68" s="36" t="s">
        <v>56</v>
      </c>
      <c r="V68" s="36" t="s">
        <v>408</v>
      </c>
      <c r="W68" s="36" t="s">
        <v>51</v>
      </c>
      <c r="X68" s="36" t="s">
        <v>51</v>
      </c>
      <c r="Y68" s="35" t="s">
        <v>727</v>
      </c>
      <c r="Z68" s="11"/>
      <c r="AA68" s="11"/>
      <c r="AB68" s="11"/>
      <c r="AC68" s="11"/>
      <c r="AD68" s="11"/>
      <c r="AE68" s="11"/>
      <c r="AF68" s="11"/>
      <c r="AG68" s="11"/>
      <c r="AH68" s="11"/>
      <c r="AI68" s="11"/>
      <c r="AJ68" s="11"/>
    </row>
    <row r="69" spans="1:36" ht="48">
      <c r="A69" s="86">
        <v>346</v>
      </c>
      <c r="B69" s="87">
        <v>45483</v>
      </c>
      <c r="C69" s="41">
        <v>0.84956018518518517</v>
      </c>
      <c r="D69" s="36">
        <v>2057</v>
      </c>
      <c r="E69" s="43">
        <v>1210</v>
      </c>
      <c r="F69" s="36" t="s">
        <v>34</v>
      </c>
      <c r="G69" s="36">
        <v>1049</v>
      </c>
      <c r="H69" s="36" t="s">
        <v>35</v>
      </c>
      <c r="I69" s="43">
        <v>86.238</v>
      </c>
      <c r="J69" s="40" t="s">
        <v>3559</v>
      </c>
      <c r="K69" s="37">
        <v>1</v>
      </c>
      <c r="L69" s="88" t="s">
        <v>3545</v>
      </c>
      <c r="M69" s="34" t="s">
        <v>805</v>
      </c>
      <c r="N69" s="36" t="s">
        <v>150</v>
      </c>
      <c r="O69" s="36" t="s">
        <v>3528</v>
      </c>
      <c r="P69" s="36" t="s">
        <v>3528</v>
      </c>
      <c r="Q69" s="36" t="s">
        <v>3547</v>
      </c>
      <c r="R69" s="36" t="s">
        <v>3528</v>
      </c>
      <c r="S69" s="35" t="s">
        <v>765</v>
      </c>
      <c r="T69" s="39" t="s">
        <v>806</v>
      </c>
      <c r="U69" s="36" t="s">
        <v>69</v>
      </c>
      <c r="V69" s="36" t="s">
        <v>230</v>
      </c>
      <c r="W69" s="36" t="s">
        <v>51</v>
      </c>
      <c r="X69" s="36" t="s">
        <v>51</v>
      </c>
      <c r="Y69" s="35" t="s">
        <v>622</v>
      </c>
      <c r="Z69" s="11"/>
      <c r="AA69" s="11"/>
      <c r="AB69" s="11"/>
      <c r="AC69" s="11"/>
      <c r="AD69" s="11"/>
      <c r="AE69" s="11"/>
      <c r="AF69" s="11"/>
      <c r="AG69" s="11"/>
      <c r="AH69" s="11"/>
      <c r="AI69" s="11"/>
      <c r="AJ69" s="11"/>
    </row>
    <row r="70" spans="1:36" ht="48">
      <c r="A70" s="86">
        <v>347</v>
      </c>
      <c r="B70" s="87">
        <v>45484</v>
      </c>
      <c r="C70" s="41">
        <v>0.33832175925925928</v>
      </c>
      <c r="D70" s="36">
        <v>1001</v>
      </c>
      <c r="E70" s="43">
        <v>1203</v>
      </c>
      <c r="F70" s="36" t="s">
        <v>71</v>
      </c>
      <c r="G70" s="36">
        <v>1026</v>
      </c>
      <c r="H70" s="36" t="s">
        <v>72</v>
      </c>
      <c r="I70" s="43">
        <v>10.125</v>
      </c>
      <c r="J70" s="40" t="s">
        <v>3560</v>
      </c>
      <c r="K70" s="37">
        <v>1</v>
      </c>
      <c r="L70" s="88" t="s">
        <v>3545</v>
      </c>
      <c r="M70" s="34" t="s">
        <v>807</v>
      </c>
      <c r="N70" s="36" t="s">
        <v>47</v>
      </c>
      <c r="O70" s="36" t="s">
        <v>3528</v>
      </c>
      <c r="P70" s="36" t="s">
        <v>3528</v>
      </c>
      <c r="Q70" s="36" t="s">
        <v>3547</v>
      </c>
      <c r="R70" s="36" t="s">
        <v>3528</v>
      </c>
      <c r="S70" s="35" t="s">
        <v>808</v>
      </c>
      <c r="T70" s="39" t="s">
        <v>809</v>
      </c>
      <c r="U70" s="36" t="s">
        <v>69</v>
      </c>
      <c r="V70" s="36" t="s">
        <v>120</v>
      </c>
      <c r="W70" s="36" t="s">
        <v>43</v>
      </c>
      <c r="X70" s="36" t="s">
        <v>51</v>
      </c>
      <c r="Y70" s="35" t="s">
        <v>227</v>
      </c>
      <c r="Z70" s="11"/>
      <c r="AA70" s="11"/>
      <c r="AB70" s="11"/>
      <c r="AC70" s="11"/>
      <c r="AD70" s="11"/>
      <c r="AE70" s="11"/>
      <c r="AF70" s="11"/>
      <c r="AG70" s="11"/>
      <c r="AH70" s="11"/>
      <c r="AI70" s="11"/>
      <c r="AJ70" s="11"/>
    </row>
    <row r="71" spans="1:36" ht="48">
      <c r="A71" s="86">
        <v>348</v>
      </c>
      <c r="B71" s="87">
        <v>45484</v>
      </c>
      <c r="C71" s="41">
        <v>0.83665509259259263</v>
      </c>
      <c r="D71" s="36">
        <v>2057</v>
      </c>
      <c r="E71" s="43">
        <v>1207</v>
      </c>
      <c r="F71" s="36" t="s">
        <v>34</v>
      </c>
      <c r="G71" s="36">
        <v>1046</v>
      </c>
      <c r="H71" s="36" t="s">
        <v>35</v>
      </c>
      <c r="I71" s="47">
        <v>6.13</v>
      </c>
      <c r="J71" s="40" t="s">
        <v>790</v>
      </c>
      <c r="K71" s="37">
        <v>1</v>
      </c>
      <c r="L71" s="88" t="s">
        <v>3545</v>
      </c>
      <c r="M71" s="34" t="s">
        <v>811</v>
      </c>
      <c r="N71" s="36" t="s">
        <v>39</v>
      </c>
      <c r="O71" s="36" t="s">
        <v>3528</v>
      </c>
      <c r="P71" s="36" t="s">
        <v>3528</v>
      </c>
      <c r="Q71" s="36" t="s">
        <v>3547</v>
      </c>
      <c r="R71" s="36" t="s">
        <v>3528</v>
      </c>
      <c r="S71" s="35" t="s">
        <v>768</v>
      </c>
      <c r="T71" s="39" t="s">
        <v>750</v>
      </c>
      <c r="U71" s="36" t="s">
        <v>69</v>
      </c>
      <c r="V71" s="36" t="s">
        <v>156</v>
      </c>
      <c r="W71" s="36" t="s">
        <v>43</v>
      </c>
      <c r="X71" s="36" t="s">
        <v>51</v>
      </c>
      <c r="Y71" s="35" t="s">
        <v>227</v>
      </c>
      <c r="Z71" s="11"/>
      <c r="AA71" s="11"/>
      <c r="AB71" s="11"/>
      <c r="AC71" s="11"/>
      <c r="AD71" s="11"/>
      <c r="AE71" s="11"/>
      <c r="AF71" s="11"/>
      <c r="AG71" s="11"/>
      <c r="AH71" s="11"/>
      <c r="AI71" s="11"/>
      <c r="AJ71" s="11"/>
    </row>
    <row r="72" spans="1:36" ht="48">
      <c r="A72" s="86">
        <v>349</v>
      </c>
      <c r="B72" s="87">
        <v>45484</v>
      </c>
      <c r="C72" s="41">
        <v>0.90472222222222221</v>
      </c>
      <c r="D72" s="36">
        <v>2061</v>
      </c>
      <c r="E72" s="43">
        <v>1208</v>
      </c>
      <c r="F72" s="36" t="s">
        <v>34</v>
      </c>
      <c r="G72" s="36">
        <v>1036</v>
      </c>
      <c r="H72" s="36" t="s">
        <v>35</v>
      </c>
      <c r="I72" s="43">
        <v>177.85</v>
      </c>
      <c r="J72" s="40" t="str">
        <f>VLOOKUP(I72,Liste!$L$2:$O$34,4,1)</f>
        <v>GSMR_30/31</v>
      </c>
      <c r="K72" s="37">
        <v>1</v>
      </c>
      <c r="L72" s="88" t="s">
        <v>3545</v>
      </c>
      <c r="M72" s="34" t="s">
        <v>812</v>
      </c>
      <c r="N72" s="36" t="s">
        <v>150</v>
      </c>
      <c r="O72" s="36" t="s">
        <v>3528</v>
      </c>
      <c r="P72" s="36" t="s">
        <v>3528</v>
      </c>
      <c r="Q72" s="36" t="s">
        <v>3547</v>
      </c>
      <c r="R72" s="36" t="s">
        <v>3528</v>
      </c>
      <c r="S72" s="35" t="s">
        <v>765</v>
      </c>
      <c r="T72" s="39" t="s">
        <v>813</v>
      </c>
      <c r="U72" s="36" t="s">
        <v>69</v>
      </c>
      <c r="V72" s="36" t="s">
        <v>230</v>
      </c>
      <c r="W72" s="36" t="s">
        <v>51</v>
      </c>
      <c r="X72" s="36" t="s">
        <v>51</v>
      </c>
      <c r="Y72" s="35" t="s">
        <v>622</v>
      </c>
      <c r="Z72" s="11"/>
      <c r="AA72" s="11"/>
      <c r="AB72" s="11"/>
      <c r="AC72" s="11"/>
      <c r="AD72" s="11"/>
      <c r="AE72" s="11"/>
      <c r="AF72" s="11"/>
      <c r="AG72" s="11"/>
      <c r="AH72" s="11"/>
      <c r="AI72" s="11"/>
      <c r="AJ72" s="11"/>
    </row>
    <row r="73" spans="1:36" ht="48">
      <c r="A73" s="86">
        <v>353</v>
      </c>
      <c r="B73" s="87">
        <v>45485</v>
      </c>
      <c r="C73" s="41">
        <v>0.83732638888888888</v>
      </c>
      <c r="D73" s="36">
        <v>2057</v>
      </c>
      <c r="E73" s="43">
        <v>1204</v>
      </c>
      <c r="F73" s="36" t="s">
        <v>34</v>
      </c>
      <c r="G73" s="36">
        <v>3740</v>
      </c>
      <c r="H73" s="36" t="s">
        <v>35</v>
      </c>
      <c r="I73" s="47">
        <v>6.13</v>
      </c>
      <c r="J73" s="40" t="str">
        <f>VLOOKUP(I73,Liste!$L$2:$O$34,4,1)</f>
        <v>GSMR_02/03</v>
      </c>
      <c r="K73" s="37">
        <v>1</v>
      </c>
      <c r="L73" s="88" t="s">
        <v>3545</v>
      </c>
      <c r="M73" s="34" t="s">
        <v>820</v>
      </c>
      <c r="N73" s="36" t="s">
        <v>531</v>
      </c>
      <c r="O73" s="36" t="s">
        <v>3528</v>
      </c>
      <c r="P73" s="36" t="s">
        <v>3528</v>
      </c>
      <c r="Q73" s="36" t="s">
        <v>3547</v>
      </c>
      <c r="R73" s="36" t="s">
        <v>3528</v>
      </c>
      <c r="S73" s="35" t="s">
        <v>768</v>
      </c>
      <c r="T73" s="39" t="s">
        <v>712</v>
      </c>
      <c r="U73" s="46" t="s">
        <v>93</v>
      </c>
      <c r="V73" s="46" t="s">
        <v>408</v>
      </c>
      <c r="W73" s="46" t="s">
        <v>43</v>
      </c>
      <c r="X73" s="46" t="s">
        <v>51</v>
      </c>
      <c r="Y73" s="35" t="s">
        <v>622</v>
      </c>
    </row>
    <row r="74" spans="1:36" ht="48">
      <c r="A74" s="86">
        <v>356</v>
      </c>
      <c r="B74" s="87">
        <v>45486</v>
      </c>
      <c r="C74" s="41">
        <v>0.51437500000000003</v>
      </c>
      <c r="D74" s="36">
        <v>2025</v>
      </c>
      <c r="E74" s="43">
        <v>1203</v>
      </c>
      <c r="F74" s="36" t="s">
        <v>34</v>
      </c>
      <c r="G74" s="36">
        <v>1024</v>
      </c>
      <c r="H74" s="36" t="s">
        <v>35</v>
      </c>
      <c r="I74" s="43">
        <v>75.84</v>
      </c>
      <c r="J74" s="40" t="str">
        <f>VLOOKUP(I74,Liste!$L$2:$O$34,4,1)</f>
        <v>GSMR_13/14</v>
      </c>
      <c r="K74" s="37">
        <v>1</v>
      </c>
      <c r="L74" s="88" t="s">
        <v>3545</v>
      </c>
      <c r="M74" s="34" t="s">
        <v>825</v>
      </c>
      <c r="N74" s="36" t="s">
        <v>2370</v>
      </c>
      <c r="O74" s="36" t="s">
        <v>3528</v>
      </c>
      <c r="P74" s="36" t="s">
        <v>3528</v>
      </c>
      <c r="Q74" s="36" t="s">
        <v>3547</v>
      </c>
      <c r="R74" s="36" t="s">
        <v>3528</v>
      </c>
      <c r="S74" s="35" t="s">
        <v>816</v>
      </c>
      <c r="T74" s="39" t="s">
        <v>826</v>
      </c>
      <c r="U74" s="46" t="s">
        <v>69</v>
      </c>
      <c r="V74" s="46" t="s">
        <v>120</v>
      </c>
      <c r="W74" s="46" t="s">
        <v>51</v>
      </c>
      <c r="X74" s="46" t="s">
        <v>51</v>
      </c>
      <c r="Y74" s="35" t="s">
        <v>622</v>
      </c>
    </row>
    <row r="75" spans="1:36" ht="72">
      <c r="A75" s="86">
        <v>367</v>
      </c>
      <c r="B75" s="87">
        <v>45487</v>
      </c>
      <c r="C75" s="41">
        <v>0.87795138888888891</v>
      </c>
      <c r="D75" s="36">
        <v>1054</v>
      </c>
      <c r="E75" s="43">
        <v>1203</v>
      </c>
      <c r="F75" s="36" t="s">
        <v>71</v>
      </c>
      <c r="G75" s="36">
        <v>1027</v>
      </c>
      <c r="H75" s="36" t="s">
        <v>72</v>
      </c>
      <c r="I75" s="43">
        <v>12.496</v>
      </c>
      <c r="J75" s="40" t="str">
        <f>VLOOKUP(I75,Liste!$L$2:$O$34,4,1)</f>
        <v>GSMR_03/04</v>
      </c>
      <c r="K75" s="37">
        <v>1</v>
      </c>
      <c r="L75" s="88" t="s">
        <v>3545</v>
      </c>
      <c r="M75" s="34" t="s">
        <v>850</v>
      </c>
      <c r="N75" s="36" t="s">
        <v>531</v>
      </c>
      <c r="O75" s="36" t="s">
        <v>3528</v>
      </c>
      <c r="P75" s="36" t="s">
        <v>3528</v>
      </c>
      <c r="Q75" s="36" t="s">
        <v>3547</v>
      </c>
      <c r="R75" s="36" t="s">
        <v>3528</v>
      </c>
      <c r="S75" s="35" t="s">
        <v>768</v>
      </c>
      <c r="T75" s="39" t="s">
        <v>851</v>
      </c>
      <c r="U75" s="46" t="s">
        <v>69</v>
      </c>
      <c r="V75" s="46" t="s">
        <v>318</v>
      </c>
      <c r="W75" s="46" t="s">
        <v>51</v>
      </c>
      <c r="X75" s="46" t="s">
        <v>51</v>
      </c>
      <c r="Y75" s="35" t="s">
        <v>622</v>
      </c>
    </row>
    <row r="76" spans="1:36" ht="60">
      <c r="A76" s="86">
        <v>388</v>
      </c>
      <c r="B76" s="87">
        <v>45492</v>
      </c>
      <c r="C76" s="41">
        <v>0.4199074074074074</v>
      </c>
      <c r="D76" s="36">
        <v>2017</v>
      </c>
      <c r="E76" s="43">
        <v>1205</v>
      </c>
      <c r="F76" s="36" t="s">
        <v>34</v>
      </c>
      <c r="G76" s="36">
        <v>1035</v>
      </c>
      <c r="H76" s="36" t="s">
        <v>35</v>
      </c>
      <c r="I76" s="47">
        <v>6.13</v>
      </c>
      <c r="J76" s="40" t="str">
        <f>VLOOKUP(I76,Liste!$L$2:$O$34,4,1)</f>
        <v>GSMR_02/03</v>
      </c>
      <c r="K76" s="37">
        <v>1</v>
      </c>
      <c r="L76" s="88" t="s">
        <v>3545</v>
      </c>
      <c r="M76" s="34" t="s">
        <v>902</v>
      </c>
      <c r="N76" s="36" t="s">
        <v>531</v>
      </c>
      <c r="O76" s="36" t="s">
        <v>3528</v>
      </c>
      <c r="P76" s="36" t="s">
        <v>3528</v>
      </c>
      <c r="Q76" s="36" t="s">
        <v>3547</v>
      </c>
      <c r="R76" s="36" t="s">
        <v>3528</v>
      </c>
      <c r="S76" s="35" t="s">
        <v>768</v>
      </c>
      <c r="T76" s="39" t="s">
        <v>903</v>
      </c>
      <c r="U76" s="46" t="s">
        <v>69</v>
      </c>
      <c r="V76" s="46" t="s">
        <v>673</v>
      </c>
      <c r="W76" s="46" t="s">
        <v>51</v>
      </c>
      <c r="X76" s="46" t="s">
        <v>51</v>
      </c>
      <c r="Y76" s="35" t="s">
        <v>622</v>
      </c>
    </row>
    <row r="77" spans="1:36" ht="72">
      <c r="A77" s="86">
        <v>390</v>
      </c>
      <c r="B77" s="87">
        <v>45492</v>
      </c>
      <c r="C77" s="41">
        <v>0.79517361111111107</v>
      </c>
      <c r="D77" s="36">
        <v>2053</v>
      </c>
      <c r="E77" s="43">
        <v>1205</v>
      </c>
      <c r="F77" s="36" t="s">
        <v>34</v>
      </c>
      <c r="G77" s="36">
        <v>7217</v>
      </c>
      <c r="H77" s="36" t="s">
        <v>35</v>
      </c>
      <c r="I77" s="47">
        <v>6.13</v>
      </c>
      <c r="J77" s="40" t="str">
        <f>VLOOKUP(I77,Liste!$L$2:$O$34,4,1)</f>
        <v>GSMR_02/03</v>
      </c>
      <c r="K77" s="37">
        <v>1</v>
      </c>
      <c r="L77" s="88" t="s">
        <v>3545</v>
      </c>
      <c r="M77" s="34" t="s">
        <v>906</v>
      </c>
      <c r="N77" s="36" t="s">
        <v>531</v>
      </c>
      <c r="O77" s="36" t="s">
        <v>3528</v>
      </c>
      <c r="P77" s="36" t="s">
        <v>3528</v>
      </c>
      <c r="Q77" s="36" t="s">
        <v>3547</v>
      </c>
      <c r="R77" s="36" t="s">
        <v>3528</v>
      </c>
      <c r="S77" s="35" t="s">
        <v>768</v>
      </c>
      <c r="T77" s="39" t="s">
        <v>861</v>
      </c>
      <c r="U77" s="46" t="s">
        <v>56</v>
      </c>
      <c r="V77" s="46" t="s">
        <v>183</v>
      </c>
      <c r="W77" s="46" t="s">
        <v>43</v>
      </c>
      <c r="X77" s="46" t="s">
        <v>51</v>
      </c>
      <c r="Y77" s="35" t="s">
        <v>622</v>
      </c>
    </row>
    <row r="78" spans="1:36" ht="72">
      <c r="A78" s="86">
        <v>391</v>
      </c>
      <c r="B78" s="87">
        <v>45492</v>
      </c>
      <c r="C78" s="41">
        <v>0.83685185185185185</v>
      </c>
      <c r="D78" s="36">
        <v>2057</v>
      </c>
      <c r="E78" s="43">
        <v>1211</v>
      </c>
      <c r="F78" s="36" t="s">
        <v>34</v>
      </c>
      <c r="G78" s="36">
        <v>1028</v>
      </c>
      <c r="H78" s="36" t="s">
        <v>35</v>
      </c>
      <c r="I78" s="47">
        <v>6.13</v>
      </c>
      <c r="J78" s="40" t="str">
        <f>VLOOKUP(I78,Liste!$L$2:$O$34,4,1)</f>
        <v>GSMR_02/03</v>
      </c>
      <c r="K78" s="37">
        <v>1</v>
      </c>
      <c r="L78" s="88" t="s">
        <v>3545</v>
      </c>
      <c r="M78" s="34" t="s">
        <v>907</v>
      </c>
      <c r="N78" s="36" t="s">
        <v>531</v>
      </c>
      <c r="O78" s="36" t="s">
        <v>3528</v>
      </c>
      <c r="P78" s="36" t="s">
        <v>3528</v>
      </c>
      <c r="Q78" s="36" t="s">
        <v>3547</v>
      </c>
      <c r="R78" s="36" t="s">
        <v>3528</v>
      </c>
      <c r="S78" s="35" t="s">
        <v>768</v>
      </c>
      <c r="T78" s="39" t="s">
        <v>908</v>
      </c>
      <c r="U78" s="46" t="s">
        <v>116</v>
      </c>
      <c r="V78" s="46" t="s">
        <v>387</v>
      </c>
      <c r="W78" s="46" t="s">
        <v>43</v>
      </c>
      <c r="X78" s="46" t="s">
        <v>51</v>
      </c>
      <c r="Y78" s="35" t="s">
        <v>622</v>
      </c>
    </row>
    <row r="79" spans="1:36" ht="72">
      <c r="A79" s="86">
        <v>397</v>
      </c>
      <c r="B79" s="87">
        <v>45494</v>
      </c>
      <c r="C79" s="41">
        <v>0.58709490740740744</v>
      </c>
      <c r="D79" s="36">
        <v>2033</v>
      </c>
      <c r="E79" s="43">
        <v>1203</v>
      </c>
      <c r="F79" s="36" t="s">
        <v>34</v>
      </c>
      <c r="G79" s="36">
        <v>1022</v>
      </c>
      <c r="H79" s="36" t="s">
        <v>35</v>
      </c>
      <c r="I79" s="47">
        <v>6.13</v>
      </c>
      <c r="J79" s="40" t="s">
        <v>790</v>
      </c>
      <c r="K79" s="37">
        <v>1</v>
      </c>
      <c r="L79" s="88" t="s">
        <v>3545</v>
      </c>
      <c r="M79" s="34" t="s">
        <v>919</v>
      </c>
      <c r="N79" s="36" t="s">
        <v>531</v>
      </c>
      <c r="O79" s="36" t="s">
        <v>3528</v>
      </c>
      <c r="P79" s="36" t="s">
        <v>3528</v>
      </c>
      <c r="Q79" s="36" t="s">
        <v>3547</v>
      </c>
      <c r="R79" s="36" t="s">
        <v>3528</v>
      </c>
      <c r="S79" s="35" t="s">
        <v>768</v>
      </c>
      <c r="T79" s="39" t="s">
        <v>920</v>
      </c>
      <c r="U79" s="46" t="s">
        <v>56</v>
      </c>
      <c r="V79" s="46" t="s">
        <v>108</v>
      </c>
      <c r="W79" s="46" t="s">
        <v>51</v>
      </c>
      <c r="X79" s="46" t="s">
        <v>51</v>
      </c>
      <c r="Y79" s="35" t="s">
        <v>622</v>
      </c>
    </row>
    <row r="80" spans="1:36" ht="72">
      <c r="A80" s="86">
        <v>400</v>
      </c>
      <c r="B80" s="87">
        <v>45494</v>
      </c>
      <c r="C80" s="41">
        <v>0.79520833333333329</v>
      </c>
      <c r="D80" s="36">
        <v>2053</v>
      </c>
      <c r="E80" s="43">
        <v>1208</v>
      </c>
      <c r="F80" s="36" t="s">
        <v>34</v>
      </c>
      <c r="G80" s="36">
        <v>1036</v>
      </c>
      <c r="H80" s="36" t="s">
        <v>35</v>
      </c>
      <c r="I80" s="47">
        <v>6.13</v>
      </c>
      <c r="J80" s="40" t="s">
        <v>790</v>
      </c>
      <c r="K80" s="37">
        <v>1</v>
      </c>
      <c r="L80" s="88" t="s">
        <v>3545</v>
      </c>
      <c r="M80" s="34" t="s">
        <v>925</v>
      </c>
      <c r="N80" s="36" t="s">
        <v>531</v>
      </c>
      <c r="O80" s="36" t="s">
        <v>3528</v>
      </c>
      <c r="P80" s="36" t="s">
        <v>3528</v>
      </c>
      <c r="Q80" s="36" t="s">
        <v>3547</v>
      </c>
      <c r="R80" s="36" t="s">
        <v>3528</v>
      </c>
      <c r="S80" s="35" t="s">
        <v>768</v>
      </c>
      <c r="T80" s="39" t="s">
        <v>926</v>
      </c>
      <c r="U80" s="46" t="s">
        <v>209</v>
      </c>
      <c r="V80" s="46" t="s">
        <v>197</v>
      </c>
      <c r="W80" s="46" t="s">
        <v>43</v>
      </c>
      <c r="X80" s="46" t="s">
        <v>51</v>
      </c>
      <c r="Y80" s="35" t="s">
        <v>227</v>
      </c>
    </row>
    <row r="81" spans="1:25" ht="72">
      <c r="A81" s="86">
        <v>411</v>
      </c>
      <c r="B81" s="87">
        <v>45496</v>
      </c>
      <c r="C81" s="41" t="s">
        <v>951</v>
      </c>
      <c r="D81" s="36">
        <v>2061</v>
      </c>
      <c r="E81" s="43">
        <v>1210</v>
      </c>
      <c r="F81" s="36" t="s">
        <v>71</v>
      </c>
      <c r="G81" s="36">
        <v>1072</v>
      </c>
      <c r="H81" s="36" t="s">
        <v>72</v>
      </c>
      <c r="I81" s="47">
        <v>7.3209999999999997</v>
      </c>
      <c r="J81" s="40" t="s">
        <v>790</v>
      </c>
      <c r="K81" s="37">
        <v>1</v>
      </c>
      <c r="L81" s="88" t="s">
        <v>3545</v>
      </c>
      <c r="M81" s="34" t="s">
        <v>952</v>
      </c>
      <c r="N81" s="36" t="s">
        <v>39</v>
      </c>
      <c r="O81" s="36" t="s">
        <v>3528</v>
      </c>
      <c r="P81" s="36" t="s">
        <v>3528</v>
      </c>
      <c r="Q81" s="36" t="s">
        <v>3547</v>
      </c>
      <c r="R81" s="36" t="s">
        <v>3528</v>
      </c>
      <c r="S81" s="35" t="s">
        <v>768</v>
      </c>
      <c r="T81" s="39" t="s">
        <v>953</v>
      </c>
      <c r="U81" s="46" t="s">
        <v>78</v>
      </c>
      <c r="V81" s="46" t="s">
        <v>339</v>
      </c>
      <c r="W81" s="46" t="s">
        <v>51</v>
      </c>
      <c r="X81" s="46" t="s">
        <v>51</v>
      </c>
      <c r="Y81" s="35" t="s">
        <v>946</v>
      </c>
    </row>
    <row r="82" spans="1:25" ht="72">
      <c r="A82" s="86">
        <v>411</v>
      </c>
      <c r="B82" s="30">
        <v>45538</v>
      </c>
      <c r="C82" s="41" t="s">
        <v>3561</v>
      </c>
      <c r="D82" s="36">
        <v>2025</v>
      </c>
      <c r="E82" s="43">
        <v>1201</v>
      </c>
      <c r="F82" s="36" t="s">
        <v>34</v>
      </c>
      <c r="G82" s="36">
        <v>7206</v>
      </c>
      <c r="H82" s="36" t="s">
        <v>35</v>
      </c>
      <c r="I82" s="43">
        <v>186.315</v>
      </c>
      <c r="J82" s="40" t="str">
        <f>VLOOKUP(I82,Liste!$L$2:$O$34,4,1)</f>
        <v>GSMR_32/33</v>
      </c>
      <c r="K82" s="37">
        <v>1</v>
      </c>
      <c r="L82" s="88" t="s">
        <v>3545</v>
      </c>
      <c r="M82" s="34" t="s">
        <v>3562</v>
      </c>
      <c r="N82" s="28" t="s">
        <v>531</v>
      </c>
      <c r="O82" s="36" t="s">
        <v>3528</v>
      </c>
      <c r="P82" s="36" t="s">
        <v>3528</v>
      </c>
      <c r="Q82" s="36" t="s">
        <v>3547</v>
      </c>
      <c r="R82" s="36" t="s">
        <v>3528</v>
      </c>
      <c r="S82" s="29" t="s">
        <v>808</v>
      </c>
      <c r="T82" s="39" t="s">
        <v>3563</v>
      </c>
      <c r="U82" s="36" t="s">
        <v>69</v>
      </c>
      <c r="V82" s="36" t="s">
        <v>120</v>
      </c>
      <c r="W82" s="36" t="s">
        <v>51</v>
      </c>
      <c r="X82" s="36" t="s">
        <v>51</v>
      </c>
      <c r="Y82" s="35" t="s">
        <v>227</v>
      </c>
    </row>
  </sheetData>
  <autoFilter ref="A1:AJ1" xr:uid="{00000000-0009-0000-0000-000004000000}"/>
  <conditionalFormatting sqref="N48:N82">
    <cfRule type="beginsWith" dxfId="20" priority="4" operator="beginsWith" text="traces">
      <formula>LEFT(N48,LEN("traces"))="traces"</formula>
    </cfRule>
    <cfRule type="containsText" dxfId="19" priority="5" operator="containsText" text="à fournir">
      <formula>NOT(ISERROR(SEARCH("à fournir",N48)))</formula>
    </cfRule>
    <cfRule type="containsText" dxfId="18" priority="6" operator="containsText" text="fait">
      <formula>NOT(ISERROR(SEARCH("fait",N48)))</formula>
    </cfRule>
  </conditionalFormatting>
  <conditionalFormatting sqref="O2:R4">
    <cfRule type="beginsWith" dxfId="17" priority="109" operator="beginsWith" text="traces">
      <formula>LEFT(O2,LEN("traces"))="traces"</formula>
    </cfRule>
    <cfRule type="containsText" dxfId="16" priority="110" operator="containsText" text="à fournir">
      <formula>NOT(ISERROR(SEARCH("à fournir",O2)))</formula>
    </cfRule>
    <cfRule type="containsText" dxfId="15" priority="111" operator="containsText" text="fait">
      <formula>NOT(ISERROR(SEARCH("fait",O2)))</formula>
    </cfRule>
  </conditionalFormatting>
  <conditionalFormatting sqref="O9:R10">
    <cfRule type="beginsWith" dxfId="14" priority="100" operator="beginsWith" text="traces">
      <formula>LEFT(O9,LEN("traces"))="traces"</formula>
    </cfRule>
    <cfRule type="containsText" dxfId="13" priority="101" operator="containsText" text="à fournir">
      <formula>NOT(ISERROR(SEARCH("à fournir",O9)))</formula>
    </cfRule>
    <cfRule type="containsText" dxfId="12" priority="102" operator="containsText" text="fait">
      <formula>NOT(ISERROR(SEARCH("fait",O9)))</formula>
    </cfRule>
  </conditionalFormatting>
  <conditionalFormatting sqref="O42:R82">
    <cfRule type="beginsWith" dxfId="11" priority="55" operator="beginsWith" text="traces">
      <formula>LEFT(O42,LEN("traces"))="traces"</formula>
    </cfRule>
    <cfRule type="containsText" dxfId="10" priority="56" operator="containsText" text="à fournir">
      <formula>NOT(ISERROR(SEARCH("à fournir",O42)))</formula>
    </cfRule>
    <cfRule type="containsText" dxfId="9" priority="57" operator="containsText" text="fait">
      <formula>NOT(ISERROR(SEARCH("fait",O42)))</formula>
    </cfRule>
  </conditionalFormatting>
  <conditionalFormatting sqref="P5:R8">
    <cfRule type="beginsWith" dxfId="8" priority="106" operator="beginsWith" text="traces">
      <formula>LEFT(P5,LEN("traces"))="traces"</formula>
    </cfRule>
    <cfRule type="containsText" dxfId="7" priority="107" operator="containsText" text="à fournir">
      <formula>NOT(ISERROR(SEARCH("à fournir",P5)))</formula>
    </cfRule>
    <cfRule type="containsText" dxfId="6" priority="108" operator="containsText" text="fait">
      <formula>NOT(ISERROR(SEARCH("fait",P5)))</formula>
    </cfRule>
  </conditionalFormatting>
  <conditionalFormatting sqref="P11:R41 AR40:AU41 BT40:BW41 CV40:CY41 DX40:EA41 EZ40:FC41 GB40:GE41 HD40:HG41 IF40:II41 JH40:JK41 KJ40:KM41 LL40:LO41 MN40:MQ41 NP40:NS41 OR40:OU41 PT40:PW41 QV40:QY41 RX40:SA41 SZ40:TC41 UB40:UE41 VD40:VG41 WF40:WI41 XH40:XK41 YJ40:YM41 ZL40:ZO41 AAN40:AAQ41 ABP40:ABS41 ACR40:ACU41 ADT40:ADW41 AEV40:AEY41 AFX40:AGA41 AGZ40:AHC41 AIB40:AIE41 AJD40:AJG41 AKF40:AKI41 ALH40:ALK41 AMJ40:AMM41 ANL40:ANO41 AON40:AOQ41 APP40:APS41 AQR40:AQU41 ART40:ARW41 ASV40:ASY41 ATX40:AUA41 AUZ40:AVC41 AWB40:AWE41 AXD40:AXG41 AYF40:AYI41 AZH40:AZK41 BAJ40:BAM41 BBL40:BBO41 BCN40:BCQ41 BDP40:BDS41 BER40:BEU41 BFT40:BFW41 BGV40:BGY41 BHX40:BIA41 BIZ40:BJC41 BKB40:BKE41 BLD40:BLG41 BMF40:BMI41 BNH40:BNK41 BOJ40:BOM41 BPL40:BPO41 BQN40:BQQ41 BRP40:BRS41 BSR40:BSU41 BTT40:BTW41 BUV40:BUY41 BVX40:BWA41 BWZ40:BXC41 BYB40:BYE41 BZD40:BZG41 CAF40:CAI41 CBH40:CBK41 CCJ40:CCM41 CDL40:CDO41 CEN40:CEQ41 CFP40:CFS41 CGR40:CGU41 CHT40:CHW41 CIV40:CIY41 CJX40:CKA41 CKZ40:CLC41 CMB40:CME41 CND40:CNG41 COF40:COI41 CPH40:CPK41 CQJ40:CQM41 CRL40:CRO41 CSN40:CSQ41 CTP40:CTS41 CUR40:CUU41 CVT40:CVW41 CWV40:CWY41 CXX40:CYA41 CYZ40:CZC41 DAB40:DAE41 DBD40:DBG41 DCF40:DCI41 DDH40:DDK41 DEJ40:DEM41 DFL40:DFO41 DGN40:DGQ41 DHP40:DHS41 DIR40:DIU41 DJT40:DJW41 DKV40:DKY41 DLX40:DMA41 DMZ40:DNC41 DOB40:DOE41 DPD40:DPG41 DQF40:DQI41 DRH40:DRK41 DSJ40:DSM41 DTL40:DTO41 DUN40:DUQ41 DVP40:DVS41 DWR40:DWU41 DXT40:DXW41 DYV40:DYY41 DZX40:EAA41 EAZ40:EBC41 ECB40:ECE41 EDD40:EDG41 EEF40:EEI41 EFH40:EFK41 EGJ40:EGM41 EHL40:EHO41 EIN40:EIQ41 EJP40:EJS41 EKR40:EKU41 ELT40:ELW41 EMV40:EMY41 ENX40:EOA41 EOZ40:EPC41 EQB40:EQE41 ERD40:ERG41 ESF40:ESI41 ETH40:ETK41 EUJ40:EUM41 EVL40:EVO41 EWN40:EWQ41 EXP40:EXS41 EYR40:EYU41 EZT40:EZW41 FAV40:FAY41 FBX40:FCA41 FCZ40:FDC41 FEB40:FEE41 FFD40:FFG41 FGF40:FGI41 FHH40:FHK41 FIJ40:FIM41 FJL40:FJO41 FKN40:FKQ41 FLP40:FLS41 FMR40:FMU41 FNT40:FNW41 FOV40:FOY41 FPX40:FQA41 FQZ40:FRC41 FSB40:FSE41 FTD40:FTG41 FUF40:FUI41 FVH40:FVK41 FWJ40:FWM41 FXL40:FXO41 FYN40:FYQ41 FZP40:FZS41 GAR40:GAU41 GBT40:GBW41 GCV40:GCY41 GDX40:GEA41 GEZ40:GFC41 GGB40:GGE41 GHD40:GHG41 GIF40:GII41 GJH40:GJK41 GKJ40:GKM41 GLL40:GLO41 GMN40:GMQ41 GNP40:GNS41 GOR40:GOU41 GPT40:GPW41 GQV40:GQY41 GRX40:GSA41 GSZ40:GTC41 GUB40:GUE41 GVD40:GVG41 GWF40:GWI41 GXH40:GXK41 GYJ40:GYM41 GZL40:GZO41 HAN40:HAQ41 HBP40:HBS41 HCR40:HCU41 HDT40:HDW41 HEV40:HEY41 HFX40:HGA41 HGZ40:HHC41 HIB40:HIE41 HJD40:HJG41 HKF40:HKI41 HLH40:HLK41 HMJ40:HMM41 HNL40:HNO41 HON40:HOQ41 HPP40:HPS41 HQR40:HQU41 HRT40:HRW41 HSV40:HSY41 HTX40:HUA41 HUZ40:HVC41 HWB40:HWE41 HXD40:HXG41 HYF40:HYI41 HZH40:HZK41 IAJ40:IAM41 IBL40:IBO41 ICN40:ICQ41 IDP40:IDS41 IER40:IEU41 IFT40:IFW41 IGV40:IGY41 IHX40:IIA41 IIZ40:IJC41 IKB40:IKE41 ILD40:ILG41 IMF40:IMI41 INH40:INK41 IOJ40:IOM41 IPL40:IPO41 IQN40:IQQ41 IRP40:IRS41 ISR40:ISU41 ITT40:ITW41 IUV40:IUY41 IVX40:IWA41 IWZ40:IXC41 IYB40:IYE41 IZD40:IZG41 JAF40:JAI41 JBH40:JBK41 JCJ40:JCM41 JDL40:JDO41 JEN40:JEQ41 JFP40:JFS41 JGR40:JGU41 JHT40:JHW41 JIV40:JIY41 JJX40:JKA41 JKZ40:JLC41 JMB40:JME41 JND40:JNG41 JOF40:JOI41 JPH40:JPK41 JQJ40:JQM41 JRL40:JRO41 JSN40:JSQ41 JTP40:JTS41 JUR40:JUU41 JVT40:JVW41 JWV40:JWY41 JXX40:JYA41 JYZ40:JZC41 KAB40:KAE41 KBD40:KBG41 KCF40:KCI41 KDH40:KDK41 KEJ40:KEM41 KFL40:KFO41 KGN40:KGQ41 KHP40:KHS41 KIR40:KIU41 KJT40:KJW41 KKV40:KKY41 KLX40:KMA41 KMZ40:KNC41 KOB40:KOE41 KPD40:KPG41 KQF40:KQI41 KRH40:KRK41 KSJ40:KSM41 KTL40:KTO41 KUN40:KUQ41 KVP40:KVS41 KWR40:KWU41 KXT40:KXW41 KYV40:KYY41 KZX40:LAA41 LAZ40:LBC41 LCB40:LCE41 LDD40:LDG41 LEF40:LEI41 LFH40:LFK41 LGJ40:LGM41 LHL40:LHO41 LIN40:LIQ41 LJP40:LJS41 LKR40:LKU41 LLT40:LLW41 LMV40:LMY41 LNX40:LOA41 LOZ40:LPC41 LQB40:LQE41 LRD40:LRG41 LSF40:LSI41 LTH40:LTK41 LUJ40:LUM41 LVL40:LVO41 LWN40:LWQ41 LXP40:LXS41 LYR40:LYU41 LZT40:LZW41 MAV40:MAY41 MBX40:MCA41 MCZ40:MDC41 MEB40:MEE41 MFD40:MFG41 MGF40:MGI41 MHH40:MHK41 MIJ40:MIM41 MJL40:MJO41 MKN40:MKQ41 MLP40:MLS41 MMR40:MMU41 MNT40:MNW41 MOV40:MOY41 MPX40:MQA41 MQZ40:MRC41 MSB40:MSE41 MTD40:MTG41 MUF40:MUI41 MVH40:MVK41 MWJ40:MWM41 MXL40:MXO41 MYN40:MYQ41 MZP40:MZS41 NAR40:NAU41 NBT40:NBW41 NCV40:NCY41 NDX40:NEA41 NEZ40:NFC41 NGB40:NGE41 NHD40:NHG41 NIF40:NII41 NJH40:NJK41 NKJ40:NKM41 NLL40:NLO41 NMN40:NMQ41 NNP40:NNS41 NOR40:NOU41 NPT40:NPW41 NQV40:NQY41 NRX40:NSA41 NSZ40:NTC41 NUB40:NUE41 NVD40:NVG41 NWF40:NWI41 NXH40:NXK41 NYJ40:NYM41 NZL40:NZO41 OAN40:OAQ41 OBP40:OBS41 OCR40:OCU41 ODT40:ODW41 OEV40:OEY41 OFX40:OGA41 OGZ40:OHC41 OIB40:OIE41 OJD40:OJG41 OKF40:OKI41 OLH40:OLK41 OMJ40:OMM41 ONL40:ONO41 OON40:OOQ41 OPP40:OPS41 OQR40:OQU41 ORT40:ORW41 OSV40:OSY41 OTX40:OUA41 OUZ40:OVC41 OWB40:OWE41 OXD40:OXG41 OYF40:OYI41 OZH40:OZK41 PAJ40:PAM41 PBL40:PBO41 PCN40:PCQ41 PDP40:PDS41 PER40:PEU41 PFT40:PFW41 PGV40:PGY41 PHX40:PIA41 PIZ40:PJC41 PKB40:PKE41 PLD40:PLG41 PMF40:PMI41 PNH40:PNK41 POJ40:POM41 PPL40:PPO41 PQN40:PQQ41 PRP40:PRS41 PSR40:PSU41 PTT40:PTW41 PUV40:PUY41 PVX40:PWA41 PWZ40:PXC41 PYB40:PYE41 PZD40:PZG41 QAF40:QAI41 QBH40:QBK41 QCJ40:QCM41 QDL40:QDO41 QEN40:QEQ41 QFP40:QFS41 QGR40:QGU41 QHT40:QHW41 QIV40:QIY41 QJX40:QKA41 QKZ40:QLC41 QMB40:QME41 QND40:QNG41 QOF40:QOI41 QPH40:QPK41 QQJ40:QQM41 QRL40:QRO41 QSN40:QSQ41 QTP40:QTS41 QUR40:QUU41 QVT40:QVW41 QWV40:QWY41 QXX40:QYA41 QYZ40:QZC41 RAB40:RAE41 RBD40:RBG41 RCF40:RCI41 RDH40:RDK41 REJ40:REM41 RFL40:RFO41 RGN40:RGQ41 RHP40:RHS41 RIR40:RIU41 RJT40:RJW41 RKV40:RKY41 RLX40:RMA41 RMZ40:RNC41 ROB40:ROE41 RPD40:RPG41 RQF40:RQI41 RRH40:RRK41 RSJ40:RSM41 RTL40:RTO41 RUN40:RUQ41 RVP40:RVS41 RWR40:RWU41 RXT40:RXW41 RYV40:RYY41 RZX40:SAA41 SAZ40:SBC41 SCB40:SCE41 SDD40:SDG41 SEF40:SEI41 SFH40:SFK41 SGJ40:SGM41 SHL40:SHO41 SIN40:SIQ41 SJP40:SJS41 SKR40:SKU41 SLT40:SLW41 SMV40:SMY41 SNX40:SOA41 SOZ40:SPC41 SQB40:SQE41 SRD40:SRG41 SSF40:SSI41 STH40:STK41 SUJ40:SUM41 SVL40:SVO41 SWN40:SWQ41 SXP40:SXS41 SYR40:SYU41 SZT40:SZW41 TAV40:TAY41 TBX40:TCA41 TCZ40:TDC41 TEB40:TEE41 TFD40:TFG41 TGF40:TGI41 THH40:THK41 TIJ40:TIM41 TJL40:TJO41 TKN40:TKQ41 TLP40:TLS41 TMR40:TMU41 TNT40:TNW41 TOV40:TOY41 TPX40:TQA41 TQZ40:TRC41 TSB40:TSE41 TTD40:TTG41 TUF40:TUI41 TVH40:TVK41 TWJ40:TWM41 TXL40:TXO41 TYN40:TYQ41 TZP40:TZS41 UAR40:UAU41 UBT40:UBW41 UCV40:UCY41 UDX40:UEA41 UEZ40:UFC41 UGB40:UGE41 UHD40:UHG41 UIF40:UII41 UJH40:UJK41 UKJ40:UKM41 ULL40:ULO41 UMN40:UMQ41 UNP40:UNS41 UOR40:UOU41 UPT40:UPW41 UQV40:UQY41 URX40:USA41 USZ40:UTC41 UUB40:UUE41 UVD40:UVG41 UWF40:UWI41 UXH40:UXK41 UYJ40:UYM41 UZL40:UZO41 VAN40:VAQ41 VBP40:VBS41 VCR40:VCU41 VDT40:VDW41 VEV40:VEY41 VFX40:VGA41 VGZ40:VHC41 VIB40:VIE41 VJD40:VJG41 VKF40:VKI41 VLH40:VLK41 VMJ40:VMM41 VNL40:VNO41 VON40:VOQ41 VPP40:VPS41 VQR40:VQU41 VRT40:VRW41 VSV40:VSY41 VTX40:VUA41 VUZ40:VVC41 VWB40:VWE41 VXD40:VXG41 VYF40:VYI41 VZH40:VZK41 WAJ40:WAM41 WBL40:WBO41 WCN40:WCQ41 WDP40:WDS41 WER40:WEU41 WFT40:WFW41 WGV40:WGY41 WHX40:WIA41 WIZ40:WJC41 WKB40:WKE41 WLD40:WLG41 WMF40:WMI41 WNH40:WNK41 WOJ40:WOM41 WPL40:WPO41 WQN40:WQQ41 WRP40:WRS41 WSR40:WSU41 WTT40:WTW41 WUV40:WUY41 WVX40:WWA41 WWZ40:WXC41 WYB40:WYE41 WZD40:WZG41 XAF40:XAI41 XBH40:XBK41 XCJ40:XCM41 XDL40:XDO41 XEN40:XEQ41">
    <cfRule type="beginsWith" dxfId="5" priority="76" operator="beginsWith" text="traces">
      <formula>LEFT(P11,LEN("traces"))="traces"</formula>
    </cfRule>
    <cfRule type="containsText" dxfId="4" priority="77" operator="containsText" text="à fournir">
      <formula>NOT(ISERROR(SEARCH("à fournir",P11)))</formula>
    </cfRule>
    <cfRule type="containsText" dxfId="3" priority="78" operator="containsText" text="fait">
      <formula>NOT(ISERROR(SEARCH("fait",P11)))</formula>
    </cfRule>
  </conditionalFormatting>
  <conditionalFormatting sqref="S82">
    <cfRule type="beginsWith" dxfId="2" priority="1" operator="beginsWith" text="traces">
      <formula>LEFT(S82,LEN("traces"))="traces"</formula>
    </cfRule>
    <cfRule type="containsText" dxfId="1" priority="2" operator="containsText" text="à fournir">
      <formula>NOT(ISERROR(SEARCH("à fournir",S82)))</formula>
    </cfRule>
    <cfRule type="containsText" dxfId="0" priority="3" operator="containsText" text="fait">
      <formula>NOT(ISERROR(SEARCH("fait",S82)))</formula>
    </cfRule>
  </conditionalFormatting>
  <dataValidations disablePrompts="1" count="5">
    <dataValidation type="list" allowBlank="1" showInputMessage="1" showErrorMessage="1" sqref="E31:E32" xr:uid="{00000000-0002-0000-0400-000000000000}">
      <formula1>INDIRECT(D33)</formula1>
    </dataValidation>
    <dataValidation type="list" allowBlank="1" showInputMessage="1" showErrorMessage="1" sqref="H2:H39" xr:uid="{00000000-0002-0000-0400-000001000000}">
      <formula1>Parcours</formula1>
    </dataValidation>
    <dataValidation type="list" allowBlank="1" showInputMessage="1" showErrorMessage="1" error="Numéro de rame erronée" sqref="E1" xr:uid="{00000000-0002-0000-0400-000002000000}">
      <formula1>#REF!</formula1>
    </dataValidation>
    <dataValidation type="list" errorStyle="warning" allowBlank="1" showInputMessage="1" showErrorMessage="1" error="Contributeur non prévu." sqref="AG1" xr:uid="{00000000-0002-0000-0400-000003000000}">
      <formula1>#REF!</formula1>
    </dataValidation>
    <dataValidation type="time" allowBlank="1" showInputMessage="1" showErrorMessage="1" error="Merci de saisir l'heure du début d'incident en resepctant le formation hh:mm" prompt="Heure du début d'incident" sqref="C65" xr:uid="{00000000-0002-0000-0400-000004000000}">
      <formula1>0</formula1>
      <formula2>0.999305555555556</formula2>
    </dataValidation>
  </dataValidations>
  <pageMargins left="0.7" right="0.7" top="0.75" bottom="0.75" header="0.3" footer="0.3"/>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00000000-0002-0000-0400-000005000000}">
          <x14:formula1>
            <xm:f>Liste!$Q$14:$Q$15</xm:f>
          </x14:formula1>
          <xm:sqref>H62:H82</xm:sqref>
        </x14:dataValidation>
        <x14:dataValidation type="list" allowBlank="1" showInputMessage="1" showErrorMessage="1" xr:uid="{00000000-0002-0000-0400-000006000000}">
          <x14:formula1>
            <xm:f>Liste!$T$2:$T$3</xm:f>
          </x14:formula1>
          <xm:sqref>F62:F82</xm:sqref>
        </x14:dataValidation>
        <x14:dataValidation type="list" allowBlank="1" showInputMessage="1" showErrorMessage="1" xr:uid="{00000000-0002-0000-0400-000007000000}">
          <x14:formula1>
            <xm:f>Liste!$Q$2:$Q$13</xm:f>
          </x14:formula1>
          <xm:sqref>E62:E82</xm:sqref>
        </x14:dataValidation>
        <x14:dataValidation type="list" allowBlank="1" showInputMessage="1" showErrorMessage="1" xr:uid="{00000000-0002-0000-0400-000008000000}">
          <x14:formula1>
            <xm:f>Liste!$R$2:$R$8</xm:f>
          </x14:formula1>
          <xm:sqref>N59:N60</xm:sqref>
        </x14:dataValidation>
        <x14:dataValidation type="list" allowBlank="1" showInputMessage="1" showErrorMessage="1" xr:uid="{00000000-0002-0000-0400-000009000000}">
          <x14:formula1>
            <xm:f>Liste!$R$2:$R$7</xm:f>
          </x14:formula1>
          <xm:sqref>N50:N58 N62:N72</xm:sqref>
        </x14:dataValidation>
        <x14:dataValidation type="list" showInputMessage="1" showErrorMessage="1" xr:uid="{00000000-0002-0000-0400-00000A000000}">
          <x14:formula1>
            <xm:f>Liste!$S$2:$S$20</xm:f>
          </x14:formula1>
          <xm:sqref>AB63:AB72</xm:sqref>
        </x14:dataValidation>
        <x14:dataValidation type="list" allowBlank="1" showInputMessage="1" showErrorMessage="1" xr:uid="{00000000-0002-0000-0400-00000B000000}">
          <x14:formula1>
            <xm:f>Liste!$S$2:$S$14</xm:f>
          </x14:formula1>
          <xm:sqref>AB60:AB62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BU28"/>
  <sheetViews>
    <sheetView topLeftCell="H1" zoomScale="110" zoomScaleNormal="110" workbookViewId="0">
      <selection activeCell="K18" sqref="K18"/>
    </sheetView>
  </sheetViews>
  <sheetFormatPr defaultColWidth="11.42578125" defaultRowHeight="15" customHeight="1"/>
  <cols>
    <col min="1" max="1" width="15.7109375" bestFit="1" customWidth="1"/>
    <col min="2" max="2" width="7.5703125" bestFit="1" customWidth="1"/>
    <col min="3" max="3" width="3.85546875" bestFit="1" customWidth="1"/>
    <col min="4" max="4" width="5.42578125" bestFit="1" customWidth="1"/>
    <col min="5" max="6" width="5.7109375" bestFit="1" customWidth="1"/>
    <col min="7" max="7" width="15.7109375" bestFit="1" customWidth="1"/>
    <col min="8" max="8" width="8.85546875" bestFit="1" customWidth="1"/>
    <col min="9" max="9" width="34" bestFit="1" customWidth="1"/>
    <col min="11" max="11" width="15.7109375" bestFit="1" customWidth="1"/>
    <col min="12" max="12" width="8.28515625" bestFit="1" customWidth="1"/>
    <col min="14" max="14" width="16.5703125" bestFit="1" customWidth="1"/>
    <col min="15" max="15" width="26.85546875" bestFit="1" customWidth="1"/>
    <col min="16" max="19" width="4.42578125" bestFit="1" customWidth="1"/>
    <col min="20" max="20" width="3.28515625" bestFit="1" customWidth="1"/>
    <col min="21" max="21" width="4.7109375" bestFit="1" customWidth="1"/>
    <col min="22" max="22" width="5" customWidth="1"/>
    <col min="23" max="23" width="3.28515625" bestFit="1" customWidth="1"/>
    <col min="24" max="26" width="5.5703125" bestFit="1" customWidth="1"/>
    <col min="27" max="27" width="10.85546875" bestFit="1" customWidth="1"/>
    <col min="28" max="28" width="15.7109375" bestFit="1" customWidth="1"/>
    <col min="29" max="29" width="23.85546875" bestFit="1" customWidth="1"/>
    <col min="30" max="30" width="22.42578125" bestFit="1" customWidth="1"/>
    <col min="31" max="32" width="12.5703125" bestFit="1" customWidth="1"/>
    <col min="33" max="33" width="6.28515625" customWidth="1"/>
    <col min="34" max="42" width="12.5703125" customWidth="1"/>
    <col min="43" max="43" width="12.5703125" bestFit="1" customWidth="1"/>
    <col min="44" max="44" width="15.7109375" bestFit="1" customWidth="1"/>
    <col min="45" max="45" width="23.85546875" bestFit="1" customWidth="1"/>
    <col min="46" max="50" width="12.5703125" bestFit="1" customWidth="1"/>
    <col min="51" max="51" width="11.85546875" bestFit="1" customWidth="1"/>
    <col min="52" max="52" width="13.5703125" customWidth="1"/>
    <col min="53" max="53" width="12.140625" customWidth="1"/>
    <col min="54" max="54" width="4.7109375" customWidth="1"/>
    <col min="55" max="55" width="10.85546875" customWidth="1"/>
    <col min="56" max="56" width="11" customWidth="1"/>
    <col min="57" max="57" width="10.28515625" customWidth="1"/>
    <col min="58" max="58" width="15.7109375" bestFit="1" customWidth="1"/>
    <col min="59" max="59" width="23.85546875" bestFit="1" customWidth="1"/>
    <col min="60" max="60" width="22.42578125" bestFit="1" customWidth="1"/>
    <col min="61" max="69" width="12.5703125" customWidth="1"/>
    <col min="70" max="70" width="11" bestFit="1" customWidth="1"/>
    <col min="71" max="71" width="15.7109375" bestFit="1" customWidth="1"/>
    <col min="72" max="72" width="23.85546875" bestFit="1" customWidth="1"/>
    <col min="73" max="75" width="12.5703125" bestFit="1" customWidth="1"/>
    <col min="76" max="76" width="13" bestFit="1" customWidth="1"/>
    <col min="77" max="81" width="12.5703125" bestFit="1" customWidth="1"/>
    <col min="82" max="84" width="12.28515625" bestFit="1" customWidth="1"/>
    <col min="85" max="86" width="12.5703125" bestFit="1" customWidth="1"/>
    <col min="87" max="104" width="13" bestFit="1" customWidth="1"/>
    <col min="105" max="105" width="15.5703125" bestFit="1" customWidth="1"/>
    <col min="106" max="106" width="5.85546875" bestFit="1" customWidth="1"/>
    <col min="107" max="107" width="6.28515625" bestFit="1" customWidth="1"/>
    <col min="108" max="108" width="12.5703125" bestFit="1" customWidth="1"/>
    <col min="109" max="109" width="8.7109375" customWidth="1"/>
    <col min="110" max="110" width="9.85546875" bestFit="1" customWidth="1"/>
    <col min="111" max="111" width="12.28515625" bestFit="1" customWidth="1"/>
    <col min="112" max="112" width="8.7109375" bestFit="1" customWidth="1"/>
    <col min="113" max="113" width="9.85546875" bestFit="1" customWidth="1"/>
    <col min="114" max="114" width="12.5703125" bestFit="1" customWidth="1"/>
    <col min="115" max="115" width="7.85546875" bestFit="1" customWidth="1"/>
    <col min="116" max="116" width="10.85546875" bestFit="1" customWidth="1"/>
    <col min="117" max="117" width="7.85546875" bestFit="1" customWidth="1"/>
    <col min="118" max="118" width="10.85546875" bestFit="1" customWidth="1"/>
    <col min="119" max="119" width="8.140625" bestFit="1" customWidth="1"/>
    <col min="120" max="120" width="11.28515625" bestFit="1" customWidth="1"/>
    <col min="121" max="121" width="12.5703125" bestFit="1" customWidth="1"/>
  </cols>
  <sheetData>
    <row r="1" spans="1:73" ht="15" customHeight="1">
      <c r="G1" s="106" t="s">
        <v>2</v>
      </c>
      <c r="H1" s="104" t="s">
        <v>3564</v>
      </c>
    </row>
    <row r="2" spans="1:73">
      <c r="A2" s="105" t="s">
        <v>1</v>
      </c>
      <c r="B2" t="s">
        <v>3565</v>
      </c>
      <c r="C2" s="1"/>
      <c r="D2" s="1"/>
      <c r="G2" s="106" t="s">
        <v>1</v>
      </c>
      <c r="H2" s="104" t="s">
        <v>3565</v>
      </c>
      <c r="K2" s="106" t="s">
        <v>1</v>
      </c>
      <c r="L2" s="104" t="s">
        <v>3565</v>
      </c>
      <c r="N2" s="106" t="s">
        <v>1</v>
      </c>
      <c r="O2" s="104" t="s">
        <v>3565</v>
      </c>
    </row>
    <row r="3" spans="1:73">
      <c r="B3" s="1"/>
      <c r="C3" s="1"/>
      <c r="D3" s="1"/>
      <c r="BS3" s="106" t="s">
        <v>2</v>
      </c>
      <c r="BT3" s="104" t="s">
        <v>3564</v>
      </c>
    </row>
    <row r="4" spans="1:73" ht="30">
      <c r="A4" s="234" t="s">
        <v>3566</v>
      </c>
      <c r="B4" s="1" t="s">
        <v>3567</v>
      </c>
      <c r="C4" s="1"/>
      <c r="D4" s="1"/>
      <c r="G4" s="110" t="s">
        <v>3568</v>
      </c>
      <c r="H4" s="232" t="s">
        <v>3569</v>
      </c>
      <c r="J4" s="1"/>
      <c r="K4" s="107" t="s">
        <v>11</v>
      </c>
      <c r="L4" s="108" t="s">
        <v>3570</v>
      </c>
      <c r="M4" s="1"/>
      <c r="N4" s="111" t="s">
        <v>3566</v>
      </c>
      <c r="O4" s="112" t="s">
        <v>3571</v>
      </c>
      <c r="P4" s="109"/>
      <c r="V4" s="2"/>
      <c r="AB4" s="106" t="s">
        <v>1</v>
      </c>
      <c r="AC4" s="104" t="s">
        <v>3565</v>
      </c>
      <c r="AR4" s="106" t="s">
        <v>1</v>
      </c>
      <c r="AS4" s="104" t="s">
        <v>3565</v>
      </c>
      <c r="BS4" s="106" t="s">
        <v>1</v>
      </c>
      <c r="BT4" s="104" t="s">
        <v>3565</v>
      </c>
    </row>
    <row r="5" spans="1:73" ht="48">
      <c r="A5" s="233" t="s">
        <v>3567</v>
      </c>
      <c r="B5" s="194" t="s">
        <v>34</v>
      </c>
      <c r="C5" s="194" t="s">
        <v>71</v>
      </c>
      <c r="D5" s="194" t="s">
        <v>3572</v>
      </c>
      <c r="G5" s="109" t="s">
        <v>39</v>
      </c>
      <c r="H5" s="104">
        <v>6</v>
      </c>
      <c r="K5" s="109" t="s">
        <v>790</v>
      </c>
      <c r="L5" s="104">
        <v>6</v>
      </c>
      <c r="N5" s="111" t="s">
        <v>5</v>
      </c>
      <c r="O5" s="113" t="s">
        <v>39</v>
      </c>
      <c r="P5" s="113" t="s">
        <v>3573</v>
      </c>
      <c r="V5" s="31"/>
    </row>
    <row r="6" spans="1:73">
      <c r="A6" s="2">
        <v>1204</v>
      </c>
      <c r="B6" s="1">
        <v>1</v>
      </c>
      <c r="C6" s="1"/>
      <c r="D6" s="1">
        <v>1</v>
      </c>
      <c r="G6" s="109" t="s">
        <v>3573</v>
      </c>
      <c r="H6" s="104">
        <v>6</v>
      </c>
      <c r="K6" s="109" t="s">
        <v>3573</v>
      </c>
      <c r="L6" s="104">
        <v>6</v>
      </c>
      <c r="N6" s="109">
        <v>1204</v>
      </c>
      <c r="O6" s="104">
        <v>1</v>
      </c>
      <c r="P6" s="104">
        <v>1</v>
      </c>
      <c r="AB6" s="106" t="s">
        <v>3570</v>
      </c>
      <c r="AC6" s="106" t="s">
        <v>3574</v>
      </c>
      <c r="AD6" s="104"/>
      <c r="AE6" s="104"/>
      <c r="AR6" s="106" t="s">
        <v>3570</v>
      </c>
      <c r="AS6" s="106" t="s">
        <v>3574</v>
      </c>
      <c r="AT6" s="104"/>
      <c r="BS6" s="106" t="s">
        <v>3570</v>
      </c>
      <c r="BT6" s="107" t="s">
        <v>3574</v>
      </c>
      <c r="BU6" s="104"/>
    </row>
    <row r="7" spans="1:73">
      <c r="A7" s="2">
        <v>1205</v>
      </c>
      <c r="B7" s="1">
        <v>1</v>
      </c>
      <c r="C7" s="1"/>
      <c r="D7" s="1">
        <v>1</v>
      </c>
      <c r="N7" s="109">
        <v>1205</v>
      </c>
      <c r="O7" s="104">
        <v>1</v>
      </c>
      <c r="P7" s="104">
        <v>1</v>
      </c>
      <c r="AB7" s="107" t="s">
        <v>11</v>
      </c>
      <c r="AC7" s="104" t="s">
        <v>58</v>
      </c>
      <c r="AD7" s="104" t="s">
        <v>37</v>
      </c>
      <c r="AE7" s="104" t="s">
        <v>3573</v>
      </c>
      <c r="AR7" s="107" t="s">
        <v>11</v>
      </c>
      <c r="AS7" s="104" t="s">
        <v>39</v>
      </c>
      <c r="AT7" s="104" t="s">
        <v>3573</v>
      </c>
      <c r="BS7" s="106" t="s">
        <v>11</v>
      </c>
      <c r="BT7" s="104" t="s">
        <v>790</v>
      </c>
      <c r="BU7" s="104" t="s">
        <v>3573</v>
      </c>
    </row>
    <row r="8" spans="1:73">
      <c r="A8" s="2">
        <v>1206</v>
      </c>
      <c r="B8" s="1">
        <v>1</v>
      </c>
      <c r="C8" s="1"/>
      <c r="D8" s="1">
        <v>1</v>
      </c>
      <c r="N8" s="109">
        <v>1206</v>
      </c>
      <c r="O8" s="104">
        <v>1</v>
      </c>
      <c r="P8" s="104">
        <v>1</v>
      </c>
      <c r="AB8" s="109" t="s">
        <v>790</v>
      </c>
      <c r="AC8" s="104">
        <v>2</v>
      </c>
      <c r="AD8" s="104">
        <v>4</v>
      </c>
      <c r="AE8" s="104">
        <v>6</v>
      </c>
      <c r="AR8" s="109" t="s">
        <v>790</v>
      </c>
      <c r="AS8" s="104">
        <v>6</v>
      </c>
      <c r="AT8" s="104">
        <v>6</v>
      </c>
      <c r="BS8" s="109">
        <v>1204</v>
      </c>
      <c r="BT8" s="104">
        <v>1</v>
      </c>
      <c r="BU8" s="104">
        <v>1</v>
      </c>
    </row>
    <row r="9" spans="1:73">
      <c r="A9" s="2">
        <v>1207</v>
      </c>
      <c r="B9" s="1"/>
      <c r="C9" s="1">
        <v>2</v>
      </c>
      <c r="D9" s="1">
        <v>2</v>
      </c>
      <c r="N9" s="109">
        <v>1207</v>
      </c>
      <c r="O9" s="104">
        <v>2</v>
      </c>
      <c r="P9" s="104">
        <v>2</v>
      </c>
      <c r="AB9" s="109" t="s">
        <v>3573</v>
      </c>
      <c r="AC9" s="104">
        <v>2</v>
      </c>
      <c r="AD9" s="104">
        <v>4</v>
      </c>
      <c r="AE9" s="104">
        <v>6</v>
      </c>
      <c r="AR9" s="109" t="s">
        <v>3573</v>
      </c>
      <c r="AS9" s="104">
        <v>6</v>
      </c>
      <c r="AT9" s="104">
        <v>6</v>
      </c>
      <c r="BS9" s="114" t="s">
        <v>34</v>
      </c>
      <c r="BT9" s="104">
        <v>1</v>
      </c>
      <c r="BU9" s="104">
        <v>1</v>
      </c>
    </row>
    <row r="10" spans="1:73">
      <c r="A10" s="2">
        <v>1210</v>
      </c>
      <c r="B10" s="1">
        <v>1</v>
      </c>
      <c r="C10" s="1"/>
      <c r="D10" s="1">
        <v>1</v>
      </c>
      <c r="N10" s="109">
        <v>1210</v>
      </c>
      <c r="O10" s="104">
        <v>1</v>
      </c>
      <c r="P10" s="104">
        <v>1</v>
      </c>
      <c r="BS10" s="109">
        <v>1205</v>
      </c>
      <c r="BT10" s="104">
        <v>1</v>
      </c>
      <c r="BU10" s="104">
        <v>1</v>
      </c>
    </row>
    <row r="11" spans="1:73">
      <c r="A11" s="2" t="s">
        <v>3572</v>
      </c>
      <c r="B11" s="1">
        <v>4</v>
      </c>
      <c r="C11" s="1">
        <v>2</v>
      </c>
      <c r="D11" s="1">
        <v>6</v>
      </c>
      <c r="N11" s="109" t="s">
        <v>3573</v>
      </c>
      <c r="O11" s="104">
        <v>6</v>
      </c>
      <c r="P11" s="104">
        <v>6</v>
      </c>
      <c r="BS11" s="114" t="s">
        <v>34</v>
      </c>
      <c r="BT11" s="104">
        <v>1</v>
      </c>
      <c r="BU11" s="104">
        <v>1</v>
      </c>
    </row>
    <row r="12" spans="1:73">
      <c r="BS12" s="109">
        <v>1206</v>
      </c>
      <c r="BT12" s="104">
        <v>1</v>
      </c>
      <c r="BU12" s="104">
        <v>1</v>
      </c>
    </row>
    <row r="13" spans="1:73">
      <c r="BS13" s="114" t="s">
        <v>34</v>
      </c>
      <c r="BT13" s="104">
        <v>1</v>
      </c>
      <c r="BU13" s="104">
        <v>1</v>
      </c>
    </row>
    <row r="14" spans="1:73">
      <c r="BS14" s="109">
        <v>1207</v>
      </c>
      <c r="BT14" s="104">
        <v>2</v>
      </c>
      <c r="BU14" s="104">
        <v>2</v>
      </c>
    </row>
    <row r="15" spans="1:73">
      <c r="BS15" s="114" t="s">
        <v>71</v>
      </c>
      <c r="BT15" s="104">
        <v>2</v>
      </c>
      <c r="BU15" s="104">
        <v>2</v>
      </c>
    </row>
    <row r="16" spans="1:73">
      <c r="BS16" s="109">
        <v>1210</v>
      </c>
      <c r="BT16" s="104">
        <v>1</v>
      </c>
      <c r="BU16" s="104">
        <v>1</v>
      </c>
    </row>
    <row r="17" spans="71:73">
      <c r="BS17" s="114" t="s">
        <v>34</v>
      </c>
      <c r="BT17" s="104">
        <v>1</v>
      </c>
      <c r="BU17" s="104">
        <v>1</v>
      </c>
    </row>
    <row r="18" spans="71:73">
      <c r="BS18" s="109" t="s">
        <v>3573</v>
      </c>
      <c r="BT18" s="104">
        <v>6</v>
      </c>
      <c r="BU18" s="104">
        <v>6</v>
      </c>
    </row>
    <row r="19" spans="71:73"/>
    <row r="20" spans="71:73"/>
    <row r="21" spans="71:73"/>
    <row r="22" spans="71:73"/>
    <row r="23" spans="71:73"/>
    <row r="24" spans="71:73"/>
    <row r="25" spans="71:73"/>
    <row r="26" spans="71:73"/>
    <row r="27" spans="71:73"/>
    <row r="28" spans="71:73"/>
  </sheetData>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C5DC1-704D-42AB-9378-B5E2CB346B57}">
  <sheetPr>
    <tabColor rgb="FF92D050"/>
  </sheetPr>
  <dimension ref="A1:BM543"/>
  <sheetViews>
    <sheetView topLeftCell="AU1" zoomScale="86" workbookViewId="0">
      <selection activeCell="BB16" sqref="BB16"/>
    </sheetView>
  </sheetViews>
  <sheetFormatPr defaultColWidth="11.42578125" defaultRowHeight="15"/>
  <cols>
    <col min="1" max="1" width="21.85546875" bestFit="1" customWidth="1"/>
    <col min="2" max="2" width="24.7109375" bestFit="1" customWidth="1"/>
    <col min="3" max="3" width="12.5703125" bestFit="1" customWidth="1"/>
    <col min="4" max="4" width="6.42578125" bestFit="1" customWidth="1"/>
    <col min="5" max="5" width="4.5703125" bestFit="1" customWidth="1"/>
    <col min="6" max="6" width="13" bestFit="1" customWidth="1"/>
    <col min="7" max="7" width="10.7109375" bestFit="1" customWidth="1"/>
    <col min="8" max="8" width="12.28515625" bestFit="1" customWidth="1"/>
    <col min="9" max="9" width="13" bestFit="1" customWidth="1"/>
    <col min="10" max="10" width="4.42578125" bestFit="1" customWidth="1"/>
    <col min="11" max="13" width="12.5703125" bestFit="1" customWidth="1"/>
    <col min="14" max="14" width="13" bestFit="1" customWidth="1"/>
    <col min="15" max="15" width="6.42578125" bestFit="1" customWidth="1"/>
    <col min="16" max="16" width="12.28515625" bestFit="1" customWidth="1"/>
    <col min="17" max="17" width="4.5703125" bestFit="1" customWidth="1"/>
    <col min="18" max="18" width="10.7109375" bestFit="1" customWidth="1"/>
    <col min="19" max="19" width="13" bestFit="1" customWidth="1"/>
    <col min="20" max="20" width="12.140625" bestFit="1" customWidth="1"/>
    <col min="21" max="21" width="4.42578125" bestFit="1" customWidth="1"/>
    <col min="22" max="22" width="10.28515625" bestFit="1" customWidth="1"/>
    <col min="23" max="23" width="23.42578125" bestFit="1" customWidth="1"/>
    <col min="24" max="24" width="24.7109375" bestFit="1" customWidth="1"/>
    <col min="25" max="25" width="6.28515625" bestFit="1" customWidth="1"/>
    <col min="26" max="26" width="12.5703125" bestFit="1" customWidth="1"/>
    <col min="27" max="27" width="10.7109375" bestFit="1" customWidth="1"/>
    <col min="28" max="28" width="6.42578125" bestFit="1" customWidth="1"/>
    <col min="29" max="29" width="7" bestFit="1" customWidth="1"/>
    <col min="30" max="30" width="13.5703125" bestFit="1" customWidth="1"/>
    <col min="31" max="31" width="11" bestFit="1" customWidth="1"/>
    <col min="32" max="32" width="12.28515625" bestFit="1" customWidth="1"/>
    <col min="33" max="33" width="4.5703125" bestFit="1" customWidth="1"/>
    <col min="34" max="34" width="10.7109375" bestFit="1" customWidth="1"/>
    <col min="35" max="35" width="12.28515625" bestFit="1" customWidth="1"/>
    <col min="36" max="36" width="13" bestFit="1" customWidth="1"/>
    <col min="37" max="37" width="12.5703125" bestFit="1" customWidth="1"/>
    <col min="38" max="38" width="13" bestFit="1" customWidth="1"/>
    <col min="48" max="48" width="21.85546875" bestFit="1" customWidth="1"/>
    <col min="49" max="49" width="24.7109375" bestFit="1" customWidth="1"/>
    <col min="50" max="50" width="4.140625" bestFit="1" customWidth="1"/>
    <col min="51" max="51" width="10.7109375" bestFit="1" customWidth="1"/>
    <col min="52" max="52" width="7.5703125" bestFit="1" customWidth="1"/>
    <col min="53" max="53" width="10.7109375" bestFit="1" customWidth="1"/>
    <col min="54" max="54" width="7.5703125" bestFit="1" customWidth="1"/>
    <col min="55" max="55" width="10.7109375" bestFit="1" customWidth="1"/>
    <col min="56" max="56" width="7.5703125" bestFit="1" customWidth="1"/>
    <col min="57" max="57" width="10.7109375" bestFit="1" customWidth="1"/>
    <col min="58" max="58" width="7.5703125" bestFit="1" customWidth="1"/>
    <col min="59" max="59" width="10.7109375" bestFit="1" customWidth="1"/>
    <col min="60" max="60" width="7.5703125" bestFit="1" customWidth="1"/>
    <col min="61" max="61" width="10.7109375" bestFit="1" customWidth="1"/>
    <col min="62" max="62" width="7.5703125" bestFit="1" customWidth="1"/>
    <col min="63" max="63" width="4.140625" bestFit="1" customWidth="1"/>
    <col min="64" max="64" width="10.7109375" bestFit="1" customWidth="1"/>
    <col min="65" max="65" width="13" bestFit="1" customWidth="1"/>
    <col min="66" max="66" width="10.7109375" bestFit="1" customWidth="1"/>
    <col min="67" max="67" width="7.5703125" bestFit="1" customWidth="1"/>
    <col min="68" max="68" width="4.140625" bestFit="1" customWidth="1"/>
    <col min="69" max="69" width="10.7109375" bestFit="1" customWidth="1"/>
    <col min="70" max="70" width="7.5703125" bestFit="1" customWidth="1"/>
    <col min="71" max="71" width="4.140625" bestFit="1" customWidth="1"/>
    <col min="72" max="72" width="10.7109375" bestFit="1" customWidth="1"/>
    <col min="73" max="73" width="7.5703125" bestFit="1" customWidth="1"/>
    <col min="74" max="74" width="10.7109375" bestFit="1" customWidth="1"/>
    <col min="75" max="75" width="7.5703125" bestFit="1" customWidth="1"/>
    <col min="76" max="76" width="10.7109375" bestFit="1" customWidth="1"/>
    <col min="77" max="77" width="7.5703125" bestFit="1" customWidth="1"/>
    <col min="78" max="78" width="4.140625" bestFit="1" customWidth="1"/>
    <col min="79" max="79" width="10.7109375" bestFit="1" customWidth="1"/>
    <col min="80" max="80" width="13" bestFit="1" customWidth="1"/>
  </cols>
  <sheetData>
    <row r="1" spans="1:65">
      <c r="A1" s="105" t="s">
        <v>11</v>
      </c>
      <c r="B1" t="s">
        <v>3508</v>
      </c>
      <c r="AV1" s="105" t="s">
        <v>11</v>
      </c>
      <c r="AW1" t="s">
        <v>3508</v>
      </c>
    </row>
    <row r="3" spans="1:65">
      <c r="A3" s="105" t="s">
        <v>3575</v>
      </c>
      <c r="B3" s="105" t="s">
        <v>3574</v>
      </c>
      <c r="AV3" s="105" t="s">
        <v>3575</v>
      </c>
      <c r="AW3" s="105" t="s">
        <v>3574</v>
      </c>
    </row>
    <row r="4" spans="1:65">
      <c r="A4" s="105" t="s">
        <v>3576</v>
      </c>
      <c r="B4" t="s">
        <v>39</v>
      </c>
      <c r="C4" t="s">
        <v>54</v>
      </c>
      <c r="D4" t="s">
        <v>47</v>
      </c>
      <c r="E4" t="s">
        <v>105</v>
      </c>
      <c r="F4" t="s">
        <v>3573</v>
      </c>
      <c r="AW4">
        <v>1203</v>
      </c>
      <c r="AY4" t="s">
        <v>3577</v>
      </c>
      <c r="AZ4">
        <v>1204</v>
      </c>
      <c r="BA4" t="s">
        <v>3578</v>
      </c>
      <c r="BB4">
        <v>1205</v>
      </c>
      <c r="BC4" t="s">
        <v>3579</v>
      </c>
      <c r="BD4">
        <v>1206</v>
      </c>
      <c r="BE4" t="s">
        <v>3580</v>
      </c>
      <c r="BF4">
        <v>1207</v>
      </c>
      <c r="BG4" t="s">
        <v>3581</v>
      </c>
      <c r="BH4">
        <v>1208</v>
      </c>
      <c r="BI4" t="s">
        <v>3582</v>
      </c>
      <c r="BJ4">
        <v>1209</v>
      </c>
      <c r="BL4" t="s">
        <v>3583</v>
      </c>
      <c r="BM4" t="s">
        <v>3573</v>
      </c>
    </row>
    <row r="5" spans="1:65">
      <c r="A5" s="2" t="s">
        <v>3584</v>
      </c>
      <c r="B5">
        <v>9</v>
      </c>
      <c r="C5">
        <v>1</v>
      </c>
      <c r="D5">
        <v>1</v>
      </c>
      <c r="F5">
        <v>11</v>
      </c>
      <c r="W5" s="105" t="s">
        <v>3575</v>
      </c>
      <c r="X5" s="105" t="s">
        <v>3574</v>
      </c>
      <c r="AV5" s="105" t="s">
        <v>3576</v>
      </c>
      <c r="AW5" t="s">
        <v>34</v>
      </c>
      <c r="AX5" t="s">
        <v>71</v>
      </c>
      <c r="AZ5" t="s">
        <v>71</v>
      </c>
      <c r="BB5" t="s">
        <v>71</v>
      </c>
      <c r="BD5" t="s">
        <v>34</v>
      </c>
      <c r="BF5" t="s">
        <v>71</v>
      </c>
      <c r="BH5" t="s">
        <v>71</v>
      </c>
      <c r="BJ5" t="s">
        <v>34</v>
      </c>
      <c r="BK5" t="s">
        <v>71</v>
      </c>
    </row>
    <row r="6" spans="1:65">
      <c r="A6" s="166" t="s">
        <v>3585</v>
      </c>
      <c r="B6">
        <v>1</v>
      </c>
      <c r="F6">
        <v>1</v>
      </c>
      <c r="W6" s="105" t="s">
        <v>3576</v>
      </c>
      <c r="X6" t="s">
        <v>2631</v>
      </c>
      <c r="Y6" t="s">
        <v>39</v>
      </c>
      <c r="Z6" t="s">
        <v>54</v>
      </c>
      <c r="AA6" t="s">
        <v>2370</v>
      </c>
      <c r="AB6" t="s">
        <v>47</v>
      </c>
      <c r="AC6" t="s">
        <v>1738</v>
      </c>
      <c r="AD6" t="s">
        <v>2837</v>
      </c>
      <c r="AE6" t="s">
        <v>1240</v>
      </c>
      <c r="AF6" t="s">
        <v>127</v>
      </c>
      <c r="AG6" t="s">
        <v>105</v>
      </c>
      <c r="AH6" t="s">
        <v>150</v>
      </c>
      <c r="AI6" t="s">
        <v>118</v>
      </c>
      <c r="AJ6" t="s">
        <v>3573</v>
      </c>
      <c r="AV6" s="2" t="s">
        <v>3584</v>
      </c>
      <c r="AW6">
        <v>1</v>
      </c>
      <c r="AX6">
        <v>1</v>
      </c>
      <c r="AY6">
        <v>2</v>
      </c>
      <c r="AZ6">
        <v>1</v>
      </c>
      <c r="BA6">
        <v>1</v>
      </c>
      <c r="BB6">
        <v>1</v>
      </c>
      <c r="BC6">
        <v>1</v>
      </c>
      <c r="BD6">
        <v>1</v>
      </c>
      <c r="BE6">
        <v>1</v>
      </c>
      <c r="BF6">
        <v>2</v>
      </c>
      <c r="BG6">
        <v>2</v>
      </c>
      <c r="BH6">
        <v>1</v>
      </c>
      <c r="BI6">
        <v>1</v>
      </c>
      <c r="BJ6">
        <v>1</v>
      </c>
      <c r="BK6">
        <v>2</v>
      </c>
      <c r="BL6">
        <v>3</v>
      </c>
      <c r="BM6">
        <v>11</v>
      </c>
    </row>
    <row r="7" spans="1:65">
      <c r="A7" s="166" t="s">
        <v>3586</v>
      </c>
      <c r="B7">
        <v>1</v>
      </c>
      <c r="F7">
        <v>1</v>
      </c>
      <c r="W7" s="2" t="s">
        <v>3584</v>
      </c>
      <c r="Y7">
        <v>717</v>
      </c>
      <c r="Z7">
        <v>134</v>
      </c>
      <c r="AB7">
        <v>57</v>
      </c>
      <c r="AC7">
        <v>2</v>
      </c>
      <c r="AE7">
        <v>1</v>
      </c>
      <c r="AF7">
        <v>23</v>
      </c>
      <c r="AG7">
        <v>45</v>
      </c>
      <c r="AH7">
        <v>31</v>
      </c>
      <c r="AI7">
        <v>5</v>
      </c>
      <c r="AJ7">
        <v>1015</v>
      </c>
      <c r="AV7" s="166" t="s">
        <v>3585</v>
      </c>
      <c r="BK7">
        <v>1</v>
      </c>
      <c r="BL7">
        <v>1</v>
      </c>
      <c r="BM7">
        <v>1</v>
      </c>
    </row>
    <row r="8" spans="1:65">
      <c r="A8" s="166" t="s">
        <v>3587</v>
      </c>
      <c r="B8">
        <v>2</v>
      </c>
      <c r="F8">
        <v>2</v>
      </c>
      <c r="W8" s="166" t="s">
        <v>3588</v>
      </c>
      <c r="Y8">
        <v>9</v>
      </c>
      <c r="Z8">
        <v>4</v>
      </c>
      <c r="AB8">
        <v>6</v>
      </c>
      <c r="AF8">
        <v>1</v>
      </c>
      <c r="AG8">
        <v>1</v>
      </c>
      <c r="AI8">
        <v>4</v>
      </c>
      <c r="AJ8">
        <v>25</v>
      </c>
      <c r="AV8" s="166" t="s">
        <v>3586</v>
      </c>
      <c r="BK8">
        <v>1</v>
      </c>
      <c r="BL8">
        <v>1</v>
      </c>
      <c r="BM8">
        <v>1</v>
      </c>
    </row>
    <row r="9" spans="1:65">
      <c r="A9" s="166" t="s">
        <v>3589</v>
      </c>
      <c r="B9">
        <v>2</v>
      </c>
      <c r="F9">
        <v>2</v>
      </c>
      <c r="W9" s="167">
        <v>45297</v>
      </c>
      <c r="Y9">
        <v>1</v>
      </c>
      <c r="AJ9">
        <v>1</v>
      </c>
      <c r="AV9" s="166" t="s">
        <v>3587</v>
      </c>
      <c r="AX9">
        <v>1</v>
      </c>
      <c r="AY9">
        <v>1</v>
      </c>
      <c r="BF9">
        <v>1</v>
      </c>
      <c r="BG9">
        <v>1</v>
      </c>
      <c r="BM9">
        <v>2</v>
      </c>
    </row>
    <row r="10" spans="1:65">
      <c r="A10" s="166" t="s">
        <v>3590</v>
      </c>
      <c r="B10">
        <v>1</v>
      </c>
      <c r="C10">
        <v>1</v>
      </c>
      <c r="F10">
        <v>2</v>
      </c>
      <c r="W10" s="167">
        <v>45301</v>
      </c>
      <c r="Z10">
        <v>1</v>
      </c>
      <c r="AB10">
        <v>1</v>
      </c>
      <c r="AJ10">
        <v>2</v>
      </c>
      <c r="AV10" s="166" t="s">
        <v>3589</v>
      </c>
      <c r="BD10">
        <v>1</v>
      </c>
      <c r="BE10">
        <v>1</v>
      </c>
      <c r="BH10">
        <v>1</v>
      </c>
      <c r="BI10">
        <v>1</v>
      </c>
      <c r="BM10">
        <v>2</v>
      </c>
    </row>
    <row r="11" spans="1:65">
      <c r="A11" s="166" t="s">
        <v>3591</v>
      </c>
      <c r="B11">
        <v>1</v>
      </c>
      <c r="F11">
        <v>1</v>
      </c>
      <c r="W11" s="167">
        <v>45302</v>
      </c>
      <c r="AB11">
        <v>1</v>
      </c>
      <c r="AJ11">
        <v>1</v>
      </c>
      <c r="AV11" s="166" t="s">
        <v>3590</v>
      </c>
      <c r="AW11">
        <v>1</v>
      </c>
      <c r="AY11">
        <v>1</v>
      </c>
      <c r="BB11">
        <v>1</v>
      </c>
      <c r="BC11">
        <v>1</v>
      </c>
      <c r="BM11">
        <v>2</v>
      </c>
    </row>
    <row r="12" spans="1:65">
      <c r="A12" s="166" t="s">
        <v>3592</v>
      </c>
      <c r="B12">
        <v>1</v>
      </c>
      <c r="F12">
        <v>1</v>
      </c>
      <c r="W12" s="167">
        <v>45304</v>
      </c>
      <c r="Z12">
        <v>1</v>
      </c>
      <c r="AJ12">
        <v>1</v>
      </c>
      <c r="AV12" s="166" t="s">
        <v>3591</v>
      </c>
      <c r="AZ12">
        <v>1</v>
      </c>
      <c r="BA12">
        <v>1</v>
      </c>
      <c r="BM12">
        <v>1</v>
      </c>
    </row>
    <row r="13" spans="1:65">
      <c r="A13" s="166" t="s">
        <v>3593</v>
      </c>
      <c r="D13">
        <v>1</v>
      </c>
      <c r="F13">
        <v>1</v>
      </c>
      <c r="W13" s="167">
        <v>45307</v>
      </c>
      <c r="Z13">
        <v>1</v>
      </c>
      <c r="AJ13">
        <v>1</v>
      </c>
      <c r="AV13" s="166" t="s">
        <v>3592</v>
      </c>
      <c r="BJ13">
        <v>1</v>
      </c>
      <c r="BL13">
        <v>1</v>
      </c>
      <c r="BM13">
        <v>1</v>
      </c>
    </row>
    <row r="14" spans="1:65">
      <c r="A14" s="2" t="s">
        <v>3594</v>
      </c>
      <c r="D14">
        <v>3</v>
      </c>
      <c r="E14">
        <v>1</v>
      </c>
      <c r="F14">
        <v>4</v>
      </c>
      <c r="W14" s="167">
        <v>45308</v>
      </c>
      <c r="Y14">
        <v>1</v>
      </c>
      <c r="AB14">
        <v>1</v>
      </c>
      <c r="AJ14">
        <v>2</v>
      </c>
      <c r="AV14" s="166" t="s">
        <v>3593</v>
      </c>
      <c r="BF14">
        <v>1</v>
      </c>
      <c r="BG14">
        <v>1</v>
      </c>
      <c r="BM14">
        <v>1</v>
      </c>
    </row>
    <row r="15" spans="1:65">
      <c r="A15" s="166" t="s">
        <v>3595</v>
      </c>
      <c r="D15">
        <v>2</v>
      </c>
      <c r="F15">
        <v>2</v>
      </c>
      <c r="W15" s="167">
        <v>45311</v>
      </c>
      <c r="AB15">
        <v>1</v>
      </c>
      <c r="AJ15">
        <v>1</v>
      </c>
      <c r="AV15" s="2" t="s">
        <v>3594</v>
      </c>
      <c r="BB15">
        <v>2</v>
      </c>
      <c r="BC15">
        <v>2</v>
      </c>
      <c r="BK15">
        <v>2</v>
      </c>
      <c r="BL15">
        <v>2</v>
      </c>
      <c r="BM15">
        <v>4</v>
      </c>
    </row>
    <row r="16" spans="1:65">
      <c r="A16" s="166" t="s">
        <v>3590</v>
      </c>
      <c r="D16">
        <v>1</v>
      </c>
      <c r="E16">
        <v>1</v>
      </c>
      <c r="F16">
        <v>2</v>
      </c>
      <c r="W16" s="167">
        <v>45313</v>
      </c>
      <c r="Z16">
        <v>1</v>
      </c>
      <c r="AB16">
        <v>1</v>
      </c>
      <c r="AJ16">
        <v>2</v>
      </c>
      <c r="AV16" s="166" t="s">
        <v>3595</v>
      </c>
      <c r="BB16">
        <v>1</v>
      </c>
      <c r="BC16">
        <v>1</v>
      </c>
      <c r="BK16">
        <v>1</v>
      </c>
      <c r="BL16">
        <v>1</v>
      </c>
      <c r="BM16">
        <v>2</v>
      </c>
    </row>
    <row r="17" spans="1:65">
      <c r="A17" s="2" t="s">
        <v>3573</v>
      </c>
      <c r="B17">
        <v>9</v>
      </c>
      <c r="C17">
        <v>1</v>
      </c>
      <c r="D17">
        <v>4</v>
      </c>
      <c r="E17">
        <v>1</v>
      </c>
      <c r="F17">
        <v>15</v>
      </c>
      <c r="W17" s="167">
        <v>45314</v>
      </c>
      <c r="Y17">
        <v>1</v>
      </c>
      <c r="AJ17">
        <v>1</v>
      </c>
      <c r="AV17" s="166" t="s">
        <v>3590</v>
      </c>
      <c r="BB17">
        <v>1</v>
      </c>
      <c r="BC17">
        <v>1</v>
      </c>
      <c r="BK17">
        <v>1</v>
      </c>
      <c r="BL17">
        <v>1</v>
      </c>
      <c r="BM17">
        <v>2</v>
      </c>
    </row>
    <row r="18" spans="1:65">
      <c r="W18" s="167">
        <v>45315</v>
      </c>
      <c r="Y18">
        <v>2</v>
      </c>
      <c r="AJ18">
        <v>2</v>
      </c>
      <c r="AV18" s="2" t="s">
        <v>3573</v>
      </c>
      <c r="AW18">
        <v>1</v>
      </c>
      <c r="AX18">
        <v>1</v>
      </c>
      <c r="AY18">
        <v>2</v>
      </c>
      <c r="AZ18">
        <v>1</v>
      </c>
      <c r="BA18">
        <v>1</v>
      </c>
      <c r="BB18">
        <v>3</v>
      </c>
      <c r="BC18">
        <v>3</v>
      </c>
      <c r="BD18">
        <v>1</v>
      </c>
      <c r="BE18">
        <v>1</v>
      </c>
      <c r="BF18">
        <v>2</v>
      </c>
      <c r="BG18">
        <v>2</v>
      </c>
      <c r="BH18">
        <v>1</v>
      </c>
      <c r="BI18">
        <v>1</v>
      </c>
      <c r="BJ18">
        <v>1</v>
      </c>
      <c r="BK18">
        <v>4</v>
      </c>
      <c r="BL18">
        <v>5</v>
      </c>
      <c r="BM18">
        <v>15</v>
      </c>
    </row>
    <row r="19" spans="1:65">
      <c r="W19" s="167">
        <v>45316</v>
      </c>
      <c r="Y19">
        <v>1</v>
      </c>
      <c r="AJ19">
        <v>1</v>
      </c>
    </row>
    <row r="20" spans="1:65">
      <c r="W20" s="167">
        <v>45317</v>
      </c>
      <c r="AG20">
        <v>1</v>
      </c>
      <c r="AJ20">
        <v>1</v>
      </c>
    </row>
    <row r="21" spans="1:65">
      <c r="W21" s="167">
        <v>45318</v>
      </c>
      <c r="Y21">
        <v>1</v>
      </c>
      <c r="AB21">
        <v>1</v>
      </c>
      <c r="AI21">
        <v>2</v>
      </c>
      <c r="AJ21">
        <v>4</v>
      </c>
    </row>
    <row r="22" spans="1:65">
      <c r="W22" s="167">
        <v>45319</v>
      </c>
      <c r="Y22">
        <v>1</v>
      </c>
      <c r="AJ22">
        <v>1</v>
      </c>
    </row>
    <row r="23" spans="1:65">
      <c r="W23" s="167">
        <v>45320</v>
      </c>
      <c r="AF23">
        <v>1</v>
      </c>
      <c r="AJ23">
        <v>1</v>
      </c>
    </row>
    <row r="24" spans="1:65">
      <c r="W24" s="167">
        <v>45321</v>
      </c>
      <c r="Y24">
        <v>1</v>
      </c>
      <c r="AI24">
        <v>1</v>
      </c>
      <c r="AJ24">
        <v>2</v>
      </c>
    </row>
    <row r="25" spans="1:65">
      <c r="W25" s="167">
        <v>45322</v>
      </c>
      <c r="AI25">
        <v>1</v>
      </c>
      <c r="AJ25">
        <v>1</v>
      </c>
    </row>
    <row r="26" spans="1:65">
      <c r="W26" s="166" t="s">
        <v>3585</v>
      </c>
      <c r="Y26">
        <v>32</v>
      </c>
      <c r="Z26">
        <v>3</v>
      </c>
      <c r="AB26">
        <v>1</v>
      </c>
      <c r="AF26">
        <v>7</v>
      </c>
      <c r="AG26">
        <v>3</v>
      </c>
      <c r="AH26">
        <v>2</v>
      </c>
      <c r="AI26">
        <v>1</v>
      </c>
      <c r="AJ26">
        <v>49</v>
      </c>
    </row>
    <row r="27" spans="1:65">
      <c r="W27" s="167">
        <v>45323</v>
      </c>
      <c r="Y27">
        <v>1</v>
      </c>
      <c r="AI27">
        <v>1</v>
      </c>
      <c r="AJ27">
        <v>2</v>
      </c>
    </row>
    <row r="28" spans="1:65">
      <c r="W28" s="167">
        <v>45324</v>
      </c>
      <c r="AG28">
        <v>1</v>
      </c>
      <c r="AJ28">
        <v>1</v>
      </c>
    </row>
    <row r="29" spans="1:65">
      <c r="W29" s="167">
        <v>45325</v>
      </c>
      <c r="Y29">
        <v>1</v>
      </c>
      <c r="AJ29">
        <v>1</v>
      </c>
    </row>
    <row r="30" spans="1:65">
      <c r="W30" s="167">
        <v>45326</v>
      </c>
      <c r="AH30">
        <v>1</v>
      </c>
      <c r="AJ30">
        <v>1</v>
      </c>
    </row>
    <row r="31" spans="1:65">
      <c r="W31" s="167">
        <v>45327</v>
      </c>
      <c r="Y31">
        <v>2</v>
      </c>
      <c r="AB31">
        <v>1</v>
      </c>
      <c r="AF31">
        <v>1</v>
      </c>
      <c r="AJ31">
        <v>4</v>
      </c>
    </row>
    <row r="32" spans="1:65">
      <c r="W32" s="167">
        <v>45329</v>
      </c>
      <c r="Y32">
        <v>1</v>
      </c>
      <c r="AG32">
        <v>1</v>
      </c>
      <c r="AJ32">
        <v>2</v>
      </c>
    </row>
    <row r="33" spans="23:36">
      <c r="W33" s="167">
        <v>45331</v>
      </c>
      <c r="Y33">
        <v>1</v>
      </c>
      <c r="AJ33">
        <v>1</v>
      </c>
    </row>
    <row r="34" spans="23:36">
      <c r="W34" s="167">
        <v>45332</v>
      </c>
      <c r="Y34">
        <v>2</v>
      </c>
      <c r="AH34">
        <v>1</v>
      </c>
      <c r="AJ34">
        <v>3</v>
      </c>
    </row>
    <row r="35" spans="23:36">
      <c r="W35" s="167">
        <v>45333</v>
      </c>
      <c r="AF35">
        <v>1</v>
      </c>
      <c r="AJ35">
        <v>1</v>
      </c>
    </row>
    <row r="36" spans="23:36">
      <c r="W36" s="167">
        <v>45334</v>
      </c>
      <c r="AF36">
        <v>2</v>
      </c>
      <c r="AJ36">
        <v>2</v>
      </c>
    </row>
    <row r="37" spans="23:36">
      <c r="W37" s="167">
        <v>45335</v>
      </c>
      <c r="Y37">
        <v>1</v>
      </c>
      <c r="Z37">
        <v>1</v>
      </c>
      <c r="AJ37">
        <v>2</v>
      </c>
    </row>
    <row r="38" spans="23:36">
      <c r="W38" s="167">
        <v>45336</v>
      </c>
      <c r="Y38">
        <v>4</v>
      </c>
      <c r="AF38">
        <v>1</v>
      </c>
      <c r="AJ38">
        <v>5</v>
      </c>
    </row>
    <row r="39" spans="23:36">
      <c r="W39" s="167">
        <v>45337</v>
      </c>
      <c r="AF39">
        <v>1</v>
      </c>
      <c r="AG39">
        <v>1</v>
      </c>
      <c r="AJ39">
        <v>2</v>
      </c>
    </row>
    <row r="40" spans="23:36">
      <c r="W40" s="167">
        <v>45339</v>
      </c>
      <c r="Y40">
        <v>2</v>
      </c>
      <c r="Z40">
        <v>2</v>
      </c>
      <c r="AJ40">
        <v>4</v>
      </c>
    </row>
    <row r="41" spans="23:36">
      <c r="W41" s="167">
        <v>45340</v>
      </c>
      <c r="Y41">
        <v>1</v>
      </c>
      <c r="AJ41">
        <v>1</v>
      </c>
    </row>
    <row r="42" spans="23:36">
      <c r="W42" s="167">
        <v>45341</v>
      </c>
      <c r="Y42">
        <v>1</v>
      </c>
      <c r="AF42">
        <v>1</v>
      </c>
      <c r="AJ42">
        <v>2</v>
      </c>
    </row>
    <row r="43" spans="23:36">
      <c r="W43" s="167">
        <v>45343</v>
      </c>
      <c r="Y43">
        <v>5</v>
      </c>
      <c r="AJ43">
        <v>5</v>
      </c>
    </row>
    <row r="44" spans="23:36">
      <c r="W44" s="167">
        <v>45345</v>
      </c>
      <c r="Y44">
        <v>2</v>
      </c>
      <c r="AJ44">
        <v>2</v>
      </c>
    </row>
    <row r="45" spans="23:36">
      <c r="W45" s="167">
        <v>45346</v>
      </c>
      <c r="Y45">
        <v>2</v>
      </c>
      <c r="AJ45">
        <v>2</v>
      </c>
    </row>
    <row r="46" spans="23:36">
      <c r="W46" s="167">
        <v>45347</v>
      </c>
      <c r="Y46">
        <v>1</v>
      </c>
      <c r="AJ46">
        <v>1</v>
      </c>
    </row>
    <row r="47" spans="23:36">
      <c r="W47" s="167">
        <v>45348</v>
      </c>
      <c r="Y47">
        <v>1</v>
      </c>
      <c r="AJ47">
        <v>1</v>
      </c>
    </row>
    <row r="48" spans="23:36">
      <c r="W48" s="167">
        <v>45349</v>
      </c>
      <c r="Y48">
        <v>3</v>
      </c>
      <c r="AJ48">
        <v>3</v>
      </c>
    </row>
    <row r="49" spans="23:36">
      <c r="W49" s="167">
        <v>45350</v>
      </c>
      <c r="Y49">
        <v>1</v>
      </c>
      <c r="AJ49">
        <v>1</v>
      </c>
    </row>
    <row r="50" spans="23:36">
      <c r="W50" s="166" t="s">
        <v>3586</v>
      </c>
      <c r="Y50">
        <v>34</v>
      </c>
      <c r="AB50">
        <v>7</v>
      </c>
      <c r="AF50">
        <v>2</v>
      </c>
      <c r="AJ50">
        <v>43</v>
      </c>
    </row>
    <row r="51" spans="23:36">
      <c r="W51" s="167">
        <v>45352</v>
      </c>
      <c r="Y51">
        <v>8</v>
      </c>
      <c r="AJ51">
        <v>8</v>
      </c>
    </row>
    <row r="52" spans="23:36">
      <c r="W52" s="167">
        <v>45353</v>
      </c>
      <c r="Y52">
        <v>1</v>
      </c>
      <c r="AJ52">
        <v>1</v>
      </c>
    </row>
    <row r="53" spans="23:36">
      <c r="W53" s="167">
        <v>45354</v>
      </c>
      <c r="Y53">
        <v>1</v>
      </c>
      <c r="AJ53">
        <v>1</v>
      </c>
    </row>
    <row r="54" spans="23:36">
      <c r="W54" s="167">
        <v>45355</v>
      </c>
      <c r="Y54">
        <v>1</v>
      </c>
      <c r="AJ54">
        <v>1</v>
      </c>
    </row>
    <row r="55" spans="23:36">
      <c r="W55" s="167">
        <v>45356</v>
      </c>
      <c r="Y55">
        <v>4</v>
      </c>
      <c r="AB55">
        <v>1</v>
      </c>
      <c r="AF55">
        <v>1</v>
      </c>
      <c r="AJ55">
        <v>6</v>
      </c>
    </row>
    <row r="56" spans="23:36">
      <c r="W56" s="167">
        <v>45357</v>
      </c>
      <c r="Y56">
        <v>1</v>
      </c>
      <c r="AJ56">
        <v>1</v>
      </c>
    </row>
    <row r="57" spans="23:36">
      <c r="W57" s="167">
        <v>45358</v>
      </c>
      <c r="Y57">
        <v>2</v>
      </c>
      <c r="AJ57">
        <v>2</v>
      </c>
    </row>
    <row r="58" spans="23:36">
      <c r="W58" s="167">
        <v>45360</v>
      </c>
      <c r="Y58">
        <v>1</v>
      </c>
      <c r="AB58">
        <v>1</v>
      </c>
      <c r="AJ58">
        <v>2</v>
      </c>
    </row>
    <row r="59" spans="23:36">
      <c r="W59" s="167">
        <v>45361</v>
      </c>
      <c r="Y59">
        <v>2</v>
      </c>
      <c r="AJ59">
        <v>2</v>
      </c>
    </row>
    <row r="60" spans="23:36">
      <c r="W60" s="167">
        <v>45362</v>
      </c>
      <c r="Y60">
        <v>1</v>
      </c>
      <c r="AB60">
        <v>1</v>
      </c>
      <c r="AJ60">
        <v>2</v>
      </c>
    </row>
    <row r="61" spans="23:36">
      <c r="W61" s="167">
        <v>45363</v>
      </c>
      <c r="Y61">
        <v>3</v>
      </c>
      <c r="AJ61">
        <v>3</v>
      </c>
    </row>
    <row r="62" spans="23:36">
      <c r="W62" s="167">
        <v>45365</v>
      </c>
      <c r="Y62">
        <v>1</v>
      </c>
      <c r="AJ62">
        <v>1</v>
      </c>
    </row>
    <row r="63" spans="23:36">
      <c r="W63" s="167">
        <v>45366</v>
      </c>
      <c r="AB63">
        <v>1</v>
      </c>
      <c r="AJ63">
        <v>1</v>
      </c>
    </row>
    <row r="64" spans="23:36">
      <c r="W64" s="167">
        <v>45369</v>
      </c>
      <c r="Y64">
        <v>2</v>
      </c>
      <c r="AJ64">
        <v>2</v>
      </c>
    </row>
    <row r="65" spans="23:36">
      <c r="W65" s="167">
        <v>45370</v>
      </c>
      <c r="AB65">
        <v>1</v>
      </c>
      <c r="AJ65">
        <v>1</v>
      </c>
    </row>
    <row r="66" spans="23:36">
      <c r="W66" s="167">
        <v>45372</v>
      </c>
      <c r="AB66">
        <v>1</v>
      </c>
      <c r="AJ66">
        <v>1</v>
      </c>
    </row>
    <row r="67" spans="23:36">
      <c r="W67" s="167">
        <v>45374</v>
      </c>
      <c r="Y67">
        <v>1</v>
      </c>
      <c r="AJ67">
        <v>1</v>
      </c>
    </row>
    <row r="68" spans="23:36">
      <c r="W68" s="167">
        <v>45376</v>
      </c>
      <c r="Y68">
        <v>2</v>
      </c>
      <c r="AJ68">
        <v>2</v>
      </c>
    </row>
    <row r="69" spans="23:36">
      <c r="W69" s="167">
        <v>45380</v>
      </c>
      <c r="Y69">
        <v>2</v>
      </c>
      <c r="AF69">
        <v>1</v>
      </c>
      <c r="AJ69">
        <v>3</v>
      </c>
    </row>
    <row r="70" spans="23:36">
      <c r="W70" s="167">
        <v>45381</v>
      </c>
      <c r="AB70">
        <v>1</v>
      </c>
      <c r="AJ70">
        <v>1</v>
      </c>
    </row>
    <row r="71" spans="23:36">
      <c r="W71" s="167">
        <v>45382</v>
      </c>
      <c r="Y71">
        <v>1</v>
      </c>
      <c r="AJ71">
        <v>1</v>
      </c>
    </row>
    <row r="72" spans="23:36">
      <c r="W72" s="166" t="s">
        <v>3587</v>
      </c>
      <c r="Y72">
        <v>38</v>
      </c>
      <c r="Z72">
        <v>4</v>
      </c>
      <c r="AB72">
        <v>4</v>
      </c>
      <c r="AG72">
        <v>1</v>
      </c>
      <c r="AH72">
        <v>1</v>
      </c>
      <c r="AJ72">
        <v>48</v>
      </c>
    </row>
    <row r="73" spans="23:36">
      <c r="W73" s="167">
        <v>45385</v>
      </c>
      <c r="Y73">
        <v>1</v>
      </c>
      <c r="AJ73">
        <v>1</v>
      </c>
    </row>
    <row r="74" spans="23:36">
      <c r="W74" s="167">
        <v>45386</v>
      </c>
      <c r="Y74">
        <v>2</v>
      </c>
      <c r="AB74">
        <v>1</v>
      </c>
      <c r="AJ74">
        <v>3</v>
      </c>
    </row>
    <row r="75" spans="23:36">
      <c r="W75" s="167">
        <v>45387</v>
      </c>
      <c r="Y75">
        <v>1</v>
      </c>
      <c r="AJ75">
        <v>1</v>
      </c>
    </row>
    <row r="76" spans="23:36">
      <c r="W76" s="167">
        <v>45388</v>
      </c>
      <c r="Y76">
        <v>3</v>
      </c>
      <c r="AJ76">
        <v>3</v>
      </c>
    </row>
    <row r="77" spans="23:36">
      <c r="W77" s="167">
        <v>45389</v>
      </c>
      <c r="Y77">
        <v>3</v>
      </c>
      <c r="AJ77">
        <v>3</v>
      </c>
    </row>
    <row r="78" spans="23:36">
      <c r="W78" s="167">
        <v>45390</v>
      </c>
      <c r="Y78">
        <v>2</v>
      </c>
      <c r="AB78">
        <v>1</v>
      </c>
      <c r="AJ78">
        <v>3</v>
      </c>
    </row>
    <row r="79" spans="23:36">
      <c r="W79" s="167">
        <v>45393</v>
      </c>
      <c r="Y79">
        <v>5</v>
      </c>
      <c r="AJ79">
        <v>5</v>
      </c>
    </row>
    <row r="80" spans="23:36">
      <c r="W80" s="167">
        <v>45394</v>
      </c>
      <c r="Y80">
        <v>1</v>
      </c>
      <c r="AJ80">
        <v>1</v>
      </c>
    </row>
    <row r="81" spans="23:36">
      <c r="W81" s="167">
        <v>45395</v>
      </c>
      <c r="Y81">
        <v>1</v>
      </c>
      <c r="AJ81">
        <v>1</v>
      </c>
    </row>
    <row r="82" spans="23:36">
      <c r="W82" s="167">
        <v>45396</v>
      </c>
      <c r="AH82">
        <v>1</v>
      </c>
      <c r="AJ82">
        <v>1</v>
      </c>
    </row>
    <row r="83" spans="23:36">
      <c r="W83" s="167">
        <v>45397</v>
      </c>
      <c r="Y83">
        <v>2</v>
      </c>
      <c r="AJ83">
        <v>2</v>
      </c>
    </row>
    <row r="84" spans="23:36">
      <c r="W84" s="167">
        <v>45398</v>
      </c>
      <c r="Y84">
        <v>1</v>
      </c>
      <c r="AJ84">
        <v>1</v>
      </c>
    </row>
    <row r="85" spans="23:36">
      <c r="W85" s="167">
        <v>45399</v>
      </c>
      <c r="Z85">
        <v>1</v>
      </c>
      <c r="AJ85">
        <v>1</v>
      </c>
    </row>
    <row r="86" spans="23:36">
      <c r="W86" s="167">
        <v>45400</v>
      </c>
      <c r="AB86">
        <v>1</v>
      </c>
      <c r="AJ86">
        <v>1</v>
      </c>
    </row>
    <row r="87" spans="23:36">
      <c r="W87" s="167">
        <v>45401</v>
      </c>
      <c r="Z87">
        <v>1</v>
      </c>
      <c r="AJ87">
        <v>1</v>
      </c>
    </row>
    <row r="88" spans="23:36">
      <c r="W88" s="167">
        <v>45402</v>
      </c>
      <c r="Y88">
        <v>1</v>
      </c>
      <c r="AJ88">
        <v>1</v>
      </c>
    </row>
    <row r="89" spans="23:36">
      <c r="W89" s="167">
        <v>45403</v>
      </c>
      <c r="Y89">
        <v>2</v>
      </c>
      <c r="AJ89">
        <v>2</v>
      </c>
    </row>
    <row r="90" spans="23:36">
      <c r="W90" s="167">
        <v>45404</v>
      </c>
      <c r="Y90">
        <v>1</v>
      </c>
      <c r="AJ90">
        <v>1</v>
      </c>
    </row>
    <row r="91" spans="23:36">
      <c r="W91" s="167">
        <v>45405</v>
      </c>
      <c r="Y91">
        <v>2</v>
      </c>
      <c r="AJ91">
        <v>2</v>
      </c>
    </row>
    <row r="92" spans="23:36">
      <c r="W92" s="167">
        <v>45406</v>
      </c>
      <c r="Y92">
        <v>2</v>
      </c>
      <c r="AJ92">
        <v>2</v>
      </c>
    </row>
    <row r="93" spans="23:36">
      <c r="W93" s="167">
        <v>45407</v>
      </c>
      <c r="Y93">
        <v>3</v>
      </c>
      <c r="Z93">
        <v>2</v>
      </c>
      <c r="AJ93">
        <v>5</v>
      </c>
    </row>
    <row r="94" spans="23:36">
      <c r="W94" s="167">
        <v>45408</v>
      </c>
      <c r="Y94">
        <v>2</v>
      </c>
      <c r="AG94">
        <v>1</v>
      </c>
      <c r="AJ94">
        <v>3</v>
      </c>
    </row>
    <row r="95" spans="23:36">
      <c r="W95" s="167">
        <v>45409</v>
      </c>
      <c r="Y95">
        <v>1</v>
      </c>
      <c r="AJ95">
        <v>1</v>
      </c>
    </row>
    <row r="96" spans="23:36">
      <c r="W96" s="167">
        <v>45410</v>
      </c>
      <c r="Y96">
        <v>1</v>
      </c>
      <c r="AJ96">
        <v>1</v>
      </c>
    </row>
    <row r="97" spans="23:36">
      <c r="W97" s="167">
        <v>45412</v>
      </c>
      <c r="Y97">
        <v>1</v>
      </c>
      <c r="AB97">
        <v>1</v>
      </c>
      <c r="AJ97">
        <v>2</v>
      </c>
    </row>
    <row r="98" spans="23:36">
      <c r="W98" s="166" t="s">
        <v>3589</v>
      </c>
      <c r="Y98">
        <v>61</v>
      </c>
      <c r="Z98">
        <v>11</v>
      </c>
      <c r="AB98">
        <v>1</v>
      </c>
      <c r="AH98">
        <v>2</v>
      </c>
      <c r="AJ98">
        <v>75</v>
      </c>
    </row>
    <row r="99" spans="23:36">
      <c r="W99" s="167">
        <v>45413</v>
      </c>
      <c r="Y99">
        <v>3</v>
      </c>
      <c r="AJ99">
        <v>3</v>
      </c>
    </row>
    <row r="100" spans="23:36">
      <c r="W100" s="167">
        <v>45414</v>
      </c>
      <c r="Z100">
        <v>1</v>
      </c>
      <c r="AJ100">
        <v>1</v>
      </c>
    </row>
    <row r="101" spans="23:36">
      <c r="W101" s="167">
        <v>45415</v>
      </c>
      <c r="Y101">
        <v>1</v>
      </c>
      <c r="AJ101">
        <v>1</v>
      </c>
    </row>
    <row r="102" spans="23:36">
      <c r="W102" s="167">
        <v>45416</v>
      </c>
      <c r="Y102">
        <v>1</v>
      </c>
      <c r="Z102">
        <v>1</v>
      </c>
      <c r="AJ102">
        <v>2</v>
      </c>
    </row>
    <row r="103" spans="23:36">
      <c r="W103" s="167">
        <v>45417</v>
      </c>
      <c r="Z103">
        <v>1</v>
      </c>
      <c r="AJ103">
        <v>1</v>
      </c>
    </row>
    <row r="104" spans="23:36">
      <c r="W104" s="167">
        <v>45418</v>
      </c>
      <c r="Y104">
        <v>2</v>
      </c>
      <c r="AJ104">
        <v>2</v>
      </c>
    </row>
    <row r="105" spans="23:36">
      <c r="W105" s="167">
        <v>45419</v>
      </c>
      <c r="Y105">
        <v>1</v>
      </c>
      <c r="AJ105">
        <v>1</v>
      </c>
    </row>
    <row r="106" spans="23:36">
      <c r="W106" s="167">
        <v>45420</v>
      </c>
      <c r="Y106">
        <v>2</v>
      </c>
      <c r="Z106">
        <v>3</v>
      </c>
      <c r="AJ106">
        <v>5</v>
      </c>
    </row>
    <row r="107" spans="23:36">
      <c r="W107" s="167">
        <v>45421</v>
      </c>
      <c r="Z107">
        <v>3</v>
      </c>
      <c r="AJ107">
        <v>3</v>
      </c>
    </row>
    <row r="108" spans="23:36">
      <c r="W108" s="167">
        <v>45422</v>
      </c>
      <c r="Y108">
        <v>1</v>
      </c>
      <c r="AJ108">
        <v>1</v>
      </c>
    </row>
    <row r="109" spans="23:36">
      <c r="W109" s="167">
        <v>45423</v>
      </c>
      <c r="Y109">
        <v>5</v>
      </c>
      <c r="AJ109">
        <v>5</v>
      </c>
    </row>
    <row r="110" spans="23:36">
      <c r="W110" s="167">
        <v>45424</v>
      </c>
      <c r="Y110">
        <v>5</v>
      </c>
      <c r="AJ110">
        <v>5</v>
      </c>
    </row>
    <row r="111" spans="23:36">
      <c r="W111" s="167">
        <v>45425</v>
      </c>
      <c r="Y111">
        <v>2</v>
      </c>
      <c r="AJ111">
        <v>2</v>
      </c>
    </row>
    <row r="112" spans="23:36">
      <c r="W112" s="167">
        <v>45426</v>
      </c>
      <c r="Y112">
        <v>2</v>
      </c>
      <c r="AJ112">
        <v>2</v>
      </c>
    </row>
    <row r="113" spans="23:36">
      <c r="W113" s="167">
        <v>45427</v>
      </c>
      <c r="Y113">
        <v>2</v>
      </c>
      <c r="AJ113">
        <v>2</v>
      </c>
    </row>
    <row r="114" spans="23:36">
      <c r="W114" s="167">
        <v>45429</v>
      </c>
      <c r="Y114">
        <v>2</v>
      </c>
      <c r="AJ114">
        <v>2</v>
      </c>
    </row>
    <row r="115" spans="23:36">
      <c r="W115" s="167">
        <v>45431</v>
      </c>
      <c r="Y115">
        <v>1</v>
      </c>
      <c r="AB115">
        <v>1</v>
      </c>
      <c r="AJ115">
        <v>2</v>
      </c>
    </row>
    <row r="116" spans="23:36">
      <c r="W116" s="167">
        <v>45433</v>
      </c>
      <c r="Y116">
        <v>1</v>
      </c>
      <c r="AJ116">
        <v>1</v>
      </c>
    </row>
    <row r="117" spans="23:36">
      <c r="W117" s="167">
        <v>45434</v>
      </c>
      <c r="Y117">
        <v>2</v>
      </c>
      <c r="AJ117">
        <v>2</v>
      </c>
    </row>
    <row r="118" spans="23:36">
      <c r="W118" s="167">
        <v>45435</v>
      </c>
      <c r="Y118">
        <v>5</v>
      </c>
      <c r="AJ118">
        <v>5</v>
      </c>
    </row>
    <row r="119" spans="23:36">
      <c r="W119" s="168">
        <v>45437.603784722225</v>
      </c>
      <c r="Y119">
        <v>1</v>
      </c>
      <c r="AJ119">
        <v>1</v>
      </c>
    </row>
    <row r="120" spans="23:36">
      <c r="W120" s="168">
        <v>45437.64335648148</v>
      </c>
      <c r="Y120">
        <v>1</v>
      </c>
      <c r="AJ120">
        <v>1</v>
      </c>
    </row>
    <row r="121" spans="23:36">
      <c r="W121" s="168">
        <v>45437.659930555557</v>
      </c>
      <c r="Y121">
        <v>1</v>
      </c>
      <c r="AJ121">
        <v>1</v>
      </c>
    </row>
    <row r="122" spans="23:36">
      <c r="W122" s="168">
        <v>45438.396527777775</v>
      </c>
      <c r="Y122">
        <v>1</v>
      </c>
      <c r="AJ122">
        <v>1</v>
      </c>
    </row>
    <row r="123" spans="23:36">
      <c r="W123" s="168">
        <v>45438.421365740738</v>
      </c>
      <c r="Y123">
        <v>1</v>
      </c>
      <c r="AJ123">
        <v>1</v>
      </c>
    </row>
    <row r="124" spans="23:36">
      <c r="W124" s="168">
        <v>45439.415925925925</v>
      </c>
      <c r="Z124">
        <v>1</v>
      </c>
      <c r="AJ124">
        <v>1</v>
      </c>
    </row>
    <row r="125" spans="23:36">
      <c r="W125" s="168">
        <v>45439.677314814813</v>
      </c>
      <c r="Y125">
        <v>1</v>
      </c>
      <c r="AJ125">
        <v>1</v>
      </c>
    </row>
    <row r="126" spans="23:36">
      <c r="W126" s="168">
        <v>45439.681018518517</v>
      </c>
      <c r="Y126">
        <v>1</v>
      </c>
      <c r="AJ126">
        <v>1</v>
      </c>
    </row>
    <row r="127" spans="23:36">
      <c r="W127" s="168">
        <v>45439.753900462965</v>
      </c>
      <c r="Y127">
        <v>1</v>
      </c>
      <c r="AJ127">
        <v>1</v>
      </c>
    </row>
    <row r="128" spans="23:36">
      <c r="W128" s="168">
        <v>45439.892222222225</v>
      </c>
      <c r="Y128">
        <v>1</v>
      </c>
      <c r="AJ128">
        <v>1</v>
      </c>
    </row>
    <row r="129" spans="23:36">
      <c r="W129" s="168">
        <v>45440.416620370372</v>
      </c>
      <c r="Y129">
        <v>1</v>
      </c>
      <c r="AJ129">
        <v>1</v>
      </c>
    </row>
    <row r="130" spans="23:36">
      <c r="W130" s="168">
        <v>45440.420324074075</v>
      </c>
      <c r="Y130">
        <v>1</v>
      </c>
      <c r="AJ130">
        <v>1</v>
      </c>
    </row>
    <row r="131" spans="23:36">
      <c r="W131" s="168">
        <v>45440.586805555555</v>
      </c>
      <c r="Y131">
        <v>1</v>
      </c>
      <c r="AJ131">
        <v>1</v>
      </c>
    </row>
    <row r="132" spans="23:36">
      <c r="W132" s="168">
        <v>45440.838125000002</v>
      </c>
      <c r="Y132">
        <v>1</v>
      </c>
      <c r="AJ132">
        <v>1</v>
      </c>
    </row>
    <row r="133" spans="23:36">
      <c r="W133" s="168">
        <v>45441.219085648147</v>
      </c>
      <c r="Y133">
        <v>1</v>
      </c>
      <c r="AJ133">
        <v>1</v>
      </c>
    </row>
    <row r="134" spans="23:36">
      <c r="W134" s="168">
        <v>45441.419421296298</v>
      </c>
      <c r="Y134">
        <v>1</v>
      </c>
      <c r="AJ134">
        <v>1</v>
      </c>
    </row>
    <row r="135" spans="23:36">
      <c r="W135" s="168">
        <v>45441.420567129629</v>
      </c>
      <c r="Y135">
        <v>1</v>
      </c>
      <c r="AJ135">
        <v>1</v>
      </c>
    </row>
    <row r="136" spans="23:36">
      <c r="W136" s="168">
        <v>45441.714398148149</v>
      </c>
      <c r="Y136">
        <v>1</v>
      </c>
      <c r="AJ136">
        <v>1</v>
      </c>
    </row>
    <row r="137" spans="23:36">
      <c r="W137" s="168">
        <v>45441.794930555552</v>
      </c>
      <c r="Y137">
        <v>1</v>
      </c>
      <c r="AJ137">
        <v>1</v>
      </c>
    </row>
    <row r="138" spans="23:36">
      <c r="W138" s="168">
        <v>45441.936736111114</v>
      </c>
      <c r="Y138">
        <v>1</v>
      </c>
      <c r="AJ138">
        <v>1</v>
      </c>
    </row>
    <row r="139" spans="23:36">
      <c r="W139" s="168">
        <v>45442.936736111114</v>
      </c>
      <c r="Y139">
        <v>4</v>
      </c>
      <c r="Z139">
        <v>1</v>
      </c>
      <c r="AJ139">
        <v>5</v>
      </c>
    </row>
    <row r="140" spans="23:36">
      <c r="W140" s="167">
        <v>45443</v>
      </c>
      <c r="AH140">
        <v>2</v>
      </c>
      <c r="AJ140">
        <v>2</v>
      </c>
    </row>
    <row r="141" spans="23:36">
      <c r="W141" s="166" t="s">
        <v>3595</v>
      </c>
      <c r="Y141">
        <v>52</v>
      </c>
      <c r="Z141">
        <v>10</v>
      </c>
      <c r="AB141">
        <v>3</v>
      </c>
      <c r="AF141">
        <v>9</v>
      </c>
      <c r="AJ141">
        <v>74</v>
      </c>
    </row>
    <row r="142" spans="23:36">
      <c r="W142" s="167">
        <v>45444</v>
      </c>
      <c r="Y142">
        <v>1</v>
      </c>
      <c r="Z142">
        <v>1</v>
      </c>
      <c r="AJ142">
        <v>2</v>
      </c>
    </row>
    <row r="143" spans="23:36">
      <c r="W143" s="167">
        <v>45445</v>
      </c>
      <c r="Y143">
        <v>4</v>
      </c>
      <c r="AJ143">
        <v>4</v>
      </c>
    </row>
    <row r="144" spans="23:36">
      <c r="W144" s="167">
        <v>45446</v>
      </c>
      <c r="Y144">
        <v>3</v>
      </c>
      <c r="AJ144">
        <v>3</v>
      </c>
    </row>
    <row r="145" spans="23:36">
      <c r="W145" s="167">
        <v>45447</v>
      </c>
      <c r="Y145">
        <v>3</v>
      </c>
      <c r="AJ145">
        <v>3</v>
      </c>
    </row>
    <row r="146" spans="23:36">
      <c r="W146" s="167">
        <v>45448</v>
      </c>
      <c r="Y146">
        <v>2</v>
      </c>
      <c r="AJ146">
        <v>2</v>
      </c>
    </row>
    <row r="147" spans="23:36">
      <c r="W147" s="167">
        <v>45449</v>
      </c>
      <c r="Y147">
        <v>1</v>
      </c>
      <c r="AJ147">
        <v>1</v>
      </c>
    </row>
    <row r="148" spans="23:36">
      <c r="W148" s="167">
        <v>45451</v>
      </c>
      <c r="Y148">
        <v>1</v>
      </c>
      <c r="AB148">
        <v>1</v>
      </c>
      <c r="AJ148">
        <v>2</v>
      </c>
    </row>
    <row r="149" spans="23:36">
      <c r="W149" s="167">
        <v>45452</v>
      </c>
      <c r="Y149">
        <v>1</v>
      </c>
      <c r="AJ149">
        <v>1</v>
      </c>
    </row>
    <row r="150" spans="23:36">
      <c r="W150" s="167">
        <v>45453</v>
      </c>
      <c r="Y150">
        <v>2</v>
      </c>
      <c r="AJ150">
        <v>2</v>
      </c>
    </row>
    <row r="151" spans="23:36">
      <c r="W151" s="167">
        <v>45454</v>
      </c>
      <c r="Y151">
        <v>2</v>
      </c>
      <c r="Z151">
        <v>1</v>
      </c>
      <c r="AJ151">
        <v>3</v>
      </c>
    </row>
    <row r="152" spans="23:36">
      <c r="W152" s="167">
        <v>45456</v>
      </c>
      <c r="Y152">
        <v>3</v>
      </c>
      <c r="AJ152">
        <v>3</v>
      </c>
    </row>
    <row r="153" spans="23:36">
      <c r="W153" s="167">
        <v>45457</v>
      </c>
      <c r="Y153">
        <v>1</v>
      </c>
      <c r="Z153">
        <v>1</v>
      </c>
      <c r="AJ153">
        <v>2</v>
      </c>
    </row>
    <row r="154" spans="23:36">
      <c r="W154" s="167">
        <v>45459</v>
      </c>
      <c r="Z154">
        <v>1</v>
      </c>
      <c r="AJ154">
        <v>1</v>
      </c>
    </row>
    <row r="155" spans="23:36">
      <c r="W155" s="167">
        <v>45460</v>
      </c>
      <c r="Y155">
        <v>1</v>
      </c>
      <c r="AJ155">
        <v>1</v>
      </c>
    </row>
    <row r="156" spans="23:36">
      <c r="W156" s="167">
        <v>45461</v>
      </c>
      <c r="Y156">
        <v>3</v>
      </c>
      <c r="AJ156">
        <v>3</v>
      </c>
    </row>
    <row r="157" spans="23:36">
      <c r="W157" s="167">
        <v>45462</v>
      </c>
      <c r="Y157">
        <v>2</v>
      </c>
      <c r="AJ157">
        <v>2</v>
      </c>
    </row>
    <row r="158" spans="23:36">
      <c r="W158" s="167">
        <v>45464</v>
      </c>
      <c r="Y158">
        <v>1</v>
      </c>
      <c r="AJ158">
        <v>1</v>
      </c>
    </row>
    <row r="159" spans="23:36">
      <c r="W159" s="167">
        <v>45465</v>
      </c>
      <c r="Y159">
        <v>2</v>
      </c>
      <c r="Z159">
        <v>1</v>
      </c>
      <c r="AJ159">
        <v>3</v>
      </c>
    </row>
    <row r="160" spans="23:36">
      <c r="W160" s="167">
        <v>45466</v>
      </c>
      <c r="Y160">
        <v>2</v>
      </c>
      <c r="AJ160">
        <v>2</v>
      </c>
    </row>
    <row r="161" spans="23:36">
      <c r="W161" s="167">
        <v>45467</v>
      </c>
      <c r="Y161">
        <v>1</v>
      </c>
      <c r="Z161">
        <v>3</v>
      </c>
      <c r="AJ161">
        <v>4</v>
      </c>
    </row>
    <row r="162" spans="23:36">
      <c r="W162" s="167">
        <v>45468</v>
      </c>
      <c r="Y162">
        <v>3</v>
      </c>
      <c r="AJ162">
        <v>3</v>
      </c>
    </row>
    <row r="163" spans="23:36">
      <c r="W163" s="167">
        <v>45469</v>
      </c>
      <c r="Z163">
        <v>1</v>
      </c>
      <c r="AB163">
        <v>1</v>
      </c>
      <c r="AJ163">
        <v>2</v>
      </c>
    </row>
    <row r="164" spans="23:36">
      <c r="W164" s="167">
        <v>45470</v>
      </c>
      <c r="Y164">
        <v>2</v>
      </c>
      <c r="AF164">
        <v>1</v>
      </c>
      <c r="AJ164">
        <v>3</v>
      </c>
    </row>
    <row r="165" spans="23:36">
      <c r="W165" s="167">
        <v>45471</v>
      </c>
      <c r="Y165">
        <v>3</v>
      </c>
      <c r="Z165">
        <v>1</v>
      </c>
      <c r="AF165">
        <v>2</v>
      </c>
      <c r="AJ165">
        <v>6</v>
      </c>
    </row>
    <row r="166" spans="23:36">
      <c r="W166" s="167">
        <v>45472</v>
      </c>
      <c r="Y166">
        <v>4</v>
      </c>
      <c r="AF166">
        <v>4</v>
      </c>
      <c r="AJ166">
        <v>8</v>
      </c>
    </row>
    <row r="167" spans="23:36">
      <c r="W167" s="167">
        <v>45473</v>
      </c>
      <c r="Y167">
        <v>4</v>
      </c>
      <c r="AB167">
        <v>1</v>
      </c>
      <c r="AF167">
        <v>2</v>
      </c>
      <c r="AJ167">
        <v>7</v>
      </c>
    </row>
    <row r="168" spans="23:36">
      <c r="W168" s="166" t="s">
        <v>3596</v>
      </c>
      <c r="Y168">
        <v>78</v>
      </c>
      <c r="Z168">
        <v>27</v>
      </c>
      <c r="AB168">
        <v>8</v>
      </c>
      <c r="AF168">
        <v>4</v>
      </c>
      <c r="AG168">
        <v>1</v>
      </c>
      <c r="AH168">
        <v>19</v>
      </c>
      <c r="AJ168">
        <v>137</v>
      </c>
    </row>
    <row r="169" spans="23:36">
      <c r="W169" s="167">
        <v>45474</v>
      </c>
      <c r="Y169">
        <v>4</v>
      </c>
      <c r="AF169">
        <v>1</v>
      </c>
      <c r="AJ169">
        <v>5</v>
      </c>
    </row>
    <row r="170" spans="23:36">
      <c r="W170" s="167">
        <v>45475</v>
      </c>
      <c r="Y170">
        <v>3</v>
      </c>
      <c r="AF170">
        <v>2</v>
      </c>
      <c r="AJ170">
        <v>5</v>
      </c>
    </row>
    <row r="171" spans="23:36">
      <c r="W171" s="167">
        <v>45476</v>
      </c>
      <c r="Y171">
        <v>1</v>
      </c>
      <c r="AJ171">
        <v>1</v>
      </c>
    </row>
    <row r="172" spans="23:36">
      <c r="W172" s="167">
        <v>45477</v>
      </c>
      <c r="Y172">
        <v>2</v>
      </c>
      <c r="AF172">
        <v>1</v>
      </c>
      <c r="AJ172">
        <v>3</v>
      </c>
    </row>
    <row r="173" spans="23:36">
      <c r="W173" s="167">
        <v>45478</v>
      </c>
      <c r="Y173">
        <v>3</v>
      </c>
      <c r="AH173">
        <v>1</v>
      </c>
      <c r="AJ173">
        <v>4</v>
      </c>
    </row>
    <row r="174" spans="23:36">
      <c r="W174" s="167">
        <v>45479</v>
      </c>
      <c r="AH174">
        <v>1</v>
      </c>
      <c r="AJ174">
        <v>1</v>
      </c>
    </row>
    <row r="175" spans="23:36">
      <c r="W175" s="167">
        <v>45480</v>
      </c>
      <c r="Y175">
        <v>1</v>
      </c>
      <c r="Z175">
        <v>1</v>
      </c>
      <c r="AH175">
        <v>1</v>
      </c>
      <c r="AJ175">
        <v>3</v>
      </c>
    </row>
    <row r="176" spans="23:36">
      <c r="W176" s="167">
        <v>45481</v>
      </c>
      <c r="Y176">
        <v>1</v>
      </c>
      <c r="Z176">
        <v>3</v>
      </c>
      <c r="AJ176">
        <v>4</v>
      </c>
    </row>
    <row r="177" spans="23:36">
      <c r="W177" s="167">
        <v>45482</v>
      </c>
      <c r="Y177">
        <v>2</v>
      </c>
      <c r="AB177">
        <v>1</v>
      </c>
      <c r="AJ177">
        <v>3</v>
      </c>
    </row>
    <row r="178" spans="23:36">
      <c r="W178" s="167">
        <v>45483</v>
      </c>
      <c r="Y178">
        <v>2</v>
      </c>
      <c r="AH178">
        <v>1</v>
      </c>
      <c r="AJ178">
        <v>3</v>
      </c>
    </row>
    <row r="179" spans="23:36">
      <c r="W179" s="167">
        <v>45484</v>
      </c>
      <c r="Y179">
        <v>1</v>
      </c>
      <c r="AB179">
        <v>1</v>
      </c>
      <c r="AH179">
        <v>1</v>
      </c>
      <c r="AJ179">
        <v>3</v>
      </c>
    </row>
    <row r="180" spans="23:36">
      <c r="W180" s="167">
        <v>45485</v>
      </c>
      <c r="Y180">
        <v>3</v>
      </c>
      <c r="Z180">
        <v>1</v>
      </c>
      <c r="AB180">
        <v>1</v>
      </c>
      <c r="AH180">
        <v>1</v>
      </c>
      <c r="AJ180">
        <v>6</v>
      </c>
    </row>
    <row r="181" spans="23:36">
      <c r="W181" s="167">
        <v>45486</v>
      </c>
      <c r="AB181">
        <v>1</v>
      </c>
      <c r="AH181">
        <v>1</v>
      </c>
      <c r="AJ181">
        <v>2</v>
      </c>
    </row>
    <row r="182" spans="23:36">
      <c r="W182" s="167">
        <v>45487</v>
      </c>
      <c r="Y182">
        <v>3</v>
      </c>
      <c r="Z182">
        <v>5</v>
      </c>
      <c r="AB182">
        <v>1</v>
      </c>
      <c r="AH182">
        <v>3</v>
      </c>
      <c r="AJ182">
        <v>12</v>
      </c>
    </row>
    <row r="183" spans="23:36">
      <c r="W183" s="167">
        <v>45488</v>
      </c>
      <c r="Y183">
        <v>2</v>
      </c>
      <c r="AJ183">
        <v>2</v>
      </c>
    </row>
    <row r="184" spans="23:36">
      <c r="W184" s="167">
        <v>45489</v>
      </c>
      <c r="Y184">
        <v>4</v>
      </c>
      <c r="AJ184">
        <v>4</v>
      </c>
    </row>
    <row r="185" spans="23:36">
      <c r="W185" s="167">
        <v>45490</v>
      </c>
      <c r="Y185">
        <v>4</v>
      </c>
      <c r="Z185">
        <v>1</v>
      </c>
      <c r="AB185">
        <v>1</v>
      </c>
      <c r="AJ185">
        <v>6</v>
      </c>
    </row>
    <row r="186" spans="23:36">
      <c r="W186" s="167">
        <v>45491</v>
      </c>
      <c r="Y186">
        <v>4</v>
      </c>
      <c r="AJ186">
        <v>4</v>
      </c>
    </row>
    <row r="187" spans="23:36">
      <c r="W187" s="167">
        <v>45492</v>
      </c>
      <c r="Y187">
        <v>7</v>
      </c>
      <c r="AJ187">
        <v>7</v>
      </c>
    </row>
    <row r="188" spans="23:36">
      <c r="W188" s="167">
        <v>45493</v>
      </c>
      <c r="Y188">
        <v>2</v>
      </c>
      <c r="Z188">
        <v>1</v>
      </c>
      <c r="AH188">
        <v>1</v>
      </c>
      <c r="AJ188">
        <v>4</v>
      </c>
    </row>
    <row r="189" spans="23:36">
      <c r="W189" s="167">
        <v>45494</v>
      </c>
      <c r="Y189">
        <v>3</v>
      </c>
      <c r="AH189">
        <v>1</v>
      </c>
      <c r="AJ189">
        <v>4</v>
      </c>
    </row>
    <row r="190" spans="23:36">
      <c r="W190" s="167">
        <v>45495</v>
      </c>
      <c r="Z190">
        <v>3</v>
      </c>
      <c r="AJ190">
        <v>3</v>
      </c>
    </row>
    <row r="191" spans="23:36">
      <c r="W191" s="167">
        <v>45496</v>
      </c>
      <c r="Y191">
        <v>5</v>
      </c>
      <c r="Z191">
        <v>3</v>
      </c>
      <c r="AJ191">
        <v>8</v>
      </c>
    </row>
    <row r="192" spans="23:36">
      <c r="W192" s="167">
        <v>45497</v>
      </c>
      <c r="Y192">
        <v>5</v>
      </c>
      <c r="Z192">
        <v>4</v>
      </c>
      <c r="AJ192">
        <v>9</v>
      </c>
    </row>
    <row r="193" spans="23:36">
      <c r="W193" s="167">
        <v>45498</v>
      </c>
      <c r="Y193">
        <v>3</v>
      </c>
      <c r="Z193">
        <v>1</v>
      </c>
      <c r="AJ193">
        <v>4</v>
      </c>
    </row>
    <row r="194" spans="23:36">
      <c r="W194" s="167">
        <v>45499</v>
      </c>
      <c r="Y194">
        <v>4</v>
      </c>
      <c r="Z194">
        <v>1</v>
      </c>
      <c r="AJ194">
        <v>5</v>
      </c>
    </row>
    <row r="195" spans="23:36">
      <c r="W195" s="167">
        <v>45500</v>
      </c>
      <c r="Y195">
        <v>1</v>
      </c>
      <c r="AH195">
        <v>2</v>
      </c>
      <c r="AJ195">
        <v>3</v>
      </c>
    </row>
    <row r="196" spans="23:36">
      <c r="W196" s="167">
        <v>45501</v>
      </c>
      <c r="Y196">
        <v>2</v>
      </c>
      <c r="Z196">
        <v>1</v>
      </c>
      <c r="AH196">
        <v>2</v>
      </c>
      <c r="AJ196">
        <v>5</v>
      </c>
    </row>
    <row r="197" spans="23:36">
      <c r="W197" s="167">
        <v>45502</v>
      </c>
      <c r="Y197">
        <v>1</v>
      </c>
      <c r="AB197">
        <v>2</v>
      </c>
      <c r="AG197">
        <v>1</v>
      </c>
      <c r="AH197">
        <v>1</v>
      </c>
      <c r="AJ197">
        <v>5</v>
      </c>
    </row>
    <row r="198" spans="23:36">
      <c r="W198" s="167">
        <v>45503</v>
      </c>
      <c r="Y198">
        <v>2</v>
      </c>
      <c r="Z198">
        <v>2</v>
      </c>
      <c r="AH198">
        <v>1</v>
      </c>
      <c r="AJ198">
        <v>5</v>
      </c>
    </row>
    <row r="199" spans="23:36">
      <c r="W199" s="167">
        <v>45504</v>
      </c>
      <c r="Y199">
        <v>3</v>
      </c>
      <c r="AH199">
        <v>1</v>
      </c>
      <c r="AJ199">
        <v>4</v>
      </c>
    </row>
    <row r="200" spans="23:36">
      <c r="W200" s="166" t="s">
        <v>3590</v>
      </c>
      <c r="Y200">
        <v>91</v>
      </c>
      <c r="Z200">
        <v>20</v>
      </c>
      <c r="AB200">
        <v>8</v>
      </c>
      <c r="AE200">
        <v>1</v>
      </c>
      <c r="AG200">
        <v>3</v>
      </c>
      <c r="AH200">
        <v>5</v>
      </c>
      <c r="AJ200">
        <v>128</v>
      </c>
    </row>
    <row r="201" spans="23:36">
      <c r="W201" s="167">
        <v>45505</v>
      </c>
      <c r="Y201">
        <v>5</v>
      </c>
      <c r="Z201">
        <v>1</v>
      </c>
      <c r="AJ201">
        <v>6</v>
      </c>
    </row>
    <row r="202" spans="23:36">
      <c r="W202" s="167">
        <v>45506</v>
      </c>
      <c r="Y202">
        <v>3</v>
      </c>
      <c r="AJ202">
        <v>3</v>
      </c>
    </row>
    <row r="203" spans="23:36">
      <c r="W203" s="167">
        <v>45507</v>
      </c>
      <c r="Y203">
        <v>2</v>
      </c>
      <c r="Z203">
        <v>1</v>
      </c>
      <c r="AB203">
        <v>1</v>
      </c>
      <c r="AG203">
        <v>1</v>
      </c>
      <c r="AJ203">
        <v>5</v>
      </c>
    </row>
    <row r="204" spans="23:36">
      <c r="W204" s="167">
        <v>45508</v>
      </c>
      <c r="Y204">
        <v>2</v>
      </c>
      <c r="Z204">
        <v>4</v>
      </c>
      <c r="AB204">
        <v>3</v>
      </c>
      <c r="AJ204">
        <v>9</v>
      </c>
    </row>
    <row r="205" spans="23:36">
      <c r="W205" s="167">
        <v>45509</v>
      </c>
      <c r="Y205">
        <v>1</v>
      </c>
      <c r="Z205">
        <v>1</v>
      </c>
      <c r="AB205">
        <v>1</v>
      </c>
      <c r="AJ205">
        <v>3</v>
      </c>
    </row>
    <row r="206" spans="23:36">
      <c r="W206" s="167">
        <v>45510</v>
      </c>
      <c r="Y206">
        <v>2</v>
      </c>
      <c r="Z206">
        <v>1</v>
      </c>
      <c r="AJ206">
        <v>3</v>
      </c>
    </row>
    <row r="207" spans="23:36">
      <c r="W207" s="167">
        <v>45511</v>
      </c>
      <c r="Y207">
        <v>1</v>
      </c>
      <c r="Z207">
        <v>2</v>
      </c>
      <c r="AJ207">
        <v>3</v>
      </c>
    </row>
    <row r="208" spans="23:36">
      <c r="W208" s="167">
        <v>45512</v>
      </c>
      <c r="Y208">
        <v>1</v>
      </c>
      <c r="Z208">
        <v>1</v>
      </c>
      <c r="AH208">
        <v>1</v>
      </c>
      <c r="AJ208">
        <v>3</v>
      </c>
    </row>
    <row r="209" spans="23:36">
      <c r="W209" s="167">
        <v>45513</v>
      </c>
      <c r="Y209">
        <v>2</v>
      </c>
      <c r="Z209">
        <v>1</v>
      </c>
      <c r="AJ209">
        <v>3</v>
      </c>
    </row>
    <row r="210" spans="23:36">
      <c r="W210" s="167">
        <v>45514</v>
      </c>
      <c r="Y210">
        <v>4</v>
      </c>
      <c r="Z210">
        <v>2</v>
      </c>
      <c r="AJ210">
        <v>6</v>
      </c>
    </row>
    <row r="211" spans="23:36">
      <c r="W211" s="167">
        <v>45515</v>
      </c>
      <c r="Y211">
        <v>7</v>
      </c>
      <c r="AJ211">
        <v>7</v>
      </c>
    </row>
    <row r="212" spans="23:36">
      <c r="W212" s="167">
        <v>45516</v>
      </c>
      <c r="Y212">
        <v>5</v>
      </c>
      <c r="Z212">
        <v>1</v>
      </c>
      <c r="AG212">
        <v>1</v>
      </c>
      <c r="AJ212">
        <v>7</v>
      </c>
    </row>
    <row r="213" spans="23:36">
      <c r="W213" s="167">
        <v>45517</v>
      </c>
      <c r="Y213">
        <v>6</v>
      </c>
      <c r="AJ213">
        <v>6</v>
      </c>
    </row>
    <row r="214" spans="23:36">
      <c r="W214" s="167">
        <v>45519</v>
      </c>
      <c r="Y214">
        <v>2</v>
      </c>
      <c r="Z214">
        <v>2</v>
      </c>
      <c r="AJ214">
        <v>4</v>
      </c>
    </row>
    <row r="215" spans="23:36">
      <c r="W215" s="167">
        <v>45520</v>
      </c>
      <c r="Y215">
        <v>1</v>
      </c>
      <c r="AB215">
        <v>3</v>
      </c>
      <c r="AJ215">
        <v>4</v>
      </c>
    </row>
    <row r="216" spans="23:36">
      <c r="W216" s="167">
        <v>45521</v>
      </c>
      <c r="Y216">
        <v>1</v>
      </c>
      <c r="Z216">
        <v>1</v>
      </c>
      <c r="AJ216">
        <v>2</v>
      </c>
    </row>
    <row r="217" spans="23:36">
      <c r="W217" s="167">
        <v>45522</v>
      </c>
      <c r="Y217">
        <v>5</v>
      </c>
      <c r="Z217">
        <v>1</v>
      </c>
      <c r="AJ217">
        <v>6</v>
      </c>
    </row>
    <row r="218" spans="23:36">
      <c r="W218" s="167">
        <v>45523</v>
      </c>
      <c r="Y218">
        <v>4</v>
      </c>
      <c r="AE218">
        <v>1</v>
      </c>
      <c r="AJ218">
        <v>5</v>
      </c>
    </row>
    <row r="219" spans="23:36">
      <c r="W219" s="167">
        <v>45524</v>
      </c>
      <c r="Y219">
        <v>3</v>
      </c>
      <c r="AG219">
        <v>1</v>
      </c>
      <c r="AJ219">
        <v>4</v>
      </c>
    </row>
    <row r="220" spans="23:36">
      <c r="W220" s="167">
        <v>45525</v>
      </c>
      <c r="Y220">
        <v>6</v>
      </c>
      <c r="AH220">
        <v>1</v>
      </c>
      <c r="AJ220">
        <v>7</v>
      </c>
    </row>
    <row r="221" spans="23:36">
      <c r="W221" s="167">
        <v>45527</v>
      </c>
      <c r="Y221">
        <v>4</v>
      </c>
      <c r="AJ221">
        <v>4</v>
      </c>
    </row>
    <row r="222" spans="23:36">
      <c r="W222" s="167">
        <v>45528</v>
      </c>
      <c r="Y222">
        <v>5</v>
      </c>
      <c r="AJ222">
        <v>5</v>
      </c>
    </row>
    <row r="223" spans="23:36">
      <c r="W223" s="167">
        <v>45529</v>
      </c>
      <c r="Y223">
        <v>1</v>
      </c>
      <c r="AH223">
        <v>1</v>
      </c>
      <c r="AJ223">
        <v>2</v>
      </c>
    </row>
    <row r="224" spans="23:36">
      <c r="W224" s="167">
        <v>45530</v>
      </c>
      <c r="Y224">
        <v>1</v>
      </c>
      <c r="AJ224">
        <v>1</v>
      </c>
    </row>
    <row r="225" spans="23:36">
      <c r="W225" s="167">
        <v>45531</v>
      </c>
      <c r="Y225">
        <v>5</v>
      </c>
      <c r="Z225">
        <v>1</v>
      </c>
      <c r="AH225">
        <v>1</v>
      </c>
      <c r="AJ225">
        <v>7</v>
      </c>
    </row>
    <row r="226" spans="23:36">
      <c r="W226" s="167">
        <v>45532</v>
      </c>
      <c r="Y226">
        <v>3</v>
      </c>
      <c r="AJ226">
        <v>3</v>
      </c>
    </row>
    <row r="227" spans="23:36">
      <c r="W227" s="167">
        <v>45533</v>
      </c>
      <c r="Y227">
        <v>4</v>
      </c>
      <c r="AJ227">
        <v>4</v>
      </c>
    </row>
    <row r="228" spans="23:36">
      <c r="W228" s="167">
        <v>45534</v>
      </c>
      <c r="Y228">
        <v>1</v>
      </c>
      <c r="AH228">
        <v>1</v>
      </c>
      <c r="AJ228">
        <v>2</v>
      </c>
    </row>
    <row r="229" spans="23:36">
      <c r="W229" s="167">
        <v>45535</v>
      </c>
      <c r="Y229">
        <v>4</v>
      </c>
      <c r="AJ229">
        <v>4</v>
      </c>
    </row>
    <row r="230" spans="23:36">
      <c r="W230" s="166" t="s">
        <v>3591</v>
      </c>
      <c r="Y230">
        <v>90</v>
      </c>
      <c r="Z230">
        <v>11</v>
      </c>
      <c r="AB230">
        <v>2</v>
      </c>
      <c r="AG230">
        <v>3</v>
      </c>
      <c r="AH230">
        <v>2</v>
      </c>
      <c r="AJ230">
        <v>108</v>
      </c>
    </row>
    <row r="231" spans="23:36">
      <c r="W231" s="167">
        <v>45536</v>
      </c>
      <c r="Y231">
        <v>3</v>
      </c>
      <c r="Z231">
        <v>2</v>
      </c>
      <c r="AJ231">
        <v>5</v>
      </c>
    </row>
    <row r="232" spans="23:36">
      <c r="W232" s="167">
        <v>45538</v>
      </c>
      <c r="Y232">
        <v>4</v>
      </c>
      <c r="AJ232">
        <v>4</v>
      </c>
    </row>
    <row r="233" spans="23:36">
      <c r="W233" s="167">
        <v>45539</v>
      </c>
      <c r="Y233">
        <v>8</v>
      </c>
      <c r="AH233">
        <v>1</v>
      </c>
      <c r="AJ233">
        <v>9</v>
      </c>
    </row>
    <row r="234" spans="23:36">
      <c r="W234" s="167">
        <v>45540</v>
      </c>
      <c r="Y234">
        <v>3</v>
      </c>
      <c r="AJ234">
        <v>3</v>
      </c>
    </row>
    <row r="235" spans="23:36">
      <c r="W235" s="167">
        <v>45541</v>
      </c>
      <c r="Y235">
        <v>5</v>
      </c>
      <c r="AJ235">
        <v>5</v>
      </c>
    </row>
    <row r="236" spans="23:36">
      <c r="W236" s="167">
        <v>45542</v>
      </c>
      <c r="Y236">
        <v>1</v>
      </c>
      <c r="AJ236">
        <v>1</v>
      </c>
    </row>
    <row r="237" spans="23:36">
      <c r="W237" s="167">
        <v>45543</v>
      </c>
      <c r="Y237">
        <v>2</v>
      </c>
      <c r="AH237">
        <v>1</v>
      </c>
      <c r="AJ237">
        <v>3</v>
      </c>
    </row>
    <row r="238" spans="23:36">
      <c r="W238" s="167">
        <v>45544</v>
      </c>
      <c r="Y238">
        <v>3</v>
      </c>
      <c r="Z238">
        <v>1</v>
      </c>
      <c r="AB238">
        <v>1</v>
      </c>
      <c r="AJ238">
        <v>5</v>
      </c>
    </row>
    <row r="239" spans="23:36">
      <c r="W239" s="167">
        <v>45545</v>
      </c>
      <c r="Y239">
        <v>2</v>
      </c>
      <c r="Z239">
        <v>1</v>
      </c>
      <c r="AJ239">
        <v>3</v>
      </c>
    </row>
    <row r="240" spans="23:36">
      <c r="W240" s="167">
        <v>45546</v>
      </c>
      <c r="Y240">
        <v>3</v>
      </c>
      <c r="AJ240">
        <v>3</v>
      </c>
    </row>
    <row r="241" spans="23:36">
      <c r="W241" s="167">
        <v>45547</v>
      </c>
      <c r="Y241">
        <v>3</v>
      </c>
      <c r="AB241">
        <v>1</v>
      </c>
      <c r="AJ241">
        <v>4</v>
      </c>
    </row>
    <row r="242" spans="23:36">
      <c r="W242" s="167">
        <v>45548</v>
      </c>
      <c r="Y242">
        <v>4</v>
      </c>
      <c r="Z242">
        <v>2</v>
      </c>
      <c r="AJ242">
        <v>6</v>
      </c>
    </row>
    <row r="243" spans="23:36">
      <c r="W243" s="167">
        <v>45549</v>
      </c>
      <c r="Y243">
        <v>1</v>
      </c>
      <c r="AJ243">
        <v>1</v>
      </c>
    </row>
    <row r="244" spans="23:36">
      <c r="W244" s="167">
        <v>45550</v>
      </c>
      <c r="Y244">
        <v>3</v>
      </c>
      <c r="AJ244">
        <v>3</v>
      </c>
    </row>
    <row r="245" spans="23:36">
      <c r="W245" s="167">
        <v>45551</v>
      </c>
      <c r="Y245">
        <v>2</v>
      </c>
      <c r="AJ245">
        <v>2</v>
      </c>
    </row>
    <row r="246" spans="23:36">
      <c r="W246" s="167">
        <v>45552</v>
      </c>
      <c r="Y246">
        <v>2</v>
      </c>
      <c r="AJ246">
        <v>2</v>
      </c>
    </row>
    <row r="247" spans="23:36">
      <c r="W247" s="167">
        <v>45553</v>
      </c>
      <c r="Y247">
        <v>5</v>
      </c>
      <c r="AJ247">
        <v>5</v>
      </c>
    </row>
    <row r="248" spans="23:36">
      <c r="W248" s="167">
        <v>45554</v>
      </c>
      <c r="Y248">
        <v>1</v>
      </c>
      <c r="AJ248">
        <v>1</v>
      </c>
    </row>
    <row r="249" spans="23:36">
      <c r="W249" s="167">
        <v>45555</v>
      </c>
      <c r="Y249">
        <v>3</v>
      </c>
      <c r="AG249">
        <v>1</v>
      </c>
      <c r="AJ249">
        <v>4</v>
      </c>
    </row>
    <row r="250" spans="23:36">
      <c r="W250" s="167">
        <v>45556</v>
      </c>
      <c r="Y250">
        <v>3</v>
      </c>
      <c r="AJ250">
        <v>3</v>
      </c>
    </row>
    <row r="251" spans="23:36">
      <c r="W251" s="167">
        <v>45557</v>
      </c>
      <c r="Y251">
        <v>4</v>
      </c>
      <c r="Z251">
        <v>2</v>
      </c>
      <c r="AJ251">
        <v>6</v>
      </c>
    </row>
    <row r="252" spans="23:36">
      <c r="W252" s="167">
        <v>45558</v>
      </c>
      <c r="Y252">
        <v>4</v>
      </c>
      <c r="AJ252">
        <v>4</v>
      </c>
    </row>
    <row r="253" spans="23:36">
      <c r="W253" s="167">
        <v>45559</v>
      </c>
      <c r="Y253">
        <v>5</v>
      </c>
      <c r="AJ253">
        <v>5</v>
      </c>
    </row>
    <row r="254" spans="23:36">
      <c r="W254" s="167">
        <v>45560</v>
      </c>
      <c r="Y254">
        <v>5</v>
      </c>
      <c r="Z254">
        <v>1</v>
      </c>
      <c r="AG254">
        <v>1</v>
      </c>
      <c r="AJ254">
        <v>7</v>
      </c>
    </row>
    <row r="255" spans="23:36">
      <c r="W255" s="167">
        <v>45561</v>
      </c>
      <c r="Y255">
        <v>4</v>
      </c>
      <c r="AJ255">
        <v>4</v>
      </c>
    </row>
    <row r="256" spans="23:36">
      <c r="W256" s="167">
        <v>45562</v>
      </c>
      <c r="Y256">
        <v>1</v>
      </c>
      <c r="AJ256">
        <v>1</v>
      </c>
    </row>
    <row r="257" spans="23:36">
      <c r="W257" s="167">
        <v>45563</v>
      </c>
      <c r="Y257">
        <v>4</v>
      </c>
      <c r="AG257">
        <v>1</v>
      </c>
      <c r="AJ257">
        <v>5</v>
      </c>
    </row>
    <row r="258" spans="23:36">
      <c r="W258" s="167">
        <v>45564</v>
      </c>
      <c r="Y258">
        <v>1</v>
      </c>
      <c r="AJ258">
        <v>1</v>
      </c>
    </row>
    <row r="259" spans="23:36">
      <c r="W259" s="167">
        <v>45565</v>
      </c>
      <c r="Y259">
        <v>1</v>
      </c>
      <c r="Z259">
        <v>2</v>
      </c>
      <c r="AJ259">
        <v>3</v>
      </c>
    </row>
    <row r="260" spans="23:36">
      <c r="W260" s="166" t="s">
        <v>3592</v>
      </c>
      <c r="Y260">
        <v>108</v>
      </c>
      <c r="Z260">
        <v>11</v>
      </c>
      <c r="AB260">
        <v>2</v>
      </c>
      <c r="AC260">
        <v>2</v>
      </c>
      <c r="AG260">
        <v>11</v>
      </c>
      <c r="AJ260">
        <v>134</v>
      </c>
    </row>
    <row r="261" spans="23:36">
      <c r="W261" s="167">
        <v>45566</v>
      </c>
      <c r="Y261">
        <v>3</v>
      </c>
      <c r="AG261">
        <v>1</v>
      </c>
      <c r="AJ261">
        <v>4</v>
      </c>
    </row>
    <row r="262" spans="23:36">
      <c r="W262" s="167">
        <v>45567</v>
      </c>
      <c r="Y262">
        <v>2</v>
      </c>
      <c r="AJ262">
        <v>2</v>
      </c>
    </row>
    <row r="263" spans="23:36">
      <c r="W263" s="167">
        <v>45568</v>
      </c>
      <c r="Y263">
        <v>4</v>
      </c>
      <c r="AJ263">
        <v>4</v>
      </c>
    </row>
    <row r="264" spans="23:36">
      <c r="W264" s="167">
        <v>45569</v>
      </c>
      <c r="Y264">
        <v>4</v>
      </c>
      <c r="AJ264">
        <v>4</v>
      </c>
    </row>
    <row r="265" spans="23:36">
      <c r="W265" s="167">
        <v>45570</v>
      </c>
      <c r="Y265">
        <v>3</v>
      </c>
      <c r="AJ265">
        <v>3</v>
      </c>
    </row>
    <row r="266" spans="23:36">
      <c r="W266" s="167">
        <v>45571</v>
      </c>
      <c r="Y266">
        <v>3</v>
      </c>
      <c r="AG266">
        <v>1</v>
      </c>
      <c r="AJ266">
        <v>4</v>
      </c>
    </row>
    <row r="267" spans="23:36">
      <c r="W267" s="167">
        <v>45572</v>
      </c>
      <c r="Y267">
        <v>1</v>
      </c>
      <c r="Z267">
        <v>2</v>
      </c>
      <c r="AJ267">
        <v>3</v>
      </c>
    </row>
    <row r="268" spans="23:36">
      <c r="W268" s="167">
        <v>45573</v>
      </c>
      <c r="Y268">
        <v>3</v>
      </c>
      <c r="Z268">
        <v>1</v>
      </c>
      <c r="AJ268">
        <v>4</v>
      </c>
    </row>
    <row r="269" spans="23:36">
      <c r="W269" s="167">
        <v>45574</v>
      </c>
      <c r="Y269">
        <v>4</v>
      </c>
      <c r="Z269">
        <v>1</v>
      </c>
      <c r="AG269">
        <v>1</v>
      </c>
      <c r="AJ269">
        <v>6</v>
      </c>
    </row>
    <row r="270" spans="23:36">
      <c r="W270" s="167">
        <v>45575</v>
      </c>
      <c r="Y270">
        <v>3</v>
      </c>
      <c r="AG270">
        <v>1</v>
      </c>
      <c r="AJ270">
        <v>4</v>
      </c>
    </row>
    <row r="271" spans="23:36">
      <c r="W271" s="167">
        <v>45576</v>
      </c>
      <c r="Y271">
        <v>3</v>
      </c>
      <c r="AJ271">
        <v>3</v>
      </c>
    </row>
    <row r="272" spans="23:36">
      <c r="W272" s="167">
        <v>45577</v>
      </c>
      <c r="Y272">
        <v>6</v>
      </c>
      <c r="AJ272">
        <v>6</v>
      </c>
    </row>
    <row r="273" spans="23:36">
      <c r="W273" s="167">
        <v>45578</v>
      </c>
      <c r="Y273">
        <v>2</v>
      </c>
      <c r="Z273">
        <v>1</v>
      </c>
      <c r="AG273">
        <v>1</v>
      </c>
      <c r="AJ273">
        <v>4</v>
      </c>
    </row>
    <row r="274" spans="23:36">
      <c r="W274" s="167">
        <v>45579</v>
      </c>
      <c r="Y274">
        <v>3</v>
      </c>
      <c r="Z274">
        <v>1</v>
      </c>
      <c r="AB274">
        <v>1</v>
      </c>
      <c r="AC274">
        <v>1</v>
      </c>
      <c r="AJ274">
        <v>6</v>
      </c>
    </row>
    <row r="275" spans="23:36">
      <c r="W275" s="167">
        <v>45580</v>
      </c>
      <c r="Y275">
        <v>4</v>
      </c>
      <c r="Z275">
        <v>1</v>
      </c>
      <c r="AC275">
        <v>1</v>
      </c>
      <c r="AJ275">
        <v>6</v>
      </c>
    </row>
    <row r="276" spans="23:36">
      <c r="W276" s="167">
        <v>45581</v>
      </c>
      <c r="Y276">
        <v>4</v>
      </c>
      <c r="AJ276">
        <v>4</v>
      </c>
    </row>
    <row r="277" spans="23:36">
      <c r="W277" s="167">
        <v>45582</v>
      </c>
      <c r="Y277">
        <v>3</v>
      </c>
      <c r="AG277">
        <v>1</v>
      </c>
      <c r="AJ277">
        <v>4</v>
      </c>
    </row>
    <row r="278" spans="23:36">
      <c r="W278" s="167">
        <v>45583</v>
      </c>
      <c r="Y278">
        <v>7</v>
      </c>
      <c r="Z278">
        <v>1</v>
      </c>
      <c r="AJ278">
        <v>8</v>
      </c>
    </row>
    <row r="279" spans="23:36">
      <c r="W279" s="167">
        <v>45584</v>
      </c>
      <c r="Y279">
        <v>5</v>
      </c>
      <c r="AJ279">
        <v>5</v>
      </c>
    </row>
    <row r="280" spans="23:36">
      <c r="W280" s="167">
        <v>45585</v>
      </c>
      <c r="Y280">
        <v>8</v>
      </c>
      <c r="Z280">
        <v>1</v>
      </c>
      <c r="AG280">
        <v>1</v>
      </c>
      <c r="AJ280">
        <v>10</v>
      </c>
    </row>
    <row r="281" spans="23:36">
      <c r="W281" s="167">
        <v>45586</v>
      </c>
      <c r="Y281">
        <v>5</v>
      </c>
      <c r="Z281">
        <v>1</v>
      </c>
      <c r="AG281">
        <v>1</v>
      </c>
      <c r="AJ281">
        <v>7</v>
      </c>
    </row>
    <row r="282" spans="23:36">
      <c r="W282" s="167">
        <v>45587</v>
      </c>
      <c r="Y282">
        <v>1</v>
      </c>
      <c r="AJ282">
        <v>1</v>
      </c>
    </row>
    <row r="283" spans="23:36">
      <c r="W283" s="167">
        <v>45588</v>
      </c>
      <c r="Y283">
        <v>5</v>
      </c>
      <c r="AJ283">
        <v>5</v>
      </c>
    </row>
    <row r="284" spans="23:36">
      <c r="W284" s="167">
        <v>45589</v>
      </c>
      <c r="Y284">
        <v>4</v>
      </c>
      <c r="AJ284">
        <v>4</v>
      </c>
    </row>
    <row r="285" spans="23:36">
      <c r="W285" s="167">
        <v>45590</v>
      </c>
      <c r="Y285">
        <v>3</v>
      </c>
      <c r="AJ285">
        <v>3</v>
      </c>
    </row>
    <row r="286" spans="23:36">
      <c r="W286" s="167">
        <v>45592</v>
      </c>
      <c r="Y286">
        <v>4</v>
      </c>
      <c r="AG286">
        <v>1</v>
      </c>
      <c r="AJ286">
        <v>5</v>
      </c>
    </row>
    <row r="287" spans="23:36">
      <c r="W287" s="167">
        <v>45593</v>
      </c>
      <c r="Y287">
        <v>4</v>
      </c>
      <c r="AJ287">
        <v>4</v>
      </c>
    </row>
    <row r="288" spans="23:36">
      <c r="W288" s="167">
        <v>45594</v>
      </c>
      <c r="Y288">
        <v>3</v>
      </c>
      <c r="AG288">
        <v>1</v>
      </c>
      <c r="AJ288">
        <v>4</v>
      </c>
    </row>
    <row r="289" spans="23:36">
      <c r="W289" s="167">
        <v>45595</v>
      </c>
      <c r="Y289">
        <v>2</v>
      </c>
      <c r="AJ289">
        <v>2</v>
      </c>
    </row>
    <row r="290" spans="23:36">
      <c r="W290" s="167">
        <v>45596</v>
      </c>
      <c r="Y290">
        <v>2</v>
      </c>
      <c r="Z290">
        <v>1</v>
      </c>
      <c r="AB290">
        <v>1</v>
      </c>
      <c r="AG290">
        <v>1</v>
      </c>
      <c r="AJ290">
        <v>5</v>
      </c>
    </row>
    <row r="291" spans="23:36">
      <c r="W291" s="166" t="s">
        <v>3593</v>
      </c>
      <c r="Y291">
        <v>82</v>
      </c>
      <c r="Z291">
        <v>12</v>
      </c>
      <c r="AB291">
        <v>3</v>
      </c>
      <c r="AG291">
        <v>11</v>
      </c>
      <c r="AJ291">
        <v>108</v>
      </c>
    </row>
    <row r="292" spans="23:36">
      <c r="W292" s="167">
        <v>45597</v>
      </c>
      <c r="Y292">
        <v>2</v>
      </c>
      <c r="AJ292">
        <v>2</v>
      </c>
    </row>
    <row r="293" spans="23:36">
      <c r="W293" s="167">
        <v>45598</v>
      </c>
      <c r="Y293">
        <v>1</v>
      </c>
      <c r="Z293">
        <v>1</v>
      </c>
      <c r="AJ293">
        <v>2</v>
      </c>
    </row>
    <row r="294" spans="23:36">
      <c r="W294" s="167">
        <v>45599</v>
      </c>
      <c r="Y294">
        <v>1</v>
      </c>
      <c r="AJ294">
        <v>1</v>
      </c>
    </row>
    <row r="295" spans="23:36">
      <c r="W295" s="167">
        <v>45600</v>
      </c>
      <c r="Y295">
        <v>2</v>
      </c>
      <c r="AJ295">
        <v>2</v>
      </c>
    </row>
    <row r="296" spans="23:36">
      <c r="W296" s="167">
        <v>45601</v>
      </c>
      <c r="Y296">
        <v>1</v>
      </c>
      <c r="Z296">
        <v>1</v>
      </c>
      <c r="AB296">
        <v>1</v>
      </c>
      <c r="AJ296">
        <v>3</v>
      </c>
    </row>
    <row r="297" spans="23:36">
      <c r="W297" s="167">
        <v>45602</v>
      </c>
      <c r="Y297">
        <v>2</v>
      </c>
      <c r="AJ297">
        <v>2</v>
      </c>
    </row>
    <row r="298" spans="23:36">
      <c r="W298" s="167">
        <v>45603</v>
      </c>
      <c r="Y298">
        <v>4</v>
      </c>
      <c r="AJ298">
        <v>4</v>
      </c>
    </row>
    <row r="299" spans="23:36">
      <c r="W299" s="167">
        <v>45604</v>
      </c>
      <c r="Z299">
        <v>1</v>
      </c>
      <c r="AG299">
        <v>1</v>
      </c>
      <c r="AJ299">
        <v>2</v>
      </c>
    </row>
    <row r="300" spans="23:36">
      <c r="W300" s="167">
        <v>45605</v>
      </c>
      <c r="Y300">
        <v>5</v>
      </c>
      <c r="AJ300">
        <v>5</v>
      </c>
    </row>
    <row r="301" spans="23:36">
      <c r="W301" s="167">
        <v>45606</v>
      </c>
      <c r="Y301">
        <v>3</v>
      </c>
      <c r="Z301">
        <v>1</v>
      </c>
      <c r="AJ301">
        <v>4</v>
      </c>
    </row>
    <row r="302" spans="23:36">
      <c r="W302" s="167">
        <v>45607</v>
      </c>
      <c r="Y302">
        <v>5</v>
      </c>
      <c r="AJ302">
        <v>5</v>
      </c>
    </row>
    <row r="303" spans="23:36">
      <c r="W303" s="167">
        <v>45608</v>
      </c>
      <c r="Y303">
        <v>1</v>
      </c>
      <c r="AB303">
        <v>1</v>
      </c>
      <c r="AJ303">
        <v>2</v>
      </c>
    </row>
    <row r="304" spans="23:36">
      <c r="W304" s="167">
        <v>45609</v>
      </c>
      <c r="Y304">
        <v>4</v>
      </c>
      <c r="AG304">
        <v>1</v>
      </c>
      <c r="AJ304">
        <v>5</v>
      </c>
    </row>
    <row r="305" spans="23:36">
      <c r="W305" s="167">
        <v>45610</v>
      </c>
      <c r="Y305">
        <v>2</v>
      </c>
      <c r="AB305">
        <v>1</v>
      </c>
      <c r="AJ305">
        <v>3</v>
      </c>
    </row>
    <row r="306" spans="23:36">
      <c r="W306" s="167">
        <v>45611</v>
      </c>
      <c r="Y306">
        <v>3</v>
      </c>
      <c r="AJ306">
        <v>3</v>
      </c>
    </row>
    <row r="307" spans="23:36">
      <c r="W307" s="167">
        <v>45612</v>
      </c>
      <c r="Y307">
        <v>3</v>
      </c>
      <c r="Z307">
        <v>1</v>
      </c>
      <c r="AJ307">
        <v>4</v>
      </c>
    </row>
    <row r="308" spans="23:36">
      <c r="W308" s="167">
        <v>45613</v>
      </c>
      <c r="Y308">
        <v>4</v>
      </c>
      <c r="AG308">
        <v>2</v>
      </c>
      <c r="AJ308">
        <v>6</v>
      </c>
    </row>
    <row r="309" spans="23:36">
      <c r="W309" s="167">
        <v>45614</v>
      </c>
      <c r="Y309">
        <v>4</v>
      </c>
      <c r="AJ309">
        <v>4</v>
      </c>
    </row>
    <row r="310" spans="23:36">
      <c r="W310" s="167">
        <v>45615</v>
      </c>
      <c r="Y310">
        <v>3</v>
      </c>
      <c r="Z310">
        <v>1</v>
      </c>
      <c r="AJ310">
        <v>4</v>
      </c>
    </row>
    <row r="311" spans="23:36">
      <c r="W311" s="167">
        <v>45616</v>
      </c>
      <c r="Y311">
        <v>3</v>
      </c>
      <c r="AJ311">
        <v>3</v>
      </c>
    </row>
    <row r="312" spans="23:36">
      <c r="W312" s="167">
        <v>45617</v>
      </c>
      <c r="Y312">
        <v>3</v>
      </c>
      <c r="AG312">
        <v>2</v>
      </c>
      <c r="AJ312">
        <v>5</v>
      </c>
    </row>
    <row r="313" spans="23:36">
      <c r="W313" s="167">
        <v>45618</v>
      </c>
      <c r="Y313">
        <v>3</v>
      </c>
      <c r="AJ313">
        <v>3</v>
      </c>
    </row>
    <row r="314" spans="23:36">
      <c r="W314" s="167">
        <v>45619</v>
      </c>
      <c r="Y314">
        <v>1</v>
      </c>
      <c r="Z314">
        <v>1</v>
      </c>
      <c r="AG314">
        <v>1</v>
      </c>
      <c r="AJ314">
        <v>3</v>
      </c>
    </row>
    <row r="315" spans="23:36">
      <c r="W315" s="167">
        <v>45620</v>
      </c>
      <c r="Y315">
        <v>1</v>
      </c>
      <c r="Z315">
        <v>1</v>
      </c>
      <c r="AG315">
        <v>1</v>
      </c>
      <c r="AJ315">
        <v>3</v>
      </c>
    </row>
    <row r="316" spans="23:36">
      <c r="W316" s="167">
        <v>45621</v>
      </c>
      <c r="Y316">
        <v>4</v>
      </c>
      <c r="Z316">
        <v>2</v>
      </c>
      <c r="AG316">
        <v>1</v>
      </c>
      <c r="AJ316">
        <v>7</v>
      </c>
    </row>
    <row r="317" spans="23:36">
      <c r="W317" s="167">
        <v>45622</v>
      </c>
      <c r="Y317">
        <v>2</v>
      </c>
      <c r="Z317">
        <v>1</v>
      </c>
      <c r="AJ317">
        <v>3</v>
      </c>
    </row>
    <row r="318" spans="23:36">
      <c r="W318" s="167">
        <v>45623</v>
      </c>
      <c r="Y318">
        <v>6</v>
      </c>
      <c r="Z318">
        <v>1</v>
      </c>
      <c r="AJ318">
        <v>7</v>
      </c>
    </row>
    <row r="319" spans="23:36">
      <c r="W319" s="167">
        <v>45624</v>
      </c>
      <c r="Y319">
        <v>3</v>
      </c>
      <c r="AG319">
        <v>1</v>
      </c>
      <c r="AJ319">
        <v>4</v>
      </c>
    </row>
    <row r="320" spans="23:36">
      <c r="W320" s="167">
        <v>45625</v>
      </c>
      <c r="Y320">
        <v>5</v>
      </c>
      <c r="AG320">
        <v>1</v>
      </c>
      <c r="AJ320">
        <v>6</v>
      </c>
    </row>
    <row r="321" spans="23:36">
      <c r="W321" s="167">
        <v>45626</v>
      </c>
      <c r="Y321">
        <v>1</v>
      </c>
      <c r="AJ321">
        <v>1</v>
      </c>
    </row>
    <row r="322" spans="23:36">
      <c r="W322" s="166" t="s">
        <v>3597</v>
      </c>
      <c r="Y322">
        <v>42</v>
      </c>
      <c r="Z322">
        <v>21</v>
      </c>
      <c r="AB322">
        <v>12</v>
      </c>
      <c r="AG322">
        <v>11</v>
      </c>
      <c r="AJ322">
        <v>86</v>
      </c>
    </row>
    <row r="323" spans="23:36">
      <c r="W323" s="167">
        <v>45627</v>
      </c>
      <c r="Y323">
        <v>2</v>
      </c>
      <c r="Z323">
        <v>2</v>
      </c>
      <c r="AJ323">
        <v>4</v>
      </c>
    </row>
    <row r="324" spans="23:36">
      <c r="W324" s="167">
        <v>45628</v>
      </c>
      <c r="Y324">
        <v>1</v>
      </c>
      <c r="Z324">
        <v>1</v>
      </c>
      <c r="AB324">
        <v>3</v>
      </c>
      <c r="AG324">
        <v>3</v>
      </c>
      <c r="AJ324">
        <v>8</v>
      </c>
    </row>
    <row r="325" spans="23:36">
      <c r="W325" s="167">
        <v>45629</v>
      </c>
      <c r="Y325">
        <v>3</v>
      </c>
      <c r="Z325">
        <v>2</v>
      </c>
      <c r="AG325">
        <v>1</v>
      </c>
      <c r="AJ325">
        <v>6</v>
      </c>
    </row>
    <row r="326" spans="23:36">
      <c r="W326" s="167">
        <v>45630</v>
      </c>
      <c r="Y326">
        <v>2</v>
      </c>
      <c r="AB326">
        <v>1</v>
      </c>
      <c r="AJ326">
        <v>3</v>
      </c>
    </row>
    <row r="327" spans="23:36">
      <c r="W327" s="167">
        <v>45631</v>
      </c>
      <c r="Y327">
        <v>2</v>
      </c>
      <c r="AJ327">
        <v>2</v>
      </c>
    </row>
    <row r="328" spans="23:36">
      <c r="W328" s="167">
        <v>45632</v>
      </c>
      <c r="Y328">
        <v>2</v>
      </c>
      <c r="AJ328">
        <v>2</v>
      </c>
    </row>
    <row r="329" spans="23:36">
      <c r="W329" s="167">
        <v>45633</v>
      </c>
      <c r="Y329">
        <v>1</v>
      </c>
      <c r="Z329">
        <v>1</v>
      </c>
      <c r="AG329">
        <v>1</v>
      </c>
      <c r="AJ329">
        <v>3</v>
      </c>
    </row>
    <row r="330" spans="23:36">
      <c r="W330" s="167">
        <v>45634</v>
      </c>
      <c r="Y330">
        <v>1</v>
      </c>
      <c r="AJ330">
        <v>1</v>
      </c>
    </row>
    <row r="331" spans="23:36">
      <c r="W331" s="167">
        <v>45635</v>
      </c>
      <c r="Y331">
        <v>1</v>
      </c>
      <c r="Z331">
        <v>1</v>
      </c>
      <c r="AJ331">
        <v>2</v>
      </c>
    </row>
    <row r="332" spans="23:36">
      <c r="W332" s="167">
        <v>45636</v>
      </c>
      <c r="Y332">
        <v>1</v>
      </c>
      <c r="Z332">
        <v>4</v>
      </c>
      <c r="AJ332">
        <v>5</v>
      </c>
    </row>
    <row r="333" spans="23:36">
      <c r="W333" s="167">
        <v>45637</v>
      </c>
      <c r="Y333">
        <v>1</v>
      </c>
      <c r="AJ333">
        <v>1</v>
      </c>
    </row>
    <row r="334" spans="23:36">
      <c r="W334" s="167">
        <v>45640</v>
      </c>
      <c r="AB334">
        <v>2</v>
      </c>
      <c r="AG334">
        <v>1</v>
      </c>
      <c r="AJ334">
        <v>3</v>
      </c>
    </row>
    <row r="335" spans="23:36">
      <c r="W335" s="167">
        <v>45641</v>
      </c>
      <c r="Y335">
        <v>2</v>
      </c>
      <c r="Z335">
        <v>1</v>
      </c>
      <c r="AJ335">
        <v>3</v>
      </c>
    </row>
    <row r="336" spans="23:36">
      <c r="W336" s="167">
        <v>45642</v>
      </c>
      <c r="Y336">
        <v>1</v>
      </c>
      <c r="AG336">
        <v>1</v>
      </c>
      <c r="AJ336">
        <v>2</v>
      </c>
    </row>
    <row r="337" spans="23:36">
      <c r="W337" s="167">
        <v>45643</v>
      </c>
      <c r="Z337">
        <v>1</v>
      </c>
      <c r="AJ337">
        <v>1</v>
      </c>
    </row>
    <row r="338" spans="23:36">
      <c r="W338" s="167">
        <v>45644</v>
      </c>
      <c r="Y338">
        <v>2</v>
      </c>
      <c r="AJ338">
        <v>2</v>
      </c>
    </row>
    <row r="339" spans="23:36">
      <c r="W339" s="167">
        <v>45645</v>
      </c>
      <c r="AB339">
        <v>2</v>
      </c>
      <c r="AJ339">
        <v>2</v>
      </c>
    </row>
    <row r="340" spans="23:36">
      <c r="W340" s="167">
        <v>45646</v>
      </c>
      <c r="Y340">
        <v>3</v>
      </c>
      <c r="AJ340">
        <v>3</v>
      </c>
    </row>
    <row r="341" spans="23:36">
      <c r="W341" s="167">
        <v>45647</v>
      </c>
      <c r="Y341">
        <v>4</v>
      </c>
      <c r="AG341">
        <v>1</v>
      </c>
      <c r="AJ341">
        <v>5</v>
      </c>
    </row>
    <row r="342" spans="23:36">
      <c r="W342" s="167">
        <v>45648</v>
      </c>
      <c r="AB342">
        <v>1</v>
      </c>
      <c r="AJ342">
        <v>1</v>
      </c>
    </row>
    <row r="343" spans="23:36">
      <c r="W343" s="167">
        <v>45649</v>
      </c>
      <c r="Y343">
        <v>4</v>
      </c>
      <c r="AG343">
        <v>1</v>
      </c>
      <c r="AJ343">
        <v>5</v>
      </c>
    </row>
    <row r="344" spans="23:36">
      <c r="W344" s="167">
        <v>45650</v>
      </c>
      <c r="Y344">
        <v>1</v>
      </c>
      <c r="AB344">
        <v>2</v>
      </c>
      <c r="AJ344">
        <v>3</v>
      </c>
    </row>
    <row r="345" spans="23:36">
      <c r="W345" s="167">
        <v>45652</v>
      </c>
      <c r="Z345">
        <v>1</v>
      </c>
      <c r="AG345">
        <v>1</v>
      </c>
      <c r="AJ345">
        <v>2</v>
      </c>
    </row>
    <row r="346" spans="23:36">
      <c r="W346" s="167">
        <v>45653</v>
      </c>
      <c r="Y346">
        <v>1</v>
      </c>
      <c r="Z346">
        <v>1</v>
      </c>
      <c r="AJ346">
        <v>2</v>
      </c>
    </row>
    <row r="347" spans="23:36">
      <c r="W347" s="167">
        <v>45654</v>
      </c>
      <c r="Y347">
        <v>1</v>
      </c>
      <c r="Z347">
        <v>2</v>
      </c>
      <c r="AJ347">
        <v>3</v>
      </c>
    </row>
    <row r="348" spans="23:36">
      <c r="W348" s="167">
        <v>45655</v>
      </c>
      <c r="Y348">
        <v>3</v>
      </c>
      <c r="Z348">
        <v>1</v>
      </c>
      <c r="AB348">
        <v>1</v>
      </c>
      <c r="AJ348">
        <v>5</v>
      </c>
    </row>
    <row r="349" spans="23:36">
      <c r="W349" s="167">
        <v>45656</v>
      </c>
      <c r="Y349">
        <v>2</v>
      </c>
      <c r="Z349">
        <v>2</v>
      </c>
      <c r="AJ349">
        <v>4</v>
      </c>
    </row>
    <row r="350" spans="23:36">
      <c r="W350" s="167">
        <v>45657</v>
      </c>
      <c r="Y350">
        <v>1</v>
      </c>
      <c r="Z350">
        <v>1</v>
      </c>
      <c r="AG350">
        <v>1</v>
      </c>
      <c r="AJ350">
        <v>3</v>
      </c>
    </row>
    <row r="351" spans="23:36">
      <c r="W351" s="2" t="s">
        <v>3594</v>
      </c>
      <c r="X351">
        <v>3</v>
      </c>
      <c r="Y351">
        <v>207</v>
      </c>
      <c r="Z351">
        <v>54</v>
      </c>
      <c r="AA351">
        <v>1</v>
      </c>
      <c r="AB351">
        <v>90</v>
      </c>
      <c r="AD351">
        <v>2</v>
      </c>
      <c r="AG351">
        <v>19</v>
      </c>
      <c r="AH351">
        <v>2</v>
      </c>
      <c r="AJ351">
        <v>378</v>
      </c>
    </row>
    <row r="352" spans="23:36">
      <c r="W352" s="166" t="s">
        <v>3588</v>
      </c>
      <c r="Y352">
        <v>37</v>
      </c>
      <c r="Z352">
        <v>14</v>
      </c>
      <c r="AB352">
        <v>2</v>
      </c>
      <c r="AG352">
        <v>3</v>
      </c>
      <c r="AJ352">
        <v>56</v>
      </c>
    </row>
    <row r="353" spans="23:36">
      <c r="W353" s="167">
        <v>45658</v>
      </c>
      <c r="Y353">
        <v>2</v>
      </c>
      <c r="AJ353">
        <v>2</v>
      </c>
    </row>
    <row r="354" spans="23:36">
      <c r="W354" s="167">
        <v>45659</v>
      </c>
      <c r="AB354">
        <v>1</v>
      </c>
      <c r="AJ354">
        <v>1</v>
      </c>
    </row>
    <row r="355" spans="23:36">
      <c r="W355" s="167">
        <v>45660</v>
      </c>
      <c r="Y355">
        <v>3</v>
      </c>
      <c r="AB355">
        <v>1</v>
      </c>
      <c r="AJ355">
        <v>4</v>
      </c>
    </row>
    <row r="356" spans="23:36">
      <c r="W356" s="167">
        <v>45661</v>
      </c>
      <c r="Y356">
        <v>2</v>
      </c>
      <c r="AJ356">
        <v>2</v>
      </c>
    </row>
    <row r="357" spans="23:36">
      <c r="W357" s="167">
        <v>45662</v>
      </c>
      <c r="Y357">
        <v>1</v>
      </c>
      <c r="Z357">
        <v>1</v>
      </c>
      <c r="AJ357">
        <v>2</v>
      </c>
    </row>
    <row r="358" spans="23:36">
      <c r="W358" s="167">
        <v>45663</v>
      </c>
      <c r="Y358">
        <v>1</v>
      </c>
      <c r="Z358">
        <v>2</v>
      </c>
      <c r="AJ358">
        <v>3</v>
      </c>
    </row>
    <row r="359" spans="23:36">
      <c r="W359" s="167">
        <v>45664</v>
      </c>
      <c r="Y359">
        <v>2</v>
      </c>
      <c r="Z359">
        <v>1</v>
      </c>
      <c r="AJ359">
        <v>3</v>
      </c>
    </row>
    <row r="360" spans="23:36">
      <c r="W360" s="167">
        <v>45665</v>
      </c>
      <c r="Y360">
        <v>6</v>
      </c>
      <c r="AJ360">
        <v>6</v>
      </c>
    </row>
    <row r="361" spans="23:36">
      <c r="W361" s="167">
        <v>45666</v>
      </c>
      <c r="Y361">
        <v>1</v>
      </c>
      <c r="AJ361">
        <v>1</v>
      </c>
    </row>
    <row r="362" spans="23:36">
      <c r="W362" s="167">
        <v>45667</v>
      </c>
      <c r="Z362">
        <v>2</v>
      </c>
      <c r="AJ362">
        <v>2</v>
      </c>
    </row>
    <row r="363" spans="23:36">
      <c r="W363" s="167">
        <v>45668</v>
      </c>
      <c r="Y363">
        <v>2</v>
      </c>
      <c r="AJ363">
        <v>2</v>
      </c>
    </row>
    <row r="364" spans="23:36">
      <c r="W364" s="167">
        <v>45670</v>
      </c>
      <c r="Y364">
        <v>1</v>
      </c>
      <c r="Z364">
        <v>1</v>
      </c>
      <c r="AJ364">
        <v>2</v>
      </c>
    </row>
    <row r="365" spans="23:36">
      <c r="W365" s="167">
        <v>45671</v>
      </c>
      <c r="Y365">
        <v>2</v>
      </c>
      <c r="Z365">
        <v>1</v>
      </c>
      <c r="AJ365">
        <v>3</v>
      </c>
    </row>
    <row r="366" spans="23:36">
      <c r="W366" s="167">
        <v>45672</v>
      </c>
      <c r="Y366">
        <v>1</v>
      </c>
      <c r="AJ366">
        <v>1</v>
      </c>
    </row>
    <row r="367" spans="23:36">
      <c r="W367" s="167">
        <v>45675</v>
      </c>
      <c r="Y367">
        <v>3</v>
      </c>
      <c r="Z367">
        <v>1</v>
      </c>
      <c r="AJ367">
        <v>4</v>
      </c>
    </row>
    <row r="368" spans="23:36">
      <c r="W368" s="167">
        <v>45676</v>
      </c>
      <c r="Y368">
        <v>3</v>
      </c>
      <c r="AJ368">
        <v>3</v>
      </c>
    </row>
    <row r="369" spans="23:36">
      <c r="W369" s="167">
        <v>45678</v>
      </c>
      <c r="Y369">
        <v>2</v>
      </c>
      <c r="Z369">
        <v>1</v>
      </c>
      <c r="AJ369">
        <v>3</v>
      </c>
    </row>
    <row r="370" spans="23:36">
      <c r="W370" s="167">
        <v>45680</v>
      </c>
      <c r="Y370">
        <v>1</v>
      </c>
      <c r="AJ370">
        <v>1</v>
      </c>
    </row>
    <row r="371" spans="23:36">
      <c r="W371" s="167">
        <v>45681</v>
      </c>
      <c r="Z371">
        <v>1</v>
      </c>
      <c r="AJ371">
        <v>1</v>
      </c>
    </row>
    <row r="372" spans="23:36">
      <c r="W372" s="167">
        <v>45682</v>
      </c>
      <c r="Y372">
        <v>1</v>
      </c>
      <c r="AJ372">
        <v>1</v>
      </c>
    </row>
    <row r="373" spans="23:36">
      <c r="W373" s="167">
        <v>45683</v>
      </c>
      <c r="Y373">
        <v>1</v>
      </c>
      <c r="Z373">
        <v>1</v>
      </c>
      <c r="AJ373">
        <v>2</v>
      </c>
    </row>
    <row r="374" spans="23:36">
      <c r="W374" s="167">
        <v>45685</v>
      </c>
      <c r="Y374">
        <v>1</v>
      </c>
      <c r="AG374">
        <v>1</v>
      </c>
      <c r="AJ374">
        <v>2</v>
      </c>
    </row>
    <row r="375" spans="23:36">
      <c r="W375" s="167">
        <v>45686</v>
      </c>
      <c r="Z375">
        <v>1</v>
      </c>
      <c r="AJ375">
        <v>1</v>
      </c>
    </row>
    <row r="376" spans="23:36">
      <c r="W376" s="167">
        <v>45687</v>
      </c>
      <c r="Y376">
        <v>1</v>
      </c>
      <c r="Z376">
        <v>1</v>
      </c>
      <c r="AG376">
        <v>1</v>
      </c>
      <c r="AJ376">
        <v>3</v>
      </c>
    </row>
    <row r="377" spans="23:36">
      <c r="W377" s="167">
        <v>45688</v>
      </c>
      <c r="AG377">
        <v>1</v>
      </c>
      <c r="AJ377">
        <v>1</v>
      </c>
    </row>
    <row r="378" spans="23:36">
      <c r="W378" s="166" t="s">
        <v>3585</v>
      </c>
      <c r="Y378">
        <v>39</v>
      </c>
      <c r="Z378">
        <v>12</v>
      </c>
      <c r="AA378">
        <v>1</v>
      </c>
      <c r="AB378">
        <v>1</v>
      </c>
      <c r="AG378">
        <v>5</v>
      </c>
      <c r="AJ378">
        <v>58</v>
      </c>
    </row>
    <row r="379" spans="23:36">
      <c r="W379" s="167">
        <v>45689</v>
      </c>
      <c r="Y379">
        <v>1</v>
      </c>
      <c r="AJ379">
        <v>1</v>
      </c>
    </row>
    <row r="380" spans="23:36">
      <c r="W380" s="167">
        <v>45690</v>
      </c>
      <c r="Y380">
        <v>1</v>
      </c>
      <c r="Z380">
        <v>1</v>
      </c>
      <c r="AG380">
        <v>2</v>
      </c>
      <c r="AJ380">
        <v>4</v>
      </c>
    </row>
    <row r="381" spans="23:36">
      <c r="W381" s="167">
        <v>45693</v>
      </c>
      <c r="Y381">
        <v>2</v>
      </c>
      <c r="AJ381">
        <v>2</v>
      </c>
    </row>
    <row r="382" spans="23:36">
      <c r="W382" s="167">
        <v>45694</v>
      </c>
      <c r="AA382">
        <v>1</v>
      </c>
      <c r="AJ382">
        <v>1</v>
      </c>
    </row>
    <row r="383" spans="23:36">
      <c r="W383" s="167">
        <v>45695</v>
      </c>
      <c r="Y383">
        <v>2</v>
      </c>
      <c r="AJ383">
        <v>2</v>
      </c>
    </row>
    <row r="384" spans="23:36">
      <c r="W384" s="167">
        <v>45696</v>
      </c>
      <c r="Y384">
        <v>2</v>
      </c>
      <c r="AJ384">
        <v>2</v>
      </c>
    </row>
    <row r="385" spans="23:36">
      <c r="W385" s="167">
        <v>45697</v>
      </c>
      <c r="Y385">
        <v>2</v>
      </c>
      <c r="Z385">
        <v>1</v>
      </c>
      <c r="AG385">
        <v>2</v>
      </c>
      <c r="AJ385">
        <v>5</v>
      </c>
    </row>
    <row r="386" spans="23:36">
      <c r="W386" s="167">
        <v>45698</v>
      </c>
      <c r="Y386">
        <v>1</v>
      </c>
      <c r="Z386">
        <v>1</v>
      </c>
      <c r="AJ386">
        <v>2</v>
      </c>
    </row>
    <row r="387" spans="23:36">
      <c r="W387" s="167">
        <v>45699</v>
      </c>
      <c r="AB387">
        <v>1</v>
      </c>
      <c r="AJ387">
        <v>1</v>
      </c>
    </row>
    <row r="388" spans="23:36">
      <c r="W388" s="167">
        <v>45701</v>
      </c>
      <c r="Y388">
        <v>1</v>
      </c>
      <c r="Z388">
        <v>1</v>
      </c>
      <c r="AJ388">
        <v>2</v>
      </c>
    </row>
    <row r="389" spans="23:36">
      <c r="W389" s="167">
        <v>45702</v>
      </c>
      <c r="Y389">
        <v>1</v>
      </c>
      <c r="AJ389">
        <v>1</v>
      </c>
    </row>
    <row r="390" spans="23:36">
      <c r="W390" s="167">
        <v>45703</v>
      </c>
      <c r="Y390">
        <v>2</v>
      </c>
      <c r="Z390">
        <v>1</v>
      </c>
      <c r="AJ390">
        <v>3</v>
      </c>
    </row>
    <row r="391" spans="23:36">
      <c r="W391" s="167">
        <v>45704</v>
      </c>
      <c r="Y391">
        <v>4</v>
      </c>
      <c r="Z391">
        <v>1</v>
      </c>
      <c r="AJ391">
        <v>5</v>
      </c>
    </row>
    <row r="392" spans="23:36">
      <c r="W392" s="167">
        <v>45706</v>
      </c>
      <c r="Y392">
        <v>2</v>
      </c>
      <c r="AJ392">
        <v>2</v>
      </c>
    </row>
    <row r="393" spans="23:36">
      <c r="W393" s="167">
        <v>45707</v>
      </c>
      <c r="Y393">
        <v>2</v>
      </c>
      <c r="AJ393">
        <v>2</v>
      </c>
    </row>
    <row r="394" spans="23:36">
      <c r="W394" s="167">
        <v>45708</v>
      </c>
      <c r="Y394">
        <v>2</v>
      </c>
      <c r="Z394">
        <v>3</v>
      </c>
      <c r="AJ394">
        <v>5</v>
      </c>
    </row>
    <row r="395" spans="23:36">
      <c r="W395" s="167">
        <v>45709</v>
      </c>
      <c r="Y395">
        <v>2</v>
      </c>
      <c r="AJ395">
        <v>2</v>
      </c>
    </row>
    <row r="396" spans="23:36">
      <c r="W396" s="167">
        <v>45710</v>
      </c>
      <c r="Y396">
        <v>3</v>
      </c>
      <c r="AJ396">
        <v>3</v>
      </c>
    </row>
    <row r="397" spans="23:36">
      <c r="W397" s="167">
        <v>45711</v>
      </c>
      <c r="Y397">
        <v>5</v>
      </c>
      <c r="AJ397">
        <v>5</v>
      </c>
    </row>
    <row r="398" spans="23:36">
      <c r="W398" s="167">
        <v>45712</v>
      </c>
      <c r="Z398">
        <v>2</v>
      </c>
      <c r="AG398">
        <v>1</v>
      </c>
      <c r="AJ398">
        <v>3</v>
      </c>
    </row>
    <row r="399" spans="23:36">
      <c r="W399" s="167">
        <v>45713</v>
      </c>
      <c r="Y399">
        <v>2</v>
      </c>
      <c r="AJ399">
        <v>2</v>
      </c>
    </row>
    <row r="400" spans="23:36">
      <c r="W400" s="167">
        <v>45714</v>
      </c>
      <c r="Y400">
        <v>2</v>
      </c>
      <c r="Z400">
        <v>1</v>
      </c>
      <c r="AJ400">
        <v>3</v>
      </c>
    </row>
    <row r="401" spans="23:36">
      <c r="W401" s="166" t="s">
        <v>3586</v>
      </c>
      <c r="Y401">
        <v>20</v>
      </c>
      <c r="Z401">
        <v>6</v>
      </c>
      <c r="AB401">
        <v>1</v>
      </c>
      <c r="AG401">
        <v>1</v>
      </c>
      <c r="AJ401">
        <v>28</v>
      </c>
    </row>
    <row r="402" spans="23:36">
      <c r="W402" s="167">
        <v>45717</v>
      </c>
      <c r="Y402">
        <v>1</v>
      </c>
      <c r="AJ402">
        <v>1</v>
      </c>
    </row>
    <row r="403" spans="23:36">
      <c r="W403" s="167">
        <v>45721</v>
      </c>
      <c r="Y403">
        <v>1</v>
      </c>
      <c r="Z403">
        <v>1</v>
      </c>
      <c r="AJ403">
        <v>2</v>
      </c>
    </row>
    <row r="404" spans="23:36">
      <c r="W404" s="167">
        <v>45724</v>
      </c>
      <c r="Y404">
        <v>1</v>
      </c>
      <c r="AJ404">
        <v>1</v>
      </c>
    </row>
    <row r="405" spans="23:36">
      <c r="W405" s="167">
        <v>45725</v>
      </c>
      <c r="Y405">
        <v>1</v>
      </c>
      <c r="Z405">
        <v>1</v>
      </c>
      <c r="AJ405">
        <v>2</v>
      </c>
    </row>
    <row r="406" spans="23:36">
      <c r="W406" s="167">
        <v>45726</v>
      </c>
      <c r="Y406">
        <v>3</v>
      </c>
      <c r="AJ406">
        <v>3</v>
      </c>
    </row>
    <row r="407" spans="23:36">
      <c r="W407" s="167">
        <v>45727</v>
      </c>
      <c r="Y407">
        <v>1</v>
      </c>
      <c r="AJ407">
        <v>1</v>
      </c>
    </row>
    <row r="408" spans="23:36">
      <c r="W408" s="167">
        <v>45728</v>
      </c>
      <c r="Z408">
        <v>1</v>
      </c>
      <c r="AJ408">
        <v>1</v>
      </c>
    </row>
    <row r="409" spans="23:36">
      <c r="W409" s="167">
        <v>45729</v>
      </c>
      <c r="Y409">
        <v>1</v>
      </c>
      <c r="AG409">
        <v>1</v>
      </c>
      <c r="AJ409">
        <v>2</v>
      </c>
    </row>
    <row r="410" spans="23:36">
      <c r="W410" s="167">
        <v>45730</v>
      </c>
      <c r="AB410">
        <v>1</v>
      </c>
      <c r="AJ410">
        <v>1</v>
      </c>
    </row>
    <row r="411" spans="23:36">
      <c r="W411" s="167">
        <v>45731</v>
      </c>
      <c r="Y411">
        <v>1</v>
      </c>
      <c r="AJ411">
        <v>1</v>
      </c>
    </row>
    <row r="412" spans="23:36">
      <c r="W412" s="167">
        <v>45733</v>
      </c>
      <c r="Z412">
        <v>1</v>
      </c>
      <c r="AJ412">
        <v>1</v>
      </c>
    </row>
    <row r="413" spans="23:36">
      <c r="W413" s="167">
        <v>45734</v>
      </c>
      <c r="Y413">
        <v>2</v>
      </c>
      <c r="Z413">
        <v>1</v>
      </c>
      <c r="AJ413">
        <v>3</v>
      </c>
    </row>
    <row r="414" spans="23:36">
      <c r="W414" s="167">
        <v>45736</v>
      </c>
      <c r="Y414">
        <v>1</v>
      </c>
      <c r="AJ414">
        <v>1</v>
      </c>
    </row>
    <row r="415" spans="23:36">
      <c r="W415" s="167">
        <v>45737</v>
      </c>
      <c r="Y415">
        <v>1</v>
      </c>
      <c r="AJ415">
        <v>1</v>
      </c>
    </row>
    <row r="416" spans="23:36">
      <c r="W416" s="167">
        <v>45739</v>
      </c>
      <c r="Y416">
        <v>3</v>
      </c>
      <c r="AJ416">
        <v>3</v>
      </c>
    </row>
    <row r="417" spans="23:36">
      <c r="W417" s="167">
        <v>45742</v>
      </c>
      <c r="Y417">
        <v>1</v>
      </c>
      <c r="AJ417">
        <v>1</v>
      </c>
    </row>
    <row r="418" spans="23:36">
      <c r="W418" s="167">
        <v>45744</v>
      </c>
      <c r="Y418">
        <v>1</v>
      </c>
      <c r="AJ418">
        <v>1</v>
      </c>
    </row>
    <row r="419" spans="23:36">
      <c r="W419" s="167">
        <v>45745</v>
      </c>
      <c r="Y419">
        <v>1</v>
      </c>
      <c r="Z419">
        <v>1</v>
      </c>
      <c r="AJ419">
        <v>2</v>
      </c>
    </row>
    <row r="420" spans="23:36">
      <c r="W420" s="166" t="s">
        <v>3587</v>
      </c>
      <c r="Y420">
        <v>33</v>
      </c>
      <c r="Z420">
        <v>2</v>
      </c>
      <c r="AB420">
        <v>3</v>
      </c>
      <c r="AG420">
        <v>3</v>
      </c>
      <c r="AJ420">
        <v>41</v>
      </c>
    </row>
    <row r="421" spans="23:36">
      <c r="W421" s="167">
        <v>45748</v>
      </c>
      <c r="Y421">
        <v>3</v>
      </c>
      <c r="AJ421">
        <v>3</v>
      </c>
    </row>
    <row r="422" spans="23:36">
      <c r="W422" s="167">
        <v>45749</v>
      </c>
      <c r="Y422">
        <v>1</v>
      </c>
      <c r="AJ422">
        <v>1</v>
      </c>
    </row>
    <row r="423" spans="23:36">
      <c r="W423" s="167">
        <v>45750</v>
      </c>
      <c r="Y423">
        <v>2</v>
      </c>
      <c r="AJ423">
        <v>2</v>
      </c>
    </row>
    <row r="424" spans="23:36">
      <c r="W424" s="167">
        <v>45751</v>
      </c>
      <c r="AB424">
        <v>1</v>
      </c>
      <c r="AJ424">
        <v>1</v>
      </c>
    </row>
    <row r="425" spans="23:36">
      <c r="W425" s="167">
        <v>45753</v>
      </c>
      <c r="Y425">
        <v>2</v>
      </c>
      <c r="AJ425">
        <v>2</v>
      </c>
    </row>
    <row r="426" spans="23:36">
      <c r="W426" s="167">
        <v>45754</v>
      </c>
      <c r="Y426">
        <v>1</v>
      </c>
      <c r="AJ426">
        <v>1</v>
      </c>
    </row>
    <row r="427" spans="23:36">
      <c r="W427" s="167">
        <v>45755</v>
      </c>
      <c r="Y427">
        <v>1</v>
      </c>
      <c r="AJ427">
        <v>1</v>
      </c>
    </row>
    <row r="428" spans="23:36">
      <c r="W428" s="167">
        <v>45757</v>
      </c>
      <c r="Y428">
        <v>2</v>
      </c>
      <c r="AJ428">
        <v>2</v>
      </c>
    </row>
    <row r="429" spans="23:36">
      <c r="W429" s="167">
        <v>45759</v>
      </c>
      <c r="Y429">
        <v>2</v>
      </c>
      <c r="AB429">
        <v>1</v>
      </c>
      <c r="AJ429">
        <v>3</v>
      </c>
    </row>
    <row r="430" spans="23:36">
      <c r="W430" s="167">
        <v>45760</v>
      </c>
      <c r="Y430">
        <v>1</v>
      </c>
      <c r="AJ430">
        <v>1</v>
      </c>
    </row>
    <row r="431" spans="23:36">
      <c r="W431" s="167">
        <v>45761</v>
      </c>
      <c r="Y431">
        <v>1</v>
      </c>
      <c r="AJ431">
        <v>1</v>
      </c>
    </row>
    <row r="432" spans="23:36">
      <c r="W432" s="167">
        <v>45763</v>
      </c>
      <c r="Y432">
        <v>3</v>
      </c>
      <c r="AJ432">
        <v>3</v>
      </c>
    </row>
    <row r="433" spans="23:36">
      <c r="W433" s="167">
        <v>45765</v>
      </c>
      <c r="Y433">
        <v>1</v>
      </c>
      <c r="AG433">
        <v>1</v>
      </c>
      <c r="AJ433">
        <v>2</v>
      </c>
    </row>
    <row r="434" spans="23:36">
      <c r="W434" s="167">
        <v>45767</v>
      </c>
      <c r="Y434">
        <v>1</v>
      </c>
      <c r="AJ434">
        <v>1</v>
      </c>
    </row>
    <row r="435" spans="23:36">
      <c r="W435" s="167">
        <v>45768</v>
      </c>
      <c r="Y435">
        <v>1</v>
      </c>
      <c r="AJ435">
        <v>1</v>
      </c>
    </row>
    <row r="436" spans="23:36">
      <c r="W436" s="167">
        <v>45769</v>
      </c>
      <c r="Y436">
        <v>1</v>
      </c>
      <c r="AB436">
        <v>1</v>
      </c>
      <c r="AG436">
        <v>1</v>
      </c>
      <c r="AJ436">
        <v>3</v>
      </c>
    </row>
    <row r="437" spans="23:36">
      <c r="W437" s="167">
        <v>45770</v>
      </c>
      <c r="Z437">
        <v>1</v>
      </c>
      <c r="AJ437">
        <v>1</v>
      </c>
    </row>
    <row r="438" spans="23:36">
      <c r="W438" s="167">
        <v>45771</v>
      </c>
      <c r="Y438">
        <v>1</v>
      </c>
      <c r="AJ438">
        <v>1</v>
      </c>
    </row>
    <row r="439" spans="23:36">
      <c r="W439" s="167">
        <v>45772</v>
      </c>
      <c r="Y439">
        <v>3</v>
      </c>
      <c r="AG439">
        <v>1</v>
      </c>
      <c r="AJ439">
        <v>4</v>
      </c>
    </row>
    <row r="440" spans="23:36">
      <c r="W440" s="167">
        <v>45773</v>
      </c>
      <c r="Y440">
        <v>1</v>
      </c>
      <c r="AJ440">
        <v>1</v>
      </c>
    </row>
    <row r="441" spans="23:36">
      <c r="W441" s="167">
        <v>45774</v>
      </c>
      <c r="Z441">
        <v>1</v>
      </c>
      <c r="AJ441">
        <v>1</v>
      </c>
    </row>
    <row r="442" spans="23:36">
      <c r="W442" s="167">
        <v>45775</v>
      </c>
      <c r="Y442">
        <v>2</v>
      </c>
      <c r="AJ442">
        <v>2</v>
      </c>
    </row>
    <row r="443" spans="23:36">
      <c r="W443" s="167">
        <v>45776</v>
      </c>
      <c r="Y443">
        <v>2</v>
      </c>
      <c r="AJ443">
        <v>2</v>
      </c>
    </row>
    <row r="444" spans="23:36">
      <c r="W444" s="167">
        <v>45777</v>
      </c>
      <c r="Y444">
        <v>1</v>
      </c>
      <c r="AJ444">
        <v>1</v>
      </c>
    </row>
    <row r="445" spans="23:36">
      <c r="W445" s="166" t="s">
        <v>3589</v>
      </c>
      <c r="X445">
        <v>1</v>
      </c>
      <c r="Y445">
        <v>27</v>
      </c>
      <c r="Z445">
        <v>5</v>
      </c>
      <c r="AB445">
        <v>7</v>
      </c>
      <c r="AJ445">
        <v>40</v>
      </c>
    </row>
    <row r="446" spans="23:36">
      <c r="W446" s="167">
        <v>45778</v>
      </c>
      <c r="Y446">
        <v>2</v>
      </c>
      <c r="AJ446">
        <v>2</v>
      </c>
    </row>
    <row r="447" spans="23:36">
      <c r="W447" s="167">
        <v>45779</v>
      </c>
      <c r="Y447">
        <v>1</v>
      </c>
      <c r="Z447">
        <v>1</v>
      </c>
      <c r="AJ447">
        <v>2</v>
      </c>
    </row>
    <row r="448" spans="23:36">
      <c r="W448" s="167">
        <v>45781</v>
      </c>
      <c r="Y448">
        <v>2</v>
      </c>
      <c r="AJ448">
        <v>2</v>
      </c>
    </row>
    <row r="449" spans="23:36">
      <c r="W449" s="167">
        <v>45782</v>
      </c>
      <c r="Y449">
        <v>3</v>
      </c>
      <c r="AJ449">
        <v>3</v>
      </c>
    </row>
    <row r="450" spans="23:36">
      <c r="W450" s="167">
        <v>45783</v>
      </c>
      <c r="Z450">
        <v>1</v>
      </c>
      <c r="AJ450">
        <v>1</v>
      </c>
    </row>
    <row r="451" spans="23:36">
      <c r="W451" s="167">
        <v>45784</v>
      </c>
      <c r="Y451">
        <v>3</v>
      </c>
      <c r="AJ451">
        <v>3</v>
      </c>
    </row>
    <row r="452" spans="23:36">
      <c r="W452" s="167">
        <v>45785</v>
      </c>
      <c r="Y452">
        <v>1</v>
      </c>
      <c r="AJ452">
        <v>1</v>
      </c>
    </row>
    <row r="453" spans="23:36">
      <c r="W453" s="167">
        <v>45787</v>
      </c>
      <c r="AB453">
        <v>1</v>
      </c>
      <c r="AJ453">
        <v>1</v>
      </c>
    </row>
    <row r="454" spans="23:36">
      <c r="W454" s="167">
        <v>45788</v>
      </c>
      <c r="Y454">
        <v>1</v>
      </c>
      <c r="AJ454">
        <v>1</v>
      </c>
    </row>
    <row r="455" spans="23:36">
      <c r="W455" s="167">
        <v>45792</v>
      </c>
      <c r="Y455">
        <v>3</v>
      </c>
      <c r="AJ455">
        <v>3</v>
      </c>
    </row>
    <row r="456" spans="23:36">
      <c r="W456" s="167">
        <v>45793</v>
      </c>
      <c r="Y456">
        <v>1</v>
      </c>
      <c r="AB456">
        <v>1</v>
      </c>
      <c r="AJ456">
        <v>2</v>
      </c>
    </row>
    <row r="457" spans="23:36">
      <c r="W457" s="167">
        <v>45794</v>
      </c>
      <c r="Y457">
        <v>1</v>
      </c>
      <c r="AJ457">
        <v>1</v>
      </c>
    </row>
    <row r="458" spans="23:36">
      <c r="W458" s="167">
        <v>45795</v>
      </c>
      <c r="Y458">
        <v>2</v>
      </c>
      <c r="Z458">
        <v>1</v>
      </c>
      <c r="AJ458">
        <v>3</v>
      </c>
    </row>
    <row r="459" spans="23:36">
      <c r="W459" s="167">
        <v>45796</v>
      </c>
      <c r="AB459">
        <v>1</v>
      </c>
      <c r="AJ459">
        <v>1</v>
      </c>
    </row>
    <row r="460" spans="23:36">
      <c r="W460" s="167">
        <v>45797</v>
      </c>
      <c r="Y460">
        <v>1</v>
      </c>
      <c r="AJ460">
        <v>1</v>
      </c>
    </row>
    <row r="461" spans="23:36">
      <c r="W461" s="167">
        <v>45800</v>
      </c>
      <c r="Y461">
        <v>1</v>
      </c>
      <c r="AJ461">
        <v>1</v>
      </c>
    </row>
    <row r="462" spans="23:36">
      <c r="W462" s="167">
        <v>45801</v>
      </c>
      <c r="Z462">
        <v>1</v>
      </c>
      <c r="AJ462">
        <v>1</v>
      </c>
    </row>
    <row r="463" spans="23:36">
      <c r="W463" s="167">
        <v>45802</v>
      </c>
      <c r="Z463">
        <v>1</v>
      </c>
      <c r="AB463">
        <v>2</v>
      </c>
      <c r="AJ463">
        <v>3</v>
      </c>
    </row>
    <row r="464" spans="23:36">
      <c r="W464" s="167">
        <v>45803</v>
      </c>
      <c r="Y464">
        <v>1</v>
      </c>
      <c r="AB464">
        <v>1</v>
      </c>
      <c r="AJ464">
        <v>2</v>
      </c>
    </row>
    <row r="465" spans="23:36">
      <c r="W465" s="167">
        <v>45804</v>
      </c>
      <c r="Y465">
        <v>1</v>
      </c>
      <c r="AJ465">
        <v>1</v>
      </c>
    </row>
    <row r="466" spans="23:36">
      <c r="W466" s="167">
        <v>45805</v>
      </c>
      <c r="Y466">
        <v>2</v>
      </c>
      <c r="AJ466">
        <v>2</v>
      </c>
    </row>
    <row r="467" spans="23:36">
      <c r="W467" s="167">
        <v>45806</v>
      </c>
      <c r="X467">
        <v>1</v>
      </c>
      <c r="Y467">
        <v>1</v>
      </c>
      <c r="AB467">
        <v>1</v>
      </c>
      <c r="AJ467">
        <v>3</v>
      </c>
    </row>
    <row r="468" spans="23:36">
      <c r="W468" s="166" t="s">
        <v>3595</v>
      </c>
      <c r="X468">
        <v>1</v>
      </c>
      <c r="Y468">
        <v>16</v>
      </c>
      <c r="AB468">
        <v>13</v>
      </c>
      <c r="AG468">
        <v>1</v>
      </c>
      <c r="AJ468">
        <v>31</v>
      </c>
    </row>
    <row r="469" spans="23:36">
      <c r="W469" s="167">
        <v>45812</v>
      </c>
      <c r="Y469">
        <v>1</v>
      </c>
      <c r="AJ469">
        <v>1</v>
      </c>
    </row>
    <row r="470" spans="23:36">
      <c r="W470" s="167">
        <v>45814</v>
      </c>
      <c r="Y470">
        <v>1</v>
      </c>
      <c r="AB470">
        <v>1</v>
      </c>
      <c r="AJ470">
        <v>2</v>
      </c>
    </row>
    <row r="471" spans="23:36">
      <c r="W471" s="167">
        <v>45816</v>
      </c>
      <c r="AB471">
        <v>1</v>
      </c>
      <c r="AJ471">
        <v>1</v>
      </c>
    </row>
    <row r="472" spans="23:36">
      <c r="W472" s="167">
        <v>45817</v>
      </c>
      <c r="Y472">
        <v>1</v>
      </c>
      <c r="AJ472">
        <v>1</v>
      </c>
    </row>
    <row r="473" spans="23:36">
      <c r="W473" s="167">
        <v>45818</v>
      </c>
      <c r="Y473">
        <v>1</v>
      </c>
      <c r="AJ473">
        <v>1</v>
      </c>
    </row>
    <row r="474" spans="23:36">
      <c r="W474" s="167">
        <v>45819</v>
      </c>
      <c r="AB474">
        <v>1</v>
      </c>
      <c r="AJ474">
        <v>1</v>
      </c>
    </row>
    <row r="475" spans="23:36">
      <c r="W475" s="167">
        <v>45821</v>
      </c>
      <c r="Y475">
        <v>1</v>
      </c>
      <c r="AB475">
        <v>1</v>
      </c>
      <c r="AJ475">
        <v>2</v>
      </c>
    </row>
    <row r="476" spans="23:36">
      <c r="W476" s="167">
        <v>45822</v>
      </c>
      <c r="AB476">
        <v>1</v>
      </c>
      <c r="AJ476">
        <v>1</v>
      </c>
    </row>
    <row r="477" spans="23:36">
      <c r="W477" s="167">
        <v>45823</v>
      </c>
      <c r="Y477">
        <v>1</v>
      </c>
      <c r="AJ477">
        <v>1</v>
      </c>
    </row>
    <row r="478" spans="23:36">
      <c r="W478" s="167">
        <v>45826</v>
      </c>
      <c r="Y478">
        <v>3</v>
      </c>
      <c r="AB478">
        <v>1</v>
      </c>
      <c r="AJ478">
        <v>4</v>
      </c>
    </row>
    <row r="479" spans="23:36">
      <c r="W479" s="167">
        <v>45828</v>
      </c>
      <c r="X479">
        <v>1</v>
      </c>
      <c r="AJ479">
        <v>1</v>
      </c>
    </row>
    <row r="480" spans="23:36">
      <c r="W480" s="167">
        <v>45829</v>
      </c>
      <c r="Y480">
        <v>2</v>
      </c>
      <c r="AJ480">
        <v>2</v>
      </c>
    </row>
    <row r="481" spans="23:36">
      <c r="W481" s="167">
        <v>45830</v>
      </c>
      <c r="Y481">
        <v>1</v>
      </c>
      <c r="AJ481">
        <v>1</v>
      </c>
    </row>
    <row r="482" spans="23:36">
      <c r="W482" s="167">
        <v>45831</v>
      </c>
      <c r="Y482">
        <v>1</v>
      </c>
      <c r="AJ482">
        <v>1</v>
      </c>
    </row>
    <row r="483" spans="23:36">
      <c r="W483" s="167">
        <v>45832</v>
      </c>
      <c r="AB483">
        <v>1</v>
      </c>
      <c r="AJ483">
        <v>1</v>
      </c>
    </row>
    <row r="484" spans="23:36">
      <c r="W484" s="167">
        <v>45833</v>
      </c>
      <c r="Y484">
        <v>1</v>
      </c>
      <c r="AJ484">
        <v>1</v>
      </c>
    </row>
    <row r="485" spans="23:36">
      <c r="W485" s="167">
        <v>45834</v>
      </c>
      <c r="AB485">
        <v>2</v>
      </c>
      <c r="AG485">
        <v>1</v>
      </c>
      <c r="AJ485">
        <v>3</v>
      </c>
    </row>
    <row r="486" spans="23:36">
      <c r="W486" s="167">
        <v>45835</v>
      </c>
      <c r="Y486">
        <v>1</v>
      </c>
      <c r="AJ486">
        <v>1</v>
      </c>
    </row>
    <row r="487" spans="23:36">
      <c r="W487" s="167">
        <v>45837</v>
      </c>
      <c r="AB487">
        <v>2</v>
      </c>
      <c r="AJ487">
        <v>2</v>
      </c>
    </row>
    <row r="488" spans="23:36">
      <c r="W488" s="167">
        <v>45838</v>
      </c>
      <c r="Y488">
        <v>1</v>
      </c>
      <c r="AB488">
        <v>2</v>
      </c>
      <c r="AJ488">
        <v>3</v>
      </c>
    </row>
    <row r="489" spans="23:36">
      <c r="W489" s="166" t="s">
        <v>3596</v>
      </c>
      <c r="X489">
        <v>1</v>
      </c>
      <c r="Y489">
        <v>20</v>
      </c>
      <c r="AB489">
        <v>32</v>
      </c>
      <c r="AG489">
        <v>3</v>
      </c>
      <c r="AJ489">
        <v>56</v>
      </c>
    </row>
    <row r="490" spans="23:36">
      <c r="W490" s="167">
        <v>45839</v>
      </c>
      <c r="Y490">
        <v>1</v>
      </c>
      <c r="AB490">
        <v>6</v>
      </c>
      <c r="AJ490">
        <v>7</v>
      </c>
    </row>
    <row r="491" spans="23:36">
      <c r="W491" s="167">
        <v>45840</v>
      </c>
      <c r="AB491">
        <v>1</v>
      </c>
      <c r="AJ491">
        <v>1</v>
      </c>
    </row>
    <row r="492" spans="23:36">
      <c r="W492" s="167">
        <v>45841</v>
      </c>
      <c r="Y492">
        <v>1</v>
      </c>
      <c r="AJ492">
        <v>1</v>
      </c>
    </row>
    <row r="493" spans="23:36">
      <c r="W493" s="167">
        <v>45842</v>
      </c>
      <c r="Y493">
        <v>1</v>
      </c>
      <c r="AJ493">
        <v>1</v>
      </c>
    </row>
    <row r="494" spans="23:36">
      <c r="W494" s="167">
        <v>45843</v>
      </c>
      <c r="Y494">
        <v>2</v>
      </c>
      <c r="AJ494">
        <v>2</v>
      </c>
    </row>
    <row r="495" spans="23:36">
      <c r="W495" s="167">
        <v>45844</v>
      </c>
      <c r="Y495">
        <v>1</v>
      </c>
      <c r="AG495">
        <v>1</v>
      </c>
      <c r="AJ495">
        <v>2</v>
      </c>
    </row>
    <row r="496" spans="23:36">
      <c r="W496" s="167">
        <v>45845</v>
      </c>
      <c r="AB496">
        <v>1</v>
      </c>
      <c r="AJ496">
        <v>1</v>
      </c>
    </row>
    <row r="497" spans="23:36">
      <c r="W497" s="167">
        <v>45846</v>
      </c>
      <c r="Y497">
        <v>1</v>
      </c>
      <c r="AJ497">
        <v>1</v>
      </c>
    </row>
    <row r="498" spans="23:36">
      <c r="W498" s="167">
        <v>45848</v>
      </c>
      <c r="Y498">
        <v>1</v>
      </c>
      <c r="AB498">
        <v>1</v>
      </c>
      <c r="AJ498">
        <v>2</v>
      </c>
    </row>
    <row r="499" spans="23:36">
      <c r="W499" s="167">
        <v>45850</v>
      </c>
      <c r="Y499">
        <v>1</v>
      </c>
      <c r="AJ499">
        <v>1</v>
      </c>
    </row>
    <row r="500" spans="23:36">
      <c r="W500" s="167">
        <v>45851</v>
      </c>
      <c r="AB500">
        <v>1</v>
      </c>
      <c r="AJ500">
        <v>1</v>
      </c>
    </row>
    <row r="501" spans="23:36">
      <c r="W501" s="167">
        <v>45852</v>
      </c>
      <c r="Y501">
        <v>2</v>
      </c>
      <c r="AB501">
        <v>1</v>
      </c>
      <c r="AJ501">
        <v>3</v>
      </c>
    </row>
    <row r="502" spans="23:36">
      <c r="W502" s="167">
        <v>45853</v>
      </c>
      <c r="Y502">
        <v>1</v>
      </c>
      <c r="AB502">
        <v>1</v>
      </c>
      <c r="AJ502">
        <v>2</v>
      </c>
    </row>
    <row r="503" spans="23:36">
      <c r="W503" s="167">
        <v>45854</v>
      </c>
      <c r="Y503">
        <v>1</v>
      </c>
      <c r="AB503">
        <v>1</v>
      </c>
      <c r="AJ503">
        <v>2</v>
      </c>
    </row>
    <row r="504" spans="23:36">
      <c r="W504" s="167">
        <v>45855</v>
      </c>
      <c r="Y504">
        <v>1</v>
      </c>
      <c r="AJ504">
        <v>1</v>
      </c>
    </row>
    <row r="505" spans="23:36">
      <c r="W505" s="167">
        <v>45856</v>
      </c>
      <c r="AB505">
        <v>2</v>
      </c>
      <c r="AJ505">
        <v>2</v>
      </c>
    </row>
    <row r="506" spans="23:36">
      <c r="W506" s="167">
        <v>45857</v>
      </c>
      <c r="Y506">
        <v>1</v>
      </c>
      <c r="AJ506">
        <v>1</v>
      </c>
    </row>
    <row r="507" spans="23:36">
      <c r="W507" s="167">
        <v>45858</v>
      </c>
      <c r="X507">
        <v>1</v>
      </c>
      <c r="AJ507">
        <v>1</v>
      </c>
    </row>
    <row r="508" spans="23:36">
      <c r="W508" s="167">
        <v>45860</v>
      </c>
      <c r="Y508">
        <v>2</v>
      </c>
      <c r="AB508">
        <v>2</v>
      </c>
      <c r="AJ508">
        <v>4</v>
      </c>
    </row>
    <row r="509" spans="23:36">
      <c r="W509" s="167">
        <v>45861</v>
      </c>
      <c r="AB509">
        <v>2</v>
      </c>
      <c r="AJ509">
        <v>2</v>
      </c>
    </row>
    <row r="510" spans="23:36">
      <c r="W510" s="167">
        <v>45862</v>
      </c>
      <c r="AB510">
        <v>2</v>
      </c>
      <c r="AG510">
        <v>1</v>
      </c>
      <c r="AJ510">
        <v>3</v>
      </c>
    </row>
    <row r="511" spans="23:36">
      <c r="W511" s="167">
        <v>45863</v>
      </c>
      <c r="AB511">
        <v>2</v>
      </c>
      <c r="AG511">
        <v>1</v>
      </c>
      <c r="AJ511">
        <v>3</v>
      </c>
    </row>
    <row r="512" spans="23:36">
      <c r="W512" s="167">
        <v>45864</v>
      </c>
      <c r="AB512">
        <v>1</v>
      </c>
      <c r="AJ512">
        <v>1</v>
      </c>
    </row>
    <row r="513" spans="23:36">
      <c r="W513" s="167">
        <v>45865</v>
      </c>
      <c r="Y513">
        <v>3</v>
      </c>
      <c r="AB513">
        <v>1</v>
      </c>
      <c r="AJ513">
        <v>4</v>
      </c>
    </row>
    <row r="514" spans="23:36">
      <c r="W514" s="167">
        <v>45866</v>
      </c>
      <c r="AB514">
        <v>3</v>
      </c>
      <c r="AJ514">
        <v>3</v>
      </c>
    </row>
    <row r="515" spans="23:36">
      <c r="W515" s="167">
        <v>45867</v>
      </c>
      <c r="AB515">
        <v>1</v>
      </c>
      <c r="AJ515">
        <v>1</v>
      </c>
    </row>
    <row r="516" spans="23:36">
      <c r="W516" s="167">
        <v>45868</v>
      </c>
      <c r="AB516">
        <v>1</v>
      </c>
      <c r="AJ516">
        <v>1</v>
      </c>
    </row>
    <row r="517" spans="23:36">
      <c r="W517" s="167">
        <v>45869</v>
      </c>
      <c r="AB517">
        <v>2</v>
      </c>
      <c r="AJ517">
        <v>2</v>
      </c>
    </row>
    <row r="518" spans="23:36">
      <c r="W518" s="166" t="s">
        <v>3590</v>
      </c>
      <c r="Y518">
        <v>15</v>
      </c>
      <c r="Z518">
        <v>15</v>
      </c>
      <c r="AB518">
        <v>31</v>
      </c>
      <c r="AD518">
        <v>2</v>
      </c>
      <c r="AG518">
        <v>3</v>
      </c>
      <c r="AH518">
        <v>2</v>
      </c>
      <c r="AJ518">
        <v>68</v>
      </c>
    </row>
    <row r="519" spans="23:36">
      <c r="W519" s="167">
        <v>45871</v>
      </c>
      <c r="Y519">
        <v>1</v>
      </c>
      <c r="AB519">
        <v>2</v>
      </c>
      <c r="AJ519">
        <v>3</v>
      </c>
    </row>
    <row r="520" spans="23:36">
      <c r="W520" s="167">
        <v>45872</v>
      </c>
      <c r="Y520">
        <v>1</v>
      </c>
      <c r="AJ520">
        <v>1</v>
      </c>
    </row>
    <row r="521" spans="23:36">
      <c r="W521" s="167">
        <v>45873</v>
      </c>
      <c r="Y521">
        <v>3</v>
      </c>
      <c r="AD521">
        <v>1</v>
      </c>
      <c r="AJ521">
        <v>4</v>
      </c>
    </row>
    <row r="522" spans="23:36">
      <c r="W522" s="167">
        <v>45874</v>
      </c>
      <c r="Y522">
        <v>2</v>
      </c>
      <c r="AB522">
        <v>1</v>
      </c>
      <c r="AJ522">
        <v>3</v>
      </c>
    </row>
    <row r="523" spans="23:36">
      <c r="W523" s="167">
        <v>45875</v>
      </c>
      <c r="Y523">
        <v>1</v>
      </c>
      <c r="AJ523">
        <v>1</v>
      </c>
    </row>
    <row r="524" spans="23:36">
      <c r="W524" s="167">
        <v>45876</v>
      </c>
      <c r="AH524">
        <v>1</v>
      </c>
      <c r="AJ524">
        <v>1</v>
      </c>
    </row>
    <row r="525" spans="23:36">
      <c r="W525" s="167">
        <v>45877</v>
      </c>
      <c r="Y525">
        <v>1</v>
      </c>
      <c r="AB525">
        <v>2</v>
      </c>
      <c r="AH525">
        <v>1</v>
      </c>
      <c r="AJ525">
        <v>4</v>
      </c>
    </row>
    <row r="526" spans="23:36">
      <c r="W526" s="167">
        <v>45878</v>
      </c>
      <c r="AB526">
        <v>2</v>
      </c>
      <c r="AD526">
        <v>1</v>
      </c>
      <c r="AJ526">
        <v>3</v>
      </c>
    </row>
    <row r="527" spans="23:36">
      <c r="W527" s="167">
        <v>45879</v>
      </c>
      <c r="Y527">
        <v>1</v>
      </c>
      <c r="AB527">
        <v>2</v>
      </c>
      <c r="AJ527">
        <v>3</v>
      </c>
    </row>
    <row r="528" spans="23:36">
      <c r="W528" s="167">
        <v>45880</v>
      </c>
      <c r="AB528">
        <v>3</v>
      </c>
      <c r="AJ528">
        <v>3</v>
      </c>
    </row>
    <row r="529" spans="23:36">
      <c r="W529" s="167">
        <v>45881</v>
      </c>
      <c r="Y529">
        <v>1</v>
      </c>
      <c r="AB529">
        <v>2</v>
      </c>
      <c r="AJ529">
        <v>3</v>
      </c>
    </row>
    <row r="530" spans="23:36">
      <c r="W530" s="167">
        <v>45882</v>
      </c>
      <c r="AB530">
        <v>7</v>
      </c>
      <c r="AJ530">
        <v>7</v>
      </c>
    </row>
    <row r="531" spans="23:36">
      <c r="W531" s="167">
        <v>45883</v>
      </c>
      <c r="AB531">
        <v>4</v>
      </c>
      <c r="AJ531">
        <v>4</v>
      </c>
    </row>
    <row r="532" spans="23:36">
      <c r="W532" s="167">
        <v>45884</v>
      </c>
      <c r="Y532">
        <v>1</v>
      </c>
      <c r="AB532">
        <v>1</v>
      </c>
      <c r="AG532">
        <v>1</v>
      </c>
      <c r="AJ532">
        <v>3</v>
      </c>
    </row>
    <row r="533" spans="23:36">
      <c r="W533" s="167">
        <v>45885</v>
      </c>
      <c r="Z533">
        <v>2</v>
      </c>
      <c r="AB533">
        <v>1</v>
      </c>
      <c r="AJ533">
        <v>3</v>
      </c>
    </row>
    <row r="534" spans="23:36">
      <c r="W534" s="167">
        <v>45886</v>
      </c>
      <c r="AB534">
        <v>3</v>
      </c>
      <c r="AJ534">
        <v>3</v>
      </c>
    </row>
    <row r="535" spans="23:36">
      <c r="W535" s="167">
        <v>45887</v>
      </c>
      <c r="Z535">
        <v>1</v>
      </c>
      <c r="AB535">
        <v>1</v>
      </c>
      <c r="AG535">
        <v>1</v>
      </c>
      <c r="AJ535">
        <v>3</v>
      </c>
    </row>
    <row r="536" spans="23:36">
      <c r="W536" s="167">
        <v>45889</v>
      </c>
      <c r="Y536">
        <v>1</v>
      </c>
      <c r="Z536">
        <v>2</v>
      </c>
      <c r="AJ536">
        <v>3</v>
      </c>
    </row>
    <row r="537" spans="23:36">
      <c r="W537" s="167">
        <v>45890</v>
      </c>
      <c r="Z537">
        <v>1</v>
      </c>
      <c r="AJ537">
        <v>1</v>
      </c>
    </row>
    <row r="538" spans="23:36">
      <c r="W538" s="167">
        <v>45891</v>
      </c>
      <c r="Z538">
        <v>3</v>
      </c>
      <c r="AG538">
        <v>1</v>
      </c>
      <c r="AJ538">
        <v>4</v>
      </c>
    </row>
    <row r="539" spans="23:36">
      <c r="W539" s="167">
        <v>45893</v>
      </c>
      <c r="Y539">
        <v>1</v>
      </c>
      <c r="Z539">
        <v>1</v>
      </c>
      <c r="AJ539">
        <v>2</v>
      </c>
    </row>
    <row r="540" spans="23:36">
      <c r="W540" s="167">
        <v>45894</v>
      </c>
      <c r="Z540">
        <v>1</v>
      </c>
      <c r="AJ540">
        <v>1</v>
      </c>
    </row>
    <row r="541" spans="23:36">
      <c r="W541" s="167">
        <v>45896</v>
      </c>
      <c r="Y541">
        <v>1</v>
      </c>
      <c r="Z541">
        <v>3</v>
      </c>
      <c r="AJ541">
        <v>4</v>
      </c>
    </row>
    <row r="542" spans="23:36">
      <c r="W542" s="167">
        <v>45897</v>
      </c>
      <c r="Z542">
        <v>1</v>
      </c>
      <c r="AJ542">
        <v>1</v>
      </c>
    </row>
    <row r="543" spans="23:36">
      <c r="W543" s="2" t="s">
        <v>3573</v>
      </c>
      <c r="X543">
        <v>3</v>
      </c>
      <c r="Y543">
        <v>924</v>
      </c>
      <c r="Z543">
        <v>188</v>
      </c>
      <c r="AA543">
        <v>1</v>
      </c>
      <c r="AB543">
        <v>147</v>
      </c>
      <c r="AC543">
        <v>2</v>
      </c>
      <c r="AD543">
        <v>2</v>
      </c>
      <c r="AE543">
        <v>1</v>
      </c>
      <c r="AF543">
        <v>23</v>
      </c>
      <c r="AG543">
        <v>64</v>
      </c>
      <c r="AH543">
        <v>33</v>
      </c>
      <c r="AI543">
        <v>5</v>
      </c>
      <c r="AJ543">
        <v>1393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52C7E439FC8C24897ABD3402CD06EF5" ma:contentTypeVersion="4" ma:contentTypeDescription="Crée un document." ma:contentTypeScope="" ma:versionID="aea21075579dd8fe29e2cdd5041b0953">
  <xsd:schema xmlns:xsd="http://www.w3.org/2001/XMLSchema" xmlns:xs="http://www.w3.org/2001/XMLSchema" xmlns:p="http://schemas.microsoft.com/office/2006/metadata/properties" xmlns:ns2="671b6709-5970-47fb-b9ba-2d68724f1f91" targetNamespace="http://schemas.microsoft.com/office/2006/metadata/properties" ma:root="true" ma:fieldsID="1f7975bcb3622418ad4e92e701305389" ns2:_="">
    <xsd:import namespace="671b6709-5970-47fb-b9ba-2d68724f1f9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1b6709-5970-47fb-b9ba-2d68724f1f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BBAD8F-9B5E-48D7-9D7F-5E3D1E90B1CA}"/>
</file>

<file path=customXml/itemProps2.xml><?xml version="1.0" encoding="utf-8"?>
<ds:datastoreItem xmlns:ds="http://schemas.openxmlformats.org/officeDocument/2006/customXml" ds:itemID="{073E7AA0-05B5-491A-85B7-2C4F5F2E3394}"/>
</file>

<file path=customXml/itemProps3.xml><?xml version="1.0" encoding="utf-8"?>
<ds:datastoreItem xmlns:ds="http://schemas.openxmlformats.org/officeDocument/2006/customXml" ds:itemID="{29810406-4094-4168-94EC-4E5B5516EC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MOUSSAOUI NOURA</cp:lastModifiedBy>
  <cp:revision/>
  <dcterms:created xsi:type="dcterms:W3CDTF">2024-06-28T08:38:56Z</dcterms:created>
  <dcterms:modified xsi:type="dcterms:W3CDTF">2026-02-13T08:23:31Z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0x010100652C7E439FC8C24897ABD3402CD06EF5</vt:lpwstr>
  </property>
</Properties>
</file>